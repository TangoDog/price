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wsSortMap1.xml" ContentType="application/vnd.ms-excel.wsSortMap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3.xml" ContentType="application/vnd.openxmlformats-officedocument.spreadsheetml.revisionLog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09.xml" ContentType="application/vnd.openxmlformats-officedocument.spreadsheetml.revisionLog+xml"/>
  <Override PartName="/xl/revisions/revisionLog117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7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2880" windowWidth="15390" windowHeight="5340"/>
  </bookViews>
  <sheets>
    <sheet name="Data" sheetId="1" r:id="rId1"/>
    <sheet name="Excluded Data" sheetId="2" r:id="rId2"/>
    <sheet name="scratch space" sheetId="3" r:id="rId3"/>
    <sheet name="unknowns" sheetId="4" r:id="rId4"/>
    <sheet name="UCVA #1" sheetId="5" r:id="rId5"/>
    <sheet name="Sheet2" sheetId="6" r:id="rId6"/>
  </sheets>
  <definedNames>
    <definedName name="BCVA_12">Data!$BK:$BK</definedName>
    <definedName name="BCVA_6">Data!$AS:$AS</definedName>
    <definedName name="BCVA_PREOP">Data!$Z:$Z</definedName>
    <definedName name="CYL_LAST">Data!$CP:$CP</definedName>
    <definedName name="CYL_PREOP">Data!$X:$X</definedName>
    <definedName name="FOLLOWUP_MONTHS">Data!$CD:$CD</definedName>
    <definedName name="FU_6_AND_12">Data!$BY:$BY</definedName>
    <definedName name="K1_12">Data!$BQ:$BQ</definedName>
    <definedName name="LAST_CDVA">Data!$CR:$CR</definedName>
    <definedName name="LAST_CHANGE_CDVA">Data!$CO:$CO</definedName>
    <definedName name="LAST_SE_ERROR">Data!$CK:$CK</definedName>
    <definedName name="LAST_UDVA_DIST">Data!$CT:$CT</definedName>
    <definedName name="MISSING_PENT_12">Data!$CV:$CV</definedName>
    <definedName name="MISSING_PENT_6">Data!$CU:$CU</definedName>
    <definedName name="PREOP">Data!$V:$V</definedName>
    <definedName name="PREOP_BCVA">Data!$Z:$Z</definedName>
    <definedName name="PREOP_CDVA_IF_LAST_KNOWN">Data!$CS:$CS</definedName>
    <definedName name="PREOP_PENTACAM_RV">Data!$CY:$CY</definedName>
    <definedName name="REF_TARGET">Data!$S:$S</definedName>
    <definedName name="REF_TARGET_IF_SE_KNOWN">Data!$CN:$CN</definedName>
    <definedName name="SE_12">Data!$BU:$BU</definedName>
    <definedName name="SE_12_IF_6_12">Data!$CB:$CB</definedName>
    <definedName name="SE_6">Data!$BC:$BC</definedName>
    <definedName name="SE_6_IF_6_12">Data!$CA:$CA</definedName>
    <definedName name="SE_ERROR_12">Data!$BV:$BV</definedName>
    <definedName name="SE_LAST_">Data!$CJ:$CJ</definedName>
    <definedName name="SE_PREOP">Data!$CI:$CI</definedName>
    <definedName name="SE_preop_IF_6_12">Data!$BZ:$BZ</definedName>
    <definedName name="SK">Data!$AK:$AK</definedName>
    <definedName name="SPH_12">Data!$BH:$BH</definedName>
    <definedName name="SPH_6">Data!$AP:$AP</definedName>
    <definedName name="SPH_PREOP">Data!$W:$W</definedName>
    <definedName name="UDVA_12">Data!$BG:$BG</definedName>
    <definedName name="UDVA_6">Data!$AO:$AO</definedName>
    <definedName name="Z_54C114DD_C157_4E30_91DC_9B94C55E8054_.wvu.Cols" localSheetId="0" hidden="1">Data!$E:$H,Data!$V:$V</definedName>
    <definedName name="Z_9D4EC4DC_E305_42C0_86D3_802895C39393_.wvu.Cols" localSheetId="0" hidden="1">Data!$CL:$CM,Data!$ET:$HV</definedName>
  </definedNames>
  <calcPr calcId="145621"/>
  <customWorkbookViews>
    <customWorkbookView name="Evan D. Schoenberg, M.D. - Personal View" guid="{54C114DD-C157-4E30-91DC-9B94C55E8054}" mergeInterval="0" personalView="1" maximized="1" windowWidth="1916" windowHeight="861" activeSheetId="1"/>
    <customWorkbookView name="Jalee Miller - Personal View" guid="{9D4EC4DC-E305-42C0-86D3-802895C39393}" autoUpdate="1" mergeInterval="15" personalView="1" minimized="1" windowWidth="0" windowHeight="0" tabRatio="997" activeSheetId="1"/>
  </customWorkbookViews>
</workbook>
</file>

<file path=xl/calcChain.xml><?xml version="1.0" encoding="utf-8"?>
<calcChain xmlns="http://schemas.openxmlformats.org/spreadsheetml/2006/main">
  <c r="BU84" i="1" l="1"/>
  <c r="MG12" i="2" l="1"/>
  <c r="MF12" i="2"/>
  <c r="ME12" i="2"/>
  <c r="MD12" i="2"/>
  <c r="KG12" i="2"/>
  <c r="MC12" i="2" s="1"/>
  <c r="KF12" i="2"/>
  <c r="MB12" i="2" s="1"/>
  <c r="KE12" i="2"/>
  <c r="MA12" i="2" s="1"/>
  <c r="KD12" i="2"/>
  <c r="LZ12" i="2" s="1"/>
  <c r="KC12" i="2"/>
  <c r="LY12" i="2" s="1"/>
  <c r="KB12" i="2"/>
  <c r="LX12" i="2" s="1"/>
  <c r="KA12" i="2"/>
  <c r="LW12" i="2" s="1"/>
  <c r="JZ12" i="2"/>
  <c r="LV12" i="2" s="1"/>
  <c r="JY12" i="2"/>
  <c r="LU12" i="2" s="1"/>
  <c r="JX12" i="2"/>
  <c r="LT12" i="2" s="1"/>
  <c r="JW12" i="2"/>
  <c r="LS12" i="2" s="1"/>
  <c r="JV12" i="2"/>
  <c r="LR12" i="2" s="1"/>
  <c r="JU12" i="2"/>
  <c r="LQ12" i="2" s="1"/>
  <c r="JT12" i="2"/>
  <c r="LP12" i="2" s="1"/>
  <c r="JS12" i="2"/>
  <c r="LO12" i="2" s="1"/>
  <c r="JR12" i="2"/>
  <c r="LN12" i="2" s="1"/>
  <c r="JQ12" i="2"/>
  <c r="LM12" i="2" s="1"/>
  <c r="JP12" i="2"/>
  <c r="LL12" i="2" s="1"/>
  <c r="JO12" i="2"/>
  <c r="LK12" i="2" s="1"/>
  <c r="JN12" i="2"/>
  <c r="LJ12" i="2" s="1"/>
  <c r="JM12" i="2"/>
  <c r="LI12" i="2" s="1"/>
  <c r="JL12" i="2"/>
  <c r="LH12" i="2" s="1"/>
  <c r="JK12" i="2"/>
  <c r="LG12" i="2" s="1"/>
  <c r="JJ12" i="2"/>
  <c r="LF12" i="2" s="1"/>
  <c r="JI12" i="2"/>
  <c r="LE12" i="2" s="1"/>
  <c r="JH12" i="2"/>
  <c r="LD12" i="2" s="1"/>
  <c r="JG12" i="2"/>
  <c r="LC12" i="2" s="1"/>
  <c r="JF12" i="2"/>
  <c r="LB12" i="2" s="1"/>
  <c r="JE12" i="2"/>
  <c r="LA12" i="2" s="1"/>
  <c r="JD12" i="2"/>
  <c r="KZ12" i="2" s="1"/>
  <c r="JC12" i="2"/>
  <c r="KY12" i="2" s="1"/>
  <c r="JB12" i="2"/>
  <c r="KX12" i="2" s="1"/>
  <c r="JA12" i="2"/>
  <c r="KW12" i="2" s="1"/>
  <c r="IZ12" i="2"/>
  <c r="KV12" i="2" s="1"/>
  <c r="IY12" i="2"/>
  <c r="KU12" i="2" s="1"/>
  <c r="IX12" i="2"/>
  <c r="KT12" i="2" s="1"/>
  <c r="IW12" i="2"/>
  <c r="KS12" i="2" s="1"/>
  <c r="IV12" i="2"/>
  <c r="KR12" i="2" s="1"/>
  <c r="IU12" i="2"/>
  <c r="KQ12" i="2" s="1"/>
  <c r="IT12" i="2"/>
  <c r="KP12" i="2" s="1"/>
  <c r="IS12" i="2"/>
  <c r="KO12" i="2" s="1"/>
  <c r="IR12" i="2"/>
  <c r="KN12" i="2" s="1"/>
  <c r="IQ12" i="2"/>
  <c r="KM12" i="2" s="1"/>
  <c r="IP12" i="2"/>
  <c r="KL12" i="2" s="1"/>
  <c r="IO12" i="2"/>
  <c r="KK12" i="2" s="1"/>
  <c r="IN12" i="2"/>
  <c r="KJ12" i="2" s="1"/>
  <c r="IM12" i="2"/>
  <c r="KI12" i="2" s="1"/>
  <c r="IL12" i="2"/>
  <c r="KH12" i="2" s="1"/>
  <c r="CV12" i="2"/>
  <c r="CU12" i="2"/>
  <c r="CT12" i="2"/>
  <c r="CR12" i="2"/>
  <c r="CS12" i="2" s="1"/>
  <c r="CP12" i="2"/>
  <c r="CQ12" i="2" s="1"/>
  <c r="CO12" i="2"/>
  <c r="CM12" i="2"/>
  <c r="CL12" i="2"/>
  <c r="CG12" i="2"/>
  <c r="CH12" i="2" s="1"/>
  <c r="CF12" i="2"/>
  <c r="CC12" i="2"/>
  <c r="CD12" i="2" s="1"/>
  <c r="BY12" i="2"/>
  <c r="BZ12" i="2" s="1"/>
  <c r="BX12" i="2"/>
  <c r="BW12" i="2"/>
  <c r="BV12" i="2"/>
  <c r="BE12" i="2"/>
  <c r="BC12" i="2"/>
  <c r="CE12" i="2" s="1"/>
  <c r="AL12" i="2"/>
  <c r="BD12" i="2" l="1"/>
  <c r="CG125" i="1"/>
  <c r="CF125" i="1"/>
  <c r="CE125" i="1"/>
  <c r="CM125" i="1"/>
  <c r="CL125" i="1"/>
  <c r="CC125" i="1"/>
  <c r="CD125" i="1" s="1"/>
  <c r="BX125" i="1"/>
  <c r="BX84" i="1"/>
  <c r="BX123" i="1"/>
  <c r="BX120" i="1"/>
  <c r="BX49" i="1"/>
  <c r="BX99" i="1"/>
  <c r="BX93" i="1"/>
  <c r="BX3" i="1"/>
  <c r="BX82" i="1"/>
  <c r="BX85" i="1"/>
  <c r="BX83" i="1"/>
  <c r="BX81" i="1"/>
  <c r="BX80" i="1"/>
  <c r="BX79" i="1"/>
  <c r="BX78" i="1"/>
  <c r="BX77" i="1"/>
  <c r="BX76" i="1"/>
  <c r="BX75" i="1"/>
  <c r="BX74" i="1"/>
  <c r="BX73" i="1"/>
  <c r="BX72" i="1"/>
  <c r="BX71" i="1"/>
  <c r="BX70" i="1"/>
  <c r="BX69" i="1"/>
  <c r="BX68" i="1"/>
  <c r="BX67" i="1"/>
  <c r="BX66" i="1"/>
  <c r="BX65" i="1"/>
  <c r="BX64" i="1"/>
  <c r="BX63" i="1"/>
  <c r="BX62" i="1"/>
  <c r="BX61" i="1"/>
  <c r="BX60" i="1"/>
  <c r="BX59" i="1"/>
  <c r="BX58" i="1"/>
  <c r="BX57" i="1"/>
  <c r="BX56" i="1"/>
  <c r="BX55" i="1"/>
  <c r="BX54" i="1"/>
  <c r="BX53" i="1"/>
  <c r="BX52" i="1"/>
  <c r="BX51" i="1"/>
  <c r="BX50" i="1"/>
  <c r="BX48" i="1"/>
  <c r="BX47" i="1"/>
  <c r="BX46" i="1"/>
  <c r="BX45" i="1"/>
  <c r="BX100" i="1"/>
  <c r="BX44" i="1"/>
  <c r="BX43" i="1"/>
  <c r="BX42" i="1"/>
  <c r="BX41" i="1"/>
  <c r="BX40" i="1"/>
  <c r="BX39" i="1"/>
  <c r="BX38" i="1"/>
  <c r="BX37" i="1"/>
  <c r="BX36" i="1"/>
  <c r="BX35" i="1"/>
  <c r="BX34" i="1"/>
  <c r="BX33" i="1"/>
  <c r="BX32" i="1"/>
  <c r="BX31" i="1"/>
  <c r="BX30" i="1"/>
  <c r="BX29" i="1"/>
  <c r="BX28" i="1"/>
  <c r="BX27" i="1"/>
  <c r="BX26" i="1"/>
  <c r="BX25" i="1"/>
  <c r="BX24" i="1"/>
  <c r="BX23" i="1"/>
  <c r="BX22" i="1"/>
  <c r="BX21" i="1"/>
  <c r="BX20" i="1"/>
  <c r="BX19" i="1"/>
  <c r="BX18" i="1"/>
  <c r="BX17" i="1"/>
  <c r="BX16" i="1"/>
  <c r="BX15" i="1"/>
  <c r="BX14" i="1"/>
  <c r="BX13" i="1"/>
  <c r="BX12" i="1"/>
  <c r="BX11" i="1"/>
  <c r="BX10" i="1"/>
  <c r="BX9" i="1"/>
  <c r="BX8" i="1"/>
  <c r="BX7" i="1"/>
  <c r="BX6" i="1"/>
  <c r="BX5" i="1"/>
  <c r="BX4" i="1"/>
  <c r="BX2" i="1"/>
  <c r="BX124" i="1"/>
  <c r="BX122" i="1"/>
  <c r="BX121" i="1"/>
  <c r="BX119" i="1"/>
  <c r="BX118" i="1"/>
  <c r="BX117" i="1"/>
  <c r="BX116" i="1"/>
  <c r="BX115" i="1"/>
  <c r="BX114" i="1"/>
  <c r="BX113" i="1"/>
  <c r="BX112" i="1"/>
  <c r="BX111" i="1"/>
  <c r="BX110" i="1"/>
  <c r="BX109" i="1"/>
  <c r="BX108" i="1"/>
  <c r="BX107" i="1"/>
  <c r="BX106" i="1"/>
  <c r="BX105" i="1"/>
  <c r="BX104" i="1"/>
  <c r="BX103" i="1"/>
  <c r="BX102" i="1"/>
  <c r="BX101" i="1"/>
  <c r="BX98" i="1"/>
  <c r="BX97" i="1"/>
  <c r="BX96" i="1"/>
  <c r="BX95" i="1"/>
  <c r="BX94" i="1"/>
  <c r="BX92" i="1"/>
  <c r="CH125" i="1" l="1"/>
  <c r="CV42" i="1"/>
  <c r="CV60" i="1"/>
  <c r="CV11" i="1"/>
  <c r="CV58" i="1"/>
  <c r="CV64" i="1"/>
  <c r="CV59" i="1"/>
  <c r="CV34" i="1"/>
  <c r="CV55" i="1"/>
  <c r="CV9" i="1"/>
  <c r="CV31" i="1"/>
  <c r="CV83" i="1"/>
  <c r="CV68" i="1"/>
  <c r="CV35" i="1"/>
  <c r="CV75" i="1"/>
  <c r="CV76" i="1"/>
  <c r="CV47" i="1"/>
  <c r="CV45" i="1"/>
  <c r="CV72" i="1"/>
  <c r="CV27" i="1"/>
  <c r="CV21" i="1"/>
  <c r="CV32" i="1"/>
  <c r="CV67" i="1"/>
  <c r="CV50" i="1"/>
  <c r="CV10" i="1"/>
  <c r="CV17" i="1"/>
  <c r="CV25" i="1"/>
  <c r="CV69" i="1"/>
  <c r="CV26" i="1"/>
  <c r="CV44" i="1"/>
  <c r="CV16" i="1"/>
  <c r="CV78" i="1"/>
  <c r="CV52" i="1"/>
  <c r="CV2" i="1"/>
  <c r="CV53" i="1"/>
  <c r="CV80" i="1"/>
  <c r="CV62" i="1"/>
  <c r="CV7" i="1"/>
  <c r="CV36" i="1"/>
  <c r="CV5" i="1"/>
  <c r="CV74" i="1"/>
  <c r="CV12" i="1"/>
  <c r="CV71" i="1"/>
  <c r="CV100" i="1"/>
  <c r="CV4" i="1"/>
  <c r="CV29" i="1"/>
  <c r="CV6" i="1"/>
  <c r="CV56" i="1"/>
  <c r="CV3" i="1"/>
  <c r="CV24" i="1"/>
  <c r="CV46" i="1"/>
  <c r="CV19" i="1"/>
  <c r="CV63" i="1"/>
  <c r="CV14" i="1"/>
  <c r="CV54" i="1"/>
  <c r="CV43" i="1"/>
  <c r="CV15" i="1"/>
  <c r="CV39" i="1"/>
  <c r="CV61" i="1"/>
  <c r="CV81" i="1"/>
  <c r="CV13" i="1"/>
  <c r="CV8" i="1"/>
  <c r="CV20" i="1"/>
  <c r="CV85" i="1"/>
  <c r="CV70" i="1"/>
  <c r="CV77" i="1"/>
  <c r="CV82" i="1"/>
  <c r="CV30" i="1"/>
  <c r="CV37" i="1"/>
  <c r="CV66" i="1"/>
  <c r="CV65" i="1"/>
  <c r="CV51" i="1"/>
  <c r="CV22" i="1"/>
  <c r="CV38" i="1"/>
  <c r="CV57" i="1"/>
  <c r="CV18" i="1"/>
  <c r="CV40" i="1"/>
  <c r="CV48" i="1"/>
  <c r="CV33" i="1"/>
  <c r="CV28" i="1"/>
  <c r="CV49" i="1"/>
  <c r="CV73" i="1"/>
  <c r="CV79" i="1"/>
  <c r="CV23" i="1"/>
  <c r="CV86" i="1"/>
  <c r="CV87" i="1"/>
  <c r="CV88" i="1"/>
  <c r="CV89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84" i="1"/>
  <c r="CV125" i="1"/>
  <c r="CV126" i="1"/>
  <c r="CV127" i="1"/>
  <c r="CV128" i="1"/>
  <c r="CV129" i="1"/>
  <c r="CV130" i="1"/>
  <c r="CV131" i="1"/>
  <c r="CV132" i="1"/>
  <c r="CU42" i="1"/>
  <c r="CW42" i="1" s="1"/>
  <c r="CU60" i="1"/>
  <c r="CW60" i="1" s="1"/>
  <c r="CU11" i="1"/>
  <c r="CU58" i="1"/>
  <c r="CW58" i="1" s="1"/>
  <c r="CU64" i="1"/>
  <c r="CW64" i="1" s="1"/>
  <c r="CU59" i="1"/>
  <c r="CW59" i="1" s="1"/>
  <c r="CU34" i="1"/>
  <c r="CU55" i="1"/>
  <c r="CU9" i="1"/>
  <c r="CW9" i="1" s="1"/>
  <c r="CU31" i="1"/>
  <c r="CW31" i="1" s="1"/>
  <c r="CU83" i="1"/>
  <c r="CU68" i="1"/>
  <c r="CW68" i="1" s="1"/>
  <c r="CU35" i="1"/>
  <c r="CU75" i="1"/>
  <c r="CW75" i="1" s="1"/>
  <c r="CU76" i="1"/>
  <c r="CU47" i="1"/>
  <c r="CU45" i="1"/>
  <c r="CW45" i="1" s="1"/>
  <c r="CU72" i="1"/>
  <c r="CW72" i="1" s="1"/>
  <c r="CU27" i="1"/>
  <c r="CU21" i="1"/>
  <c r="CW21" i="1" s="1"/>
  <c r="CU32" i="1"/>
  <c r="CW32" i="1" s="1"/>
  <c r="CU67" i="1"/>
  <c r="CW67" i="1" s="1"/>
  <c r="CU50" i="1"/>
  <c r="CU10" i="1"/>
  <c r="CW10" i="1" s="1"/>
  <c r="CU17" i="1"/>
  <c r="CW17" i="1" s="1"/>
  <c r="CU25" i="1"/>
  <c r="CU69" i="1"/>
  <c r="CU26" i="1"/>
  <c r="CW26" i="1" s="1"/>
  <c r="CU44" i="1"/>
  <c r="CU16" i="1"/>
  <c r="CU78" i="1"/>
  <c r="CU52" i="1"/>
  <c r="CW52" i="1" s="1"/>
  <c r="CU2" i="1"/>
  <c r="CW2" i="1" s="1"/>
  <c r="CU53" i="1"/>
  <c r="CU80" i="1"/>
  <c r="CU62" i="1"/>
  <c r="CW62" i="1" s="1"/>
  <c r="CU7" i="1"/>
  <c r="CW7" i="1" s="1"/>
  <c r="CU36" i="1"/>
  <c r="CU5" i="1"/>
  <c r="CU74" i="1"/>
  <c r="CW74" i="1" s="1"/>
  <c r="CU12" i="1"/>
  <c r="CU71" i="1"/>
  <c r="CW71" i="1" s="1"/>
  <c r="CU100" i="1"/>
  <c r="CU4" i="1"/>
  <c r="CU29" i="1"/>
  <c r="CW29" i="1" s="1"/>
  <c r="CU6" i="1"/>
  <c r="CW6" i="1" s="1"/>
  <c r="CU56" i="1"/>
  <c r="CU3" i="1"/>
  <c r="CW3" i="1" s="1"/>
  <c r="CU24" i="1"/>
  <c r="CW24" i="1" s="1"/>
  <c r="CU46" i="1"/>
  <c r="CW46" i="1" s="1"/>
  <c r="CU19" i="1"/>
  <c r="CU63" i="1"/>
  <c r="CW63" i="1" s="1"/>
  <c r="CU14" i="1"/>
  <c r="CW14" i="1" s="1"/>
  <c r="CU54" i="1"/>
  <c r="CW54" i="1" s="1"/>
  <c r="CU43" i="1"/>
  <c r="CU15" i="1"/>
  <c r="CU39" i="1"/>
  <c r="CW39" i="1" s="1"/>
  <c r="CU61" i="1"/>
  <c r="CW61" i="1" s="1"/>
  <c r="CU81" i="1"/>
  <c r="CU13" i="1"/>
  <c r="CU8" i="1"/>
  <c r="CW8" i="1" s="1"/>
  <c r="CU20" i="1"/>
  <c r="CU85" i="1"/>
  <c r="CU70" i="1"/>
  <c r="CW70" i="1" s="1"/>
  <c r="CU77" i="1"/>
  <c r="CW77" i="1" s="1"/>
  <c r="CU82" i="1"/>
  <c r="CW82" i="1" s="1"/>
  <c r="CU30" i="1"/>
  <c r="CU37" i="1"/>
  <c r="CU66" i="1"/>
  <c r="CU65" i="1"/>
  <c r="CU51" i="1"/>
  <c r="CU22" i="1"/>
  <c r="CW22" i="1" s="1"/>
  <c r="CU38" i="1"/>
  <c r="CU57" i="1"/>
  <c r="CU18" i="1"/>
  <c r="CU40" i="1"/>
  <c r="CW40" i="1" s="1"/>
  <c r="CU48" i="1"/>
  <c r="CW48" i="1" s="1"/>
  <c r="CU33" i="1"/>
  <c r="CU28" i="1"/>
  <c r="CU49" i="1"/>
  <c r="CW49" i="1" s="1"/>
  <c r="CU73" i="1"/>
  <c r="CW73" i="1" s="1"/>
  <c r="CU79" i="1"/>
  <c r="CW79" i="1" s="1"/>
  <c r="CU23" i="1"/>
  <c r="CU86" i="1"/>
  <c r="CW86" i="1" s="1"/>
  <c r="CU87" i="1"/>
  <c r="CW87" i="1" s="1"/>
  <c r="CU88" i="1"/>
  <c r="CW88" i="1" s="1"/>
  <c r="CU89" i="1"/>
  <c r="CU90" i="1"/>
  <c r="CW90" i="1" s="1"/>
  <c r="CU91" i="1"/>
  <c r="CW91" i="1" s="1"/>
  <c r="CU92" i="1"/>
  <c r="CW92" i="1" s="1"/>
  <c r="CU93" i="1"/>
  <c r="CU94" i="1"/>
  <c r="CW94" i="1" s="1"/>
  <c r="CU95" i="1"/>
  <c r="CW95" i="1" s="1"/>
  <c r="CU96" i="1"/>
  <c r="CW96" i="1" s="1"/>
  <c r="CU97" i="1"/>
  <c r="CU98" i="1"/>
  <c r="CW98" i="1" s="1"/>
  <c r="CU99" i="1"/>
  <c r="CW99" i="1" s="1"/>
  <c r="CU101" i="1"/>
  <c r="CW101" i="1" s="1"/>
  <c r="CU102" i="1"/>
  <c r="CU103" i="1"/>
  <c r="CW103" i="1" s="1"/>
  <c r="CU104" i="1"/>
  <c r="CW104" i="1" s="1"/>
  <c r="CU105" i="1"/>
  <c r="CW105" i="1" s="1"/>
  <c r="CU106" i="1"/>
  <c r="CU107" i="1"/>
  <c r="CW107" i="1" s="1"/>
  <c r="CU108" i="1"/>
  <c r="CW108" i="1" s="1"/>
  <c r="CU109" i="1"/>
  <c r="CW109" i="1" s="1"/>
  <c r="CU110" i="1"/>
  <c r="CU111" i="1"/>
  <c r="CW111" i="1" s="1"/>
  <c r="CU112" i="1"/>
  <c r="CW112" i="1" s="1"/>
  <c r="CU113" i="1"/>
  <c r="CW113" i="1" s="1"/>
  <c r="CU114" i="1"/>
  <c r="CU115" i="1"/>
  <c r="CW115" i="1" s="1"/>
  <c r="CU116" i="1"/>
  <c r="CW116" i="1" s="1"/>
  <c r="CU117" i="1"/>
  <c r="CW117" i="1" s="1"/>
  <c r="CU118" i="1"/>
  <c r="CU119" i="1"/>
  <c r="CW119" i="1" s="1"/>
  <c r="CU120" i="1"/>
  <c r="CW120" i="1" s="1"/>
  <c r="CU121" i="1"/>
  <c r="CW121" i="1" s="1"/>
  <c r="CU122" i="1"/>
  <c r="CU123" i="1"/>
  <c r="CW123" i="1" s="1"/>
  <c r="CU124" i="1"/>
  <c r="CW124" i="1" s="1"/>
  <c r="CU84" i="1"/>
  <c r="CW84" i="1" s="1"/>
  <c r="CU125" i="1"/>
  <c r="CU126" i="1"/>
  <c r="CU127" i="1"/>
  <c r="CV41" i="1"/>
  <c r="CU41" i="1"/>
  <c r="CW125" i="1" l="1"/>
  <c r="CW122" i="1"/>
  <c r="CW118" i="1"/>
  <c r="CW114" i="1"/>
  <c r="CW110" i="1"/>
  <c r="CW106" i="1"/>
  <c r="CW102" i="1"/>
  <c r="CW97" i="1"/>
  <c r="CW93" i="1"/>
  <c r="CW89" i="1"/>
  <c r="CW28" i="1"/>
  <c r="CW18" i="1"/>
  <c r="CW30" i="1"/>
  <c r="CW85" i="1"/>
  <c r="CW81" i="1"/>
  <c r="CW100" i="1"/>
  <c r="CW5" i="1"/>
  <c r="CW80" i="1"/>
  <c r="CW78" i="1"/>
  <c r="CW69" i="1"/>
  <c r="CW76" i="1"/>
  <c r="CW83" i="1"/>
  <c r="CW34" i="1"/>
  <c r="CW11" i="1"/>
  <c r="CW12" i="1"/>
  <c r="CW12" i="2"/>
  <c r="CW65" i="1"/>
  <c r="CW41" i="1"/>
  <c r="CW37" i="1"/>
  <c r="CW13" i="1"/>
  <c r="CW15" i="1"/>
  <c r="CW4" i="1"/>
  <c r="CW35" i="1"/>
  <c r="CW23" i="1"/>
  <c r="CW51" i="1"/>
  <c r="CW43" i="1"/>
  <c r="CW19" i="1"/>
  <c r="CW56" i="1"/>
  <c r="CW50" i="1"/>
  <c r="CW47" i="1"/>
  <c r="CW55" i="1"/>
  <c r="CW33" i="1"/>
  <c r="CW57" i="1"/>
  <c r="CW20" i="1"/>
  <c r="CW36" i="1"/>
  <c r="CW53" i="1"/>
  <c r="CW16" i="1"/>
  <c r="CW25" i="1"/>
  <c r="CW27" i="1"/>
  <c r="CW38" i="1"/>
  <c r="CW66" i="1"/>
  <c r="CW44" i="1"/>
  <c r="BC82" i="1"/>
  <c r="CJ82" i="1" s="1"/>
  <c r="LX11" i="2"/>
  <c r="LW11" i="2"/>
  <c r="LV11" i="2"/>
  <c r="LU11" i="2"/>
  <c r="JX11" i="2"/>
  <c r="LT11" i="2" s="1"/>
  <c r="JW11" i="2"/>
  <c r="LS11" i="2" s="1"/>
  <c r="JV11" i="2"/>
  <c r="LR11" i="2" s="1"/>
  <c r="JU11" i="2"/>
  <c r="LQ11" i="2" s="1"/>
  <c r="JT11" i="2"/>
  <c r="LP11" i="2" s="1"/>
  <c r="JS11" i="2"/>
  <c r="LO11" i="2" s="1"/>
  <c r="JR11" i="2"/>
  <c r="LN11" i="2" s="1"/>
  <c r="JQ11" i="2"/>
  <c r="LM11" i="2" s="1"/>
  <c r="JP11" i="2"/>
  <c r="LL11" i="2" s="1"/>
  <c r="JO11" i="2"/>
  <c r="LK11" i="2" s="1"/>
  <c r="JN11" i="2"/>
  <c r="LJ11" i="2" s="1"/>
  <c r="JM11" i="2"/>
  <c r="LI11" i="2" s="1"/>
  <c r="JL11" i="2"/>
  <c r="LH11" i="2" s="1"/>
  <c r="JK11" i="2"/>
  <c r="LG11" i="2" s="1"/>
  <c r="JJ11" i="2"/>
  <c r="LF11" i="2" s="1"/>
  <c r="JI11" i="2"/>
  <c r="LE11" i="2" s="1"/>
  <c r="JH11" i="2"/>
  <c r="LD11" i="2" s="1"/>
  <c r="JG11" i="2"/>
  <c r="LC11" i="2" s="1"/>
  <c r="JF11" i="2"/>
  <c r="LB11" i="2" s="1"/>
  <c r="JE11" i="2"/>
  <c r="LA11" i="2" s="1"/>
  <c r="JD11" i="2"/>
  <c r="KZ11" i="2" s="1"/>
  <c r="JC11" i="2"/>
  <c r="KY11" i="2" s="1"/>
  <c r="JB11" i="2"/>
  <c r="KX11" i="2" s="1"/>
  <c r="JA11" i="2"/>
  <c r="KW11" i="2" s="1"/>
  <c r="IZ11" i="2"/>
  <c r="KV11" i="2" s="1"/>
  <c r="IY11" i="2"/>
  <c r="KU11" i="2" s="1"/>
  <c r="IX11" i="2"/>
  <c r="KT11" i="2" s="1"/>
  <c r="IW11" i="2"/>
  <c r="KS11" i="2" s="1"/>
  <c r="IV11" i="2"/>
  <c r="KR11" i="2" s="1"/>
  <c r="IU11" i="2"/>
  <c r="KQ11" i="2" s="1"/>
  <c r="IT11" i="2"/>
  <c r="KP11" i="2" s="1"/>
  <c r="IS11" i="2"/>
  <c r="KO11" i="2" s="1"/>
  <c r="IR11" i="2"/>
  <c r="KN11" i="2" s="1"/>
  <c r="IQ11" i="2"/>
  <c r="KM11" i="2" s="1"/>
  <c r="IP11" i="2"/>
  <c r="KL11" i="2" s="1"/>
  <c r="IO11" i="2"/>
  <c r="KK11" i="2" s="1"/>
  <c r="IN11" i="2"/>
  <c r="KJ11" i="2" s="1"/>
  <c r="IM11" i="2"/>
  <c r="KI11" i="2" s="1"/>
  <c r="IL11" i="2"/>
  <c r="KH11" i="2" s="1"/>
  <c r="IK11" i="2"/>
  <c r="KG11" i="2" s="1"/>
  <c r="IJ11" i="2"/>
  <c r="KF11" i="2" s="1"/>
  <c r="II11" i="2"/>
  <c r="KE11" i="2" s="1"/>
  <c r="IH11" i="2"/>
  <c r="KD11" i="2" s="1"/>
  <c r="IG11" i="2"/>
  <c r="KC11" i="2" s="1"/>
  <c r="IF11" i="2"/>
  <c r="KB11" i="2" s="1"/>
  <c r="IE11" i="2"/>
  <c r="KA11" i="2" s="1"/>
  <c r="ID11" i="2"/>
  <c r="JZ11" i="2" s="1"/>
  <c r="IC11" i="2"/>
  <c r="JY11" i="2" s="1"/>
  <c r="CM11" i="2"/>
  <c r="CL11" i="2"/>
  <c r="CK11" i="2"/>
  <c r="CI11" i="2"/>
  <c r="CJ11" i="2" s="1"/>
  <c r="CG11" i="2"/>
  <c r="CH11" i="2" s="1"/>
  <c r="CF11" i="2"/>
  <c r="CD11" i="2"/>
  <c r="CC11" i="2"/>
  <c r="BX11" i="2"/>
  <c r="BW11" i="2"/>
  <c r="BT11" i="2"/>
  <c r="BU11" i="2" s="1"/>
  <c r="BP11" i="2"/>
  <c r="BQ11" i="2" s="1"/>
  <c r="BO11" i="2"/>
  <c r="BN11" i="2"/>
  <c r="BL11" i="2"/>
  <c r="BM11" i="2" s="1"/>
  <c r="AV11" i="2"/>
  <c r="AT11" i="2"/>
  <c r="AC11" i="2"/>
  <c r="CS127" i="1"/>
  <c r="CS128" i="1"/>
  <c r="CS129" i="1"/>
  <c r="CS130" i="1"/>
  <c r="CS131" i="1"/>
  <c r="CS132" i="1"/>
  <c r="CS133" i="1"/>
  <c r="CS134" i="1"/>
  <c r="CS135" i="1"/>
  <c r="CS136" i="1"/>
  <c r="CI82" i="1" l="1"/>
  <c r="BD82" i="1"/>
  <c r="CK82" i="1"/>
  <c r="BV11" i="2"/>
  <c r="AU11" i="2"/>
  <c r="BY11" i="2"/>
  <c r="AL84" i="1" l="1"/>
  <c r="AL124" i="1"/>
  <c r="AL123" i="1"/>
  <c r="AL122" i="1"/>
  <c r="AL121" i="1"/>
  <c r="AL120" i="1"/>
  <c r="AL82" i="1"/>
  <c r="AL119" i="1"/>
  <c r="AL78" i="1"/>
  <c r="AL118" i="1"/>
  <c r="AL117" i="1"/>
  <c r="AL7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3" i="1"/>
  <c r="AL61" i="1"/>
  <c r="AL60" i="1"/>
  <c r="AL46" i="1"/>
  <c r="AL76" i="1"/>
  <c r="AL2" i="1"/>
  <c r="AL45" i="1"/>
  <c r="AL75" i="1"/>
  <c r="AL73" i="1"/>
  <c r="AL71" i="1"/>
  <c r="AL56" i="1"/>
  <c r="AL29" i="1"/>
  <c r="AL69" i="1"/>
  <c r="AL24" i="1"/>
  <c r="AL22" i="1"/>
  <c r="AL49" i="1"/>
  <c r="AL43" i="1"/>
  <c r="AL74" i="1"/>
  <c r="AL85" i="1"/>
  <c r="AL72" i="1"/>
  <c r="AL30" i="1"/>
  <c r="AL10" i="1"/>
  <c r="AL9" i="1"/>
  <c r="AL80" i="1"/>
  <c r="AL65" i="1"/>
  <c r="AL70" i="1"/>
  <c r="AL18" i="1"/>
  <c r="AL54" i="1"/>
  <c r="AL3" i="1"/>
  <c r="AL52" i="1"/>
  <c r="AL28" i="1"/>
  <c r="AL79" i="1"/>
  <c r="AL57" i="1"/>
  <c r="AL17" i="1"/>
  <c r="AL21" i="1"/>
  <c r="AL58" i="1"/>
  <c r="AL59" i="1"/>
  <c r="AL68" i="1"/>
  <c r="AL64" i="1"/>
  <c r="AL23" i="1"/>
  <c r="AL67" i="1"/>
  <c r="AL41" i="1"/>
  <c r="AL32" i="1"/>
  <c r="AL12" i="1"/>
  <c r="AL6" i="1"/>
  <c r="AL63" i="1"/>
  <c r="AL100" i="1"/>
  <c r="AL31" i="1"/>
  <c r="AL42" i="1"/>
  <c r="AL62" i="1"/>
  <c r="AL34" i="1"/>
  <c r="AL81" i="1"/>
  <c r="AL13" i="1"/>
  <c r="AL25" i="1"/>
  <c r="AL47" i="1"/>
  <c r="AL14" i="1"/>
  <c r="AL40" i="1"/>
  <c r="AL48" i="1"/>
  <c r="AL7" i="1"/>
  <c r="AL19" i="1"/>
  <c r="AL11" i="1"/>
  <c r="AL39" i="1"/>
  <c r="AL38" i="1"/>
  <c r="AL8" i="1"/>
  <c r="AL5" i="1"/>
  <c r="AL66" i="1"/>
  <c r="AL16" i="1"/>
  <c r="AL55" i="1"/>
  <c r="AL53" i="1"/>
  <c r="AL26" i="1"/>
  <c r="AL36" i="1"/>
  <c r="AL20" i="1"/>
  <c r="AL37" i="1"/>
  <c r="AL44" i="1"/>
  <c r="AL35" i="1"/>
  <c r="AL27" i="1"/>
  <c r="AL51" i="1"/>
  <c r="AL50" i="1"/>
  <c r="AL4" i="1"/>
  <c r="AL15" i="1"/>
  <c r="AL33" i="1"/>
  <c r="LU10" i="2" l="1"/>
  <c r="LT10" i="2"/>
  <c r="LS10" i="2"/>
  <c r="LR10" i="2"/>
  <c r="JU10" i="2"/>
  <c r="LQ10" i="2" s="1"/>
  <c r="JT10" i="2"/>
  <c r="LP10" i="2" s="1"/>
  <c r="JS10" i="2"/>
  <c r="LO10" i="2" s="1"/>
  <c r="JR10" i="2"/>
  <c r="LN10" i="2" s="1"/>
  <c r="JQ10" i="2"/>
  <c r="LM10" i="2" s="1"/>
  <c r="JP10" i="2"/>
  <c r="LL10" i="2" s="1"/>
  <c r="JO10" i="2"/>
  <c r="LK10" i="2" s="1"/>
  <c r="JN10" i="2"/>
  <c r="LJ10" i="2" s="1"/>
  <c r="JM10" i="2"/>
  <c r="LI10" i="2" s="1"/>
  <c r="JL10" i="2"/>
  <c r="LH10" i="2" s="1"/>
  <c r="JK10" i="2"/>
  <c r="LG10" i="2" s="1"/>
  <c r="JJ10" i="2"/>
  <c r="LF10" i="2" s="1"/>
  <c r="JI10" i="2"/>
  <c r="LE10" i="2" s="1"/>
  <c r="JH10" i="2"/>
  <c r="LD10" i="2" s="1"/>
  <c r="JG10" i="2"/>
  <c r="LC10" i="2" s="1"/>
  <c r="JF10" i="2"/>
  <c r="LB10" i="2" s="1"/>
  <c r="JE10" i="2"/>
  <c r="LA10" i="2" s="1"/>
  <c r="JD10" i="2"/>
  <c r="KZ10" i="2" s="1"/>
  <c r="JC10" i="2"/>
  <c r="KY10" i="2" s="1"/>
  <c r="JB10" i="2"/>
  <c r="KX10" i="2" s="1"/>
  <c r="JA10" i="2"/>
  <c r="KW10" i="2" s="1"/>
  <c r="IZ10" i="2"/>
  <c r="KV10" i="2" s="1"/>
  <c r="IY10" i="2"/>
  <c r="KU10" i="2" s="1"/>
  <c r="IX10" i="2"/>
  <c r="KT10" i="2" s="1"/>
  <c r="IW10" i="2"/>
  <c r="KS10" i="2" s="1"/>
  <c r="IV10" i="2"/>
  <c r="KR10" i="2" s="1"/>
  <c r="IU10" i="2"/>
  <c r="KQ10" i="2" s="1"/>
  <c r="IT10" i="2"/>
  <c r="KP10" i="2" s="1"/>
  <c r="IS10" i="2"/>
  <c r="KO10" i="2" s="1"/>
  <c r="IR10" i="2"/>
  <c r="KN10" i="2" s="1"/>
  <c r="IQ10" i="2"/>
  <c r="KM10" i="2" s="1"/>
  <c r="IP10" i="2"/>
  <c r="KL10" i="2" s="1"/>
  <c r="IO10" i="2"/>
  <c r="KK10" i="2" s="1"/>
  <c r="IN10" i="2"/>
  <c r="KJ10" i="2" s="1"/>
  <c r="IM10" i="2"/>
  <c r="KI10" i="2" s="1"/>
  <c r="IL10" i="2"/>
  <c r="KH10" i="2" s="1"/>
  <c r="IK10" i="2"/>
  <c r="KG10" i="2" s="1"/>
  <c r="IJ10" i="2"/>
  <c r="KF10" i="2" s="1"/>
  <c r="II10" i="2"/>
  <c r="KE10" i="2" s="1"/>
  <c r="IH10" i="2"/>
  <c r="KD10" i="2" s="1"/>
  <c r="IG10" i="2"/>
  <c r="KC10" i="2" s="1"/>
  <c r="IF10" i="2"/>
  <c r="KB10" i="2" s="1"/>
  <c r="IE10" i="2"/>
  <c r="KA10" i="2" s="1"/>
  <c r="ID10" i="2"/>
  <c r="JZ10" i="2" s="1"/>
  <c r="IC10" i="2"/>
  <c r="JY10" i="2" s="1"/>
  <c r="IB10" i="2"/>
  <c r="JX10" i="2" s="1"/>
  <c r="IA10" i="2"/>
  <c r="JW10" i="2" s="1"/>
  <c r="HZ10" i="2"/>
  <c r="JV10" i="2" s="1"/>
  <c r="CK10" i="2"/>
  <c r="CJ10" i="2"/>
  <c r="CI10" i="2"/>
  <c r="CH10" i="2"/>
  <c r="CF10" i="2"/>
  <c r="CG10" i="2" s="1"/>
  <c r="CE10" i="2"/>
  <c r="CC10" i="2"/>
  <c r="CB10" i="2"/>
  <c r="BW10" i="2"/>
  <c r="BV10" i="2"/>
  <c r="BS10" i="2"/>
  <c r="BT10" i="2" s="1"/>
  <c r="BO10" i="2"/>
  <c r="BP10" i="2" s="1"/>
  <c r="BN10" i="2"/>
  <c r="BM10" i="2"/>
  <c r="BK10" i="2"/>
  <c r="BL10" i="2" s="1"/>
  <c r="AU10" i="2"/>
  <c r="AS10" i="2"/>
  <c r="AT10" i="2" s="1"/>
  <c r="BX10" i="2" l="1"/>
  <c r="BU10" i="2"/>
  <c r="LU9" i="2"/>
  <c r="LT9" i="2"/>
  <c r="LS9" i="2"/>
  <c r="LR9" i="2"/>
  <c r="JU9" i="2"/>
  <c r="LQ9" i="2" s="1"/>
  <c r="JT9" i="2"/>
  <c r="LP9" i="2" s="1"/>
  <c r="JS9" i="2"/>
  <c r="LO9" i="2" s="1"/>
  <c r="JR9" i="2"/>
  <c r="LN9" i="2" s="1"/>
  <c r="JQ9" i="2"/>
  <c r="LM9" i="2" s="1"/>
  <c r="JP9" i="2"/>
  <c r="LL9" i="2" s="1"/>
  <c r="JO9" i="2"/>
  <c r="LK9" i="2" s="1"/>
  <c r="JN9" i="2"/>
  <c r="LJ9" i="2" s="1"/>
  <c r="JM9" i="2"/>
  <c r="LI9" i="2" s="1"/>
  <c r="JL9" i="2"/>
  <c r="LH9" i="2" s="1"/>
  <c r="JK9" i="2"/>
  <c r="LG9" i="2" s="1"/>
  <c r="JJ9" i="2"/>
  <c r="LF9" i="2" s="1"/>
  <c r="JI9" i="2"/>
  <c r="LE9" i="2" s="1"/>
  <c r="JH9" i="2"/>
  <c r="LD9" i="2" s="1"/>
  <c r="JG9" i="2"/>
  <c r="LC9" i="2" s="1"/>
  <c r="JF9" i="2"/>
  <c r="LB9" i="2" s="1"/>
  <c r="JE9" i="2"/>
  <c r="LA9" i="2" s="1"/>
  <c r="JD9" i="2"/>
  <c r="KZ9" i="2" s="1"/>
  <c r="JC9" i="2"/>
  <c r="KY9" i="2" s="1"/>
  <c r="JB9" i="2"/>
  <c r="KX9" i="2" s="1"/>
  <c r="JA9" i="2"/>
  <c r="KW9" i="2" s="1"/>
  <c r="IZ9" i="2"/>
  <c r="KV9" i="2" s="1"/>
  <c r="IY9" i="2"/>
  <c r="KU9" i="2" s="1"/>
  <c r="IX9" i="2"/>
  <c r="KT9" i="2" s="1"/>
  <c r="IW9" i="2"/>
  <c r="KS9" i="2" s="1"/>
  <c r="IV9" i="2"/>
  <c r="KR9" i="2" s="1"/>
  <c r="IU9" i="2"/>
  <c r="KQ9" i="2" s="1"/>
  <c r="IT9" i="2"/>
  <c r="KP9" i="2" s="1"/>
  <c r="IS9" i="2"/>
  <c r="KO9" i="2" s="1"/>
  <c r="IR9" i="2"/>
  <c r="KN9" i="2" s="1"/>
  <c r="IQ9" i="2"/>
  <c r="KM9" i="2" s="1"/>
  <c r="IP9" i="2"/>
  <c r="KL9" i="2" s="1"/>
  <c r="IO9" i="2"/>
  <c r="KK9" i="2" s="1"/>
  <c r="IN9" i="2"/>
  <c r="KJ9" i="2" s="1"/>
  <c r="IM9" i="2"/>
  <c r="KI9" i="2" s="1"/>
  <c r="IL9" i="2"/>
  <c r="KH9" i="2" s="1"/>
  <c r="IK9" i="2"/>
  <c r="KG9" i="2" s="1"/>
  <c r="IJ9" i="2"/>
  <c r="KF9" i="2" s="1"/>
  <c r="II9" i="2"/>
  <c r="KE9" i="2" s="1"/>
  <c r="IH9" i="2"/>
  <c r="KD9" i="2" s="1"/>
  <c r="IG9" i="2"/>
  <c r="KC9" i="2" s="1"/>
  <c r="IF9" i="2"/>
  <c r="KB9" i="2" s="1"/>
  <c r="IE9" i="2"/>
  <c r="KA9" i="2" s="1"/>
  <c r="ID9" i="2"/>
  <c r="JZ9" i="2" s="1"/>
  <c r="IC9" i="2"/>
  <c r="JY9" i="2" s="1"/>
  <c r="IB9" i="2"/>
  <c r="JX9" i="2" s="1"/>
  <c r="IA9" i="2"/>
  <c r="JW9" i="2" s="1"/>
  <c r="HZ9" i="2"/>
  <c r="JV9" i="2" s="1"/>
  <c r="CK9" i="2"/>
  <c r="CJ9" i="2"/>
  <c r="CI9" i="2"/>
  <c r="CH9" i="2"/>
  <c r="CF9" i="2"/>
  <c r="CG9" i="2" s="1"/>
  <c r="CE9" i="2"/>
  <c r="CC9" i="2"/>
  <c r="CB9" i="2"/>
  <c r="BW9" i="2"/>
  <c r="BX9" i="2" s="1"/>
  <c r="BV9" i="2"/>
  <c r="BS9" i="2"/>
  <c r="BT9" i="2" s="1"/>
  <c r="BO9" i="2"/>
  <c r="BN9" i="2"/>
  <c r="BM9" i="2"/>
  <c r="BK9" i="2"/>
  <c r="AU9" i="2"/>
  <c r="AS9" i="2"/>
  <c r="AT9" i="2" s="1"/>
  <c r="BU9" i="2" l="1"/>
  <c r="BL9" i="2"/>
  <c r="CR15" i="1"/>
  <c r="CS15" i="1" s="1"/>
  <c r="CR4" i="1"/>
  <c r="CS4" i="1" s="1"/>
  <c r="CR50" i="1"/>
  <c r="CS50" i="1" s="1"/>
  <c r="CR51" i="1"/>
  <c r="CS51" i="1" s="1"/>
  <c r="CR27" i="1"/>
  <c r="CS27" i="1" s="1"/>
  <c r="CR35" i="1"/>
  <c r="CS35" i="1" s="1"/>
  <c r="CR44" i="1"/>
  <c r="CS44" i="1" s="1"/>
  <c r="CR37" i="1"/>
  <c r="CS37" i="1" s="1"/>
  <c r="CR20" i="1"/>
  <c r="CS20" i="1" s="1"/>
  <c r="CR36" i="1"/>
  <c r="CS36" i="1" s="1"/>
  <c r="CR26" i="1"/>
  <c r="CS26" i="1" s="1"/>
  <c r="CR53" i="1"/>
  <c r="CS53" i="1" s="1"/>
  <c r="CR55" i="1"/>
  <c r="CS55" i="1" s="1"/>
  <c r="CR16" i="1"/>
  <c r="CS16" i="1" s="1"/>
  <c r="CR66" i="1"/>
  <c r="CS66" i="1" s="1"/>
  <c r="CR5" i="1"/>
  <c r="CS5" i="1" s="1"/>
  <c r="CR8" i="1"/>
  <c r="CS8" i="1" s="1"/>
  <c r="CR38" i="1"/>
  <c r="CS38" i="1" s="1"/>
  <c r="CR39" i="1"/>
  <c r="CS39" i="1" s="1"/>
  <c r="CR11" i="1"/>
  <c r="CS11" i="1" s="1"/>
  <c r="CR19" i="1"/>
  <c r="CS19" i="1" s="1"/>
  <c r="CR7" i="1"/>
  <c r="CS7" i="1" s="1"/>
  <c r="CR48" i="1"/>
  <c r="CS48" i="1" s="1"/>
  <c r="CR40" i="1"/>
  <c r="CS40" i="1" s="1"/>
  <c r="CR14" i="1"/>
  <c r="CS14" i="1" s="1"/>
  <c r="CR47" i="1"/>
  <c r="CS47" i="1" s="1"/>
  <c r="CR25" i="1"/>
  <c r="CS25" i="1" s="1"/>
  <c r="CR13" i="1"/>
  <c r="CS13" i="1" s="1"/>
  <c r="CR81" i="1"/>
  <c r="CS81" i="1" s="1"/>
  <c r="CR34" i="1"/>
  <c r="CS34" i="1" s="1"/>
  <c r="CR62" i="1"/>
  <c r="CS62" i="1" s="1"/>
  <c r="CR42" i="1"/>
  <c r="CS42" i="1" s="1"/>
  <c r="CR31" i="1"/>
  <c r="CS31" i="1" s="1"/>
  <c r="CR100" i="1"/>
  <c r="CS100" i="1" s="1"/>
  <c r="CR63" i="1"/>
  <c r="CS63" i="1" s="1"/>
  <c r="CR6" i="1"/>
  <c r="CS6" i="1" s="1"/>
  <c r="CR12" i="1"/>
  <c r="CS12" i="1" s="1"/>
  <c r="CR32" i="1"/>
  <c r="CS32" i="1" s="1"/>
  <c r="CR41" i="1"/>
  <c r="CS41" i="1" s="1"/>
  <c r="CR67" i="1"/>
  <c r="CS67" i="1" s="1"/>
  <c r="CR23" i="1"/>
  <c r="CR64" i="1"/>
  <c r="CS64" i="1" s="1"/>
  <c r="CR68" i="1"/>
  <c r="CS68" i="1" s="1"/>
  <c r="CR59" i="1"/>
  <c r="CS59" i="1" s="1"/>
  <c r="CR58" i="1"/>
  <c r="CS58" i="1" s="1"/>
  <c r="CR21" i="1"/>
  <c r="CS21" i="1" s="1"/>
  <c r="CR17" i="1"/>
  <c r="CS17" i="1" s="1"/>
  <c r="CR57" i="1"/>
  <c r="CS57" i="1" s="1"/>
  <c r="CR79" i="1"/>
  <c r="CS79" i="1" s="1"/>
  <c r="CR28" i="1"/>
  <c r="CS28" i="1" s="1"/>
  <c r="CR52" i="1"/>
  <c r="CS52" i="1" s="1"/>
  <c r="CR3" i="1"/>
  <c r="CS3" i="1" s="1"/>
  <c r="CR54" i="1"/>
  <c r="CS54" i="1" s="1"/>
  <c r="CR18" i="1"/>
  <c r="CS18" i="1" s="1"/>
  <c r="CR70" i="1"/>
  <c r="CS70" i="1" s="1"/>
  <c r="CR65" i="1"/>
  <c r="CS65" i="1" s="1"/>
  <c r="CR80" i="1"/>
  <c r="CS80" i="1" s="1"/>
  <c r="CR9" i="1"/>
  <c r="CS9" i="1" s="1"/>
  <c r="CR10" i="1"/>
  <c r="CS10" i="1" s="1"/>
  <c r="CR30" i="1"/>
  <c r="CS30" i="1" s="1"/>
  <c r="CR72" i="1"/>
  <c r="CS72" i="1" s="1"/>
  <c r="CR85" i="1"/>
  <c r="CS85" i="1" s="1"/>
  <c r="CR74" i="1"/>
  <c r="CS74" i="1" s="1"/>
  <c r="CR43" i="1"/>
  <c r="CS43" i="1" s="1"/>
  <c r="CR49" i="1"/>
  <c r="CS49" i="1" s="1"/>
  <c r="CR22" i="1"/>
  <c r="CS22" i="1" s="1"/>
  <c r="CR24" i="1"/>
  <c r="CS24" i="1" s="1"/>
  <c r="CR69" i="1"/>
  <c r="CS69" i="1" s="1"/>
  <c r="CR29" i="1"/>
  <c r="CS29" i="1" s="1"/>
  <c r="CR56" i="1"/>
  <c r="CS56" i="1" s="1"/>
  <c r="CR71" i="1"/>
  <c r="CS71" i="1" s="1"/>
  <c r="CR73" i="1"/>
  <c r="CS73" i="1" s="1"/>
  <c r="CR75" i="1"/>
  <c r="CS75" i="1" s="1"/>
  <c r="CR45" i="1"/>
  <c r="CS45" i="1" s="1"/>
  <c r="CR2" i="1"/>
  <c r="CS2" i="1" s="1"/>
  <c r="CR76" i="1"/>
  <c r="CS76" i="1" s="1"/>
  <c r="CR46" i="1"/>
  <c r="CS46" i="1" s="1"/>
  <c r="CR60" i="1"/>
  <c r="CR61" i="1"/>
  <c r="CS61" i="1" s="1"/>
  <c r="CR83" i="1"/>
  <c r="CS83" i="1" s="1"/>
  <c r="CR86" i="1"/>
  <c r="CR87" i="1"/>
  <c r="CS87" i="1" s="1"/>
  <c r="CR88" i="1"/>
  <c r="CS88" i="1" s="1"/>
  <c r="CR89" i="1"/>
  <c r="CS89" i="1" s="1"/>
  <c r="CR90" i="1"/>
  <c r="CS90" i="1" s="1"/>
  <c r="CR91" i="1"/>
  <c r="CS91" i="1" s="1"/>
  <c r="CR92" i="1"/>
  <c r="CS92" i="1" s="1"/>
  <c r="CR93" i="1"/>
  <c r="CS93" i="1" s="1"/>
  <c r="CR94" i="1"/>
  <c r="CS94" i="1" s="1"/>
  <c r="CR95" i="1"/>
  <c r="CS95" i="1" s="1"/>
  <c r="CR96" i="1"/>
  <c r="CS96" i="1" s="1"/>
  <c r="CR97" i="1"/>
  <c r="CS97" i="1" s="1"/>
  <c r="CR98" i="1"/>
  <c r="CS98" i="1" s="1"/>
  <c r="CR99" i="1"/>
  <c r="CS99" i="1" s="1"/>
  <c r="CR101" i="1"/>
  <c r="CS101" i="1" s="1"/>
  <c r="CR102" i="1"/>
  <c r="CS102" i="1" s="1"/>
  <c r="CR103" i="1"/>
  <c r="CS103" i="1" s="1"/>
  <c r="CR104" i="1"/>
  <c r="CS104" i="1" s="1"/>
  <c r="CR105" i="1"/>
  <c r="CS105" i="1" s="1"/>
  <c r="CR106" i="1"/>
  <c r="CS106" i="1" s="1"/>
  <c r="CR107" i="1"/>
  <c r="CS107" i="1" s="1"/>
  <c r="CR108" i="1"/>
  <c r="CS108" i="1" s="1"/>
  <c r="CR109" i="1"/>
  <c r="CS109" i="1" s="1"/>
  <c r="CR110" i="1"/>
  <c r="CS110" i="1" s="1"/>
  <c r="CR111" i="1"/>
  <c r="CS111" i="1" s="1"/>
  <c r="CR112" i="1"/>
  <c r="CS112" i="1" s="1"/>
  <c r="CR113" i="1"/>
  <c r="CS113" i="1" s="1"/>
  <c r="CR114" i="1"/>
  <c r="CS114" i="1" s="1"/>
  <c r="CR115" i="1"/>
  <c r="CS115" i="1" s="1"/>
  <c r="CR116" i="1"/>
  <c r="CS116" i="1" s="1"/>
  <c r="CR77" i="1"/>
  <c r="CS77" i="1" s="1"/>
  <c r="CR117" i="1"/>
  <c r="CS117" i="1" s="1"/>
  <c r="CR118" i="1"/>
  <c r="CS118" i="1" s="1"/>
  <c r="CR78" i="1"/>
  <c r="CS78" i="1" s="1"/>
  <c r="CR119" i="1"/>
  <c r="CS119" i="1" s="1"/>
  <c r="CR82" i="1"/>
  <c r="CS82" i="1" s="1"/>
  <c r="CR120" i="1"/>
  <c r="CS120" i="1" s="1"/>
  <c r="CR121" i="1"/>
  <c r="CS121" i="1" s="1"/>
  <c r="CR122" i="1"/>
  <c r="CS122" i="1" s="1"/>
  <c r="CR123" i="1"/>
  <c r="CS123" i="1" s="1"/>
  <c r="CR124" i="1"/>
  <c r="CS124" i="1" s="1"/>
  <c r="CR84" i="1"/>
  <c r="CS84" i="1" s="1"/>
  <c r="CR125" i="1"/>
  <c r="CS125" i="1" s="1"/>
  <c r="CR33" i="1"/>
  <c r="LS8" i="2"/>
  <c r="LR8" i="2"/>
  <c r="LQ8" i="2"/>
  <c r="LP8" i="2"/>
  <c r="JS8" i="2"/>
  <c r="LO8" i="2" s="1"/>
  <c r="JR8" i="2"/>
  <c r="LN8" i="2" s="1"/>
  <c r="JQ8" i="2"/>
  <c r="LM8" i="2" s="1"/>
  <c r="JP8" i="2"/>
  <c r="LL8" i="2" s="1"/>
  <c r="JO8" i="2"/>
  <c r="LK8" i="2" s="1"/>
  <c r="JN8" i="2"/>
  <c r="LJ8" i="2" s="1"/>
  <c r="JM8" i="2"/>
  <c r="LI8" i="2" s="1"/>
  <c r="JL8" i="2"/>
  <c r="LH8" i="2" s="1"/>
  <c r="JK8" i="2"/>
  <c r="LG8" i="2" s="1"/>
  <c r="JJ8" i="2"/>
  <c r="LF8" i="2" s="1"/>
  <c r="JI8" i="2"/>
  <c r="LE8" i="2" s="1"/>
  <c r="JH8" i="2"/>
  <c r="LD8" i="2" s="1"/>
  <c r="JG8" i="2"/>
  <c r="LC8" i="2" s="1"/>
  <c r="JF8" i="2"/>
  <c r="LB8" i="2" s="1"/>
  <c r="JE8" i="2"/>
  <c r="LA8" i="2" s="1"/>
  <c r="JD8" i="2"/>
  <c r="KZ8" i="2" s="1"/>
  <c r="JC8" i="2"/>
  <c r="KY8" i="2" s="1"/>
  <c r="JB8" i="2"/>
  <c r="KX8" i="2" s="1"/>
  <c r="JA8" i="2"/>
  <c r="KW8" i="2" s="1"/>
  <c r="IZ8" i="2"/>
  <c r="KV8" i="2" s="1"/>
  <c r="IY8" i="2"/>
  <c r="KU8" i="2" s="1"/>
  <c r="IX8" i="2"/>
  <c r="KT8" i="2" s="1"/>
  <c r="IW8" i="2"/>
  <c r="KS8" i="2" s="1"/>
  <c r="IV8" i="2"/>
  <c r="KR8" i="2" s="1"/>
  <c r="IU8" i="2"/>
  <c r="KQ8" i="2" s="1"/>
  <c r="IT8" i="2"/>
  <c r="KP8" i="2" s="1"/>
  <c r="IS8" i="2"/>
  <c r="KO8" i="2" s="1"/>
  <c r="IR8" i="2"/>
  <c r="KN8" i="2" s="1"/>
  <c r="IQ8" i="2"/>
  <c r="KM8" i="2" s="1"/>
  <c r="IP8" i="2"/>
  <c r="KL8" i="2" s="1"/>
  <c r="IO8" i="2"/>
  <c r="KK8" i="2" s="1"/>
  <c r="IN8" i="2"/>
  <c r="KJ8" i="2" s="1"/>
  <c r="IM8" i="2"/>
  <c r="KI8" i="2" s="1"/>
  <c r="IL8" i="2"/>
  <c r="KH8" i="2" s="1"/>
  <c r="IK8" i="2"/>
  <c r="KG8" i="2" s="1"/>
  <c r="IJ8" i="2"/>
  <c r="KF8" i="2" s="1"/>
  <c r="II8" i="2"/>
  <c r="KE8" i="2" s="1"/>
  <c r="IH8" i="2"/>
  <c r="KD8" i="2" s="1"/>
  <c r="IG8" i="2"/>
  <c r="KC8" i="2" s="1"/>
  <c r="IF8" i="2"/>
  <c r="KB8" i="2" s="1"/>
  <c r="IE8" i="2"/>
  <c r="KA8" i="2" s="1"/>
  <c r="ID8" i="2"/>
  <c r="JZ8" i="2" s="1"/>
  <c r="IC8" i="2"/>
  <c r="JY8" i="2" s="1"/>
  <c r="IB8" i="2"/>
  <c r="JX8" i="2" s="1"/>
  <c r="IA8" i="2"/>
  <c r="JW8" i="2" s="1"/>
  <c r="HZ8" i="2"/>
  <c r="JV8" i="2" s="1"/>
  <c r="HY8" i="2"/>
  <c r="JU8" i="2" s="1"/>
  <c r="HX8" i="2"/>
  <c r="JT8" i="2" s="1"/>
  <c r="CH8" i="2"/>
  <c r="CG8" i="2"/>
  <c r="CF8" i="2"/>
  <c r="CD8" i="2"/>
  <c r="CE8" i="2" s="1"/>
  <c r="CC8" i="2"/>
  <c r="CB8" i="2"/>
  <c r="CA8" i="2"/>
  <c r="BV8" i="2"/>
  <c r="BU8" i="2"/>
  <c r="BR8" i="2"/>
  <c r="BS8" i="2" s="1"/>
  <c r="BN8" i="2"/>
  <c r="BM8" i="2"/>
  <c r="BL8" i="2"/>
  <c r="BJ8" i="2"/>
  <c r="BK8" i="2" s="1"/>
  <c r="AT8" i="2"/>
  <c r="AR8" i="2"/>
  <c r="BY33" i="1"/>
  <c r="BY34" i="1"/>
  <c r="BZ34" i="1" s="1"/>
  <c r="BY15" i="1"/>
  <c r="BY4" i="1"/>
  <c r="BY50" i="1"/>
  <c r="BY51" i="1"/>
  <c r="BY62" i="1"/>
  <c r="BY27" i="1"/>
  <c r="BY35" i="1"/>
  <c r="BY42" i="1"/>
  <c r="BY44" i="1"/>
  <c r="BY31" i="1"/>
  <c r="BY37" i="1"/>
  <c r="BY100" i="1"/>
  <c r="BY63" i="1"/>
  <c r="BY20" i="1"/>
  <c r="BY36" i="1"/>
  <c r="BY6" i="1"/>
  <c r="BY12" i="1"/>
  <c r="BY32" i="1"/>
  <c r="BY26" i="1"/>
  <c r="BY41" i="1"/>
  <c r="BY67" i="1"/>
  <c r="BZ67" i="1" s="1"/>
  <c r="BY53" i="1"/>
  <c r="BY55" i="1"/>
  <c r="BY16" i="1"/>
  <c r="BY23" i="1"/>
  <c r="BY64" i="1"/>
  <c r="BZ64" i="1" s="1"/>
  <c r="BY68" i="1"/>
  <c r="BY59" i="1"/>
  <c r="BY66" i="1"/>
  <c r="BY58" i="1"/>
  <c r="BZ58" i="1" s="1"/>
  <c r="BY21" i="1"/>
  <c r="BZ21" i="1" s="1"/>
  <c r="BY5" i="1"/>
  <c r="BY8" i="1"/>
  <c r="BY17" i="1"/>
  <c r="BY38" i="1"/>
  <c r="BY57" i="1"/>
  <c r="BY79" i="1"/>
  <c r="BZ79" i="1" s="1"/>
  <c r="BY28" i="1"/>
  <c r="BY52" i="1"/>
  <c r="BY3" i="1"/>
  <c r="BY54" i="1"/>
  <c r="BZ54" i="1" s="1"/>
  <c r="BY18" i="1"/>
  <c r="BZ18" i="1" s="1"/>
  <c r="BY70" i="1"/>
  <c r="BY39" i="1"/>
  <c r="BY65" i="1"/>
  <c r="BY80" i="1"/>
  <c r="BZ80" i="1" s="1"/>
  <c r="BY11" i="1"/>
  <c r="BY9" i="1"/>
  <c r="BY10" i="1"/>
  <c r="BY19" i="1"/>
  <c r="BY30" i="1"/>
  <c r="BY72" i="1"/>
  <c r="BY85" i="1"/>
  <c r="BZ85" i="1" s="1"/>
  <c r="BY7" i="1"/>
  <c r="BY74" i="1"/>
  <c r="BY43" i="1"/>
  <c r="BY48" i="1"/>
  <c r="BY49" i="1"/>
  <c r="BZ49" i="1" s="1"/>
  <c r="BY22" i="1"/>
  <c r="BZ22" i="1" s="1"/>
  <c r="BY24" i="1"/>
  <c r="BY69" i="1"/>
  <c r="BZ69" i="1" s="1"/>
  <c r="BY40" i="1"/>
  <c r="BY29" i="1"/>
  <c r="BY14" i="1"/>
  <c r="BY56" i="1"/>
  <c r="BY71" i="1"/>
  <c r="BY73" i="1"/>
  <c r="BY75" i="1"/>
  <c r="BY45" i="1"/>
  <c r="BZ45" i="1" s="1"/>
  <c r="BY47" i="1"/>
  <c r="BY2" i="1"/>
  <c r="BY76" i="1"/>
  <c r="BY46" i="1"/>
  <c r="BY60" i="1"/>
  <c r="BZ60" i="1" s="1"/>
  <c r="BY25" i="1"/>
  <c r="BY13" i="1"/>
  <c r="BY61" i="1"/>
  <c r="BY83" i="1"/>
  <c r="BY86" i="1"/>
  <c r="BY87" i="1"/>
  <c r="BY88" i="1"/>
  <c r="BY89" i="1"/>
  <c r="CB89" i="1" s="1"/>
  <c r="BY90" i="1"/>
  <c r="BY91" i="1"/>
  <c r="CB91" i="1" s="1"/>
  <c r="BY92" i="1"/>
  <c r="BY93" i="1"/>
  <c r="CB93" i="1" s="1"/>
  <c r="BY94" i="1"/>
  <c r="BY95" i="1"/>
  <c r="CB95" i="1" s="1"/>
  <c r="BY96" i="1"/>
  <c r="BY97" i="1"/>
  <c r="CB97" i="1" s="1"/>
  <c r="BY98" i="1"/>
  <c r="BY99" i="1"/>
  <c r="CB99" i="1" s="1"/>
  <c r="BY101" i="1"/>
  <c r="BY102" i="1"/>
  <c r="CB102" i="1" s="1"/>
  <c r="BY103" i="1"/>
  <c r="BY104" i="1"/>
  <c r="CB104" i="1" s="1"/>
  <c r="BY105" i="1"/>
  <c r="BY106" i="1"/>
  <c r="CB106" i="1" s="1"/>
  <c r="BY107" i="1"/>
  <c r="BY108" i="1"/>
  <c r="CB108" i="1" s="1"/>
  <c r="BY109" i="1"/>
  <c r="BY110" i="1"/>
  <c r="BY111" i="1"/>
  <c r="BY112" i="1"/>
  <c r="CB112" i="1" s="1"/>
  <c r="BY113" i="1"/>
  <c r="BY114" i="1"/>
  <c r="CB114" i="1" s="1"/>
  <c r="BY115" i="1"/>
  <c r="BY116" i="1"/>
  <c r="CB116" i="1" s="1"/>
  <c r="BY77" i="1"/>
  <c r="CA77" i="1" s="1"/>
  <c r="BY117" i="1"/>
  <c r="CB117" i="1" s="1"/>
  <c r="BY118" i="1"/>
  <c r="CA118" i="1" s="1"/>
  <c r="BY78" i="1"/>
  <c r="CB78" i="1" s="1"/>
  <c r="BY119" i="1"/>
  <c r="CA119" i="1" s="1"/>
  <c r="BY82" i="1"/>
  <c r="CB82" i="1" s="1"/>
  <c r="BY120" i="1"/>
  <c r="CA120" i="1" s="1"/>
  <c r="BY121" i="1"/>
  <c r="CB121" i="1" s="1"/>
  <c r="BY122" i="1"/>
  <c r="CA122" i="1" s="1"/>
  <c r="BY123" i="1"/>
  <c r="CB123" i="1" s="1"/>
  <c r="BY124" i="1"/>
  <c r="CA124" i="1" s="1"/>
  <c r="BY84" i="1"/>
  <c r="CB84" i="1" s="1"/>
  <c r="BY125" i="1"/>
  <c r="CB125" i="1" s="1"/>
  <c r="BY81" i="1"/>
  <c r="BZ81" i="1" s="1"/>
  <c r="CO4" i="1"/>
  <c r="CO34" i="1"/>
  <c r="CO33" i="1"/>
  <c r="CO81" i="1"/>
  <c r="CT3" i="1"/>
  <c r="CT86" i="1"/>
  <c r="CT4" i="1"/>
  <c r="CT5" i="1"/>
  <c r="CT6" i="1"/>
  <c r="CT8" i="1"/>
  <c r="CT7" i="1"/>
  <c r="CT9" i="1"/>
  <c r="CT10" i="1"/>
  <c r="CT11" i="1"/>
  <c r="CT12" i="1"/>
  <c r="CT13" i="1"/>
  <c r="CT87" i="1"/>
  <c r="CT14" i="1"/>
  <c r="CT15" i="1"/>
  <c r="CT16" i="1"/>
  <c r="CT17" i="1"/>
  <c r="CT18" i="1"/>
  <c r="CT19" i="1"/>
  <c r="CT20" i="1"/>
  <c r="CT21" i="1"/>
  <c r="CT88" i="1"/>
  <c r="CT22" i="1"/>
  <c r="CT89" i="1"/>
  <c r="CT23" i="1"/>
  <c r="CT24" i="1"/>
  <c r="CT25" i="1"/>
  <c r="CT26" i="1"/>
  <c r="CT27" i="1"/>
  <c r="CT28" i="1"/>
  <c r="CT29" i="1"/>
  <c r="CT30" i="1"/>
  <c r="CT32" i="1"/>
  <c r="CT31" i="1"/>
  <c r="CT33" i="1"/>
  <c r="CT90" i="1"/>
  <c r="CT91" i="1"/>
  <c r="CT92" i="1"/>
  <c r="CT35" i="1"/>
  <c r="CT34" i="1"/>
  <c r="CT36" i="1"/>
  <c r="CT37" i="1"/>
  <c r="CT93" i="1"/>
  <c r="CT38" i="1"/>
  <c r="CT40" i="1"/>
  <c r="CT39" i="1"/>
  <c r="CT42" i="1"/>
  <c r="CT41" i="1"/>
  <c r="CT43" i="1"/>
  <c r="CT44" i="1"/>
  <c r="CT94" i="1"/>
  <c r="CT95" i="1"/>
  <c r="CT96" i="1"/>
  <c r="CT97" i="1"/>
  <c r="CT98" i="1"/>
  <c r="CT99" i="1"/>
  <c r="CT101" i="1"/>
  <c r="CT100" i="1"/>
  <c r="CT45" i="1"/>
  <c r="CT46" i="1"/>
  <c r="CT102" i="1"/>
  <c r="CT47" i="1"/>
  <c r="CT49" i="1"/>
  <c r="CT48" i="1"/>
  <c r="CT103" i="1"/>
  <c r="CT50" i="1"/>
  <c r="CT52" i="1"/>
  <c r="CT51" i="1"/>
  <c r="CT104" i="1"/>
  <c r="CT105" i="1"/>
  <c r="CT53" i="1"/>
  <c r="CT106" i="1"/>
  <c r="CT107" i="1"/>
  <c r="CT108" i="1"/>
  <c r="CT109" i="1"/>
  <c r="CT54" i="1"/>
  <c r="CT55" i="1"/>
  <c r="CT56" i="1"/>
  <c r="CT57" i="1"/>
  <c r="CT58" i="1"/>
  <c r="CT59" i="1"/>
  <c r="CT110" i="1"/>
  <c r="CT60" i="1"/>
  <c r="CT61" i="1"/>
  <c r="CT63" i="1"/>
  <c r="CT62" i="1"/>
  <c r="CT64" i="1"/>
  <c r="CT65" i="1"/>
  <c r="CT66" i="1"/>
  <c r="CT111" i="1"/>
  <c r="CT112" i="1"/>
  <c r="CT113" i="1"/>
  <c r="CT67" i="1"/>
  <c r="CT114" i="1"/>
  <c r="CT68" i="1"/>
  <c r="CT69" i="1"/>
  <c r="CT70" i="1"/>
  <c r="CT115" i="1"/>
  <c r="CT71" i="1"/>
  <c r="CT72" i="1"/>
  <c r="CT73" i="1"/>
  <c r="CT74" i="1"/>
  <c r="CT75" i="1"/>
  <c r="CT76" i="1"/>
  <c r="CT116" i="1"/>
  <c r="CT77" i="1"/>
  <c r="CT117" i="1"/>
  <c r="CT118" i="1"/>
  <c r="CT78" i="1"/>
  <c r="CT79" i="1"/>
  <c r="CT119" i="1"/>
  <c r="CT80" i="1"/>
  <c r="CT81" i="1"/>
  <c r="CT82" i="1"/>
  <c r="CT83" i="1"/>
  <c r="CT120" i="1"/>
  <c r="CT121" i="1"/>
  <c r="CT122" i="1"/>
  <c r="CT123" i="1"/>
  <c r="CT124" i="1"/>
  <c r="CT84" i="1"/>
  <c r="CT85" i="1"/>
  <c r="CT125" i="1"/>
  <c r="CT127" i="1"/>
  <c r="CT2" i="1"/>
  <c r="CJ93" i="1"/>
  <c r="CJ120" i="1"/>
  <c r="CI120" i="1" s="1"/>
  <c r="CJ123" i="1"/>
  <c r="CI123" i="1" s="1"/>
  <c r="CJ84" i="1"/>
  <c r="CI84" i="1" s="1"/>
  <c r="CJ125" i="1"/>
  <c r="CI125" i="1" s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BZ12" i="1" l="1"/>
  <c r="CB12" i="2"/>
  <c r="CA12" i="2"/>
  <c r="CS60" i="1"/>
  <c r="CS23" i="1"/>
  <c r="CS86" i="1"/>
  <c r="CK123" i="1"/>
  <c r="CN123" i="1" s="1"/>
  <c r="CK125" i="1"/>
  <c r="CN125" i="1" s="1"/>
  <c r="CK120" i="1"/>
  <c r="CN120" i="1" s="1"/>
  <c r="CS33" i="1"/>
  <c r="CK93" i="1"/>
  <c r="CN93" i="1" s="1"/>
  <c r="CK84" i="1"/>
  <c r="CN84" i="1" s="1"/>
  <c r="BW8" i="2"/>
  <c r="BT8" i="2"/>
  <c r="AS8" i="2"/>
  <c r="CA87" i="1"/>
  <c r="CB87" i="1"/>
  <c r="CA76" i="1"/>
  <c r="CB76" i="1"/>
  <c r="CA75" i="1"/>
  <c r="CB75" i="1"/>
  <c r="CA24" i="1"/>
  <c r="CB24" i="1"/>
  <c r="CA72" i="1"/>
  <c r="CB72" i="1"/>
  <c r="CA9" i="1"/>
  <c r="CB9" i="1"/>
  <c r="CA3" i="1"/>
  <c r="CB3" i="1"/>
  <c r="CA59" i="1"/>
  <c r="CB59" i="1"/>
  <c r="CA41" i="1"/>
  <c r="CB41" i="1"/>
  <c r="CA6" i="1"/>
  <c r="CB6" i="1"/>
  <c r="CA100" i="1"/>
  <c r="CB100" i="1"/>
  <c r="CA42" i="1"/>
  <c r="CB42" i="1"/>
  <c r="BZ125" i="1"/>
  <c r="BZ123" i="1"/>
  <c r="BZ82" i="1"/>
  <c r="BZ117" i="1"/>
  <c r="BZ114" i="1"/>
  <c r="BZ108" i="1"/>
  <c r="BZ104" i="1"/>
  <c r="BZ99" i="1"/>
  <c r="BZ95" i="1"/>
  <c r="BZ91" i="1"/>
  <c r="BZ87" i="1"/>
  <c r="BZ9" i="1"/>
  <c r="BZ100" i="1"/>
  <c r="CA125" i="1"/>
  <c r="CA123" i="1"/>
  <c r="CA82" i="1"/>
  <c r="CA117" i="1"/>
  <c r="CA112" i="1"/>
  <c r="CA106" i="1"/>
  <c r="CA97" i="1"/>
  <c r="CA89" i="1"/>
  <c r="CA113" i="1"/>
  <c r="CB113" i="1"/>
  <c r="CA110" i="1"/>
  <c r="CB110" i="1"/>
  <c r="CA107" i="1"/>
  <c r="CB107" i="1"/>
  <c r="CA103" i="1"/>
  <c r="CB103" i="1"/>
  <c r="CA98" i="1"/>
  <c r="CB98" i="1"/>
  <c r="CA94" i="1"/>
  <c r="CB94" i="1"/>
  <c r="CA90" i="1"/>
  <c r="CB90" i="1"/>
  <c r="CA86" i="1"/>
  <c r="CB86" i="1"/>
  <c r="CA2" i="1"/>
  <c r="CB2" i="1"/>
  <c r="CA73" i="1"/>
  <c r="CB73" i="1"/>
  <c r="CA29" i="1"/>
  <c r="CB29" i="1"/>
  <c r="CA22" i="1"/>
  <c r="CB22" i="1"/>
  <c r="CA74" i="1"/>
  <c r="CB74" i="1"/>
  <c r="CA30" i="1"/>
  <c r="CB30" i="1"/>
  <c r="CA70" i="1"/>
  <c r="CB70" i="1"/>
  <c r="CA21" i="1"/>
  <c r="CB21" i="1"/>
  <c r="CA68" i="1"/>
  <c r="CB68" i="1"/>
  <c r="CA34" i="1"/>
  <c r="CB34" i="1"/>
  <c r="BZ122" i="1"/>
  <c r="BZ119" i="1"/>
  <c r="BZ77" i="1"/>
  <c r="BZ113" i="1"/>
  <c r="BZ110" i="1"/>
  <c r="BZ107" i="1"/>
  <c r="BZ103" i="1"/>
  <c r="BZ98" i="1"/>
  <c r="BZ94" i="1"/>
  <c r="BZ90" i="1"/>
  <c r="BZ86" i="1"/>
  <c r="BZ75" i="1"/>
  <c r="BZ29" i="1"/>
  <c r="BZ72" i="1"/>
  <c r="CB122" i="1"/>
  <c r="CB119" i="1"/>
  <c r="CB77" i="1"/>
  <c r="CA104" i="1"/>
  <c r="CA95" i="1"/>
  <c r="CA83" i="1"/>
  <c r="CB83" i="1"/>
  <c r="CA60" i="1"/>
  <c r="CB60" i="1"/>
  <c r="CA71" i="1"/>
  <c r="CB71" i="1"/>
  <c r="CA49" i="1"/>
  <c r="CB49" i="1"/>
  <c r="CA80" i="1"/>
  <c r="CB80" i="1"/>
  <c r="CA18" i="1"/>
  <c r="CB18" i="1"/>
  <c r="CA17" i="1"/>
  <c r="CB17" i="1"/>
  <c r="CA58" i="1"/>
  <c r="CB58" i="1"/>
  <c r="CA64" i="1"/>
  <c r="CB64" i="1"/>
  <c r="BZ84" i="1"/>
  <c r="BZ121" i="1"/>
  <c r="BZ78" i="1"/>
  <c r="BZ116" i="1"/>
  <c r="BZ112" i="1"/>
  <c r="BZ106" i="1"/>
  <c r="BZ102" i="1"/>
  <c r="BZ97" i="1"/>
  <c r="BZ93" i="1"/>
  <c r="BZ89" i="1"/>
  <c r="BZ83" i="1"/>
  <c r="BZ76" i="1"/>
  <c r="BZ73" i="1"/>
  <c r="BZ30" i="1"/>
  <c r="BZ3" i="1"/>
  <c r="BZ59" i="1"/>
  <c r="BZ6" i="1"/>
  <c r="BZ42" i="1"/>
  <c r="CA84" i="1"/>
  <c r="CA121" i="1"/>
  <c r="CA78" i="1"/>
  <c r="CA116" i="1"/>
  <c r="CA102" i="1"/>
  <c r="CA93" i="1"/>
  <c r="CA81" i="1"/>
  <c r="CB81" i="1"/>
  <c r="CA115" i="1"/>
  <c r="CB115" i="1"/>
  <c r="CA111" i="1"/>
  <c r="CB111" i="1"/>
  <c r="CA109" i="1"/>
  <c r="CB109" i="1"/>
  <c r="CA105" i="1"/>
  <c r="CB105" i="1"/>
  <c r="CA101" i="1"/>
  <c r="CB101" i="1"/>
  <c r="CA96" i="1"/>
  <c r="CB96" i="1"/>
  <c r="CA92" i="1"/>
  <c r="CB92" i="1"/>
  <c r="CA88" i="1"/>
  <c r="CB88" i="1"/>
  <c r="CA61" i="1"/>
  <c r="CB61" i="1"/>
  <c r="CA45" i="1"/>
  <c r="CB45" i="1"/>
  <c r="CA69" i="1"/>
  <c r="CB69" i="1"/>
  <c r="CA85" i="1"/>
  <c r="CB85" i="1"/>
  <c r="CA10" i="1"/>
  <c r="CB10" i="1"/>
  <c r="CA54" i="1"/>
  <c r="CB54" i="1"/>
  <c r="CA79" i="1"/>
  <c r="CB79" i="1"/>
  <c r="CA67" i="1"/>
  <c r="CB67" i="1"/>
  <c r="CA12" i="1"/>
  <c r="CB12" i="1"/>
  <c r="CA63" i="1"/>
  <c r="CB63" i="1"/>
  <c r="CA62" i="1"/>
  <c r="CB62" i="1"/>
  <c r="BZ124" i="1"/>
  <c r="BZ120" i="1"/>
  <c r="BZ118" i="1"/>
  <c r="BZ115" i="1"/>
  <c r="BZ111" i="1"/>
  <c r="BZ109" i="1"/>
  <c r="BZ105" i="1"/>
  <c r="BZ101" i="1"/>
  <c r="BZ96" i="1"/>
  <c r="BZ92" i="1"/>
  <c r="BZ88" i="1"/>
  <c r="BZ61" i="1"/>
  <c r="BZ2" i="1"/>
  <c r="BZ71" i="1"/>
  <c r="BZ24" i="1"/>
  <c r="BZ74" i="1"/>
  <c r="BZ10" i="1"/>
  <c r="BZ70" i="1"/>
  <c r="BZ17" i="1"/>
  <c r="BZ68" i="1"/>
  <c r="BZ41" i="1"/>
  <c r="BZ63" i="1"/>
  <c r="BZ62" i="1"/>
  <c r="CB124" i="1"/>
  <c r="CB120" i="1"/>
  <c r="CB118" i="1"/>
  <c r="CA114" i="1"/>
  <c r="CA108" i="1"/>
  <c r="CA99" i="1"/>
  <c r="CA91" i="1"/>
  <c r="CI93" i="1"/>
  <c r="CP66" i="1" l="1"/>
  <c r="CQ66" i="1" s="1"/>
  <c r="CP44" i="1"/>
  <c r="CQ44" i="1" s="1"/>
  <c r="CP37" i="1"/>
  <c r="CQ37" i="1" s="1"/>
  <c r="CP38" i="1"/>
  <c r="CQ38" i="1" s="1"/>
  <c r="CP2" i="1"/>
  <c r="CP3" i="1"/>
  <c r="CQ3" i="1" s="1"/>
  <c r="CP86" i="1"/>
  <c r="CQ86" i="1" s="1"/>
  <c r="CP4" i="1"/>
  <c r="CQ4" i="1" s="1"/>
  <c r="CP5" i="1"/>
  <c r="CQ5" i="1" s="1"/>
  <c r="CP6" i="1"/>
  <c r="CQ6" i="1" s="1"/>
  <c r="CP8" i="1"/>
  <c r="CQ8" i="1" s="1"/>
  <c r="CP7" i="1"/>
  <c r="CQ7" i="1" s="1"/>
  <c r="CP9" i="1"/>
  <c r="CQ9" i="1" s="1"/>
  <c r="CP10" i="1"/>
  <c r="CQ10" i="1" s="1"/>
  <c r="CP11" i="1"/>
  <c r="CQ11" i="1" s="1"/>
  <c r="CP12" i="1"/>
  <c r="CQ12" i="1" s="1"/>
  <c r="CP13" i="1"/>
  <c r="CQ13" i="1" s="1"/>
  <c r="CP87" i="1"/>
  <c r="CQ87" i="1" s="1"/>
  <c r="CP14" i="1"/>
  <c r="CQ14" i="1" s="1"/>
  <c r="CP15" i="1"/>
  <c r="CQ15" i="1" s="1"/>
  <c r="CP16" i="1"/>
  <c r="CQ16" i="1" s="1"/>
  <c r="CP17" i="1"/>
  <c r="CQ17" i="1" s="1"/>
  <c r="CP18" i="1"/>
  <c r="CQ18" i="1" s="1"/>
  <c r="CP19" i="1"/>
  <c r="CQ19" i="1" s="1"/>
  <c r="CP20" i="1"/>
  <c r="CQ20" i="1" s="1"/>
  <c r="CP21" i="1"/>
  <c r="CQ21" i="1" s="1"/>
  <c r="CP88" i="1"/>
  <c r="CQ88" i="1" s="1"/>
  <c r="CP22" i="1"/>
  <c r="CQ22" i="1" s="1"/>
  <c r="CP89" i="1"/>
  <c r="CQ89" i="1" s="1"/>
  <c r="CP23" i="1"/>
  <c r="CQ23" i="1" s="1"/>
  <c r="CP24" i="1"/>
  <c r="CQ24" i="1" s="1"/>
  <c r="CP25" i="1"/>
  <c r="CQ25" i="1" s="1"/>
  <c r="CP26" i="1"/>
  <c r="CQ26" i="1" s="1"/>
  <c r="CP27" i="1"/>
  <c r="CQ27" i="1" s="1"/>
  <c r="CP28" i="1"/>
  <c r="CQ28" i="1" s="1"/>
  <c r="CP29" i="1"/>
  <c r="CQ29" i="1" s="1"/>
  <c r="CP30" i="1"/>
  <c r="CQ30" i="1" s="1"/>
  <c r="CP32" i="1"/>
  <c r="CQ32" i="1" s="1"/>
  <c r="CP31" i="1"/>
  <c r="CQ31" i="1" s="1"/>
  <c r="CP33" i="1"/>
  <c r="CP90" i="1"/>
  <c r="CQ90" i="1" s="1"/>
  <c r="CP91" i="1"/>
  <c r="CQ91" i="1" s="1"/>
  <c r="CP92" i="1"/>
  <c r="CQ92" i="1" s="1"/>
  <c r="CP35" i="1"/>
  <c r="CQ35" i="1" s="1"/>
  <c r="CP34" i="1"/>
  <c r="CQ34" i="1" s="1"/>
  <c r="CP36" i="1"/>
  <c r="CQ36" i="1" s="1"/>
  <c r="CP93" i="1"/>
  <c r="CQ93" i="1" s="1"/>
  <c r="CP40" i="1"/>
  <c r="CQ40" i="1" s="1"/>
  <c r="CP39" i="1"/>
  <c r="CQ39" i="1" s="1"/>
  <c r="CP42" i="1"/>
  <c r="CQ42" i="1" s="1"/>
  <c r="CP41" i="1"/>
  <c r="CQ41" i="1" s="1"/>
  <c r="CP43" i="1"/>
  <c r="CQ43" i="1" s="1"/>
  <c r="CP94" i="1"/>
  <c r="CQ94" i="1" s="1"/>
  <c r="CP95" i="1"/>
  <c r="CQ95" i="1" s="1"/>
  <c r="CP96" i="1"/>
  <c r="CQ96" i="1" s="1"/>
  <c r="CP97" i="1"/>
  <c r="CQ97" i="1" s="1"/>
  <c r="CP98" i="1"/>
  <c r="CQ98" i="1" s="1"/>
  <c r="CP99" i="1"/>
  <c r="CQ99" i="1" s="1"/>
  <c r="CP101" i="1"/>
  <c r="CQ101" i="1" s="1"/>
  <c r="CP100" i="1"/>
  <c r="CQ100" i="1" s="1"/>
  <c r="CP45" i="1"/>
  <c r="CQ45" i="1" s="1"/>
  <c r="CP46" i="1"/>
  <c r="CQ46" i="1" s="1"/>
  <c r="CP102" i="1"/>
  <c r="CQ102" i="1" s="1"/>
  <c r="CP47" i="1"/>
  <c r="CQ47" i="1" s="1"/>
  <c r="CP49" i="1"/>
  <c r="CQ49" i="1" s="1"/>
  <c r="CP48" i="1"/>
  <c r="CQ48" i="1" s="1"/>
  <c r="CP103" i="1"/>
  <c r="CQ103" i="1" s="1"/>
  <c r="CP50" i="1"/>
  <c r="CQ50" i="1" s="1"/>
  <c r="CP52" i="1"/>
  <c r="CQ52" i="1" s="1"/>
  <c r="CP51" i="1"/>
  <c r="CQ51" i="1" s="1"/>
  <c r="CP104" i="1"/>
  <c r="CQ104" i="1" s="1"/>
  <c r="CP105" i="1"/>
  <c r="CQ105" i="1" s="1"/>
  <c r="CP53" i="1"/>
  <c r="CQ53" i="1" s="1"/>
  <c r="CP106" i="1"/>
  <c r="CQ106" i="1" s="1"/>
  <c r="CP107" i="1"/>
  <c r="CQ107" i="1" s="1"/>
  <c r="CP108" i="1"/>
  <c r="CQ108" i="1" s="1"/>
  <c r="CP109" i="1"/>
  <c r="CQ109" i="1" s="1"/>
  <c r="CP54" i="1"/>
  <c r="CQ54" i="1" s="1"/>
  <c r="CP56" i="1"/>
  <c r="CQ56" i="1" s="1"/>
  <c r="CP57" i="1"/>
  <c r="CQ57" i="1" s="1"/>
  <c r="CP58" i="1"/>
  <c r="CQ58" i="1" s="1"/>
  <c r="CP59" i="1"/>
  <c r="CQ59" i="1" s="1"/>
  <c r="CP110" i="1"/>
  <c r="CQ110" i="1" s="1"/>
  <c r="CP60" i="1"/>
  <c r="CQ60" i="1" s="1"/>
  <c r="CP61" i="1"/>
  <c r="CQ61" i="1" s="1"/>
  <c r="CP63" i="1"/>
  <c r="CQ63" i="1" s="1"/>
  <c r="CP62" i="1"/>
  <c r="CQ62" i="1" s="1"/>
  <c r="CP64" i="1"/>
  <c r="CQ64" i="1" s="1"/>
  <c r="CP65" i="1"/>
  <c r="CQ65" i="1" s="1"/>
  <c r="CP111" i="1"/>
  <c r="CQ111" i="1" s="1"/>
  <c r="CP112" i="1"/>
  <c r="CQ112" i="1" s="1"/>
  <c r="CP113" i="1"/>
  <c r="CQ113" i="1" s="1"/>
  <c r="CP67" i="1"/>
  <c r="CQ67" i="1" s="1"/>
  <c r="CP114" i="1"/>
  <c r="CQ114" i="1" s="1"/>
  <c r="CP68" i="1"/>
  <c r="CQ68" i="1" s="1"/>
  <c r="CP69" i="1"/>
  <c r="CQ69" i="1" s="1"/>
  <c r="CP70" i="1"/>
  <c r="CQ70" i="1" s="1"/>
  <c r="CP115" i="1"/>
  <c r="CQ115" i="1" s="1"/>
  <c r="CP71" i="1"/>
  <c r="CQ71" i="1" s="1"/>
  <c r="CP72" i="1"/>
  <c r="CQ72" i="1" s="1"/>
  <c r="CP73" i="1"/>
  <c r="CQ73" i="1" s="1"/>
  <c r="CP74" i="1"/>
  <c r="CQ74" i="1" s="1"/>
  <c r="CP75" i="1"/>
  <c r="CQ75" i="1" s="1"/>
  <c r="CP76" i="1"/>
  <c r="CQ76" i="1" s="1"/>
  <c r="CP116" i="1"/>
  <c r="CQ116" i="1" s="1"/>
  <c r="CP77" i="1"/>
  <c r="CQ77" i="1" s="1"/>
  <c r="CP117" i="1"/>
  <c r="CQ117" i="1" s="1"/>
  <c r="CP118" i="1"/>
  <c r="CQ118" i="1" s="1"/>
  <c r="CP78" i="1"/>
  <c r="CQ78" i="1" s="1"/>
  <c r="CP79" i="1"/>
  <c r="CQ79" i="1" s="1"/>
  <c r="CP119" i="1"/>
  <c r="CQ119" i="1" s="1"/>
  <c r="CP80" i="1"/>
  <c r="CQ80" i="1" s="1"/>
  <c r="CP81" i="1"/>
  <c r="CP82" i="1"/>
  <c r="CQ82" i="1" s="1"/>
  <c r="CP83" i="1"/>
  <c r="CQ83" i="1" s="1"/>
  <c r="CP120" i="1"/>
  <c r="CQ120" i="1" s="1"/>
  <c r="CP121" i="1"/>
  <c r="CQ121" i="1" s="1"/>
  <c r="CP122" i="1"/>
  <c r="CQ122" i="1" s="1"/>
  <c r="CP123" i="1"/>
  <c r="CQ123" i="1" s="1"/>
  <c r="CP124" i="1"/>
  <c r="CQ124" i="1" s="1"/>
  <c r="CP84" i="1"/>
  <c r="CQ84" i="1" s="1"/>
  <c r="CP85" i="1"/>
  <c r="CQ85" i="1" s="1"/>
  <c r="CP55" i="1"/>
  <c r="CQ55" i="1" s="1"/>
  <c r="JR66" i="1"/>
  <c r="JS66" i="1"/>
  <c r="LO66" i="1" s="1"/>
  <c r="JT66" i="1"/>
  <c r="LP66" i="1" s="1"/>
  <c r="JU66" i="1"/>
  <c r="LQ66" i="1" s="1"/>
  <c r="JV66" i="1"/>
  <c r="LR66" i="1" s="1"/>
  <c r="JW66" i="1"/>
  <c r="LS66" i="1" s="1"/>
  <c r="JX66" i="1"/>
  <c r="LT66" i="1" s="1"/>
  <c r="JY66" i="1"/>
  <c r="LU66" i="1" s="1"/>
  <c r="JZ66" i="1"/>
  <c r="LV66" i="1" s="1"/>
  <c r="KA66" i="1"/>
  <c r="LW66" i="1" s="1"/>
  <c r="KB66" i="1"/>
  <c r="LX66" i="1" s="1"/>
  <c r="KC66" i="1"/>
  <c r="LY66" i="1" s="1"/>
  <c r="KD66" i="1"/>
  <c r="LZ66" i="1" s="1"/>
  <c r="KE66" i="1"/>
  <c r="MA66" i="1" s="1"/>
  <c r="KF66" i="1"/>
  <c r="MB66" i="1" s="1"/>
  <c r="KG66" i="1"/>
  <c r="MC66" i="1" s="1"/>
  <c r="JR44" i="1"/>
  <c r="JS44" i="1"/>
  <c r="LO44" i="1" s="1"/>
  <c r="JT44" i="1"/>
  <c r="LP44" i="1" s="1"/>
  <c r="JU44" i="1"/>
  <c r="LQ44" i="1" s="1"/>
  <c r="JV44" i="1"/>
  <c r="LR44" i="1" s="1"/>
  <c r="JW44" i="1"/>
  <c r="LS44" i="1" s="1"/>
  <c r="JX44" i="1"/>
  <c r="LT44" i="1" s="1"/>
  <c r="JY44" i="1"/>
  <c r="LU44" i="1" s="1"/>
  <c r="JZ44" i="1"/>
  <c r="LV44" i="1" s="1"/>
  <c r="KA44" i="1"/>
  <c r="LW44" i="1" s="1"/>
  <c r="KB44" i="1"/>
  <c r="LX44" i="1" s="1"/>
  <c r="KC44" i="1"/>
  <c r="LY44" i="1" s="1"/>
  <c r="KD44" i="1"/>
  <c r="LZ44" i="1" s="1"/>
  <c r="KE44" i="1"/>
  <c r="MA44" i="1" s="1"/>
  <c r="KF44" i="1"/>
  <c r="MB44" i="1" s="1"/>
  <c r="KG44" i="1"/>
  <c r="MC44" i="1" s="1"/>
  <c r="JR37" i="1"/>
  <c r="JS37" i="1"/>
  <c r="LO37" i="1" s="1"/>
  <c r="JT37" i="1"/>
  <c r="LP37" i="1" s="1"/>
  <c r="JU37" i="1"/>
  <c r="LQ37" i="1" s="1"/>
  <c r="JV37" i="1"/>
  <c r="LR37" i="1" s="1"/>
  <c r="JW37" i="1"/>
  <c r="LS37" i="1" s="1"/>
  <c r="JX37" i="1"/>
  <c r="LT37" i="1" s="1"/>
  <c r="JY37" i="1"/>
  <c r="LU37" i="1" s="1"/>
  <c r="JZ37" i="1"/>
  <c r="LV37" i="1" s="1"/>
  <c r="KA37" i="1"/>
  <c r="LW37" i="1" s="1"/>
  <c r="KB37" i="1"/>
  <c r="LX37" i="1" s="1"/>
  <c r="KC37" i="1"/>
  <c r="LY37" i="1" s="1"/>
  <c r="KD37" i="1"/>
  <c r="LZ37" i="1" s="1"/>
  <c r="KE37" i="1"/>
  <c r="MA37" i="1" s="1"/>
  <c r="KF37" i="1"/>
  <c r="MB37" i="1" s="1"/>
  <c r="KG37" i="1"/>
  <c r="MC37" i="1" s="1"/>
  <c r="JR38" i="1"/>
  <c r="JS38" i="1"/>
  <c r="LO38" i="1" s="1"/>
  <c r="JT38" i="1"/>
  <c r="LP38" i="1" s="1"/>
  <c r="JU38" i="1"/>
  <c r="LQ38" i="1" s="1"/>
  <c r="JV38" i="1"/>
  <c r="LR38" i="1" s="1"/>
  <c r="JW38" i="1"/>
  <c r="LS38" i="1" s="1"/>
  <c r="JX38" i="1"/>
  <c r="LT38" i="1" s="1"/>
  <c r="JY38" i="1"/>
  <c r="LU38" i="1" s="1"/>
  <c r="JZ38" i="1"/>
  <c r="LV38" i="1" s="1"/>
  <c r="KA38" i="1"/>
  <c r="LW38" i="1" s="1"/>
  <c r="KB38" i="1"/>
  <c r="LX38" i="1" s="1"/>
  <c r="KC38" i="1"/>
  <c r="LY38" i="1" s="1"/>
  <c r="KD38" i="1"/>
  <c r="LZ38" i="1" s="1"/>
  <c r="KE38" i="1"/>
  <c r="MA38" i="1" s="1"/>
  <c r="KF38" i="1"/>
  <c r="MB38" i="1" s="1"/>
  <c r="KG38" i="1"/>
  <c r="MC38" i="1" s="1"/>
  <c r="JR2" i="1"/>
  <c r="JS2" i="1"/>
  <c r="LO2" i="1" s="1"/>
  <c r="JT2" i="1"/>
  <c r="LP2" i="1" s="1"/>
  <c r="JU2" i="1"/>
  <c r="LQ2" i="1" s="1"/>
  <c r="JV2" i="1"/>
  <c r="LR2" i="1" s="1"/>
  <c r="JW2" i="1"/>
  <c r="LS2" i="1" s="1"/>
  <c r="JX2" i="1"/>
  <c r="LT2" i="1" s="1"/>
  <c r="JY2" i="1"/>
  <c r="LU2" i="1" s="1"/>
  <c r="JZ2" i="1"/>
  <c r="LV2" i="1" s="1"/>
  <c r="KA2" i="1"/>
  <c r="LW2" i="1" s="1"/>
  <c r="KB2" i="1"/>
  <c r="LX2" i="1" s="1"/>
  <c r="KC2" i="1"/>
  <c r="LY2" i="1" s="1"/>
  <c r="KD2" i="1"/>
  <c r="LZ2" i="1" s="1"/>
  <c r="KE2" i="1"/>
  <c r="MA2" i="1" s="1"/>
  <c r="KF2" i="1"/>
  <c r="MB2" i="1" s="1"/>
  <c r="KG2" i="1"/>
  <c r="MC2" i="1" s="1"/>
  <c r="JR3" i="1"/>
  <c r="JS3" i="1"/>
  <c r="LO3" i="1" s="1"/>
  <c r="JT3" i="1"/>
  <c r="LP3" i="1" s="1"/>
  <c r="JU3" i="1"/>
  <c r="LQ3" i="1" s="1"/>
  <c r="JV3" i="1"/>
  <c r="LR3" i="1" s="1"/>
  <c r="JW3" i="1"/>
  <c r="LS3" i="1" s="1"/>
  <c r="JX3" i="1"/>
  <c r="LT3" i="1" s="1"/>
  <c r="JY3" i="1"/>
  <c r="LU3" i="1" s="1"/>
  <c r="JZ3" i="1"/>
  <c r="LV3" i="1" s="1"/>
  <c r="KA3" i="1"/>
  <c r="LW3" i="1" s="1"/>
  <c r="KB3" i="1"/>
  <c r="LX3" i="1" s="1"/>
  <c r="KC3" i="1"/>
  <c r="LY3" i="1" s="1"/>
  <c r="KD3" i="1"/>
  <c r="LZ3" i="1" s="1"/>
  <c r="KE3" i="1"/>
  <c r="MA3" i="1" s="1"/>
  <c r="KF3" i="1"/>
  <c r="MB3" i="1" s="1"/>
  <c r="KG3" i="1"/>
  <c r="MC3" i="1" s="1"/>
  <c r="JR86" i="1"/>
  <c r="JS86" i="1"/>
  <c r="LO86" i="1" s="1"/>
  <c r="JT86" i="1"/>
  <c r="LP86" i="1" s="1"/>
  <c r="JU86" i="1"/>
  <c r="LQ86" i="1" s="1"/>
  <c r="JV86" i="1"/>
  <c r="LR86" i="1" s="1"/>
  <c r="JW86" i="1"/>
  <c r="LS86" i="1" s="1"/>
  <c r="JX86" i="1"/>
  <c r="LT86" i="1" s="1"/>
  <c r="JY86" i="1"/>
  <c r="LU86" i="1" s="1"/>
  <c r="JZ86" i="1"/>
  <c r="LV86" i="1" s="1"/>
  <c r="KA86" i="1"/>
  <c r="LW86" i="1" s="1"/>
  <c r="KB86" i="1"/>
  <c r="LX86" i="1" s="1"/>
  <c r="KC86" i="1"/>
  <c r="LY86" i="1" s="1"/>
  <c r="KD86" i="1"/>
  <c r="LZ86" i="1" s="1"/>
  <c r="KE86" i="1"/>
  <c r="MA86" i="1" s="1"/>
  <c r="KF86" i="1"/>
  <c r="MB86" i="1" s="1"/>
  <c r="KG86" i="1"/>
  <c r="MC86" i="1" s="1"/>
  <c r="JR4" i="1"/>
  <c r="JS4" i="1"/>
  <c r="LO4" i="1" s="1"/>
  <c r="JT4" i="1"/>
  <c r="LP4" i="1" s="1"/>
  <c r="JU4" i="1"/>
  <c r="LQ4" i="1" s="1"/>
  <c r="JV4" i="1"/>
  <c r="LR4" i="1" s="1"/>
  <c r="JW4" i="1"/>
  <c r="LS4" i="1" s="1"/>
  <c r="JX4" i="1"/>
  <c r="LT4" i="1" s="1"/>
  <c r="JY4" i="1"/>
  <c r="LU4" i="1" s="1"/>
  <c r="JZ4" i="1"/>
  <c r="LV4" i="1" s="1"/>
  <c r="KA4" i="1"/>
  <c r="LW4" i="1" s="1"/>
  <c r="KB4" i="1"/>
  <c r="LX4" i="1" s="1"/>
  <c r="KC4" i="1"/>
  <c r="LY4" i="1" s="1"/>
  <c r="KD4" i="1"/>
  <c r="LZ4" i="1" s="1"/>
  <c r="KE4" i="1"/>
  <c r="MA4" i="1" s="1"/>
  <c r="KF4" i="1"/>
  <c r="MB4" i="1" s="1"/>
  <c r="KG4" i="1"/>
  <c r="MC4" i="1" s="1"/>
  <c r="JR5" i="1"/>
  <c r="JS5" i="1"/>
  <c r="LO5" i="1" s="1"/>
  <c r="JT5" i="1"/>
  <c r="LP5" i="1" s="1"/>
  <c r="JU5" i="1"/>
  <c r="LQ5" i="1" s="1"/>
  <c r="JV5" i="1"/>
  <c r="LR5" i="1" s="1"/>
  <c r="JW5" i="1"/>
  <c r="LS5" i="1" s="1"/>
  <c r="JX5" i="1"/>
  <c r="LT5" i="1" s="1"/>
  <c r="JY5" i="1"/>
  <c r="LU5" i="1" s="1"/>
  <c r="JZ5" i="1"/>
  <c r="LV5" i="1" s="1"/>
  <c r="KA5" i="1"/>
  <c r="LW5" i="1" s="1"/>
  <c r="KB5" i="1"/>
  <c r="LX5" i="1" s="1"/>
  <c r="KC5" i="1"/>
  <c r="LY5" i="1" s="1"/>
  <c r="KD5" i="1"/>
  <c r="LZ5" i="1" s="1"/>
  <c r="KE5" i="1"/>
  <c r="MA5" i="1" s="1"/>
  <c r="KF5" i="1"/>
  <c r="MB5" i="1" s="1"/>
  <c r="KG5" i="1"/>
  <c r="MC5" i="1" s="1"/>
  <c r="JR6" i="1"/>
  <c r="JS6" i="1"/>
  <c r="LO6" i="1" s="1"/>
  <c r="JT6" i="1"/>
  <c r="LP6" i="1" s="1"/>
  <c r="JU6" i="1"/>
  <c r="LQ6" i="1" s="1"/>
  <c r="JV6" i="1"/>
  <c r="LR6" i="1" s="1"/>
  <c r="JW6" i="1"/>
  <c r="LS6" i="1" s="1"/>
  <c r="JX6" i="1"/>
  <c r="LT6" i="1" s="1"/>
  <c r="JY6" i="1"/>
  <c r="LU6" i="1" s="1"/>
  <c r="JZ6" i="1"/>
  <c r="LV6" i="1" s="1"/>
  <c r="KA6" i="1"/>
  <c r="LW6" i="1" s="1"/>
  <c r="KB6" i="1"/>
  <c r="LX6" i="1" s="1"/>
  <c r="KC6" i="1"/>
  <c r="LY6" i="1" s="1"/>
  <c r="KD6" i="1"/>
  <c r="LZ6" i="1" s="1"/>
  <c r="KE6" i="1"/>
  <c r="MA6" i="1" s="1"/>
  <c r="KF6" i="1"/>
  <c r="MB6" i="1" s="1"/>
  <c r="KG6" i="1"/>
  <c r="MC6" i="1" s="1"/>
  <c r="JR8" i="1"/>
  <c r="JS8" i="1"/>
  <c r="LO8" i="1" s="1"/>
  <c r="JT8" i="1"/>
  <c r="LP8" i="1" s="1"/>
  <c r="JU8" i="1"/>
  <c r="LQ8" i="1" s="1"/>
  <c r="JV8" i="1"/>
  <c r="LR8" i="1" s="1"/>
  <c r="JW8" i="1"/>
  <c r="LS8" i="1" s="1"/>
  <c r="JX8" i="1"/>
  <c r="LT8" i="1" s="1"/>
  <c r="JY8" i="1"/>
  <c r="LU8" i="1" s="1"/>
  <c r="JZ8" i="1"/>
  <c r="LV8" i="1" s="1"/>
  <c r="KA8" i="1"/>
  <c r="LW8" i="1" s="1"/>
  <c r="KB8" i="1"/>
  <c r="LX8" i="1" s="1"/>
  <c r="KC8" i="1"/>
  <c r="LY8" i="1" s="1"/>
  <c r="KD8" i="1"/>
  <c r="LZ8" i="1" s="1"/>
  <c r="KE8" i="1"/>
  <c r="MA8" i="1" s="1"/>
  <c r="KF8" i="1"/>
  <c r="MB8" i="1" s="1"/>
  <c r="KG8" i="1"/>
  <c r="MC8" i="1" s="1"/>
  <c r="JR7" i="1"/>
  <c r="JS7" i="1"/>
  <c r="LO7" i="1" s="1"/>
  <c r="JT7" i="1"/>
  <c r="LP7" i="1" s="1"/>
  <c r="JU7" i="1"/>
  <c r="LQ7" i="1" s="1"/>
  <c r="JV7" i="1"/>
  <c r="LR7" i="1" s="1"/>
  <c r="JW7" i="1"/>
  <c r="LS7" i="1" s="1"/>
  <c r="JX7" i="1"/>
  <c r="LT7" i="1" s="1"/>
  <c r="JY7" i="1"/>
  <c r="LU7" i="1" s="1"/>
  <c r="JZ7" i="1"/>
  <c r="LV7" i="1" s="1"/>
  <c r="KA7" i="1"/>
  <c r="LW7" i="1" s="1"/>
  <c r="KB7" i="1"/>
  <c r="LX7" i="1" s="1"/>
  <c r="KC7" i="1"/>
  <c r="LY7" i="1" s="1"/>
  <c r="KD7" i="1"/>
  <c r="LZ7" i="1" s="1"/>
  <c r="KE7" i="1"/>
  <c r="MA7" i="1" s="1"/>
  <c r="KF7" i="1"/>
  <c r="MB7" i="1" s="1"/>
  <c r="KG7" i="1"/>
  <c r="MC7" i="1" s="1"/>
  <c r="JR9" i="1"/>
  <c r="JS9" i="1"/>
  <c r="LO9" i="1" s="1"/>
  <c r="JT9" i="1"/>
  <c r="LP9" i="1" s="1"/>
  <c r="JU9" i="1"/>
  <c r="LQ9" i="1" s="1"/>
  <c r="JV9" i="1"/>
  <c r="LR9" i="1" s="1"/>
  <c r="JW9" i="1"/>
  <c r="LS9" i="1" s="1"/>
  <c r="JX9" i="1"/>
  <c r="LT9" i="1" s="1"/>
  <c r="JY9" i="1"/>
  <c r="LU9" i="1" s="1"/>
  <c r="JZ9" i="1"/>
  <c r="LV9" i="1" s="1"/>
  <c r="KA9" i="1"/>
  <c r="LW9" i="1" s="1"/>
  <c r="KB9" i="1"/>
  <c r="LX9" i="1" s="1"/>
  <c r="KC9" i="1"/>
  <c r="LY9" i="1" s="1"/>
  <c r="KD9" i="1"/>
  <c r="LZ9" i="1" s="1"/>
  <c r="KE9" i="1"/>
  <c r="MA9" i="1" s="1"/>
  <c r="KF9" i="1"/>
  <c r="MB9" i="1" s="1"/>
  <c r="KG9" i="1"/>
  <c r="MC9" i="1" s="1"/>
  <c r="JR10" i="1"/>
  <c r="JS10" i="1"/>
  <c r="LO10" i="1" s="1"/>
  <c r="JT10" i="1"/>
  <c r="LP10" i="1" s="1"/>
  <c r="JU10" i="1"/>
  <c r="LQ10" i="1" s="1"/>
  <c r="JV10" i="1"/>
  <c r="LR10" i="1" s="1"/>
  <c r="JW10" i="1"/>
  <c r="LS10" i="1" s="1"/>
  <c r="JX10" i="1"/>
  <c r="LT10" i="1" s="1"/>
  <c r="JY10" i="1"/>
  <c r="LU10" i="1" s="1"/>
  <c r="JZ10" i="1"/>
  <c r="LV10" i="1" s="1"/>
  <c r="KA10" i="1"/>
  <c r="LW10" i="1" s="1"/>
  <c r="KB10" i="1"/>
  <c r="LX10" i="1" s="1"/>
  <c r="KC10" i="1"/>
  <c r="LY10" i="1" s="1"/>
  <c r="KD10" i="1"/>
  <c r="LZ10" i="1" s="1"/>
  <c r="KE10" i="1"/>
  <c r="MA10" i="1" s="1"/>
  <c r="KF10" i="1"/>
  <c r="MB10" i="1" s="1"/>
  <c r="KG10" i="1"/>
  <c r="MC10" i="1" s="1"/>
  <c r="JR11" i="1"/>
  <c r="JS11" i="1"/>
  <c r="LO11" i="1" s="1"/>
  <c r="JT11" i="1"/>
  <c r="LP11" i="1" s="1"/>
  <c r="JU11" i="1"/>
  <c r="LQ11" i="1" s="1"/>
  <c r="JV11" i="1"/>
  <c r="LR11" i="1" s="1"/>
  <c r="JW11" i="1"/>
  <c r="LS11" i="1" s="1"/>
  <c r="JX11" i="1"/>
  <c r="LT11" i="1" s="1"/>
  <c r="JY11" i="1"/>
  <c r="LU11" i="1" s="1"/>
  <c r="JZ11" i="1"/>
  <c r="LV11" i="1" s="1"/>
  <c r="KA11" i="1"/>
  <c r="LW11" i="1" s="1"/>
  <c r="KB11" i="1"/>
  <c r="LX11" i="1" s="1"/>
  <c r="KC11" i="1"/>
  <c r="LY11" i="1" s="1"/>
  <c r="KD11" i="1"/>
  <c r="LZ11" i="1" s="1"/>
  <c r="KE11" i="1"/>
  <c r="MA11" i="1" s="1"/>
  <c r="KF11" i="1"/>
  <c r="MB11" i="1" s="1"/>
  <c r="KG11" i="1"/>
  <c r="MC11" i="1" s="1"/>
  <c r="JR12" i="1"/>
  <c r="JS12" i="1"/>
  <c r="LO12" i="1" s="1"/>
  <c r="JT12" i="1"/>
  <c r="LP12" i="1" s="1"/>
  <c r="JU12" i="1"/>
  <c r="LQ12" i="1" s="1"/>
  <c r="JV12" i="1"/>
  <c r="LR12" i="1" s="1"/>
  <c r="JW12" i="1"/>
  <c r="LS12" i="1" s="1"/>
  <c r="JX12" i="1"/>
  <c r="LT12" i="1" s="1"/>
  <c r="JY12" i="1"/>
  <c r="LU12" i="1" s="1"/>
  <c r="JZ12" i="1"/>
  <c r="LV12" i="1" s="1"/>
  <c r="KA12" i="1"/>
  <c r="LW12" i="1" s="1"/>
  <c r="KB12" i="1"/>
  <c r="LX12" i="1" s="1"/>
  <c r="KC12" i="1"/>
  <c r="LY12" i="1" s="1"/>
  <c r="KD12" i="1"/>
  <c r="LZ12" i="1" s="1"/>
  <c r="KE12" i="1"/>
  <c r="MA12" i="1" s="1"/>
  <c r="KF12" i="1"/>
  <c r="MB12" i="1" s="1"/>
  <c r="KG12" i="1"/>
  <c r="MC12" i="1" s="1"/>
  <c r="JR13" i="1"/>
  <c r="JS13" i="1"/>
  <c r="LO13" i="1" s="1"/>
  <c r="JT13" i="1"/>
  <c r="LP13" i="1" s="1"/>
  <c r="JU13" i="1"/>
  <c r="LQ13" i="1" s="1"/>
  <c r="JV13" i="1"/>
  <c r="LR13" i="1" s="1"/>
  <c r="JW13" i="1"/>
  <c r="LS13" i="1" s="1"/>
  <c r="JX13" i="1"/>
  <c r="LT13" i="1" s="1"/>
  <c r="JY13" i="1"/>
  <c r="LU13" i="1" s="1"/>
  <c r="JZ13" i="1"/>
  <c r="LV13" i="1" s="1"/>
  <c r="KA13" i="1"/>
  <c r="LW13" i="1" s="1"/>
  <c r="KB13" i="1"/>
  <c r="LX13" i="1" s="1"/>
  <c r="KC13" i="1"/>
  <c r="LY13" i="1" s="1"/>
  <c r="KD13" i="1"/>
  <c r="LZ13" i="1" s="1"/>
  <c r="KE13" i="1"/>
  <c r="MA13" i="1" s="1"/>
  <c r="KF13" i="1"/>
  <c r="MB13" i="1" s="1"/>
  <c r="KG13" i="1"/>
  <c r="MC13" i="1" s="1"/>
  <c r="JR87" i="1"/>
  <c r="JS87" i="1"/>
  <c r="LO87" i="1" s="1"/>
  <c r="JT87" i="1"/>
  <c r="LP87" i="1" s="1"/>
  <c r="JU87" i="1"/>
  <c r="LQ87" i="1" s="1"/>
  <c r="JV87" i="1"/>
  <c r="LR87" i="1" s="1"/>
  <c r="JW87" i="1"/>
  <c r="LS87" i="1" s="1"/>
  <c r="JX87" i="1"/>
  <c r="LT87" i="1" s="1"/>
  <c r="JY87" i="1"/>
  <c r="LU87" i="1" s="1"/>
  <c r="JZ87" i="1"/>
  <c r="LV87" i="1" s="1"/>
  <c r="KA87" i="1"/>
  <c r="LW87" i="1" s="1"/>
  <c r="KB87" i="1"/>
  <c r="LX87" i="1" s="1"/>
  <c r="KC87" i="1"/>
  <c r="LY87" i="1" s="1"/>
  <c r="KD87" i="1"/>
  <c r="LZ87" i="1" s="1"/>
  <c r="KE87" i="1"/>
  <c r="MA87" i="1" s="1"/>
  <c r="KF87" i="1"/>
  <c r="MB87" i="1" s="1"/>
  <c r="KG87" i="1"/>
  <c r="MC87" i="1" s="1"/>
  <c r="JR14" i="1"/>
  <c r="JS14" i="1"/>
  <c r="LO14" i="1" s="1"/>
  <c r="JT14" i="1"/>
  <c r="LP14" i="1" s="1"/>
  <c r="JU14" i="1"/>
  <c r="LQ14" i="1" s="1"/>
  <c r="JV14" i="1"/>
  <c r="LR14" i="1" s="1"/>
  <c r="JW14" i="1"/>
  <c r="LS14" i="1" s="1"/>
  <c r="JX14" i="1"/>
  <c r="LT14" i="1" s="1"/>
  <c r="JY14" i="1"/>
  <c r="LU14" i="1" s="1"/>
  <c r="JZ14" i="1"/>
  <c r="LV14" i="1" s="1"/>
  <c r="KA14" i="1"/>
  <c r="LW14" i="1" s="1"/>
  <c r="KB14" i="1"/>
  <c r="LX14" i="1" s="1"/>
  <c r="KC14" i="1"/>
  <c r="LY14" i="1" s="1"/>
  <c r="KD14" i="1"/>
  <c r="LZ14" i="1" s="1"/>
  <c r="KE14" i="1"/>
  <c r="MA14" i="1" s="1"/>
  <c r="KF14" i="1"/>
  <c r="MB14" i="1" s="1"/>
  <c r="KG14" i="1"/>
  <c r="MC14" i="1" s="1"/>
  <c r="JR15" i="1"/>
  <c r="JS15" i="1"/>
  <c r="LO15" i="1" s="1"/>
  <c r="JT15" i="1"/>
  <c r="LP15" i="1" s="1"/>
  <c r="JU15" i="1"/>
  <c r="LQ15" i="1" s="1"/>
  <c r="JV15" i="1"/>
  <c r="LR15" i="1" s="1"/>
  <c r="JW15" i="1"/>
  <c r="LS15" i="1" s="1"/>
  <c r="JX15" i="1"/>
  <c r="LT15" i="1" s="1"/>
  <c r="JY15" i="1"/>
  <c r="LU15" i="1" s="1"/>
  <c r="JZ15" i="1"/>
  <c r="LV15" i="1" s="1"/>
  <c r="KA15" i="1"/>
  <c r="LW15" i="1" s="1"/>
  <c r="KB15" i="1"/>
  <c r="LX15" i="1" s="1"/>
  <c r="KC15" i="1"/>
  <c r="LY15" i="1" s="1"/>
  <c r="KD15" i="1"/>
  <c r="LZ15" i="1" s="1"/>
  <c r="KE15" i="1"/>
  <c r="MA15" i="1" s="1"/>
  <c r="KF15" i="1"/>
  <c r="MB15" i="1" s="1"/>
  <c r="KG15" i="1"/>
  <c r="MC15" i="1" s="1"/>
  <c r="JR16" i="1"/>
  <c r="JS16" i="1"/>
  <c r="LO16" i="1" s="1"/>
  <c r="JT16" i="1"/>
  <c r="LP16" i="1" s="1"/>
  <c r="JU16" i="1"/>
  <c r="LQ16" i="1" s="1"/>
  <c r="JV16" i="1"/>
  <c r="LR16" i="1" s="1"/>
  <c r="JW16" i="1"/>
  <c r="LS16" i="1" s="1"/>
  <c r="JX16" i="1"/>
  <c r="LT16" i="1" s="1"/>
  <c r="JY16" i="1"/>
  <c r="LU16" i="1" s="1"/>
  <c r="JZ16" i="1"/>
  <c r="LV16" i="1" s="1"/>
  <c r="KA16" i="1"/>
  <c r="LW16" i="1" s="1"/>
  <c r="KB16" i="1"/>
  <c r="LX16" i="1" s="1"/>
  <c r="KC16" i="1"/>
  <c r="LY16" i="1" s="1"/>
  <c r="KD16" i="1"/>
  <c r="LZ16" i="1" s="1"/>
  <c r="KE16" i="1"/>
  <c r="MA16" i="1" s="1"/>
  <c r="KF16" i="1"/>
  <c r="MB16" i="1" s="1"/>
  <c r="KG16" i="1"/>
  <c r="MC16" i="1" s="1"/>
  <c r="JR17" i="1"/>
  <c r="JS17" i="1"/>
  <c r="LO17" i="1" s="1"/>
  <c r="JT17" i="1"/>
  <c r="LP17" i="1" s="1"/>
  <c r="JU17" i="1"/>
  <c r="LQ17" i="1" s="1"/>
  <c r="JV17" i="1"/>
  <c r="LR17" i="1" s="1"/>
  <c r="JW17" i="1"/>
  <c r="LS17" i="1" s="1"/>
  <c r="JX17" i="1"/>
  <c r="LT17" i="1" s="1"/>
  <c r="JY17" i="1"/>
  <c r="LU17" i="1" s="1"/>
  <c r="JZ17" i="1"/>
  <c r="LV17" i="1" s="1"/>
  <c r="KA17" i="1"/>
  <c r="LW17" i="1" s="1"/>
  <c r="KB17" i="1"/>
  <c r="LX17" i="1" s="1"/>
  <c r="KC17" i="1"/>
  <c r="LY17" i="1" s="1"/>
  <c r="KD17" i="1"/>
  <c r="LZ17" i="1" s="1"/>
  <c r="KE17" i="1"/>
  <c r="MA17" i="1" s="1"/>
  <c r="KF17" i="1"/>
  <c r="MB17" i="1" s="1"/>
  <c r="KG17" i="1"/>
  <c r="MC17" i="1" s="1"/>
  <c r="JR18" i="1"/>
  <c r="JS18" i="1"/>
  <c r="LO18" i="1" s="1"/>
  <c r="JT18" i="1"/>
  <c r="LP18" i="1" s="1"/>
  <c r="JU18" i="1"/>
  <c r="LQ18" i="1" s="1"/>
  <c r="JV18" i="1"/>
  <c r="LR18" i="1" s="1"/>
  <c r="JW18" i="1"/>
  <c r="LS18" i="1" s="1"/>
  <c r="JX18" i="1"/>
  <c r="LT18" i="1" s="1"/>
  <c r="JY18" i="1"/>
  <c r="LU18" i="1" s="1"/>
  <c r="JZ18" i="1"/>
  <c r="LV18" i="1" s="1"/>
  <c r="KA18" i="1"/>
  <c r="LW18" i="1" s="1"/>
  <c r="KB18" i="1"/>
  <c r="LX18" i="1" s="1"/>
  <c r="KC18" i="1"/>
  <c r="LY18" i="1" s="1"/>
  <c r="KD18" i="1"/>
  <c r="LZ18" i="1" s="1"/>
  <c r="KE18" i="1"/>
  <c r="MA18" i="1" s="1"/>
  <c r="KF18" i="1"/>
  <c r="MB18" i="1" s="1"/>
  <c r="KG18" i="1"/>
  <c r="MC18" i="1" s="1"/>
  <c r="JR19" i="1"/>
  <c r="JS19" i="1"/>
  <c r="LO19" i="1" s="1"/>
  <c r="JT19" i="1"/>
  <c r="LP19" i="1" s="1"/>
  <c r="JU19" i="1"/>
  <c r="LQ19" i="1" s="1"/>
  <c r="JV19" i="1"/>
  <c r="LR19" i="1" s="1"/>
  <c r="JW19" i="1"/>
  <c r="LS19" i="1" s="1"/>
  <c r="JX19" i="1"/>
  <c r="LT19" i="1" s="1"/>
  <c r="JY19" i="1"/>
  <c r="LU19" i="1" s="1"/>
  <c r="JZ19" i="1"/>
  <c r="LV19" i="1" s="1"/>
  <c r="KA19" i="1"/>
  <c r="LW19" i="1" s="1"/>
  <c r="KB19" i="1"/>
  <c r="LX19" i="1" s="1"/>
  <c r="KC19" i="1"/>
  <c r="LY19" i="1" s="1"/>
  <c r="KD19" i="1"/>
  <c r="LZ19" i="1" s="1"/>
  <c r="KE19" i="1"/>
  <c r="MA19" i="1" s="1"/>
  <c r="KF19" i="1"/>
  <c r="MB19" i="1" s="1"/>
  <c r="KG19" i="1"/>
  <c r="MC19" i="1" s="1"/>
  <c r="JR20" i="1"/>
  <c r="JS20" i="1"/>
  <c r="LO20" i="1" s="1"/>
  <c r="JT20" i="1"/>
  <c r="LP20" i="1" s="1"/>
  <c r="JU20" i="1"/>
  <c r="LQ20" i="1" s="1"/>
  <c r="JV20" i="1"/>
  <c r="LR20" i="1" s="1"/>
  <c r="JW20" i="1"/>
  <c r="LS20" i="1" s="1"/>
  <c r="JX20" i="1"/>
  <c r="LT20" i="1" s="1"/>
  <c r="JY20" i="1"/>
  <c r="LU20" i="1" s="1"/>
  <c r="JZ20" i="1"/>
  <c r="LV20" i="1" s="1"/>
  <c r="KA20" i="1"/>
  <c r="LW20" i="1" s="1"/>
  <c r="KB20" i="1"/>
  <c r="LX20" i="1" s="1"/>
  <c r="KC20" i="1"/>
  <c r="LY20" i="1" s="1"/>
  <c r="KD20" i="1"/>
  <c r="LZ20" i="1" s="1"/>
  <c r="KE20" i="1"/>
  <c r="MA20" i="1" s="1"/>
  <c r="KF20" i="1"/>
  <c r="MB20" i="1" s="1"/>
  <c r="KG20" i="1"/>
  <c r="MC20" i="1" s="1"/>
  <c r="JR21" i="1"/>
  <c r="JS21" i="1"/>
  <c r="LO21" i="1" s="1"/>
  <c r="JT21" i="1"/>
  <c r="LP21" i="1" s="1"/>
  <c r="JU21" i="1"/>
  <c r="LQ21" i="1" s="1"/>
  <c r="JV21" i="1"/>
  <c r="LR21" i="1" s="1"/>
  <c r="JW21" i="1"/>
  <c r="LS21" i="1" s="1"/>
  <c r="JX21" i="1"/>
  <c r="LT21" i="1" s="1"/>
  <c r="JY21" i="1"/>
  <c r="LU21" i="1" s="1"/>
  <c r="JZ21" i="1"/>
  <c r="LV21" i="1" s="1"/>
  <c r="KA21" i="1"/>
  <c r="LW21" i="1" s="1"/>
  <c r="KB21" i="1"/>
  <c r="LX21" i="1" s="1"/>
  <c r="KC21" i="1"/>
  <c r="LY21" i="1" s="1"/>
  <c r="KD21" i="1"/>
  <c r="LZ21" i="1" s="1"/>
  <c r="KE21" i="1"/>
  <c r="MA21" i="1" s="1"/>
  <c r="KF21" i="1"/>
  <c r="MB21" i="1" s="1"/>
  <c r="KG21" i="1"/>
  <c r="MC21" i="1" s="1"/>
  <c r="JR88" i="1"/>
  <c r="JS88" i="1"/>
  <c r="LO88" i="1" s="1"/>
  <c r="JT88" i="1"/>
  <c r="LP88" i="1" s="1"/>
  <c r="JU88" i="1"/>
  <c r="LQ88" i="1" s="1"/>
  <c r="JV88" i="1"/>
  <c r="LR88" i="1" s="1"/>
  <c r="JW88" i="1"/>
  <c r="LS88" i="1" s="1"/>
  <c r="JX88" i="1"/>
  <c r="LT88" i="1" s="1"/>
  <c r="JY88" i="1"/>
  <c r="LU88" i="1" s="1"/>
  <c r="JZ88" i="1"/>
  <c r="LV88" i="1" s="1"/>
  <c r="KA88" i="1"/>
  <c r="LW88" i="1" s="1"/>
  <c r="KB88" i="1"/>
  <c r="LX88" i="1" s="1"/>
  <c r="KC88" i="1"/>
  <c r="LY88" i="1" s="1"/>
  <c r="KD88" i="1"/>
  <c r="LZ88" i="1" s="1"/>
  <c r="KE88" i="1"/>
  <c r="MA88" i="1" s="1"/>
  <c r="KF88" i="1"/>
  <c r="MB88" i="1" s="1"/>
  <c r="KG88" i="1"/>
  <c r="MC88" i="1" s="1"/>
  <c r="JR22" i="1"/>
  <c r="JS22" i="1"/>
  <c r="LO22" i="1" s="1"/>
  <c r="JT22" i="1"/>
  <c r="LP22" i="1" s="1"/>
  <c r="JU22" i="1"/>
  <c r="LQ22" i="1" s="1"/>
  <c r="JV22" i="1"/>
  <c r="LR22" i="1" s="1"/>
  <c r="JW22" i="1"/>
  <c r="LS22" i="1" s="1"/>
  <c r="JX22" i="1"/>
  <c r="LT22" i="1" s="1"/>
  <c r="JY22" i="1"/>
  <c r="LU22" i="1" s="1"/>
  <c r="JZ22" i="1"/>
  <c r="LV22" i="1" s="1"/>
  <c r="KA22" i="1"/>
  <c r="LW22" i="1" s="1"/>
  <c r="KB22" i="1"/>
  <c r="LX22" i="1" s="1"/>
  <c r="KC22" i="1"/>
  <c r="LY22" i="1" s="1"/>
  <c r="KD22" i="1"/>
  <c r="LZ22" i="1" s="1"/>
  <c r="KE22" i="1"/>
  <c r="MA22" i="1" s="1"/>
  <c r="KF22" i="1"/>
  <c r="MB22" i="1" s="1"/>
  <c r="KG22" i="1"/>
  <c r="MC22" i="1" s="1"/>
  <c r="JR89" i="1"/>
  <c r="JS89" i="1"/>
  <c r="LO89" i="1" s="1"/>
  <c r="JT89" i="1"/>
  <c r="LP89" i="1" s="1"/>
  <c r="JU89" i="1"/>
  <c r="LQ89" i="1" s="1"/>
  <c r="JV89" i="1"/>
  <c r="LR89" i="1" s="1"/>
  <c r="JW89" i="1"/>
  <c r="LS89" i="1" s="1"/>
  <c r="JX89" i="1"/>
  <c r="LT89" i="1" s="1"/>
  <c r="JY89" i="1"/>
  <c r="LU89" i="1" s="1"/>
  <c r="JZ89" i="1"/>
  <c r="LV89" i="1" s="1"/>
  <c r="KA89" i="1"/>
  <c r="LW89" i="1" s="1"/>
  <c r="KB89" i="1"/>
  <c r="LX89" i="1" s="1"/>
  <c r="KC89" i="1"/>
  <c r="LY89" i="1" s="1"/>
  <c r="KD89" i="1"/>
  <c r="LZ89" i="1" s="1"/>
  <c r="KE89" i="1"/>
  <c r="MA89" i="1" s="1"/>
  <c r="KF89" i="1"/>
  <c r="MB89" i="1" s="1"/>
  <c r="KG89" i="1"/>
  <c r="MC89" i="1" s="1"/>
  <c r="JR23" i="1"/>
  <c r="JS23" i="1"/>
  <c r="LO23" i="1" s="1"/>
  <c r="JT23" i="1"/>
  <c r="LP23" i="1" s="1"/>
  <c r="JU23" i="1"/>
  <c r="LQ23" i="1" s="1"/>
  <c r="JV23" i="1"/>
  <c r="LR23" i="1" s="1"/>
  <c r="JW23" i="1"/>
  <c r="LS23" i="1" s="1"/>
  <c r="JX23" i="1"/>
  <c r="LT23" i="1" s="1"/>
  <c r="JY23" i="1"/>
  <c r="LU23" i="1" s="1"/>
  <c r="JZ23" i="1"/>
  <c r="LV23" i="1" s="1"/>
  <c r="KA23" i="1"/>
  <c r="LW23" i="1" s="1"/>
  <c r="KB23" i="1"/>
  <c r="LX23" i="1" s="1"/>
  <c r="KC23" i="1"/>
  <c r="LY23" i="1" s="1"/>
  <c r="KD23" i="1"/>
  <c r="LZ23" i="1" s="1"/>
  <c r="KE23" i="1"/>
  <c r="MA23" i="1" s="1"/>
  <c r="KF23" i="1"/>
  <c r="MB23" i="1" s="1"/>
  <c r="KG23" i="1"/>
  <c r="MC23" i="1" s="1"/>
  <c r="JR24" i="1"/>
  <c r="JS24" i="1"/>
  <c r="LO24" i="1" s="1"/>
  <c r="JT24" i="1"/>
  <c r="LP24" i="1" s="1"/>
  <c r="JU24" i="1"/>
  <c r="LQ24" i="1" s="1"/>
  <c r="JV24" i="1"/>
  <c r="LR24" i="1" s="1"/>
  <c r="JW24" i="1"/>
  <c r="LS24" i="1" s="1"/>
  <c r="JX24" i="1"/>
  <c r="LT24" i="1" s="1"/>
  <c r="JY24" i="1"/>
  <c r="LU24" i="1" s="1"/>
  <c r="JZ24" i="1"/>
  <c r="LV24" i="1" s="1"/>
  <c r="KA24" i="1"/>
  <c r="LW24" i="1" s="1"/>
  <c r="KB24" i="1"/>
  <c r="LX24" i="1" s="1"/>
  <c r="KC24" i="1"/>
  <c r="LY24" i="1" s="1"/>
  <c r="KD24" i="1"/>
  <c r="LZ24" i="1" s="1"/>
  <c r="KE24" i="1"/>
  <c r="MA24" i="1" s="1"/>
  <c r="KF24" i="1"/>
  <c r="MB24" i="1" s="1"/>
  <c r="KG24" i="1"/>
  <c r="MC24" i="1" s="1"/>
  <c r="JR25" i="1"/>
  <c r="JS25" i="1"/>
  <c r="LO25" i="1" s="1"/>
  <c r="JT25" i="1"/>
  <c r="LP25" i="1" s="1"/>
  <c r="JU25" i="1"/>
  <c r="LQ25" i="1" s="1"/>
  <c r="JV25" i="1"/>
  <c r="LR25" i="1" s="1"/>
  <c r="JW25" i="1"/>
  <c r="LS25" i="1" s="1"/>
  <c r="JX25" i="1"/>
  <c r="LT25" i="1" s="1"/>
  <c r="JY25" i="1"/>
  <c r="LU25" i="1" s="1"/>
  <c r="JZ25" i="1"/>
  <c r="LV25" i="1" s="1"/>
  <c r="KA25" i="1"/>
  <c r="LW25" i="1" s="1"/>
  <c r="KB25" i="1"/>
  <c r="LX25" i="1" s="1"/>
  <c r="KC25" i="1"/>
  <c r="LY25" i="1" s="1"/>
  <c r="KD25" i="1"/>
  <c r="LZ25" i="1" s="1"/>
  <c r="KE25" i="1"/>
  <c r="MA25" i="1" s="1"/>
  <c r="KF25" i="1"/>
  <c r="MB25" i="1" s="1"/>
  <c r="KG25" i="1"/>
  <c r="MC25" i="1" s="1"/>
  <c r="JR26" i="1"/>
  <c r="JS26" i="1"/>
  <c r="LO26" i="1" s="1"/>
  <c r="JT26" i="1"/>
  <c r="LP26" i="1" s="1"/>
  <c r="JU26" i="1"/>
  <c r="LQ26" i="1" s="1"/>
  <c r="JV26" i="1"/>
  <c r="LR26" i="1" s="1"/>
  <c r="JW26" i="1"/>
  <c r="LS26" i="1" s="1"/>
  <c r="JX26" i="1"/>
  <c r="LT26" i="1" s="1"/>
  <c r="JY26" i="1"/>
  <c r="LU26" i="1" s="1"/>
  <c r="JZ26" i="1"/>
  <c r="LV26" i="1" s="1"/>
  <c r="KA26" i="1"/>
  <c r="LW26" i="1" s="1"/>
  <c r="KB26" i="1"/>
  <c r="LX26" i="1" s="1"/>
  <c r="KC26" i="1"/>
  <c r="LY26" i="1" s="1"/>
  <c r="KD26" i="1"/>
  <c r="LZ26" i="1" s="1"/>
  <c r="KE26" i="1"/>
  <c r="MA26" i="1" s="1"/>
  <c r="KF26" i="1"/>
  <c r="MB26" i="1" s="1"/>
  <c r="KG26" i="1"/>
  <c r="MC26" i="1" s="1"/>
  <c r="JR27" i="1"/>
  <c r="JS27" i="1"/>
  <c r="LO27" i="1" s="1"/>
  <c r="JT27" i="1"/>
  <c r="LP27" i="1" s="1"/>
  <c r="JU27" i="1"/>
  <c r="LQ27" i="1" s="1"/>
  <c r="JV27" i="1"/>
  <c r="LR27" i="1" s="1"/>
  <c r="JW27" i="1"/>
  <c r="LS27" i="1" s="1"/>
  <c r="JX27" i="1"/>
  <c r="LT27" i="1" s="1"/>
  <c r="JY27" i="1"/>
  <c r="LU27" i="1" s="1"/>
  <c r="JZ27" i="1"/>
  <c r="LV27" i="1" s="1"/>
  <c r="KA27" i="1"/>
  <c r="LW27" i="1" s="1"/>
  <c r="KB27" i="1"/>
  <c r="LX27" i="1" s="1"/>
  <c r="KC27" i="1"/>
  <c r="LY27" i="1" s="1"/>
  <c r="KD27" i="1"/>
  <c r="LZ27" i="1" s="1"/>
  <c r="KE27" i="1"/>
  <c r="MA27" i="1" s="1"/>
  <c r="KF27" i="1"/>
  <c r="MB27" i="1" s="1"/>
  <c r="KG27" i="1"/>
  <c r="MC27" i="1" s="1"/>
  <c r="JR28" i="1"/>
  <c r="JS28" i="1"/>
  <c r="LO28" i="1" s="1"/>
  <c r="JT28" i="1"/>
  <c r="LP28" i="1" s="1"/>
  <c r="JU28" i="1"/>
  <c r="LQ28" i="1" s="1"/>
  <c r="JV28" i="1"/>
  <c r="LR28" i="1" s="1"/>
  <c r="JW28" i="1"/>
  <c r="LS28" i="1" s="1"/>
  <c r="JX28" i="1"/>
  <c r="LT28" i="1" s="1"/>
  <c r="JY28" i="1"/>
  <c r="LU28" i="1" s="1"/>
  <c r="JZ28" i="1"/>
  <c r="LV28" i="1" s="1"/>
  <c r="KA28" i="1"/>
  <c r="LW28" i="1" s="1"/>
  <c r="KB28" i="1"/>
  <c r="LX28" i="1" s="1"/>
  <c r="KC28" i="1"/>
  <c r="LY28" i="1" s="1"/>
  <c r="KD28" i="1"/>
  <c r="LZ28" i="1" s="1"/>
  <c r="KE28" i="1"/>
  <c r="MA28" i="1" s="1"/>
  <c r="KF28" i="1"/>
  <c r="MB28" i="1" s="1"/>
  <c r="KG28" i="1"/>
  <c r="MC28" i="1" s="1"/>
  <c r="JR29" i="1"/>
  <c r="JS29" i="1"/>
  <c r="LO29" i="1" s="1"/>
  <c r="JT29" i="1"/>
  <c r="LP29" i="1" s="1"/>
  <c r="JU29" i="1"/>
  <c r="LQ29" i="1" s="1"/>
  <c r="JV29" i="1"/>
  <c r="LR29" i="1" s="1"/>
  <c r="JW29" i="1"/>
  <c r="LS29" i="1" s="1"/>
  <c r="JX29" i="1"/>
  <c r="LT29" i="1" s="1"/>
  <c r="JY29" i="1"/>
  <c r="LU29" i="1" s="1"/>
  <c r="JZ29" i="1"/>
  <c r="LV29" i="1" s="1"/>
  <c r="KA29" i="1"/>
  <c r="LW29" i="1" s="1"/>
  <c r="KB29" i="1"/>
  <c r="LX29" i="1" s="1"/>
  <c r="KC29" i="1"/>
  <c r="LY29" i="1" s="1"/>
  <c r="KD29" i="1"/>
  <c r="LZ29" i="1" s="1"/>
  <c r="KE29" i="1"/>
  <c r="MA29" i="1" s="1"/>
  <c r="KF29" i="1"/>
  <c r="MB29" i="1" s="1"/>
  <c r="KG29" i="1"/>
  <c r="MC29" i="1" s="1"/>
  <c r="JR30" i="1"/>
  <c r="JS30" i="1"/>
  <c r="LO30" i="1" s="1"/>
  <c r="JT30" i="1"/>
  <c r="LP30" i="1" s="1"/>
  <c r="JU30" i="1"/>
  <c r="LQ30" i="1" s="1"/>
  <c r="JV30" i="1"/>
  <c r="LR30" i="1" s="1"/>
  <c r="JW30" i="1"/>
  <c r="LS30" i="1" s="1"/>
  <c r="JX30" i="1"/>
  <c r="LT30" i="1" s="1"/>
  <c r="JY30" i="1"/>
  <c r="LU30" i="1" s="1"/>
  <c r="JZ30" i="1"/>
  <c r="LV30" i="1" s="1"/>
  <c r="KA30" i="1"/>
  <c r="LW30" i="1" s="1"/>
  <c r="KB30" i="1"/>
  <c r="LX30" i="1" s="1"/>
  <c r="KC30" i="1"/>
  <c r="LY30" i="1" s="1"/>
  <c r="KD30" i="1"/>
  <c r="LZ30" i="1" s="1"/>
  <c r="KE30" i="1"/>
  <c r="MA30" i="1" s="1"/>
  <c r="KF30" i="1"/>
  <c r="MB30" i="1" s="1"/>
  <c r="KG30" i="1"/>
  <c r="MC30" i="1" s="1"/>
  <c r="JR32" i="1"/>
  <c r="JS32" i="1"/>
  <c r="LO32" i="1" s="1"/>
  <c r="JT32" i="1"/>
  <c r="LP32" i="1" s="1"/>
  <c r="JU32" i="1"/>
  <c r="LQ32" i="1" s="1"/>
  <c r="JV32" i="1"/>
  <c r="LR32" i="1" s="1"/>
  <c r="JW32" i="1"/>
  <c r="LS32" i="1" s="1"/>
  <c r="JX32" i="1"/>
  <c r="LT32" i="1" s="1"/>
  <c r="JY32" i="1"/>
  <c r="LU32" i="1" s="1"/>
  <c r="JZ32" i="1"/>
  <c r="LV32" i="1" s="1"/>
  <c r="KA32" i="1"/>
  <c r="LW32" i="1" s="1"/>
  <c r="KB32" i="1"/>
  <c r="LX32" i="1" s="1"/>
  <c r="KC32" i="1"/>
  <c r="LY32" i="1" s="1"/>
  <c r="KD32" i="1"/>
  <c r="LZ32" i="1" s="1"/>
  <c r="KE32" i="1"/>
  <c r="MA32" i="1" s="1"/>
  <c r="KF32" i="1"/>
  <c r="MB32" i="1" s="1"/>
  <c r="KG32" i="1"/>
  <c r="MC32" i="1" s="1"/>
  <c r="JR31" i="1"/>
  <c r="JS31" i="1"/>
  <c r="LO31" i="1" s="1"/>
  <c r="JT31" i="1"/>
  <c r="LP31" i="1" s="1"/>
  <c r="JU31" i="1"/>
  <c r="LQ31" i="1" s="1"/>
  <c r="JV31" i="1"/>
  <c r="LR31" i="1" s="1"/>
  <c r="JW31" i="1"/>
  <c r="LS31" i="1" s="1"/>
  <c r="JX31" i="1"/>
  <c r="LT31" i="1" s="1"/>
  <c r="JY31" i="1"/>
  <c r="LU31" i="1" s="1"/>
  <c r="JZ31" i="1"/>
  <c r="LV31" i="1" s="1"/>
  <c r="KA31" i="1"/>
  <c r="LW31" i="1" s="1"/>
  <c r="KB31" i="1"/>
  <c r="LX31" i="1" s="1"/>
  <c r="KC31" i="1"/>
  <c r="LY31" i="1" s="1"/>
  <c r="KD31" i="1"/>
  <c r="LZ31" i="1" s="1"/>
  <c r="KE31" i="1"/>
  <c r="MA31" i="1" s="1"/>
  <c r="KF31" i="1"/>
  <c r="MB31" i="1" s="1"/>
  <c r="KG31" i="1"/>
  <c r="MC31" i="1" s="1"/>
  <c r="JR33" i="1"/>
  <c r="JS33" i="1"/>
  <c r="LO33" i="1" s="1"/>
  <c r="JT33" i="1"/>
  <c r="LP33" i="1" s="1"/>
  <c r="JU33" i="1"/>
  <c r="LQ33" i="1" s="1"/>
  <c r="JV33" i="1"/>
  <c r="LR33" i="1" s="1"/>
  <c r="JW33" i="1"/>
  <c r="LS33" i="1" s="1"/>
  <c r="JX33" i="1"/>
  <c r="LT33" i="1" s="1"/>
  <c r="JY33" i="1"/>
  <c r="LU33" i="1" s="1"/>
  <c r="JZ33" i="1"/>
  <c r="LV33" i="1" s="1"/>
  <c r="KA33" i="1"/>
  <c r="LW33" i="1" s="1"/>
  <c r="KB33" i="1"/>
  <c r="LX33" i="1" s="1"/>
  <c r="KC33" i="1"/>
  <c r="LY33" i="1" s="1"/>
  <c r="KD33" i="1"/>
  <c r="LZ33" i="1" s="1"/>
  <c r="KE33" i="1"/>
  <c r="MA33" i="1" s="1"/>
  <c r="KF33" i="1"/>
  <c r="MB33" i="1" s="1"/>
  <c r="KG33" i="1"/>
  <c r="MC33" i="1" s="1"/>
  <c r="JR90" i="1"/>
  <c r="JS90" i="1"/>
  <c r="LO90" i="1" s="1"/>
  <c r="JT90" i="1"/>
  <c r="LP90" i="1" s="1"/>
  <c r="JU90" i="1"/>
  <c r="LQ90" i="1" s="1"/>
  <c r="JV90" i="1"/>
  <c r="LR90" i="1" s="1"/>
  <c r="JW90" i="1"/>
  <c r="LS90" i="1" s="1"/>
  <c r="JX90" i="1"/>
  <c r="LT90" i="1" s="1"/>
  <c r="JY90" i="1"/>
  <c r="LU90" i="1" s="1"/>
  <c r="JZ90" i="1"/>
  <c r="LV90" i="1" s="1"/>
  <c r="KA90" i="1"/>
  <c r="LW90" i="1" s="1"/>
  <c r="KB90" i="1"/>
  <c r="LX90" i="1" s="1"/>
  <c r="KC90" i="1"/>
  <c r="LY90" i="1" s="1"/>
  <c r="KD90" i="1"/>
  <c r="LZ90" i="1" s="1"/>
  <c r="KE90" i="1"/>
  <c r="MA90" i="1" s="1"/>
  <c r="KF90" i="1"/>
  <c r="MB90" i="1" s="1"/>
  <c r="KG90" i="1"/>
  <c r="MC90" i="1" s="1"/>
  <c r="JR91" i="1"/>
  <c r="JS91" i="1"/>
  <c r="LO91" i="1" s="1"/>
  <c r="JT91" i="1"/>
  <c r="LP91" i="1" s="1"/>
  <c r="JU91" i="1"/>
  <c r="LQ91" i="1" s="1"/>
  <c r="JV91" i="1"/>
  <c r="LR91" i="1" s="1"/>
  <c r="JW91" i="1"/>
  <c r="LS91" i="1" s="1"/>
  <c r="JX91" i="1"/>
  <c r="LT91" i="1" s="1"/>
  <c r="JY91" i="1"/>
  <c r="LU91" i="1" s="1"/>
  <c r="JZ91" i="1"/>
  <c r="LV91" i="1" s="1"/>
  <c r="KA91" i="1"/>
  <c r="LW91" i="1" s="1"/>
  <c r="KB91" i="1"/>
  <c r="LX91" i="1" s="1"/>
  <c r="KC91" i="1"/>
  <c r="LY91" i="1" s="1"/>
  <c r="KD91" i="1"/>
  <c r="LZ91" i="1" s="1"/>
  <c r="KE91" i="1"/>
  <c r="MA91" i="1" s="1"/>
  <c r="KF91" i="1"/>
  <c r="MB91" i="1" s="1"/>
  <c r="KG91" i="1"/>
  <c r="MC91" i="1" s="1"/>
  <c r="JR92" i="1"/>
  <c r="JS92" i="1"/>
  <c r="LO92" i="1" s="1"/>
  <c r="JT92" i="1"/>
  <c r="LP92" i="1" s="1"/>
  <c r="JU92" i="1"/>
  <c r="LQ92" i="1" s="1"/>
  <c r="JV92" i="1"/>
  <c r="LR92" i="1" s="1"/>
  <c r="JW92" i="1"/>
  <c r="LS92" i="1" s="1"/>
  <c r="JX92" i="1"/>
  <c r="LT92" i="1" s="1"/>
  <c r="JY92" i="1"/>
  <c r="LU92" i="1" s="1"/>
  <c r="JZ92" i="1"/>
  <c r="LV92" i="1" s="1"/>
  <c r="KA92" i="1"/>
  <c r="LW92" i="1" s="1"/>
  <c r="KB92" i="1"/>
  <c r="LX92" i="1" s="1"/>
  <c r="KC92" i="1"/>
  <c r="LY92" i="1" s="1"/>
  <c r="KD92" i="1"/>
  <c r="LZ92" i="1" s="1"/>
  <c r="KE92" i="1"/>
  <c r="MA92" i="1" s="1"/>
  <c r="KF92" i="1"/>
  <c r="MB92" i="1" s="1"/>
  <c r="KG92" i="1"/>
  <c r="MC92" i="1" s="1"/>
  <c r="JR35" i="1"/>
  <c r="JS35" i="1"/>
  <c r="LO35" i="1" s="1"/>
  <c r="JT35" i="1"/>
  <c r="LP35" i="1" s="1"/>
  <c r="JU35" i="1"/>
  <c r="LQ35" i="1" s="1"/>
  <c r="JV35" i="1"/>
  <c r="LR35" i="1" s="1"/>
  <c r="JW35" i="1"/>
  <c r="LS35" i="1" s="1"/>
  <c r="JX35" i="1"/>
  <c r="LT35" i="1" s="1"/>
  <c r="JY35" i="1"/>
  <c r="LU35" i="1" s="1"/>
  <c r="JZ35" i="1"/>
  <c r="LV35" i="1" s="1"/>
  <c r="KA35" i="1"/>
  <c r="LW35" i="1" s="1"/>
  <c r="KB35" i="1"/>
  <c r="LX35" i="1" s="1"/>
  <c r="KC35" i="1"/>
  <c r="LY35" i="1" s="1"/>
  <c r="KD35" i="1"/>
  <c r="LZ35" i="1" s="1"/>
  <c r="KE35" i="1"/>
  <c r="MA35" i="1" s="1"/>
  <c r="KF35" i="1"/>
  <c r="MB35" i="1" s="1"/>
  <c r="KG35" i="1"/>
  <c r="MC35" i="1" s="1"/>
  <c r="JR34" i="1"/>
  <c r="JS34" i="1"/>
  <c r="LO34" i="1" s="1"/>
  <c r="JT34" i="1"/>
  <c r="LP34" i="1" s="1"/>
  <c r="JU34" i="1"/>
  <c r="LQ34" i="1" s="1"/>
  <c r="JV34" i="1"/>
  <c r="LR34" i="1" s="1"/>
  <c r="JW34" i="1"/>
  <c r="LS34" i="1" s="1"/>
  <c r="JX34" i="1"/>
  <c r="LT34" i="1" s="1"/>
  <c r="JY34" i="1"/>
  <c r="LU34" i="1" s="1"/>
  <c r="JZ34" i="1"/>
  <c r="LV34" i="1" s="1"/>
  <c r="KA34" i="1"/>
  <c r="LW34" i="1" s="1"/>
  <c r="KB34" i="1"/>
  <c r="LX34" i="1" s="1"/>
  <c r="KC34" i="1"/>
  <c r="LY34" i="1" s="1"/>
  <c r="KD34" i="1"/>
  <c r="LZ34" i="1" s="1"/>
  <c r="KE34" i="1"/>
  <c r="MA34" i="1" s="1"/>
  <c r="KF34" i="1"/>
  <c r="MB34" i="1" s="1"/>
  <c r="KG34" i="1"/>
  <c r="MC34" i="1" s="1"/>
  <c r="JR36" i="1"/>
  <c r="JS36" i="1"/>
  <c r="LO36" i="1" s="1"/>
  <c r="JT36" i="1"/>
  <c r="LP36" i="1" s="1"/>
  <c r="JU36" i="1"/>
  <c r="LQ36" i="1" s="1"/>
  <c r="JV36" i="1"/>
  <c r="LR36" i="1" s="1"/>
  <c r="JW36" i="1"/>
  <c r="LS36" i="1" s="1"/>
  <c r="JX36" i="1"/>
  <c r="LT36" i="1" s="1"/>
  <c r="JY36" i="1"/>
  <c r="LU36" i="1" s="1"/>
  <c r="JZ36" i="1"/>
  <c r="LV36" i="1" s="1"/>
  <c r="KA36" i="1"/>
  <c r="LW36" i="1" s="1"/>
  <c r="KB36" i="1"/>
  <c r="LX36" i="1" s="1"/>
  <c r="KC36" i="1"/>
  <c r="LY36" i="1" s="1"/>
  <c r="KD36" i="1"/>
  <c r="LZ36" i="1" s="1"/>
  <c r="KE36" i="1"/>
  <c r="MA36" i="1" s="1"/>
  <c r="KF36" i="1"/>
  <c r="MB36" i="1" s="1"/>
  <c r="KG36" i="1"/>
  <c r="MC36" i="1" s="1"/>
  <c r="JR93" i="1"/>
  <c r="JS93" i="1"/>
  <c r="LO93" i="1" s="1"/>
  <c r="JT93" i="1"/>
  <c r="LP93" i="1" s="1"/>
  <c r="JU93" i="1"/>
  <c r="LQ93" i="1" s="1"/>
  <c r="JV93" i="1"/>
  <c r="LR93" i="1" s="1"/>
  <c r="JW93" i="1"/>
  <c r="LS93" i="1" s="1"/>
  <c r="JX93" i="1"/>
  <c r="LT93" i="1" s="1"/>
  <c r="JY93" i="1"/>
  <c r="LU93" i="1" s="1"/>
  <c r="JZ93" i="1"/>
  <c r="LV93" i="1" s="1"/>
  <c r="KA93" i="1"/>
  <c r="LW93" i="1" s="1"/>
  <c r="KB93" i="1"/>
  <c r="LX93" i="1" s="1"/>
  <c r="KC93" i="1"/>
  <c r="LY93" i="1" s="1"/>
  <c r="KD93" i="1"/>
  <c r="LZ93" i="1" s="1"/>
  <c r="KE93" i="1"/>
  <c r="MA93" i="1" s="1"/>
  <c r="KF93" i="1"/>
  <c r="MB93" i="1" s="1"/>
  <c r="KG93" i="1"/>
  <c r="MC93" i="1" s="1"/>
  <c r="JR40" i="1"/>
  <c r="JS40" i="1"/>
  <c r="LO40" i="1" s="1"/>
  <c r="JT40" i="1"/>
  <c r="LP40" i="1" s="1"/>
  <c r="JU40" i="1"/>
  <c r="LQ40" i="1" s="1"/>
  <c r="JV40" i="1"/>
  <c r="LR40" i="1" s="1"/>
  <c r="JW40" i="1"/>
  <c r="LS40" i="1" s="1"/>
  <c r="JX40" i="1"/>
  <c r="LT40" i="1" s="1"/>
  <c r="JY40" i="1"/>
  <c r="LU40" i="1" s="1"/>
  <c r="JZ40" i="1"/>
  <c r="LV40" i="1" s="1"/>
  <c r="KA40" i="1"/>
  <c r="LW40" i="1" s="1"/>
  <c r="KB40" i="1"/>
  <c r="LX40" i="1" s="1"/>
  <c r="KC40" i="1"/>
  <c r="LY40" i="1" s="1"/>
  <c r="KD40" i="1"/>
  <c r="LZ40" i="1" s="1"/>
  <c r="KE40" i="1"/>
  <c r="MA40" i="1" s="1"/>
  <c r="KF40" i="1"/>
  <c r="MB40" i="1" s="1"/>
  <c r="KG40" i="1"/>
  <c r="MC40" i="1" s="1"/>
  <c r="JR39" i="1"/>
  <c r="JS39" i="1"/>
  <c r="LO39" i="1" s="1"/>
  <c r="JT39" i="1"/>
  <c r="LP39" i="1" s="1"/>
  <c r="JU39" i="1"/>
  <c r="LQ39" i="1" s="1"/>
  <c r="JV39" i="1"/>
  <c r="LR39" i="1" s="1"/>
  <c r="JW39" i="1"/>
  <c r="LS39" i="1" s="1"/>
  <c r="JX39" i="1"/>
  <c r="LT39" i="1" s="1"/>
  <c r="JY39" i="1"/>
  <c r="LU39" i="1" s="1"/>
  <c r="JZ39" i="1"/>
  <c r="LV39" i="1" s="1"/>
  <c r="KA39" i="1"/>
  <c r="LW39" i="1" s="1"/>
  <c r="KB39" i="1"/>
  <c r="LX39" i="1" s="1"/>
  <c r="KC39" i="1"/>
  <c r="LY39" i="1" s="1"/>
  <c r="KD39" i="1"/>
  <c r="LZ39" i="1" s="1"/>
  <c r="KE39" i="1"/>
  <c r="MA39" i="1" s="1"/>
  <c r="KF39" i="1"/>
  <c r="MB39" i="1" s="1"/>
  <c r="KG39" i="1"/>
  <c r="MC39" i="1" s="1"/>
  <c r="JR42" i="1"/>
  <c r="JS42" i="1"/>
  <c r="LO42" i="1" s="1"/>
  <c r="JT42" i="1"/>
  <c r="LP42" i="1" s="1"/>
  <c r="JU42" i="1"/>
  <c r="LQ42" i="1" s="1"/>
  <c r="JV42" i="1"/>
  <c r="LR42" i="1" s="1"/>
  <c r="JW42" i="1"/>
  <c r="LS42" i="1" s="1"/>
  <c r="JX42" i="1"/>
  <c r="LT42" i="1" s="1"/>
  <c r="JY42" i="1"/>
  <c r="LU42" i="1" s="1"/>
  <c r="JZ42" i="1"/>
  <c r="LV42" i="1" s="1"/>
  <c r="KA42" i="1"/>
  <c r="LW42" i="1" s="1"/>
  <c r="KB42" i="1"/>
  <c r="LX42" i="1" s="1"/>
  <c r="KC42" i="1"/>
  <c r="LY42" i="1" s="1"/>
  <c r="KD42" i="1"/>
  <c r="LZ42" i="1" s="1"/>
  <c r="KE42" i="1"/>
  <c r="MA42" i="1" s="1"/>
  <c r="KF42" i="1"/>
  <c r="MB42" i="1" s="1"/>
  <c r="KG42" i="1"/>
  <c r="MC42" i="1" s="1"/>
  <c r="JR41" i="1"/>
  <c r="JS41" i="1"/>
  <c r="LO41" i="1" s="1"/>
  <c r="JT41" i="1"/>
  <c r="LP41" i="1" s="1"/>
  <c r="JU41" i="1"/>
  <c r="LQ41" i="1" s="1"/>
  <c r="JV41" i="1"/>
  <c r="LR41" i="1" s="1"/>
  <c r="JW41" i="1"/>
  <c r="LS41" i="1" s="1"/>
  <c r="JX41" i="1"/>
  <c r="LT41" i="1" s="1"/>
  <c r="JY41" i="1"/>
  <c r="LU41" i="1" s="1"/>
  <c r="JZ41" i="1"/>
  <c r="LV41" i="1" s="1"/>
  <c r="KA41" i="1"/>
  <c r="LW41" i="1" s="1"/>
  <c r="KB41" i="1"/>
  <c r="LX41" i="1" s="1"/>
  <c r="KC41" i="1"/>
  <c r="LY41" i="1" s="1"/>
  <c r="KD41" i="1"/>
  <c r="LZ41" i="1" s="1"/>
  <c r="KE41" i="1"/>
  <c r="MA41" i="1" s="1"/>
  <c r="KF41" i="1"/>
  <c r="MB41" i="1" s="1"/>
  <c r="KG41" i="1"/>
  <c r="MC41" i="1" s="1"/>
  <c r="JR43" i="1"/>
  <c r="JS43" i="1"/>
  <c r="LO43" i="1" s="1"/>
  <c r="JT43" i="1"/>
  <c r="LP43" i="1" s="1"/>
  <c r="JU43" i="1"/>
  <c r="LQ43" i="1" s="1"/>
  <c r="JV43" i="1"/>
  <c r="LR43" i="1" s="1"/>
  <c r="JW43" i="1"/>
  <c r="LS43" i="1" s="1"/>
  <c r="JX43" i="1"/>
  <c r="LT43" i="1" s="1"/>
  <c r="JY43" i="1"/>
  <c r="LU43" i="1" s="1"/>
  <c r="JZ43" i="1"/>
  <c r="LV43" i="1" s="1"/>
  <c r="KA43" i="1"/>
  <c r="LW43" i="1" s="1"/>
  <c r="KB43" i="1"/>
  <c r="LX43" i="1" s="1"/>
  <c r="KC43" i="1"/>
  <c r="LY43" i="1" s="1"/>
  <c r="KD43" i="1"/>
  <c r="LZ43" i="1" s="1"/>
  <c r="KE43" i="1"/>
  <c r="MA43" i="1" s="1"/>
  <c r="KF43" i="1"/>
  <c r="MB43" i="1" s="1"/>
  <c r="KG43" i="1"/>
  <c r="MC43" i="1" s="1"/>
  <c r="JR94" i="1"/>
  <c r="JS94" i="1"/>
  <c r="LO94" i="1" s="1"/>
  <c r="JT94" i="1"/>
  <c r="LP94" i="1" s="1"/>
  <c r="JU94" i="1"/>
  <c r="LQ94" i="1" s="1"/>
  <c r="JV94" i="1"/>
  <c r="LR94" i="1" s="1"/>
  <c r="JW94" i="1"/>
  <c r="LS94" i="1" s="1"/>
  <c r="JX94" i="1"/>
  <c r="LT94" i="1" s="1"/>
  <c r="JY94" i="1"/>
  <c r="LU94" i="1" s="1"/>
  <c r="JZ94" i="1"/>
  <c r="LV94" i="1" s="1"/>
  <c r="KA94" i="1"/>
  <c r="LW94" i="1" s="1"/>
  <c r="KB94" i="1"/>
  <c r="LX94" i="1" s="1"/>
  <c r="KC94" i="1"/>
  <c r="LY94" i="1" s="1"/>
  <c r="KD94" i="1"/>
  <c r="LZ94" i="1" s="1"/>
  <c r="KE94" i="1"/>
  <c r="MA94" i="1" s="1"/>
  <c r="KF94" i="1"/>
  <c r="MB94" i="1" s="1"/>
  <c r="KG94" i="1"/>
  <c r="MC94" i="1" s="1"/>
  <c r="JR95" i="1"/>
  <c r="JS95" i="1"/>
  <c r="LO95" i="1" s="1"/>
  <c r="JT95" i="1"/>
  <c r="LP95" i="1" s="1"/>
  <c r="JU95" i="1"/>
  <c r="LQ95" i="1" s="1"/>
  <c r="JV95" i="1"/>
  <c r="LR95" i="1" s="1"/>
  <c r="JW95" i="1"/>
  <c r="LS95" i="1" s="1"/>
  <c r="JX95" i="1"/>
  <c r="LT95" i="1" s="1"/>
  <c r="JY95" i="1"/>
  <c r="LU95" i="1" s="1"/>
  <c r="JZ95" i="1"/>
  <c r="LV95" i="1" s="1"/>
  <c r="KA95" i="1"/>
  <c r="LW95" i="1" s="1"/>
  <c r="KB95" i="1"/>
  <c r="LX95" i="1" s="1"/>
  <c r="KC95" i="1"/>
  <c r="LY95" i="1" s="1"/>
  <c r="KD95" i="1"/>
  <c r="LZ95" i="1" s="1"/>
  <c r="KE95" i="1"/>
  <c r="MA95" i="1" s="1"/>
  <c r="KF95" i="1"/>
  <c r="MB95" i="1" s="1"/>
  <c r="KG95" i="1"/>
  <c r="MC95" i="1" s="1"/>
  <c r="JR96" i="1"/>
  <c r="JS96" i="1"/>
  <c r="LO96" i="1" s="1"/>
  <c r="JT96" i="1"/>
  <c r="LP96" i="1" s="1"/>
  <c r="JU96" i="1"/>
  <c r="LQ96" i="1" s="1"/>
  <c r="JV96" i="1"/>
  <c r="LR96" i="1" s="1"/>
  <c r="JW96" i="1"/>
  <c r="LS96" i="1" s="1"/>
  <c r="JX96" i="1"/>
  <c r="LT96" i="1" s="1"/>
  <c r="JY96" i="1"/>
  <c r="LU96" i="1" s="1"/>
  <c r="JZ96" i="1"/>
  <c r="LV96" i="1" s="1"/>
  <c r="KA96" i="1"/>
  <c r="LW96" i="1" s="1"/>
  <c r="KB96" i="1"/>
  <c r="LX96" i="1" s="1"/>
  <c r="KC96" i="1"/>
  <c r="LY96" i="1" s="1"/>
  <c r="KD96" i="1"/>
  <c r="LZ96" i="1" s="1"/>
  <c r="KE96" i="1"/>
  <c r="MA96" i="1" s="1"/>
  <c r="KF96" i="1"/>
  <c r="MB96" i="1" s="1"/>
  <c r="KG96" i="1"/>
  <c r="MC96" i="1" s="1"/>
  <c r="JR97" i="1"/>
  <c r="JS97" i="1"/>
  <c r="LO97" i="1" s="1"/>
  <c r="JT97" i="1"/>
  <c r="LP97" i="1" s="1"/>
  <c r="JU97" i="1"/>
  <c r="LQ97" i="1" s="1"/>
  <c r="JV97" i="1"/>
  <c r="LR97" i="1" s="1"/>
  <c r="JW97" i="1"/>
  <c r="LS97" i="1" s="1"/>
  <c r="JX97" i="1"/>
  <c r="LT97" i="1" s="1"/>
  <c r="JY97" i="1"/>
  <c r="LU97" i="1" s="1"/>
  <c r="JZ97" i="1"/>
  <c r="LV97" i="1" s="1"/>
  <c r="KA97" i="1"/>
  <c r="LW97" i="1" s="1"/>
  <c r="KB97" i="1"/>
  <c r="LX97" i="1" s="1"/>
  <c r="KC97" i="1"/>
  <c r="LY97" i="1" s="1"/>
  <c r="KD97" i="1"/>
  <c r="LZ97" i="1" s="1"/>
  <c r="KE97" i="1"/>
  <c r="MA97" i="1" s="1"/>
  <c r="KF97" i="1"/>
  <c r="MB97" i="1" s="1"/>
  <c r="KG97" i="1"/>
  <c r="MC97" i="1" s="1"/>
  <c r="JR98" i="1"/>
  <c r="JS98" i="1"/>
  <c r="LO98" i="1" s="1"/>
  <c r="JT98" i="1"/>
  <c r="LP98" i="1" s="1"/>
  <c r="JU98" i="1"/>
  <c r="LQ98" i="1" s="1"/>
  <c r="JV98" i="1"/>
  <c r="LR98" i="1" s="1"/>
  <c r="JW98" i="1"/>
  <c r="LS98" i="1" s="1"/>
  <c r="JX98" i="1"/>
  <c r="LT98" i="1" s="1"/>
  <c r="JY98" i="1"/>
  <c r="LU98" i="1" s="1"/>
  <c r="JZ98" i="1"/>
  <c r="LV98" i="1" s="1"/>
  <c r="KA98" i="1"/>
  <c r="LW98" i="1" s="1"/>
  <c r="KB98" i="1"/>
  <c r="LX98" i="1" s="1"/>
  <c r="KC98" i="1"/>
  <c r="LY98" i="1" s="1"/>
  <c r="KD98" i="1"/>
  <c r="LZ98" i="1" s="1"/>
  <c r="KE98" i="1"/>
  <c r="MA98" i="1" s="1"/>
  <c r="KF98" i="1"/>
  <c r="MB98" i="1" s="1"/>
  <c r="KG98" i="1"/>
  <c r="MC98" i="1" s="1"/>
  <c r="JR99" i="1"/>
  <c r="JS99" i="1"/>
  <c r="LO99" i="1" s="1"/>
  <c r="JT99" i="1"/>
  <c r="LP99" i="1" s="1"/>
  <c r="JU99" i="1"/>
  <c r="LQ99" i="1" s="1"/>
  <c r="JV99" i="1"/>
  <c r="LR99" i="1" s="1"/>
  <c r="JW99" i="1"/>
  <c r="LS99" i="1" s="1"/>
  <c r="JX99" i="1"/>
  <c r="LT99" i="1" s="1"/>
  <c r="JY99" i="1"/>
  <c r="LU99" i="1" s="1"/>
  <c r="JZ99" i="1"/>
  <c r="LV99" i="1" s="1"/>
  <c r="KA99" i="1"/>
  <c r="LW99" i="1" s="1"/>
  <c r="KB99" i="1"/>
  <c r="LX99" i="1" s="1"/>
  <c r="KC99" i="1"/>
  <c r="LY99" i="1" s="1"/>
  <c r="KD99" i="1"/>
  <c r="LZ99" i="1" s="1"/>
  <c r="KE99" i="1"/>
  <c r="MA99" i="1" s="1"/>
  <c r="KF99" i="1"/>
  <c r="MB99" i="1" s="1"/>
  <c r="KG99" i="1"/>
  <c r="MC99" i="1" s="1"/>
  <c r="JR101" i="1"/>
  <c r="JS101" i="1"/>
  <c r="LO101" i="1" s="1"/>
  <c r="JT101" i="1"/>
  <c r="LP101" i="1" s="1"/>
  <c r="JU101" i="1"/>
  <c r="LQ101" i="1" s="1"/>
  <c r="JV101" i="1"/>
  <c r="LR101" i="1" s="1"/>
  <c r="JW101" i="1"/>
  <c r="LS101" i="1" s="1"/>
  <c r="JX101" i="1"/>
  <c r="LT101" i="1" s="1"/>
  <c r="JY101" i="1"/>
  <c r="LU101" i="1" s="1"/>
  <c r="JZ101" i="1"/>
  <c r="LV101" i="1" s="1"/>
  <c r="KA101" i="1"/>
  <c r="LW101" i="1" s="1"/>
  <c r="KB101" i="1"/>
  <c r="LX101" i="1" s="1"/>
  <c r="KC101" i="1"/>
  <c r="LY101" i="1" s="1"/>
  <c r="KD101" i="1"/>
  <c r="LZ101" i="1" s="1"/>
  <c r="KE101" i="1"/>
  <c r="MA101" i="1" s="1"/>
  <c r="KF101" i="1"/>
  <c r="MB101" i="1" s="1"/>
  <c r="KG101" i="1"/>
  <c r="MC101" i="1" s="1"/>
  <c r="JR100" i="1"/>
  <c r="JS100" i="1"/>
  <c r="LO100" i="1" s="1"/>
  <c r="JT100" i="1"/>
  <c r="LP100" i="1" s="1"/>
  <c r="JU100" i="1"/>
  <c r="LQ100" i="1" s="1"/>
  <c r="JV100" i="1"/>
  <c r="LR100" i="1" s="1"/>
  <c r="JW100" i="1"/>
  <c r="LS100" i="1" s="1"/>
  <c r="JX100" i="1"/>
  <c r="LT100" i="1" s="1"/>
  <c r="JY100" i="1"/>
  <c r="LU100" i="1" s="1"/>
  <c r="JZ100" i="1"/>
  <c r="LV100" i="1" s="1"/>
  <c r="KA100" i="1"/>
  <c r="LW100" i="1" s="1"/>
  <c r="KB100" i="1"/>
  <c r="LX100" i="1" s="1"/>
  <c r="KC100" i="1"/>
  <c r="LY100" i="1" s="1"/>
  <c r="KD100" i="1"/>
  <c r="LZ100" i="1" s="1"/>
  <c r="KE100" i="1"/>
  <c r="MA100" i="1" s="1"/>
  <c r="KF100" i="1"/>
  <c r="MB100" i="1" s="1"/>
  <c r="KG100" i="1"/>
  <c r="MC100" i="1" s="1"/>
  <c r="JR45" i="1"/>
  <c r="JS45" i="1"/>
  <c r="LO45" i="1" s="1"/>
  <c r="JT45" i="1"/>
  <c r="LP45" i="1" s="1"/>
  <c r="JU45" i="1"/>
  <c r="LQ45" i="1" s="1"/>
  <c r="JV45" i="1"/>
  <c r="LR45" i="1" s="1"/>
  <c r="JW45" i="1"/>
  <c r="LS45" i="1" s="1"/>
  <c r="JX45" i="1"/>
  <c r="LT45" i="1" s="1"/>
  <c r="JY45" i="1"/>
  <c r="LU45" i="1" s="1"/>
  <c r="JZ45" i="1"/>
  <c r="LV45" i="1" s="1"/>
  <c r="KA45" i="1"/>
  <c r="LW45" i="1" s="1"/>
  <c r="KB45" i="1"/>
  <c r="LX45" i="1" s="1"/>
  <c r="KC45" i="1"/>
  <c r="LY45" i="1" s="1"/>
  <c r="KD45" i="1"/>
  <c r="LZ45" i="1" s="1"/>
  <c r="KE45" i="1"/>
  <c r="MA45" i="1" s="1"/>
  <c r="KF45" i="1"/>
  <c r="MB45" i="1" s="1"/>
  <c r="KG45" i="1"/>
  <c r="MC45" i="1" s="1"/>
  <c r="JR46" i="1"/>
  <c r="JS46" i="1"/>
  <c r="LO46" i="1" s="1"/>
  <c r="JT46" i="1"/>
  <c r="LP46" i="1" s="1"/>
  <c r="JU46" i="1"/>
  <c r="LQ46" i="1" s="1"/>
  <c r="JV46" i="1"/>
  <c r="LR46" i="1" s="1"/>
  <c r="JW46" i="1"/>
  <c r="LS46" i="1" s="1"/>
  <c r="JX46" i="1"/>
  <c r="LT46" i="1" s="1"/>
  <c r="JY46" i="1"/>
  <c r="LU46" i="1" s="1"/>
  <c r="JZ46" i="1"/>
  <c r="LV46" i="1" s="1"/>
  <c r="KA46" i="1"/>
  <c r="LW46" i="1" s="1"/>
  <c r="KB46" i="1"/>
  <c r="LX46" i="1" s="1"/>
  <c r="KC46" i="1"/>
  <c r="LY46" i="1" s="1"/>
  <c r="KD46" i="1"/>
  <c r="LZ46" i="1" s="1"/>
  <c r="KE46" i="1"/>
  <c r="MA46" i="1" s="1"/>
  <c r="KF46" i="1"/>
  <c r="MB46" i="1" s="1"/>
  <c r="KG46" i="1"/>
  <c r="MC46" i="1" s="1"/>
  <c r="JR102" i="1"/>
  <c r="JS102" i="1"/>
  <c r="LO102" i="1" s="1"/>
  <c r="JT102" i="1"/>
  <c r="LP102" i="1" s="1"/>
  <c r="JU102" i="1"/>
  <c r="LQ102" i="1" s="1"/>
  <c r="JV102" i="1"/>
  <c r="LR102" i="1" s="1"/>
  <c r="JW102" i="1"/>
  <c r="LS102" i="1" s="1"/>
  <c r="JX102" i="1"/>
  <c r="LT102" i="1" s="1"/>
  <c r="JY102" i="1"/>
  <c r="LU102" i="1" s="1"/>
  <c r="JZ102" i="1"/>
  <c r="LV102" i="1" s="1"/>
  <c r="KA102" i="1"/>
  <c r="LW102" i="1" s="1"/>
  <c r="KB102" i="1"/>
  <c r="LX102" i="1" s="1"/>
  <c r="KC102" i="1"/>
  <c r="LY102" i="1" s="1"/>
  <c r="KD102" i="1"/>
  <c r="LZ102" i="1" s="1"/>
  <c r="KE102" i="1"/>
  <c r="MA102" i="1" s="1"/>
  <c r="KF102" i="1"/>
  <c r="MB102" i="1" s="1"/>
  <c r="KG102" i="1"/>
  <c r="MC102" i="1" s="1"/>
  <c r="JR47" i="1"/>
  <c r="JS47" i="1"/>
  <c r="LO47" i="1" s="1"/>
  <c r="JT47" i="1"/>
  <c r="LP47" i="1" s="1"/>
  <c r="JU47" i="1"/>
  <c r="LQ47" i="1" s="1"/>
  <c r="JV47" i="1"/>
  <c r="LR47" i="1" s="1"/>
  <c r="JW47" i="1"/>
  <c r="LS47" i="1" s="1"/>
  <c r="JX47" i="1"/>
  <c r="LT47" i="1" s="1"/>
  <c r="JY47" i="1"/>
  <c r="LU47" i="1" s="1"/>
  <c r="JZ47" i="1"/>
  <c r="LV47" i="1" s="1"/>
  <c r="KA47" i="1"/>
  <c r="LW47" i="1" s="1"/>
  <c r="KB47" i="1"/>
  <c r="LX47" i="1" s="1"/>
  <c r="KC47" i="1"/>
  <c r="LY47" i="1" s="1"/>
  <c r="KD47" i="1"/>
  <c r="LZ47" i="1" s="1"/>
  <c r="KE47" i="1"/>
  <c r="MA47" i="1" s="1"/>
  <c r="KF47" i="1"/>
  <c r="MB47" i="1" s="1"/>
  <c r="KG47" i="1"/>
  <c r="MC47" i="1" s="1"/>
  <c r="JR49" i="1"/>
  <c r="JS49" i="1"/>
  <c r="LO49" i="1" s="1"/>
  <c r="JT49" i="1"/>
  <c r="LP49" i="1" s="1"/>
  <c r="JU49" i="1"/>
  <c r="LQ49" i="1" s="1"/>
  <c r="JV49" i="1"/>
  <c r="LR49" i="1" s="1"/>
  <c r="JW49" i="1"/>
  <c r="LS49" i="1" s="1"/>
  <c r="JX49" i="1"/>
  <c r="LT49" i="1" s="1"/>
  <c r="JY49" i="1"/>
  <c r="LU49" i="1" s="1"/>
  <c r="JZ49" i="1"/>
  <c r="LV49" i="1" s="1"/>
  <c r="KA49" i="1"/>
  <c r="LW49" i="1" s="1"/>
  <c r="KB49" i="1"/>
  <c r="LX49" i="1" s="1"/>
  <c r="KC49" i="1"/>
  <c r="LY49" i="1" s="1"/>
  <c r="KD49" i="1"/>
  <c r="LZ49" i="1" s="1"/>
  <c r="KE49" i="1"/>
  <c r="MA49" i="1" s="1"/>
  <c r="KF49" i="1"/>
  <c r="MB49" i="1" s="1"/>
  <c r="KG49" i="1"/>
  <c r="MC49" i="1" s="1"/>
  <c r="JR48" i="1"/>
  <c r="JS48" i="1"/>
  <c r="LO48" i="1" s="1"/>
  <c r="JT48" i="1"/>
  <c r="LP48" i="1" s="1"/>
  <c r="JU48" i="1"/>
  <c r="LQ48" i="1" s="1"/>
  <c r="JV48" i="1"/>
  <c r="LR48" i="1" s="1"/>
  <c r="JW48" i="1"/>
  <c r="LS48" i="1" s="1"/>
  <c r="JX48" i="1"/>
  <c r="LT48" i="1" s="1"/>
  <c r="JY48" i="1"/>
  <c r="LU48" i="1" s="1"/>
  <c r="JZ48" i="1"/>
  <c r="LV48" i="1" s="1"/>
  <c r="KA48" i="1"/>
  <c r="LW48" i="1" s="1"/>
  <c r="KB48" i="1"/>
  <c r="LX48" i="1" s="1"/>
  <c r="KC48" i="1"/>
  <c r="LY48" i="1" s="1"/>
  <c r="KD48" i="1"/>
  <c r="LZ48" i="1" s="1"/>
  <c r="KE48" i="1"/>
  <c r="MA48" i="1" s="1"/>
  <c r="KF48" i="1"/>
  <c r="MB48" i="1" s="1"/>
  <c r="KG48" i="1"/>
  <c r="MC48" i="1" s="1"/>
  <c r="JR103" i="1"/>
  <c r="JS103" i="1"/>
  <c r="LO103" i="1" s="1"/>
  <c r="JT103" i="1"/>
  <c r="LP103" i="1" s="1"/>
  <c r="JU103" i="1"/>
  <c r="LQ103" i="1" s="1"/>
  <c r="JV103" i="1"/>
  <c r="LR103" i="1" s="1"/>
  <c r="JW103" i="1"/>
  <c r="LS103" i="1" s="1"/>
  <c r="JX103" i="1"/>
  <c r="LT103" i="1" s="1"/>
  <c r="JY103" i="1"/>
  <c r="LU103" i="1" s="1"/>
  <c r="JZ103" i="1"/>
  <c r="LV103" i="1" s="1"/>
  <c r="KA103" i="1"/>
  <c r="LW103" i="1" s="1"/>
  <c r="KB103" i="1"/>
  <c r="LX103" i="1" s="1"/>
  <c r="KC103" i="1"/>
  <c r="LY103" i="1" s="1"/>
  <c r="KD103" i="1"/>
  <c r="LZ103" i="1" s="1"/>
  <c r="KE103" i="1"/>
  <c r="MA103" i="1" s="1"/>
  <c r="KF103" i="1"/>
  <c r="MB103" i="1" s="1"/>
  <c r="KG103" i="1"/>
  <c r="MC103" i="1" s="1"/>
  <c r="JR50" i="1"/>
  <c r="JS50" i="1"/>
  <c r="LO50" i="1" s="1"/>
  <c r="JT50" i="1"/>
  <c r="LP50" i="1" s="1"/>
  <c r="JU50" i="1"/>
  <c r="LQ50" i="1" s="1"/>
  <c r="JV50" i="1"/>
  <c r="LR50" i="1" s="1"/>
  <c r="JW50" i="1"/>
  <c r="LS50" i="1" s="1"/>
  <c r="JX50" i="1"/>
  <c r="LT50" i="1" s="1"/>
  <c r="JY50" i="1"/>
  <c r="LU50" i="1" s="1"/>
  <c r="JZ50" i="1"/>
  <c r="LV50" i="1" s="1"/>
  <c r="KA50" i="1"/>
  <c r="LW50" i="1" s="1"/>
  <c r="KB50" i="1"/>
  <c r="LX50" i="1" s="1"/>
  <c r="KC50" i="1"/>
  <c r="LY50" i="1" s="1"/>
  <c r="KD50" i="1"/>
  <c r="LZ50" i="1" s="1"/>
  <c r="KE50" i="1"/>
  <c r="MA50" i="1" s="1"/>
  <c r="KF50" i="1"/>
  <c r="MB50" i="1" s="1"/>
  <c r="KG50" i="1"/>
  <c r="MC50" i="1" s="1"/>
  <c r="JR52" i="1"/>
  <c r="JS52" i="1"/>
  <c r="LO52" i="1" s="1"/>
  <c r="JT52" i="1"/>
  <c r="LP52" i="1" s="1"/>
  <c r="JU52" i="1"/>
  <c r="LQ52" i="1" s="1"/>
  <c r="JV52" i="1"/>
  <c r="LR52" i="1" s="1"/>
  <c r="JW52" i="1"/>
  <c r="LS52" i="1" s="1"/>
  <c r="JX52" i="1"/>
  <c r="LT52" i="1" s="1"/>
  <c r="JY52" i="1"/>
  <c r="LU52" i="1" s="1"/>
  <c r="JZ52" i="1"/>
  <c r="LV52" i="1" s="1"/>
  <c r="KA52" i="1"/>
  <c r="LW52" i="1" s="1"/>
  <c r="KB52" i="1"/>
  <c r="LX52" i="1" s="1"/>
  <c r="KC52" i="1"/>
  <c r="LY52" i="1" s="1"/>
  <c r="KD52" i="1"/>
  <c r="LZ52" i="1" s="1"/>
  <c r="KE52" i="1"/>
  <c r="MA52" i="1" s="1"/>
  <c r="KF52" i="1"/>
  <c r="MB52" i="1" s="1"/>
  <c r="KG52" i="1"/>
  <c r="MC52" i="1" s="1"/>
  <c r="JR51" i="1"/>
  <c r="JS51" i="1"/>
  <c r="LO51" i="1" s="1"/>
  <c r="JT51" i="1"/>
  <c r="LP51" i="1" s="1"/>
  <c r="JU51" i="1"/>
  <c r="LQ51" i="1" s="1"/>
  <c r="JV51" i="1"/>
  <c r="LR51" i="1" s="1"/>
  <c r="JW51" i="1"/>
  <c r="LS51" i="1" s="1"/>
  <c r="JX51" i="1"/>
  <c r="LT51" i="1" s="1"/>
  <c r="JY51" i="1"/>
  <c r="LU51" i="1" s="1"/>
  <c r="JZ51" i="1"/>
  <c r="LV51" i="1" s="1"/>
  <c r="KA51" i="1"/>
  <c r="LW51" i="1" s="1"/>
  <c r="KB51" i="1"/>
  <c r="LX51" i="1" s="1"/>
  <c r="KC51" i="1"/>
  <c r="LY51" i="1" s="1"/>
  <c r="KD51" i="1"/>
  <c r="LZ51" i="1" s="1"/>
  <c r="KE51" i="1"/>
  <c r="MA51" i="1" s="1"/>
  <c r="KF51" i="1"/>
  <c r="MB51" i="1" s="1"/>
  <c r="KG51" i="1"/>
  <c r="MC51" i="1" s="1"/>
  <c r="JR104" i="1"/>
  <c r="JS104" i="1"/>
  <c r="LO104" i="1" s="1"/>
  <c r="JT104" i="1"/>
  <c r="LP104" i="1" s="1"/>
  <c r="JU104" i="1"/>
  <c r="LQ104" i="1" s="1"/>
  <c r="JV104" i="1"/>
  <c r="LR104" i="1" s="1"/>
  <c r="JW104" i="1"/>
  <c r="LS104" i="1" s="1"/>
  <c r="JX104" i="1"/>
  <c r="LT104" i="1" s="1"/>
  <c r="JY104" i="1"/>
  <c r="LU104" i="1" s="1"/>
  <c r="JZ104" i="1"/>
  <c r="LV104" i="1" s="1"/>
  <c r="KA104" i="1"/>
  <c r="LW104" i="1" s="1"/>
  <c r="KB104" i="1"/>
  <c r="LX104" i="1" s="1"/>
  <c r="KC104" i="1"/>
  <c r="LY104" i="1" s="1"/>
  <c r="KD104" i="1"/>
  <c r="LZ104" i="1" s="1"/>
  <c r="KE104" i="1"/>
  <c r="MA104" i="1" s="1"/>
  <c r="KF104" i="1"/>
  <c r="MB104" i="1" s="1"/>
  <c r="KG104" i="1"/>
  <c r="MC104" i="1" s="1"/>
  <c r="JR105" i="1"/>
  <c r="JS105" i="1"/>
  <c r="LO105" i="1" s="1"/>
  <c r="JT105" i="1"/>
  <c r="LP105" i="1" s="1"/>
  <c r="JU105" i="1"/>
  <c r="LQ105" i="1" s="1"/>
  <c r="JV105" i="1"/>
  <c r="LR105" i="1" s="1"/>
  <c r="JW105" i="1"/>
  <c r="LS105" i="1" s="1"/>
  <c r="JX105" i="1"/>
  <c r="LT105" i="1" s="1"/>
  <c r="JY105" i="1"/>
  <c r="LU105" i="1" s="1"/>
  <c r="JZ105" i="1"/>
  <c r="LV105" i="1" s="1"/>
  <c r="KA105" i="1"/>
  <c r="LW105" i="1" s="1"/>
  <c r="KB105" i="1"/>
  <c r="LX105" i="1" s="1"/>
  <c r="KC105" i="1"/>
  <c r="LY105" i="1" s="1"/>
  <c r="KD105" i="1"/>
  <c r="LZ105" i="1" s="1"/>
  <c r="KE105" i="1"/>
  <c r="MA105" i="1" s="1"/>
  <c r="KF105" i="1"/>
  <c r="MB105" i="1" s="1"/>
  <c r="KG105" i="1"/>
  <c r="MC105" i="1" s="1"/>
  <c r="JR53" i="1"/>
  <c r="JS53" i="1"/>
  <c r="LO53" i="1" s="1"/>
  <c r="JT53" i="1"/>
  <c r="LP53" i="1" s="1"/>
  <c r="JU53" i="1"/>
  <c r="LQ53" i="1" s="1"/>
  <c r="JV53" i="1"/>
  <c r="LR53" i="1" s="1"/>
  <c r="JW53" i="1"/>
  <c r="LS53" i="1" s="1"/>
  <c r="JX53" i="1"/>
  <c r="LT53" i="1" s="1"/>
  <c r="JY53" i="1"/>
  <c r="LU53" i="1" s="1"/>
  <c r="JZ53" i="1"/>
  <c r="LV53" i="1" s="1"/>
  <c r="KA53" i="1"/>
  <c r="LW53" i="1" s="1"/>
  <c r="KB53" i="1"/>
  <c r="LX53" i="1" s="1"/>
  <c r="KC53" i="1"/>
  <c r="LY53" i="1" s="1"/>
  <c r="KD53" i="1"/>
  <c r="LZ53" i="1" s="1"/>
  <c r="KE53" i="1"/>
  <c r="MA53" i="1" s="1"/>
  <c r="KF53" i="1"/>
  <c r="MB53" i="1" s="1"/>
  <c r="KG53" i="1"/>
  <c r="MC53" i="1" s="1"/>
  <c r="JR106" i="1"/>
  <c r="JS106" i="1"/>
  <c r="LO106" i="1" s="1"/>
  <c r="JT106" i="1"/>
  <c r="LP106" i="1" s="1"/>
  <c r="JU106" i="1"/>
  <c r="LQ106" i="1" s="1"/>
  <c r="JV106" i="1"/>
  <c r="LR106" i="1" s="1"/>
  <c r="JW106" i="1"/>
  <c r="LS106" i="1" s="1"/>
  <c r="JX106" i="1"/>
  <c r="LT106" i="1" s="1"/>
  <c r="JY106" i="1"/>
  <c r="LU106" i="1" s="1"/>
  <c r="JZ106" i="1"/>
  <c r="LV106" i="1" s="1"/>
  <c r="KA106" i="1"/>
  <c r="LW106" i="1" s="1"/>
  <c r="KB106" i="1"/>
  <c r="LX106" i="1" s="1"/>
  <c r="KC106" i="1"/>
  <c r="LY106" i="1" s="1"/>
  <c r="KD106" i="1"/>
  <c r="LZ106" i="1" s="1"/>
  <c r="KE106" i="1"/>
  <c r="MA106" i="1" s="1"/>
  <c r="KF106" i="1"/>
  <c r="MB106" i="1" s="1"/>
  <c r="KG106" i="1"/>
  <c r="MC106" i="1" s="1"/>
  <c r="JR107" i="1"/>
  <c r="JS107" i="1"/>
  <c r="LO107" i="1" s="1"/>
  <c r="JT107" i="1"/>
  <c r="LP107" i="1" s="1"/>
  <c r="JU107" i="1"/>
  <c r="LQ107" i="1" s="1"/>
  <c r="JV107" i="1"/>
  <c r="LR107" i="1" s="1"/>
  <c r="JW107" i="1"/>
  <c r="LS107" i="1" s="1"/>
  <c r="JX107" i="1"/>
  <c r="LT107" i="1" s="1"/>
  <c r="JY107" i="1"/>
  <c r="LU107" i="1" s="1"/>
  <c r="JZ107" i="1"/>
  <c r="LV107" i="1" s="1"/>
  <c r="KA107" i="1"/>
  <c r="LW107" i="1" s="1"/>
  <c r="KB107" i="1"/>
  <c r="LX107" i="1" s="1"/>
  <c r="KC107" i="1"/>
  <c r="LY107" i="1" s="1"/>
  <c r="KD107" i="1"/>
  <c r="LZ107" i="1" s="1"/>
  <c r="KE107" i="1"/>
  <c r="MA107" i="1" s="1"/>
  <c r="KF107" i="1"/>
  <c r="MB107" i="1" s="1"/>
  <c r="KG107" i="1"/>
  <c r="MC107" i="1" s="1"/>
  <c r="JR108" i="1"/>
  <c r="JS108" i="1"/>
  <c r="LO108" i="1" s="1"/>
  <c r="JT108" i="1"/>
  <c r="LP108" i="1" s="1"/>
  <c r="JU108" i="1"/>
  <c r="LQ108" i="1" s="1"/>
  <c r="JV108" i="1"/>
  <c r="LR108" i="1" s="1"/>
  <c r="JW108" i="1"/>
  <c r="LS108" i="1" s="1"/>
  <c r="JX108" i="1"/>
  <c r="LT108" i="1" s="1"/>
  <c r="JY108" i="1"/>
  <c r="LU108" i="1" s="1"/>
  <c r="JZ108" i="1"/>
  <c r="LV108" i="1" s="1"/>
  <c r="KA108" i="1"/>
  <c r="LW108" i="1" s="1"/>
  <c r="KB108" i="1"/>
  <c r="LX108" i="1" s="1"/>
  <c r="KC108" i="1"/>
  <c r="LY108" i="1" s="1"/>
  <c r="KD108" i="1"/>
  <c r="LZ108" i="1" s="1"/>
  <c r="KE108" i="1"/>
  <c r="MA108" i="1" s="1"/>
  <c r="KF108" i="1"/>
  <c r="MB108" i="1" s="1"/>
  <c r="KG108" i="1"/>
  <c r="MC108" i="1" s="1"/>
  <c r="JR109" i="1"/>
  <c r="JS109" i="1"/>
  <c r="LO109" i="1" s="1"/>
  <c r="JT109" i="1"/>
  <c r="LP109" i="1" s="1"/>
  <c r="JU109" i="1"/>
  <c r="LQ109" i="1" s="1"/>
  <c r="JV109" i="1"/>
  <c r="LR109" i="1" s="1"/>
  <c r="JW109" i="1"/>
  <c r="LS109" i="1" s="1"/>
  <c r="JX109" i="1"/>
  <c r="LT109" i="1" s="1"/>
  <c r="JY109" i="1"/>
  <c r="LU109" i="1" s="1"/>
  <c r="JZ109" i="1"/>
  <c r="LV109" i="1" s="1"/>
  <c r="KA109" i="1"/>
  <c r="LW109" i="1" s="1"/>
  <c r="KB109" i="1"/>
  <c r="LX109" i="1" s="1"/>
  <c r="KC109" i="1"/>
  <c r="LY109" i="1" s="1"/>
  <c r="KD109" i="1"/>
  <c r="LZ109" i="1" s="1"/>
  <c r="KE109" i="1"/>
  <c r="MA109" i="1" s="1"/>
  <c r="KF109" i="1"/>
  <c r="MB109" i="1" s="1"/>
  <c r="KG109" i="1"/>
  <c r="MC109" i="1" s="1"/>
  <c r="JR54" i="1"/>
  <c r="JS54" i="1"/>
  <c r="LO54" i="1" s="1"/>
  <c r="JT54" i="1"/>
  <c r="LP54" i="1" s="1"/>
  <c r="JU54" i="1"/>
  <c r="LQ54" i="1" s="1"/>
  <c r="JV54" i="1"/>
  <c r="LR54" i="1" s="1"/>
  <c r="JW54" i="1"/>
  <c r="LS54" i="1" s="1"/>
  <c r="JX54" i="1"/>
  <c r="LT54" i="1" s="1"/>
  <c r="JY54" i="1"/>
  <c r="LU54" i="1" s="1"/>
  <c r="JZ54" i="1"/>
  <c r="LV54" i="1" s="1"/>
  <c r="KA54" i="1"/>
  <c r="LW54" i="1" s="1"/>
  <c r="KB54" i="1"/>
  <c r="LX54" i="1" s="1"/>
  <c r="KC54" i="1"/>
  <c r="LY54" i="1" s="1"/>
  <c r="KD54" i="1"/>
  <c r="LZ54" i="1" s="1"/>
  <c r="KE54" i="1"/>
  <c r="MA54" i="1" s="1"/>
  <c r="KF54" i="1"/>
  <c r="MB54" i="1" s="1"/>
  <c r="KG54" i="1"/>
  <c r="MC54" i="1" s="1"/>
  <c r="JR56" i="1"/>
  <c r="JS56" i="1"/>
  <c r="LO56" i="1" s="1"/>
  <c r="JT56" i="1"/>
  <c r="LP56" i="1" s="1"/>
  <c r="JU56" i="1"/>
  <c r="LQ56" i="1" s="1"/>
  <c r="JV56" i="1"/>
  <c r="LR56" i="1" s="1"/>
  <c r="JW56" i="1"/>
  <c r="LS56" i="1" s="1"/>
  <c r="JX56" i="1"/>
  <c r="LT56" i="1" s="1"/>
  <c r="JY56" i="1"/>
  <c r="LU56" i="1" s="1"/>
  <c r="JZ56" i="1"/>
  <c r="LV56" i="1" s="1"/>
  <c r="KA56" i="1"/>
  <c r="LW56" i="1" s="1"/>
  <c r="KB56" i="1"/>
  <c r="LX56" i="1" s="1"/>
  <c r="KC56" i="1"/>
  <c r="LY56" i="1" s="1"/>
  <c r="KD56" i="1"/>
  <c r="LZ56" i="1" s="1"/>
  <c r="KE56" i="1"/>
  <c r="MA56" i="1" s="1"/>
  <c r="KF56" i="1"/>
  <c r="MB56" i="1" s="1"/>
  <c r="KG56" i="1"/>
  <c r="MC56" i="1" s="1"/>
  <c r="JR57" i="1"/>
  <c r="JS57" i="1"/>
  <c r="LO57" i="1" s="1"/>
  <c r="JT57" i="1"/>
  <c r="LP57" i="1" s="1"/>
  <c r="JU57" i="1"/>
  <c r="LQ57" i="1" s="1"/>
  <c r="JV57" i="1"/>
  <c r="LR57" i="1" s="1"/>
  <c r="JW57" i="1"/>
  <c r="LS57" i="1" s="1"/>
  <c r="JX57" i="1"/>
  <c r="LT57" i="1" s="1"/>
  <c r="JY57" i="1"/>
  <c r="LU57" i="1" s="1"/>
  <c r="JZ57" i="1"/>
  <c r="LV57" i="1" s="1"/>
  <c r="KA57" i="1"/>
  <c r="LW57" i="1" s="1"/>
  <c r="KB57" i="1"/>
  <c r="LX57" i="1" s="1"/>
  <c r="KC57" i="1"/>
  <c r="LY57" i="1" s="1"/>
  <c r="KD57" i="1"/>
  <c r="LZ57" i="1" s="1"/>
  <c r="KE57" i="1"/>
  <c r="MA57" i="1" s="1"/>
  <c r="KF57" i="1"/>
  <c r="MB57" i="1" s="1"/>
  <c r="KG57" i="1"/>
  <c r="MC57" i="1" s="1"/>
  <c r="JR58" i="1"/>
  <c r="JS58" i="1"/>
  <c r="LO58" i="1" s="1"/>
  <c r="JT58" i="1"/>
  <c r="LP58" i="1" s="1"/>
  <c r="JU58" i="1"/>
  <c r="LQ58" i="1" s="1"/>
  <c r="JV58" i="1"/>
  <c r="LR58" i="1" s="1"/>
  <c r="JW58" i="1"/>
  <c r="LS58" i="1" s="1"/>
  <c r="JX58" i="1"/>
  <c r="LT58" i="1" s="1"/>
  <c r="JY58" i="1"/>
  <c r="LU58" i="1" s="1"/>
  <c r="JZ58" i="1"/>
  <c r="LV58" i="1" s="1"/>
  <c r="KA58" i="1"/>
  <c r="LW58" i="1" s="1"/>
  <c r="KB58" i="1"/>
  <c r="LX58" i="1" s="1"/>
  <c r="KC58" i="1"/>
  <c r="LY58" i="1" s="1"/>
  <c r="KD58" i="1"/>
  <c r="LZ58" i="1" s="1"/>
  <c r="KE58" i="1"/>
  <c r="MA58" i="1" s="1"/>
  <c r="KF58" i="1"/>
  <c r="MB58" i="1" s="1"/>
  <c r="KG58" i="1"/>
  <c r="MC58" i="1" s="1"/>
  <c r="JR59" i="1"/>
  <c r="JS59" i="1"/>
  <c r="LO59" i="1" s="1"/>
  <c r="JT59" i="1"/>
  <c r="LP59" i="1" s="1"/>
  <c r="JU59" i="1"/>
  <c r="LQ59" i="1" s="1"/>
  <c r="JV59" i="1"/>
  <c r="LR59" i="1" s="1"/>
  <c r="JW59" i="1"/>
  <c r="LS59" i="1" s="1"/>
  <c r="JX59" i="1"/>
  <c r="LT59" i="1" s="1"/>
  <c r="JY59" i="1"/>
  <c r="LU59" i="1" s="1"/>
  <c r="JZ59" i="1"/>
  <c r="LV59" i="1" s="1"/>
  <c r="KA59" i="1"/>
  <c r="LW59" i="1" s="1"/>
  <c r="KB59" i="1"/>
  <c r="LX59" i="1" s="1"/>
  <c r="KC59" i="1"/>
  <c r="LY59" i="1" s="1"/>
  <c r="KD59" i="1"/>
  <c r="LZ59" i="1" s="1"/>
  <c r="KE59" i="1"/>
  <c r="MA59" i="1" s="1"/>
  <c r="KF59" i="1"/>
  <c r="MB59" i="1" s="1"/>
  <c r="KG59" i="1"/>
  <c r="MC59" i="1" s="1"/>
  <c r="JR110" i="1"/>
  <c r="JS110" i="1"/>
  <c r="LO110" i="1" s="1"/>
  <c r="JT110" i="1"/>
  <c r="LP110" i="1" s="1"/>
  <c r="JU110" i="1"/>
  <c r="LQ110" i="1" s="1"/>
  <c r="JV110" i="1"/>
  <c r="LR110" i="1" s="1"/>
  <c r="JW110" i="1"/>
  <c r="LS110" i="1" s="1"/>
  <c r="JX110" i="1"/>
  <c r="LT110" i="1" s="1"/>
  <c r="JY110" i="1"/>
  <c r="LU110" i="1" s="1"/>
  <c r="JZ110" i="1"/>
  <c r="LV110" i="1" s="1"/>
  <c r="KA110" i="1"/>
  <c r="LW110" i="1" s="1"/>
  <c r="KB110" i="1"/>
  <c r="LX110" i="1" s="1"/>
  <c r="KC110" i="1"/>
  <c r="LY110" i="1" s="1"/>
  <c r="KD110" i="1"/>
  <c r="LZ110" i="1" s="1"/>
  <c r="KE110" i="1"/>
  <c r="MA110" i="1" s="1"/>
  <c r="KF110" i="1"/>
  <c r="MB110" i="1" s="1"/>
  <c r="KG110" i="1"/>
  <c r="MC110" i="1" s="1"/>
  <c r="JR60" i="1"/>
  <c r="JS60" i="1"/>
  <c r="LO60" i="1" s="1"/>
  <c r="JT60" i="1"/>
  <c r="LP60" i="1" s="1"/>
  <c r="JU60" i="1"/>
  <c r="LQ60" i="1" s="1"/>
  <c r="JV60" i="1"/>
  <c r="LR60" i="1" s="1"/>
  <c r="JW60" i="1"/>
  <c r="LS60" i="1" s="1"/>
  <c r="JX60" i="1"/>
  <c r="LT60" i="1" s="1"/>
  <c r="JY60" i="1"/>
  <c r="LU60" i="1" s="1"/>
  <c r="JZ60" i="1"/>
  <c r="LV60" i="1" s="1"/>
  <c r="KA60" i="1"/>
  <c r="LW60" i="1" s="1"/>
  <c r="KB60" i="1"/>
  <c r="LX60" i="1" s="1"/>
  <c r="KC60" i="1"/>
  <c r="LY60" i="1" s="1"/>
  <c r="KD60" i="1"/>
  <c r="LZ60" i="1" s="1"/>
  <c r="KE60" i="1"/>
  <c r="MA60" i="1" s="1"/>
  <c r="KF60" i="1"/>
  <c r="MB60" i="1" s="1"/>
  <c r="KG60" i="1"/>
  <c r="MC60" i="1" s="1"/>
  <c r="JR61" i="1"/>
  <c r="JS61" i="1"/>
  <c r="LO61" i="1" s="1"/>
  <c r="JT61" i="1"/>
  <c r="LP61" i="1" s="1"/>
  <c r="JU61" i="1"/>
  <c r="LQ61" i="1" s="1"/>
  <c r="JV61" i="1"/>
  <c r="LR61" i="1" s="1"/>
  <c r="JW61" i="1"/>
  <c r="LS61" i="1" s="1"/>
  <c r="JX61" i="1"/>
  <c r="LT61" i="1" s="1"/>
  <c r="JY61" i="1"/>
  <c r="LU61" i="1" s="1"/>
  <c r="JZ61" i="1"/>
  <c r="LV61" i="1" s="1"/>
  <c r="KA61" i="1"/>
  <c r="LW61" i="1" s="1"/>
  <c r="KB61" i="1"/>
  <c r="LX61" i="1" s="1"/>
  <c r="KC61" i="1"/>
  <c r="LY61" i="1" s="1"/>
  <c r="KD61" i="1"/>
  <c r="LZ61" i="1" s="1"/>
  <c r="KE61" i="1"/>
  <c r="MA61" i="1" s="1"/>
  <c r="KF61" i="1"/>
  <c r="MB61" i="1" s="1"/>
  <c r="KG61" i="1"/>
  <c r="MC61" i="1" s="1"/>
  <c r="JR63" i="1"/>
  <c r="JS63" i="1"/>
  <c r="LO63" i="1" s="1"/>
  <c r="JT63" i="1"/>
  <c r="LP63" i="1" s="1"/>
  <c r="JU63" i="1"/>
  <c r="LQ63" i="1" s="1"/>
  <c r="JV63" i="1"/>
  <c r="LR63" i="1" s="1"/>
  <c r="JW63" i="1"/>
  <c r="LS63" i="1" s="1"/>
  <c r="JX63" i="1"/>
  <c r="LT63" i="1" s="1"/>
  <c r="JY63" i="1"/>
  <c r="LU63" i="1" s="1"/>
  <c r="JZ63" i="1"/>
  <c r="LV63" i="1" s="1"/>
  <c r="KA63" i="1"/>
  <c r="LW63" i="1" s="1"/>
  <c r="KB63" i="1"/>
  <c r="LX63" i="1" s="1"/>
  <c r="KC63" i="1"/>
  <c r="LY63" i="1" s="1"/>
  <c r="KD63" i="1"/>
  <c r="LZ63" i="1" s="1"/>
  <c r="KE63" i="1"/>
  <c r="MA63" i="1" s="1"/>
  <c r="KF63" i="1"/>
  <c r="MB63" i="1" s="1"/>
  <c r="KG63" i="1"/>
  <c r="MC63" i="1" s="1"/>
  <c r="JR62" i="1"/>
  <c r="JS62" i="1"/>
  <c r="LO62" i="1" s="1"/>
  <c r="JT62" i="1"/>
  <c r="LP62" i="1" s="1"/>
  <c r="JU62" i="1"/>
  <c r="LQ62" i="1" s="1"/>
  <c r="JV62" i="1"/>
  <c r="LR62" i="1" s="1"/>
  <c r="JW62" i="1"/>
  <c r="LS62" i="1" s="1"/>
  <c r="JX62" i="1"/>
  <c r="LT62" i="1" s="1"/>
  <c r="JY62" i="1"/>
  <c r="LU62" i="1" s="1"/>
  <c r="JZ62" i="1"/>
  <c r="LV62" i="1" s="1"/>
  <c r="KA62" i="1"/>
  <c r="LW62" i="1" s="1"/>
  <c r="KB62" i="1"/>
  <c r="LX62" i="1" s="1"/>
  <c r="KC62" i="1"/>
  <c r="LY62" i="1" s="1"/>
  <c r="KD62" i="1"/>
  <c r="LZ62" i="1" s="1"/>
  <c r="KE62" i="1"/>
  <c r="MA62" i="1" s="1"/>
  <c r="KF62" i="1"/>
  <c r="MB62" i="1" s="1"/>
  <c r="KG62" i="1"/>
  <c r="MC62" i="1" s="1"/>
  <c r="JR64" i="1"/>
  <c r="JS64" i="1"/>
  <c r="LO64" i="1" s="1"/>
  <c r="JT64" i="1"/>
  <c r="LP64" i="1" s="1"/>
  <c r="JU64" i="1"/>
  <c r="LQ64" i="1" s="1"/>
  <c r="JV64" i="1"/>
  <c r="LR64" i="1" s="1"/>
  <c r="JW64" i="1"/>
  <c r="LS64" i="1" s="1"/>
  <c r="JX64" i="1"/>
  <c r="LT64" i="1" s="1"/>
  <c r="JY64" i="1"/>
  <c r="LU64" i="1" s="1"/>
  <c r="JZ64" i="1"/>
  <c r="LV64" i="1" s="1"/>
  <c r="KA64" i="1"/>
  <c r="LW64" i="1" s="1"/>
  <c r="KB64" i="1"/>
  <c r="LX64" i="1" s="1"/>
  <c r="KC64" i="1"/>
  <c r="LY64" i="1" s="1"/>
  <c r="KD64" i="1"/>
  <c r="LZ64" i="1" s="1"/>
  <c r="KE64" i="1"/>
  <c r="MA64" i="1" s="1"/>
  <c r="KF64" i="1"/>
  <c r="MB64" i="1" s="1"/>
  <c r="KG64" i="1"/>
  <c r="MC64" i="1" s="1"/>
  <c r="JR65" i="1"/>
  <c r="JS65" i="1"/>
  <c r="LO65" i="1" s="1"/>
  <c r="JT65" i="1"/>
  <c r="LP65" i="1" s="1"/>
  <c r="JU65" i="1"/>
  <c r="LQ65" i="1" s="1"/>
  <c r="JV65" i="1"/>
  <c r="LR65" i="1" s="1"/>
  <c r="JW65" i="1"/>
  <c r="LS65" i="1" s="1"/>
  <c r="JX65" i="1"/>
  <c r="LT65" i="1" s="1"/>
  <c r="JY65" i="1"/>
  <c r="LU65" i="1" s="1"/>
  <c r="JZ65" i="1"/>
  <c r="LV65" i="1" s="1"/>
  <c r="KA65" i="1"/>
  <c r="LW65" i="1" s="1"/>
  <c r="KB65" i="1"/>
  <c r="LX65" i="1" s="1"/>
  <c r="KC65" i="1"/>
  <c r="LY65" i="1" s="1"/>
  <c r="KD65" i="1"/>
  <c r="LZ65" i="1" s="1"/>
  <c r="KE65" i="1"/>
  <c r="MA65" i="1" s="1"/>
  <c r="KF65" i="1"/>
  <c r="MB65" i="1" s="1"/>
  <c r="KG65" i="1"/>
  <c r="MC65" i="1" s="1"/>
  <c r="JR111" i="1"/>
  <c r="JS111" i="1"/>
  <c r="LO111" i="1" s="1"/>
  <c r="JT111" i="1"/>
  <c r="LP111" i="1" s="1"/>
  <c r="JU111" i="1"/>
  <c r="LQ111" i="1" s="1"/>
  <c r="JV111" i="1"/>
  <c r="LR111" i="1" s="1"/>
  <c r="JW111" i="1"/>
  <c r="LS111" i="1" s="1"/>
  <c r="JX111" i="1"/>
  <c r="LT111" i="1" s="1"/>
  <c r="JY111" i="1"/>
  <c r="LU111" i="1" s="1"/>
  <c r="JZ111" i="1"/>
  <c r="LV111" i="1" s="1"/>
  <c r="KA111" i="1"/>
  <c r="LW111" i="1" s="1"/>
  <c r="KB111" i="1"/>
  <c r="LX111" i="1" s="1"/>
  <c r="KC111" i="1"/>
  <c r="LY111" i="1" s="1"/>
  <c r="KD111" i="1"/>
  <c r="LZ111" i="1" s="1"/>
  <c r="KE111" i="1"/>
  <c r="MA111" i="1" s="1"/>
  <c r="KF111" i="1"/>
  <c r="MB111" i="1" s="1"/>
  <c r="KG111" i="1"/>
  <c r="MC111" i="1" s="1"/>
  <c r="JR112" i="1"/>
  <c r="JS112" i="1"/>
  <c r="LO112" i="1" s="1"/>
  <c r="JT112" i="1"/>
  <c r="LP112" i="1" s="1"/>
  <c r="JU112" i="1"/>
  <c r="LQ112" i="1" s="1"/>
  <c r="JV112" i="1"/>
  <c r="LR112" i="1" s="1"/>
  <c r="JW112" i="1"/>
  <c r="LS112" i="1" s="1"/>
  <c r="JX112" i="1"/>
  <c r="LT112" i="1" s="1"/>
  <c r="JY112" i="1"/>
  <c r="LU112" i="1" s="1"/>
  <c r="JZ112" i="1"/>
  <c r="LV112" i="1" s="1"/>
  <c r="KA112" i="1"/>
  <c r="LW112" i="1" s="1"/>
  <c r="KB112" i="1"/>
  <c r="LX112" i="1" s="1"/>
  <c r="KC112" i="1"/>
  <c r="LY112" i="1" s="1"/>
  <c r="KD112" i="1"/>
  <c r="LZ112" i="1" s="1"/>
  <c r="KE112" i="1"/>
  <c r="MA112" i="1" s="1"/>
  <c r="KF112" i="1"/>
  <c r="MB112" i="1" s="1"/>
  <c r="KG112" i="1"/>
  <c r="MC112" i="1" s="1"/>
  <c r="JR113" i="1"/>
  <c r="JS113" i="1"/>
  <c r="LO113" i="1" s="1"/>
  <c r="JT113" i="1"/>
  <c r="LP113" i="1" s="1"/>
  <c r="JU113" i="1"/>
  <c r="LQ113" i="1" s="1"/>
  <c r="JV113" i="1"/>
  <c r="LR113" i="1" s="1"/>
  <c r="JW113" i="1"/>
  <c r="LS113" i="1" s="1"/>
  <c r="JX113" i="1"/>
  <c r="LT113" i="1" s="1"/>
  <c r="JY113" i="1"/>
  <c r="LU113" i="1" s="1"/>
  <c r="JZ113" i="1"/>
  <c r="LV113" i="1" s="1"/>
  <c r="KA113" i="1"/>
  <c r="LW113" i="1" s="1"/>
  <c r="KB113" i="1"/>
  <c r="LX113" i="1" s="1"/>
  <c r="KC113" i="1"/>
  <c r="LY113" i="1" s="1"/>
  <c r="KD113" i="1"/>
  <c r="LZ113" i="1" s="1"/>
  <c r="KE113" i="1"/>
  <c r="MA113" i="1" s="1"/>
  <c r="KF113" i="1"/>
  <c r="MB113" i="1" s="1"/>
  <c r="KG113" i="1"/>
  <c r="MC113" i="1" s="1"/>
  <c r="JR67" i="1"/>
  <c r="JS67" i="1"/>
  <c r="LO67" i="1" s="1"/>
  <c r="JT67" i="1"/>
  <c r="LP67" i="1" s="1"/>
  <c r="JU67" i="1"/>
  <c r="LQ67" i="1" s="1"/>
  <c r="JV67" i="1"/>
  <c r="LR67" i="1" s="1"/>
  <c r="JW67" i="1"/>
  <c r="LS67" i="1" s="1"/>
  <c r="JX67" i="1"/>
  <c r="LT67" i="1" s="1"/>
  <c r="JY67" i="1"/>
  <c r="LU67" i="1" s="1"/>
  <c r="JZ67" i="1"/>
  <c r="LV67" i="1" s="1"/>
  <c r="KA67" i="1"/>
  <c r="LW67" i="1" s="1"/>
  <c r="KB67" i="1"/>
  <c r="LX67" i="1" s="1"/>
  <c r="KC67" i="1"/>
  <c r="LY67" i="1" s="1"/>
  <c r="KD67" i="1"/>
  <c r="LZ67" i="1" s="1"/>
  <c r="KE67" i="1"/>
  <c r="MA67" i="1" s="1"/>
  <c r="KF67" i="1"/>
  <c r="MB67" i="1" s="1"/>
  <c r="KG67" i="1"/>
  <c r="MC67" i="1" s="1"/>
  <c r="JR114" i="1"/>
  <c r="JS114" i="1"/>
  <c r="LO114" i="1" s="1"/>
  <c r="JT114" i="1"/>
  <c r="LP114" i="1" s="1"/>
  <c r="JU114" i="1"/>
  <c r="LQ114" i="1" s="1"/>
  <c r="JV114" i="1"/>
  <c r="LR114" i="1" s="1"/>
  <c r="JW114" i="1"/>
  <c r="LS114" i="1" s="1"/>
  <c r="JX114" i="1"/>
  <c r="LT114" i="1" s="1"/>
  <c r="JY114" i="1"/>
  <c r="LU114" i="1" s="1"/>
  <c r="JZ114" i="1"/>
  <c r="LV114" i="1" s="1"/>
  <c r="KA114" i="1"/>
  <c r="LW114" i="1" s="1"/>
  <c r="KB114" i="1"/>
  <c r="LX114" i="1" s="1"/>
  <c r="KC114" i="1"/>
  <c r="LY114" i="1" s="1"/>
  <c r="KD114" i="1"/>
  <c r="LZ114" i="1" s="1"/>
  <c r="KE114" i="1"/>
  <c r="MA114" i="1" s="1"/>
  <c r="KF114" i="1"/>
  <c r="MB114" i="1" s="1"/>
  <c r="KG114" i="1"/>
  <c r="MC114" i="1" s="1"/>
  <c r="JR68" i="1"/>
  <c r="JS68" i="1"/>
  <c r="LO68" i="1" s="1"/>
  <c r="JT68" i="1"/>
  <c r="LP68" i="1" s="1"/>
  <c r="JU68" i="1"/>
  <c r="LQ68" i="1" s="1"/>
  <c r="JV68" i="1"/>
  <c r="LR68" i="1" s="1"/>
  <c r="JW68" i="1"/>
  <c r="LS68" i="1" s="1"/>
  <c r="JX68" i="1"/>
  <c r="LT68" i="1" s="1"/>
  <c r="JY68" i="1"/>
  <c r="LU68" i="1" s="1"/>
  <c r="JZ68" i="1"/>
  <c r="LV68" i="1" s="1"/>
  <c r="KA68" i="1"/>
  <c r="LW68" i="1" s="1"/>
  <c r="KB68" i="1"/>
  <c r="LX68" i="1" s="1"/>
  <c r="KC68" i="1"/>
  <c r="LY68" i="1" s="1"/>
  <c r="KD68" i="1"/>
  <c r="LZ68" i="1" s="1"/>
  <c r="KE68" i="1"/>
  <c r="MA68" i="1" s="1"/>
  <c r="KF68" i="1"/>
  <c r="MB68" i="1" s="1"/>
  <c r="KG68" i="1"/>
  <c r="MC68" i="1" s="1"/>
  <c r="JR69" i="1"/>
  <c r="JS69" i="1"/>
  <c r="LO69" i="1" s="1"/>
  <c r="JT69" i="1"/>
  <c r="LP69" i="1" s="1"/>
  <c r="JU69" i="1"/>
  <c r="LQ69" i="1" s="1"/>
  <c r="JV69" i="1"/>
  <c r="LR69" i="1" s="1"/>
  <c r="JW69" i="1"/>
  <c r="LS69" i="1" s="1"/>
  <c r="JX69" i="1"/>
  <c r="LT69" i="1" s="1"/>
  <c r="JY69" i="1"/>
  <c r="LU69" i="1" s="1"/>
  <c r="JZ69" i="1"/>
  <c r="LV69" i="1" s="1"/>
  <c r="KA69" i="1"/>
  <c r="LW69" i="1" s="1"/>
  <c r="KB69" i="1"/>
  <c r="LX69" i="1" s="1"/>
  <c r="KC69" i="1"/>
  <c r="LY69" i="1" s="1"/>
  <c r="KD69" i="1"/>
  <c r="LZ69" i="1" s="1"/>
  <c r="KE69" i="1"/>
  <c r="MA69" i="1" s="1"/>
  <c r="KF69" i="1"/>
  <c r="MB69" i="1" s="1"/>
  <c r="KG69" i="1"/>
  <c r="MC69" i="1" s="1"/>
  <c r="JR70" i="1"/>
  <c r="JS70" i="1"/>
  <c r="LO70" i="1" s="1"/>
  <c r="JT70" i="1"/>
  <c r="LP70" i="1" s="1"/>
  <c r="JU70" i="1"/>
  <c r="LQ70" i="1" s="1"/>
  <c r="JV70" i="1"/>
  <c r="LR70" i="1" s="1"/>
  <c r="JW70" i="1"/>
  <c r="LS70" i="1" s="1"/>
  <c r="JX70" i="1"/>
  <c r="LT70" i="1" s="1"/>
  <c r="JY70" i="1"/>
  <c r="LU70" i="1" s="1"/>
  <c r="JZ70" i="1"/>
  <c r="LV70" i="1" s="1"/>
  <c r="KA70" i="1"/>
  <c r="LW70" i="1" s="1"/>
  <c r="KB70" i="1"/>
  <c r="LX70" i="1" s="1"/>
  <c r="KC70" i="1"/>
  <c r="LY70" i="1" s="1"/>
  <c r="KD70" i="1"/>
  <c r="LZ70" i="1" s="1"/>
  <c r="KE70" i="1"/>
  <c r="MA70" i="1" s="1"/>
  <c r="KF70" i="1"/>
  <c r="MB70" i="1" s="1"/>
  <c r="KG70" i="1"/>
  <c r="MC70" i="1" s="1"/>
  <c r="JR115" i="1"/>
  <c r="JS115" i="1"/>
  <c r="LO115" i="1" s="1"/>
  <c r="JT115" i="1"/>
  <c r="LP115" i="1" s="1"/>
  <c r="JU115" i="1"/>
  <c r="LQ115" i="1" s="1"/>
  <c r="JV115" i="1"/>
  <c r="LR115" i="1" s="1"/>
  <c r="JW115" i="1"/>
  <c r="LS115" i="1" s="1"/>
  <c r="JX115" i="1"/>
  <c r="LT115" i="1" s="1"/>
  <c r="JY115" i="1"/>
  <c r="LU115" i="1" s="1"/>
  <c r="JZ115" i="1"/>
  <c r="LV115" i="1" s="1"/>
  <c r="KA115" i="1"/>
  <c r="LW115" i="1" s="1"/>
  <c r="KB115" i="1"/>
  <c r="LX115" i="1" s="1"/>
  <c r="KC115" i="1"/>
  <c r="LY115" i="1" s="1"/>
  <c r="KD115" i="1"/>
  <c r="LZ115" i="1" s="1"/>
  <c r="KE115" i="1"/>
  <c r="MA115" i="1" s="1"/>
  <c r="KF115" i="1"/>
  <c r="MB115" i="1" s="1"/>
  <c r="KG115" i="1"/>
  <c r="MC115" i="1" s="1"/>
  <c r="JR71" i="1"/>
  <c r="JS71" i="1"/>
  <c r="LO71" i="1" s="1"/>
  <c r="JT71" i="1"/>
  <c r="LP71" i="1" s="1"/>
  <c r="JU71" i="1"/>
  <c r="LQ71" i="1" s="1"/>
  <c r="JV71" i="1"/>
  <c r="LR71" i="1" s="1"/>
  <c r="JW71" i="1"/>
  <c r="LS71" i="1" s="1"/>
  <c r="JX71" i="1"/>
  <c r="LT71" i="1" s="1"/>
  <c r="JY71" i="1"/>
  <c r="LU71" i="1" s="1"/>
  <c r="JZ71" i="1"/>
  <c r="LV71" i="1" s="1"/>
  <c r="KA71" i="1"/>
  <c r="LW71" i="1" s="1"/>
  <c r="KB71" i="1"/>
  <c r="LX71" i="1" s="1"/>
  <c r="KC71" i="1"/>
  <c r="LY71" i="1" s="1"/>
  <c r="KD71" i="1"/>
  <c r="LZ71" i="1" s="1"/>
  <c r="KE71" i="1"/>
  <c r="MA71" i="1" s="1"/>
  <c r="KF71" i="1"/>
  <c r="MB71" i="1" s="1"/>
  <c r="KG71" i="1"/>
  <c r="MC71" i="1" s="1"/>
  <c r="JR72" i="1"/>
  <c r="JS72" i="1"/>
  <c r="LO72" i="1" s="1"/>
  <c r="JT72" i="1"/>
  <c r="LP72" i="1" s="1"/>
  <c r="JU72" i="1"/>
  <c r="LQ72" i="1" s="1"/>
  <c r="JV72" i="1"/>
  <c r="LR72" i="1" s="1"/>
  <c r="JW72" i="1"/>
  <c r="LS72" i="1" s="1"/>
  <c r="JX72" i="1"/>
  <c r="LT72" i="1" s="1"/>
  <c r="JY72" i="1"/>
  <c r="LU72" i="1" s="1"/>
  <c r="JZ72" i="1"/>
  <c r="LV72" i="1" s="1"/>
  <c r="KA72" i="1"/>
  <c r="LW72" i="1" s="1"/>
  <c r="KB72" i="1"/>
  <c r="LX72" i="1" s="1"/>
  <c r="KC72" i="1"/>
  <c r="LY72" i="1" s="1"/>
  <c r="KD72" i="1"/>
  <c r="LZ72" i="1" s="1"/>
  <c r="KE72" i="1"/>
  <c r="MA72" i="1" s="1"/>
  <c r="KF72" i="1"/>
  <c r="MB72" i="1" s="1"/>
  <c r="KG72" i="1"/>
  <c r="MC72" i="1" s="1"/>
  <c r="JR73" i="1"/>
  <c r="JS73" i="1"/>
  <c r="LO73" i="1" s="1"/>
  <c r="JT73" i="1"/>
  <c r="LP73" i="1" s="1"/>
  <c r="JU73" i="1"/>
  <c r="LQ73" i="1" s="1"/>
  <c r="JV73" i="1"/>
  <c r="LR73" i="1" s="1"/>
  <c r="JW73" i="1"/>
  <c r="LS73" i="1" s="1"/>
  <c r="JX73" i="1"/>
  <c r="LT73" i="1" s="1"/>
  <c r="JY73" i="1"/>
  <c r="LU73" i="1" s="1"/>
  <c r="JZ73" i="1"/>
  <c r="LV73" i="1" s="1"/>
  <c r="KA73" i="1"/>
  <c r="LW73" i="1" s="1"/>
  <c r="KB73" i="1"/>
  <c r="LX73" i="1" s="1"/>
  <c r="KC73" i="1"/>
  <c r="LY73" i="1" s="1"/>
  <c r="KD73" i="1"/>
  <c r="LZ73" i="1" s="1"/>
  <c r="KE73" i="1"/>
  <c r="MA73" i="1" s="1"/>
  <c r="KF73" i="1"/>
  <c r="MB73" i="1" s="1"/>
  <c r="KG73" i="1"/>
  <c r="MC73" i="1" s="1"/>
  <c r="JR74" i="1"/>
  <c r="JS74" i="1"/>
  <c r="LO74" i="1" s="1"/>
  <c r="JT74" i="1"/>
  <c r="LP74" i="1" s="1"/>
  <c r="JU74" i="1"/>
  <c r="LQ74" i="1" s="1"/>
  <c r="JV74" i="1"/>
  <c r="LR74" i="1" s="1"/>
  <c r="JW74" i="1"/>
  <c r="LS74" i="1" s="1"/>
  <c r="JX74" i="1"/>
  <c r="LT74" i="1" s="1"/>
  <c r="JY74" i="1"/>
  <c r="LU74" i="1" s="1"/>
  <c r="JZ74" i="1"/>
  <c r="LV74" i="1" s="1"/>
  <c r="KA74" i="1"/>
  <c r="LW74" i="1" s="1"/>
  <c r="KB74" i="1"/>
  <c r="LX74" i="1" s="1"/>
  <c r="KC74" i="1"/>
  <c r="LY74" i="1" s="1"/>
  <c r="KD74" i="1"/>
  <c r="LZ74" i="1" s="1"/>
  <c r="KE74" i="1"/>
  <c r="MA74" i="1" s="1"/>
  <c r="KF74" i="1"/>
  <c r="MB74" i="1" s="1"/>
  <c r="KG74" i="1"/>
  <c r="MC74" i="1" s="1"/>
  <c r="JR75" i="1"/>
  <c r="JS75" i="1"/>
  <c r="LO75" i="1" s="1"/>
  <c r="JT75" i="1"/>
  <c r="LP75" i="1" s="1"/>
  <c r="JU75" i="1"/>
  <c r="LQ75" i="1" s="1"/>
  <c r="JV75" i="1"/>
  <c r="LR75" i="1" s="1"/>
  <c r="JW75" i="1"/>
  <c r="LS75" i="1" s="1"/>
  <c r="JX75" i="1"/>
  <c r="LT75" i="1" s="1"/>
  <c r="JY75" i="1"/>
  <c r="LU75" i="1" s="1"/>
  <c r="JZ75" i="1"/>
  <c r="LV75" i="1" s="1"/>
  <c r="KA75" i="1"/>
  <c r="LW75" i="1" s="1"/>
  <c r="KB75" i="1"/>
  <c r="LX75" i="1" s="1"/>
  <c r="KC75" i="1"/>
  <c r="LY75" i="1" s="1"/>
  <c r="KD75" i="1"/>
  <c r="LZ75" i="1" s="1"/>
  <c r="KE75" i="1"/>
  <c r="MA75" i="1" s="1"/>
  <c r="KF75" i="1"/>
  <c r="MB75" i="1" s="1"/>
  <c r="KG75" i="1"/>
  <c r="MC75" i="1" s="1"/>
  <c r="JR76" i="1"/>
  <c r="JS76" i="1"/>
  <c r="LO76" i="1" s="1"/>
  <c r="JT76" i="1"/>
  <c r="LP76" i="1" s="1"/>
  <c r="JU76" i="1"/>
  <c r="LQ76" i="1" s="1"/>
  <c r="JV76" i="1"/>
  <c r="LR76" i="1" s="1"/>
  <c r="JW76" i="1"/>
  <c r="LS76" i="1" s="1"/>
  <c r="JX76" i="1"/>
  <c r="LT76" i="1" s="1"/>
  <c r="JY76" i="1"/>
  <c r="LU76" i="1" s="1"/>
  <c r="JZ76" i="1"/>
  <c r="LV76" i="1" s="1"/>
  <c r="KA76" i="1"/>
  <c r="LW76" i="1" s="1"/>
  <c r="KB76" i="1"/>
  <c r="LX76" i="1" s="1"/>
  <c r="KC76" i="1"/>
  <c r="LY76" i="1" s="1"/>
  <c r="KD76" i="1"/>
  <c r="LZ76" i="1" s="1"/>
  <c r="KE76" i="1"/>
  <c r="MA76" i="1" s="1"/>
  <c r="KF76" i="1"/>
  <c r="MB76" i="1" s="1"/>
  <c r="KG76" i="1"/>
  <c r="MC76" i="1" s="1"/>
  <c r="JR116" i="1"/>
  <c r="JS116" i="1"/>
  <c r="LO116" i="1" s="1"/>
  <c r="JT116" i="1"/>
  <c r="LP116" i="1" s="1"/>
  <c r="JU116" i="1"/>
  <c r="LQ116" i="1" s="1"/>
  <c r="JV116" i="1"/>
  <c r="LR116" i="1" s="1"/>
  <c r="JW116" i="1"/>
  <c r="LS116" i="1" s="1"/>
  <c r="JX116" i="1"/>
  <c r="LT116" i="1" s="1"/>
  <c r="JY116" i="1"/>
  <c r="LU116" i="1" s="1"/>
  <c r="JZ116" i="1"/>
  <c r="LV116" i="1" s="1"/>
  <c r="KA116" i="1"/>
  <c r="LW116" i="1" s="1"/>
  <c r="KB116" i="1"/>
  <c r="LX116" i="1" s="1"/>
  <c r="KC116" i="1"/>
  <c r="LY116" i="1" s="1"/>
  <c r="KD116" i="1"/>
  <c r="LZ116" i="1" s="1"/>
  <c r="KE116" i="1"/>
  <c r="MA116" i="1" s="1"/>
  <c r="KF116" i="1"/>
  <c r="MB116" i="1" s="1"/>
  <c r="KG116" i="1"/>
  <c r="MC116" i="1" s="1"/>
  <c r="JR77" i="1"/>
  <c r="JS77" i="1"/>
  <c r="LO77" i="1" s="1"/>
  <c r="JT77" i="1"/>
  <c r="LP77" i="1" s="1"/>
  <c r="JU77" i="1"/>
  <c r="LQ77" i="1" s="1"/>
  <c r="JV77" i="1"/>
  <c r="LR77" i="1" s="1"/>
  <c r="JW77" i="1"/>
  <c r="LS77" i="1" s="1"/>
  <c r="JX77" i="1"/>
  <c r="LT77" i="1" s="1"/>
  <c r="JY77" i="1"/>
  <c r="LU77" i="1" s="1"/>
  <c r="JZ77" i="1"/>
  <c r="LV77" i="1" s="1"/>
  <c r="KA77" i="1"/>
  <c r="LW77" i="1" s="1"/>
  <c r="KB77" i="1"/>
  <c r="LX77" i="1" s="1"/>
  <c r="KC77" i="1"/>
  <c r="LY77" i="1" s="1"/>
  <c r="KD77" i="1"/>
  <c r="LZ77" i="1" s="1"/>
  <c r="KE77" i="1"/>
  <c r="MA77" i="1" s="1"/>
  <c r="KF77" i="1"/>
  <c r="MB77" i="1" s="1"/>
  <c r="KG77" i="1"/>
  <c r="MC77" i="1" s="1"/>
  <c r="JR117" i="1"/>
  <c r="JS117" i="1"/>
  <c r="LO117" i="1" s="1"/>
  <c r="JT117" i="1"/>
  <c r="LP117" i="1" s="1"/>
  <c r="JU117" i="1"/>
  <c r="LQ117" i="1" s="1"/>
  <c r="JV117" i="1"/>
  <c r="LR117" i="1" s="1"/>
  <c r="JW117" i="1"/>
  <c r="LS117" i="1" s="1"/>
  <c r="JX117" i="1"/>
  <c r="LT117" i="1" s="1"/>
  <c r="JY117" i="1"/>
  <c r="LU117" i="1" s="1"/>
  <c r="JZ117" i="1"/>
  <c r="LV117" i="1" s="1"/>
  <c r="KA117" i="1"/>
  <c r="LW117" i="1" s="1"/>
  <c r="KB117" i="1"/>
  <c r="LX117" i="1" s="1"/>
  <c r="KC117" i="1"/>
  <c r="LY117" i="1" s="1"/>
  <c r="KD117" i="1"/>
  <c r="LZ117" i="1" s="1"/>
  <c r="KE117" i="1"/>
  <c r="MA117" i="1" s="1"/>
  <c r="KF117" i="1"/>
  <c r="MB117" i="1" s="1"/>
  <c r="KG117" i="1"/>
  <c r="MC117" i="1" s="1"/>
  <c r="JR118" i="1"/>
  <c r="JS118" i="1"/>
  <c r="LO118" i="1" s="1"/>
  <c r="JT118" i="1"/>
  <c r="LP118" i="1" s="1"/>
  <c r="JU118" i="1"/>
  <c r="LQ118" i="1" s="1"/>
  <c r="JV118" i="1"/>
  <c r="LR118" i="1" s="1"/>
  <c r="JW118" i="1"/>
  <c r="LS118" i="1" s="1"/>
  <c r="JX118" i="1"/>
  <c r="LT118" i="1" s="1"/>
  <c r="JY118" i="1"/>
  <c r="LU118" i="1" s="1"/>
  <c r="JZ118" i="1"/>
  <c r="LV118" i="1" s="1"/>
  <c r="KA118" i="1"/>
  <c r="LW118" i="1" s="1"/>
  <c r="KB118" i="1"/>
  <c r="LX118" i="1" s="1"/>
  <c r="KC118" i="1"/>
  <c r="LY118" i="1" s="1"/>
  <c r="KD118" i="1"/>
  <c r="LZ118" i="1" s="1"/>
  <c r="KE118" i="1"/>
  <c r="MA118" i="1" s="1"/>
  <c r="KF118" i="1"/>
  <c r="MB118" i="1" s="1"/>
  <c r="KG118" i="1"/>
  <c r="MC118" i="1" s="1"/>
  <c r="JR78" i="1"/>
  <c r="JS78" i="1"/>
  <c r="LO78" i="1" s="1"/>
  <c r="JT78" i="1"/>
  <c r="LP78" i="1" s="1"/>
  <c r="JU78" i="1"/>
  <c r="LQ78" i="1" s="1"/>
  <c r="JV78" i="1"/>
  <c r="LR78" i="1" s="1"/>
  <c r="JW78" i="1"/>
  <c r="LS78" i="1" s="1"/>
  <c r="JX78" i="1"/>
  <c r="LT78" i="1" s="1"/>
  <c r="JY78" i="1"/>
  <c r="LU78" i="1" s="1"/>
  <c r="JZ78" i="1"/>
  <c r="LV78" i="1" s="1"/>
  <c r="KA78" i="1"/>
  <c r="LW78" i="1" s="1"/>
  <c r="KB78" i="1"/>
  <c r="LX78" i="1" s="1"/>
  <c r="KC78" i="1"/>
  <c r="LY78" i="1" s="1"/>
  <c r="KD78" i="1"/>
  <c r="LZ78" i="1" s="1"/>
  <c r="KE78" i="1"/>
  <c r="MA78" i="1" s="1"/>
  <c r="KF78" i="1"/>
  <c r="MB78" i="1" s="1"/>
  <c r="KG78" i="1"/>
  <c r="MC78" i="1" s="1"/>
  <c r="JR79" i="1"/>
  <c r="JS79" i="1"/>
  <c r="LO79" i="1" s="1"/>
  <c r="JT79" i="1"/>
  <c r="LP79" i="1" s="1"/>
  <c r="JU79" i="1"/>
  <c r="LQ79" i="1" s="1"/>
  <c r="JV79" i="1"/>
  <c r="LR79" i="1" s="1"/>
  <c r="JW79" i="1"/>
  <c r="LS79" i="1" s="1"/>
  <c r="JX79" i="1"/>
  <c r="LT79" i="1" s="1"/>
  <c r="JY79" i="1"/>
  <c r="LU79" i="1" s="1"/>
  <c r="JZ79" i="1"/>
  <c r="LV79" i="1" s="1"/>
  <c r="KA79" i="1"/>
  <c r="LW79" i="1" s="1"/>
  <c r="KB79" i="1"/>
  <c r="LX79" i="1" s="1"/>
  <c r="KC79" i="1"/>
  <c r="LY79" i="1" s="1"/>
  <c r="KD79" i="1"/>
  <c r="LZ79" i="1" s="1"/>
  <c r="KE79" i="1"/>
  <c r="MA79" i="1" s="1"/>
  <c r="KF79" i="1"/>
  <c r="MB79" i="1" s="1"/>
  <c r="KG79" i="1"/>
  <c r="MC79" i="1" s="1"/>
  <c r="JR119" i="1"/>
  <c r="JS119" i="1"/>
  <c r="LO119" i="1" s="1"/>
  <c r="JT119" i="1"/>
  <c r="LP119" i="1" s="1"/>
  <c r="JU119" i="1"/>
  <c r="LQ119" i="1" s="1"/>
  <c r="JV119" i="1"/>
  <c r="LR119" i="1" s="1"/>
  <c r="JW119" i="1"/>
  <c r="LS119" i="1" s="1"/>
  <c r="JX119" i="1"/>
  <c r="LT119" i="1" s="1"/>
  <c r="JY119" i="1"/>
  <c r="LU119" i="1" s="1"/>
  <c r="JZ119" i="1"/>
  <c r="LV119" i="1" s="1"/>
  <c r="KA119" i="1"/>
  <c r="LW119" i="1" s="1"/>
  <c r="KB119" i="1"/>
  <c r="LX119" i="1" s="1"/>
  <c r="KC119" i="1"/>
  <c r="LY119" i="1" s="1"/>
  <c r="KD119" i="1"/>
  <c r="LZ119" i="1" s="1"/>
  <c r="KE119" i="1"/>
  <c r="MA119" i="1" s="1"/>
  <c r="KF119" i="1"/>
  <c r="MB119" i="1" s="1"/>
  <c r="KG119" i="1"/>
  <c r="MC119" i="1" s="1"/>
  <c r="JR80" i="1"/>
  <c r="JS80" i="1"/>
  <c r="LO80" i="1" s="1"/>
  <c r="JT80" i="1"/>
  <c r="LP80" i="1" s="1"/>
  <c r="JU80" i="1"/>
  <c r="LQ80" i="1" s="1"/>
  <c r="JV80" i="1"/>
  <c r="LR80" i="1" s="1"/>
  <c r="JW80" i="1"/>
  <c r="LS80" i="1" s="1"/>
  <c r="JX80" i="1"/>
  <c r="LT80" i="1" s="1"/>
  <c r="JY80" i="1"/>
  <c r="LU80" i="1" s="1"/>
  <c r="JZ80" i="1"/>
  <c r="LV80" i="1" s="1"/>
  <c r="KA80" i="1"/>
  <c r="LW80" i="1" s="1"/>
  <c r="KB80" i="1"/>
  <c r="LX80" i="1" s="1"/>
  <c r="KC80" i="1"/>
  <c r="LY80" i="1" s="1"/>
  <c r="KD80" i="1"/>
  <c r="LZ80" i="1" s="1"/>
  <c r="KE80" i="1"/>
  <c r="MA80" i="1" s="1"/>
  <c r="KF80" i="1"/>
  <c r="MB80" i="1" s="1"/>
  <c r="KG80" i="1"/>
  <c r="MC80" i="1" s="1"/>
  <c r="JR81" i="1"/>
  <c r="JS81" i="1"/>
  <c r="LO81" i="1" s="1"/>
  <c r="JT81" i="1"/>
  <c r="LP81" i="1" s="1"/>
  <c r="JU81" i="1"/>
  <c r="LQ81" i="1" s="1"/>
  <c r="JV81" i="1"/>
  <c r="LR81" i="1" s="1"/>
  <c r="JW81" i="1"/>
  <c r="LS81" i="1" s="1"/>
  <c r="JX81" i="1"/>
  <c r="LT81" i="1" s="1"/>
  <c r="JY81" i="1"/>
  <c r="LU81" i="1" s="1"/>
  <c r="JZ81" i="1"/>
  <c r="LV81" i="1" s="1"/>
  <c r="KA81" i="1"/>
  <c r="LW81" i="1" s="1"/>
  <c r="KB81" i="1"/>
  <c r="LX81" i="1" s="1"/>
  <c r="KC81" i="1"/>
  <c r="LY81" i="1" s="1"/>
  <c r="KD81" i="1"/>
  <c r="LZ81" i="1" s="1"/>
  <c r="KE81" i="1"/>
  <c r="MA81" i="1" s="1"/>
  <c r="KF81" i="1"/>
  <c r="MB81" i="1" s="1"/>
  <c r="KG81" i="1"/>
  <c r="MC81" i="1" s="1"/>
  <c r="JR82" i="1"/>
  <c r="JS82" i="1"/>
  <c r="LO82" i="1" s="1"/>
  <c r="JT82" i="1"/>
  <c r="LP82" i="1" s="1"/>
  <c r="JU82" i="1"/>
  <c r="LQ82" i="1" s="1"/>
  <c r="JV82" i="1"/>
  <c r="LR82" i="1" s="1"/>
  <c r="JW82" i="1"/>
  <c r="LS82" i="1" s="1"/>
  <c r="JX82" i="1"/>
  <c r="LT82" i="1" s="1"/>
  <c r="JY82" i="1"/>
  <c r="LU82" i="1" s="1"/>
  <c r="JZ82" i="1"/>
  <c r="LV82" i="1" s="1"/>
  <c r="KA82" i="1"/>
  <c r="LW82" i="1" s="1"/>
  <c r="KB82" i="1"/>
  <c r="LX82" i="1" s="1"/>
  <c r="KC82" i="1"/>
  <c r="LY82" i="1" s="1"/>
  <c r="KD82" i="1"/>
  <c r="LZ82" i="1" s="1"/>
  <c r="KE82" i="1"/>
  <c r="MA82" i="1" s="1"/>
  <c r="KF82" i="1"/>
  <c r="MB82" i="1" s="1"/>
  <c r="KG82" i="1"/>
  <c r="MC82" i="1" s="1"/>
  <c r="JR83" i="1"/>
  <c r="JS83" i="1"/>
  <c r="LO83" i="1" s="1"/>
  <c r="JT83" i="1"/>
  <c r="LP83" i="1" s="1"/>
  <c r="JU83" i="1"/>
  <c r="LQ83" i="1" s="1"/>
  <c r="JV83" i="1"/>
  <c r="LR83" i="1" s="1"/>
  <c r="JW83" i="1"/>
  <c r="LS83" i="1" s="1"/>
  <c r="JX83" i="1"/>
  <c r="LT83" i="1" s="1"/>
  <c r="JY83" i="1"/>
  <c r="LU83" i="1" s="1"/>
  <c r="JZ83" i="1"/>
  <c r="LV83" i="1" s="1"/>
  <c r="KA83" i="1"/>
  <c r="LW83" i="1" s="1"/>
  <c r="KB83" i="1"/>
  <c r="LX83" i="1" s="1"/>
  <c r="KC83" i="1"/>
  <c r="LY83" i="1" s="1"/>
  <c r="KD83" i="1"/>
  <c r="LZ83" i="1" s="1"/>
  <c r="KE83" i="1"/>
  <c r="MA83" i="1" s="1"/>
  <c r="KF83" i="1"/>
  <c r="MB83" i="1" s="1"/>
  <c r="KG83" i="1"/>
  <c r="MC83" i="1" s="1"/>
  <c r="JR120" i="1"/>
  <c r="JS120" i="1"/>
  <c r="LO120" i="1" s="1"/>
  <c r="JT120" i="1"/>
  <c r="LP120" i="1" s="1"/>
  <c r="JU120" i="1"/>
  <c r="LQ120" i="1" s="1"/>
  <c r="JV120" i="1"/>
  <c r="LR120" i="1" s="1"/>
  <c r="JW120" i="1"/>
  <c r="LS120" i="1" s="1"/>
  <c r="JX120" i="1"/>
  <c r="LT120" i="1" s="1"/>
  <c r="JY120" i="1"/>
  <c r="LU120" i="1" s="1"/>
  <c r="JZ120" i="1"/>
  <c r="LV120" i="1" s="1"/>
  <c r="KA120" i="1"/>
  <c r="LW120" i="1" s="1"/>
  <c r="KB120" i="1"/>
  <c r="LX120" i="1" s="1"/>
  <c r="KC120" i="1"/>
  <c r="LY120" i="1" s="1"/>
  <c r="KD120" i="1"/>
  <c r="LZ120" i="1" s="1"/>
  <c r="KE120" i="1"/>
  <c r="MA120" i="1" s="1"/>
  <c r="KF120" i="1"/>
  <c r="MB120" i="1" s="1"/>
  <c r="KG120" i="1"/>
  <c r="MC120" i="1" s="1"/>
  <c r="JR121" i="1"/>
  <c r="JS121" i="1"/>
  <c r="LO121" i="1" s="1"/>
  <c r="JT121" i="1"/>
  <c r="LP121" i="1" s="1"/>
  <c r="JU121" i="1"/>
  <c r="LQ121" i="1" s="1"/>
  <c r="JV121" i="1"/>
  <c r="LR121" i="1" s="1"/>
  <c r="JW121" i="1"/>
  <c r="LS121" i="1" s="1"/>
  <c r="JX121" i="1"/>
  <c r="LT121" i="1" s="1"/>
  <c r="JY121" i="1"/>
  <c r="LU121" i="1" s="1"/>
  <c r="JZ121" i="1"/>
  <c r="LV121" i="1" s="1"/>
  <c r="KA121" i="1"/>
  <c r="LW121" i="1" s="1"/>
  <c r="KB121" i="1"/>
  <c r="LX121" i="1" s="1"/>
  <c r="KC121" i="1"/>
  <c r="LY121" i="1" s="1"/>
  <c r="KD121" i="1"/>
  <c r="LZ121" i="1" s="1"/>
  <c r="KE121" i="1"/>
  <c r="MA121" i="1" s="1"/>
  <c r="KF121" i="1"/>
  <c r="MB121" i="1" s="1"/>
  <c r="KG121" i="1"/>
  <c r="MC121" i="1" s="1"/>
  <c r="JR122" i="1"/>
  <c r="JS122" i="1"/>
  <c r="LO122" i="1" s="1"/>
  <c r="JT122" i="1"/>
  <c r="LP122" i="1" s="1"/>
  <c r="JU122" i="1"/>
  <c r="LQ122" i="1" s="1"/>
  <c r="JV122" i="1"/>
  <c r="LR122" i="1" s="1"/>
  <c r="JW122" i="1"/>
  <c r="LS122" i="1" s="1"/>
  <c r="JX122" i="1"/>
  <c r="LT122" i="1" s="1"/>
  <c r="JY122" i="1"/>
  <c r="LU122" i="1" s="1"/>
  <c r="JZ122" i="1"/>
  <c r="LV122" i="1" s="1"/>
  <c r="KA122" i="1"/>
  <c r="LW122" i="1" s="1"/>
  <c r="KB122" i="1"/>
  <c r="LX122" i="1" s="1"/>
  <c r="KC122" i="1"/>
  <c r="LY122" i="1" s="1"/>
  <c r="KD122" i="1"/>
  <c r="LZ122" i="1" s="1"/>
  <c r="KE122" i="1"/>
  <c r="MA122" i="1" s="1"/>
  <c r="KF122" i="1"/>
  <c r="MB122" i="1" s="1"/>
  <c r="KG122" i="1"/>
  <c r="MC122" i="1" s="1"/>
  <c r="JR123" i="1"/>
  <c r="JS123" i="1"/>
  <c r="LO123" i="1" s="1"/>
  <c r="JT123" i="1"/>
  <c r="LP123" i="1" s="1"/>
  <c r="JU123" i="1"/>
  <c r="LQ123" i="1" s="1"/>
  <c r="JV123" i="1"/>
  <c r="LR123" i="1" s="1"/>
  <c r="JW123" i="1"/>
  <c r="LS123" i="1" s="1"/>
  <c r="JX123" i="1"/>
  <c r="LT123" i="1" s="1"/>
  <c r="JY123" i="1"/>
  <c r="LU123" i="1" s="1"/>
  <c r="JZ123" i="1"/>
  <c r="LV123" i="1" s="1"/>
  <c r="KA123" i="1"/>
  <c r="LW123" i="1" s="1"/>
  <c r="KB123" i="1"/>
  <c r="LX123" i="1" s="1"/>
  <c r="KC123" i="1"/>
  <c r="LY123" i="1" s="1"/>
  <c r="KD123" i="1"/>
  <c r="LZ123" i="1" s="1"/>
  <c r="KE123" i="1"/>
  <c r="MA123" i="1" s="1"/>
  <c r="KF123" i="1"/>
  <c r="MB123" i="1" s="1"/>
  <c r="KG123" i="1"/>
  <c r="MC123" i="1" s="1"/>
  <c r="JR124" i="1"/>
  <c r="JS124" i="1"/>
  <c r="LO124" i="1" s="1"/>
  <c r="JT124" i="1"/>
  <c r="LP124" i="1" s="1"/>
  <c r="JU124" i="1"/>
  <c r="LQ124" i="1" s="1"/>
  <c r="JV124" i="1"/>
  <c r="LR124" i="1" s="1"/>
  <c r="JW124" i="1"/>
  <c r="LS124" i="1" s="1"/>
  <c r="JX124" i="1"/>
  <c r="LT124" i="1" s="1"/>
  <c r="JY124" i="1"/>
  <c r="LU124" i="1" s="1"/>
  <c r="JZ124" i="1"/>
  <c r="LV124" i="1" s="1"/>
  <c r="KA124" i="1"/>
  <c r="LW124" i="1" s="1"/>
  <c r="KB124" i="1"/>
  <c r="LX124" i="1" s="1"/>
  <c r="KC124" i="1"/>
  <c r="LY124" i="1" s="1"/>
  <c r="KD124" i="1"/>
  <c r="LZ124" i="1" s="1"/>
  <c r="KE124" i="1"/>
  <c r="MA124" i="1" s="1"/>
  <c r="KF124" i="1"/>
  <c r="MB124" i="1" s="1"/>
  <c r="KG124" i="1"/>
  <c r="MC124" i="1" s="1"/>
  <c r="JR84" i="1"/>
  <c r="JS84" i="1"/>
  <c r="LO84" i="1" s="1"/>
  <c r="JT84" i="1"/>
  <c r="LP84" i="1" s="1"/>
  <c r="JU84" i="1"/>
  <c r="LQ84" i="1" s="1"/>
  <c r="JV84" i="1"/>
  <c r="LR84" i="1" s="1"/>
  <c r="JW84" i="1"/>
  <c r="LS84" i="1" s="1"/>
  <c r="JX84" i="1"/>
  <c r="LT84" i="1" s="1"/>
  <c r="JY84" i="1"/>
  <c r="LU84" i="1" s="1"/>
  <c r="JZ84" i="1"/>
  <c r="LV84" i="1" s="1"/>
  <c r="KA84" i="1"/>
  <c r="LW84" i="1" s="1"/>
  <c r="KB84" i="1"/>
  <c r="LX84" i="1" s="1"/>
  <c r="KC84" i="1"/>
  <c r="LY84" i="1" s="1"/>
  <c r="KD84" i="1"/>
  <c r="LZ84" i="1" s="1"/>
  <c r="KE84" i="1"/>
  <c r="MA84" i="1" s="1"/>
  <c r="KF84" i="1"/>
  <c r="MB84" i="1" s="1"/>
  <c r="KG84" i="1"/>
  <c r="MC84" i="1" s="1"/>
  <c r="JR85" i="1"/>
  <c r="JS85" i="1"/>
  <c r="LO85" i="1" s="1"/>
  <c r="JT85" i="1"/>
  <c r="LP85" i="1" s="1"/>
  <c r="JU85" i="1"/>
  <c r="LQ85" i="1" s="1"/>
  <c r="JV85" i="1"/>
  <c r="LR85" i="1" s="1"/>
  <c r="JW85" i="1"/>
  <c r="LS85" i="1" s="1"/>
  <c r="JX85" i="1"/>
  <c r="LT85" i="1" s="1"/>
  <c r="JY85" i="1"/>
  <c r="LU85" i="1" s="1"/>
  <c r="JZ85" i="1"/>
  <c r="LV85" i="1" s="1"/>
  <c r="KA85" i="1"/>
  <c r="LW85" i="1" s="1"/>
  <c r="KB85" i="1"/>
  <c r="LX85" i="1" s="1"/>
  <c r="KC85" i="1"/>
  <c r="LY85" i="1" s="1"/>
  <c r="KD85" i="1"/>
  <c r="LZ85" i="1" s="1"/>
  <c r="KE85" i="1"/>
  <c r="MA85" i="1" s="1"/>
  <c r="KF85" i="1"/>
  <c r="MB85" i="1" s="1"/>
  <c r="KG85" i="1"/>
  <c r="MC85" i="1" s="1"/>
  <c r="JR55" i="1"/>
  <c r="JS55" i="1"/>
  <c r="LO55" i="1" s="1"/>
  <c r="JT55" i="1"/>
  <c r="LP55" i="1" s="1"/>
  <c r="JU55" i="1"/>
  <c r="LQ55" i="1" s="1"/>
  <c r="JV55" i="1"/>
  <c r="LR55" i="1" s="1"/>
  <c r="JW55" i="1"/>
  <c r="LS55" i="1" s="1"/>
  <c r="JX55" i="1"/>
  <c r="LT55" i="1" s="1"/>
  <c r="JY55" i="1"/>
  <c r="LU55" i="1" s="1"/>
  <c r="JZ55" i="1"/>
  <c r="LV55" i="1" s="1"/>
  <c r="KA55" i="1"/>
  <c r="LW55" i="1" s="1"/>
  <c r="KB55" i="1"/>
  <c r="LX55" i="1" s="1"/>
  <c r="KC55" i="1"/>
  <c r="LY55" i="1" s="1"/>
  <c r="KE55" i="1"/>
  <c r="MA55" i="1" s="1"/>
  <c r="KF55" i="1"/>
  <c r="MB55" i="1" s="1"/>
  <c r="KG55" i="1"/>
  <c r="MC55" i="1" s="1"/>
  <c r="KD55" i="1"/>
  <c r="LZ55" i="1" s="1"/>
  <c r="MF3" i="1"/>
  <c r="MF86" i="1"/>
  <c r="MF4" i="1"/>
  <c r="MF5" i="1"/>
  <c r="MF6" i="1"/>
  <c r="MF8" i="1"/>
  <c r="MF7" i="1"/>
  <c r="MF9" i="1"/>
  <c r="MF10" i="1"/>
  <c r="MF11" i="1"/>
  <c r="MF12" i="1"/>
  <c r="MF13" i="1"/>
  <c r="MF87" i="1"/>
  <c r="MF14" i="1"/>
  <c r="MF15" i="1"/>
  <c r="MF16" i="1"/>
  <c r="MF17" i="1"/>
  <c r="MF18" i="1"/>
  <c r="MF19" i="1"/>
  <c r="MF20" i="1"/>
  <c r="MF21" i="1"/>
  <c r="MF88" i="1"/>
  <c r="MF22" i="1"/>
  <c r="MF89" i="1"/>
  <c r="MF23" i="1"/>
  <c r="MF24" i="1"/>
  <c r="MF25" i="1"/>
  <c r="MF26" i="1"/>
  <c r="MF27" i="1"/>
  <c r="MF28" i="1"/>
  <c r="MF29" i="1"/>
  <c r="MF30" i="1"/>
  <c r="MF32" i="1"/>
  <c r="MF31" i="1"/>
  <c r="MF33" i="1"/>
  <c r="MF90" i="1"/>
  <c r="MF91" i="1"/>
  <c r="MF92" i="1"/>
  <c r="MF35" i="1"/>
  <c r="MF34" i="1"/>
  <c r="MF36" i="1"/>
  <c r="MF37" i="1"/>
  <c r="MF93" i="1"/>
  <c r="MF38" i="1"/>
  <c r="MF40" i="1"/>
  <c r="MF39" i="1"/>
  <c r="MF42" i="1"/>
  <c r="MF41" i="1"/>
  <c r="MF43" i="1"/>
  <c r="MF44" i="1"/>
  <c r="MF94" i="1"/>
  <c r="MF95" i="1"/>
  <c r="MF96" i="1"/>
  <c r="MF97" i="1"/>
  <c r="MF98" i="1"/>
  <c r="MF99" i="1"/>
  <c r="MF101" i="1"/>
  <c r="MF100" i="1"/>
  <c r="MF45" i="1"/>
  <c r="MF46" i="1"/>
  <c r="MF102" i="1"/>
  <c r="MF47" i="1"/>
  <c r="MF49" i="1"/>
  <c r="MF48" i="1"/>
  <c r="MF103" i="1"/>
  <c r="MF50" i="1"/>
  <c r="MF52" i="1"/>
  <c r="MF51" i="1"/>
  <c r="MF104" i="1"/>
  <c r="MF105" i="1"/>
  <c r="MF53" i="1"/>
  <c r="MF106" i="1"/>
  <c r="MF107" i="1"/>
  <c r="MF108" i="1"/>
  <c r="MF109" i="1"/>
  <c r="MF54" i="1"/>
  <c r="MF55" i="1"/>
  <c r="MF56" i="1"/>
  <c r="MF57" i="1"/>
  <c r="MF58" i="1"/>
  <c r="MF59" i="1"/>
  <c r="MF110" i="1"/>
  <c r="MF60" i="1"/>
  <c r="MF61" i="1"/>
  <c r="MF63" i="1"/>
  <c r="MF62" i="1"/>
  <c r="MF64" i="1"/>
  <c r="MF65" i="1"/>
  <c r="MF66" i="1"/>
  <c r="MF111" i="1"/>
  <c r="MF112" i="1"/>
  <c r="MF113" i="1"/>
  <c r="MF67" i="1"/>
  <c r="MF114" i="1"/>
  <c r="MF68" i="1"/>
  <c r="MF69" i="1"/>
  <c r="MF70" i="1"/>
  <c r="MF115" i="1"/>
  <c r="MF71" i="1"/>
  <c r="MF72" i="1"/>
  <c r="MF73" i="1"/>
  <c r="MF74" i="1"/>
  <c r="MF75" i="1"/>
  <c r="MF76" i="1"/>
  <c r="MF116" i="1"/>
  <c r="MF77" i="1"/>
  <c r="MF117" i="1"/>
  <c r="MF118" i="1"/>
  <c r="MF78" i="1"/>
  <c r="MF79" i="1"/>
  <c r="MF119" i="1"/>
  <c r="MF80" i="1"/>
  <c r="MF81" i="1"/>
  <c r="MF82" i="1"/>
  <c r="MF83" i="1"/>
  <c r="MF120" i="1"/>
  <c r="MF121" i="1"/>
  <c r="MF122" i="1"/>
  <c r="MF123" i="1"/>
  <c r="MF124" i="1"/>
  <c r="MF84" i="1"/>
  <c r="MF85" i="1"/>
  <c r="MF2" i="1"/>
  <c r="ME3" i="1"/>
  <c r="ME86" i="1"/>
  <c r="ME4" i="1"/>
  <c r="ME5" i="1"/>
  <c r="ME6" i="1"/>
  <c r="ME8" i="1"/>
  <c r="ME7" i="1"/>
  <c r="ME9" i="1"/>
  <c r="ME10" i="1"/>
  <c r="ME11" i="1"/>
  <c r="ME12" i="1"/>
  <c r="ME13" i="1"/>
  <c r="ME87" i="1"/>
  <c r="ME14" i="1"/>
  <c r="ME15" i="1"/>
  <c r="ME16" i="1"/>
  <c r="ME17" i="1"/>
  <c r="ME18" i="1"/>
  <c r="ME19" i="1"/>
  <c r="ME20" i="1"/>
  <c r="ME21" i="1"/>
  <c r="ME88" i="1"/>
  <c r="ME22" i="1"/>
  <c r="ME89" i="1"/>
  <c r="ME23" i="1"/>
  <c r="ME24" i="1"/>
  <c r="ME25" i="1"/>
  <c r="ME26" i="1"/>
  <c r="ME27" i="1"/>
  <c r="ME28" i="1"/>
  <c r="ME29" i="1"/>
  <c r="ME30" i="1"/>
  <c r="ME32" i="1"/>
  <c r="ME31" i="1"/>
  <c r="ME33" i="1"/>
  <c r="ME90" i="1"/>
  <c r="ME91" i="1"/>
  <c r="ME92" i="1"/>
  <c r="ME35" i="1"/>
  <c r="ME34" i="1"/>
  <c r="ME36" i="1"/>
  <c r="ME37" i="1"/>
  <c r="ME93" i="1"/>
  <c r="ME38" i="1"/>
  <c r="ME40" i="1"/>
  <c r="ME39" i="1"/>
  <c r="ME42" i="1"/>
  <c r="ME41" i="1"/>
  <c r="ME43" i="1"/>
  <c r="ME44" i="1"/>
  <c r="ME94" i="1"/>
  <c r="ME95" i="1"/>
  <c r="ME96" i="1"/>
  <c r="ME97" i="1"/>
  <c r="ME98" i="1"/>
  <c r="ME99" i="1"/>
  <c r="ME101" i="1"/>
  <c r="ME100" i="1"/>
  <c r="ME45" i="1"/>
  <c r="ME46" i="1"/>
  <c r="ME102" i="1"/>
  <c r="ME47" i="1"/>
  <c r="ME49" i="1"/>
  <c r="ME48" i="1"/>
  <c r="ME103" i="1"/>
  <c r="ME50" i="1"/>
  <c r="ME52" i="1"/>
  <c r="ME51" i="1"/>
  <c r="ME104" i="1"/>
  <c r="ME105" i="1"/>
  <c r="ME53" i="1"/>
  <c r="ME106" i="1"/>
  <c r="ME107" i="1"/>
  <c r="ME108" i="1"/>
  <c r="ME109" i="1"/>
  <c r="ME54" i="1"/>
  <c r="ME55" i="1"/>
  <c r="ME56" i="1"/>
  <c r="ME57" i="1"/>
  <c r="ME58" i="1"/>
  <c r="ME59" i="1"/>
  <c r="ME110" i="1"/>
  <c r="ME60" i="1"/>
  <c r="ME61" i="1"/>
  <c r="ME63" i="1"/>
  <c r="ME62" i="1"/>
  <c r="ME64" i="1"/>
  <c r="ME65" i="1"/>
  <c r="ME66" i="1"/>
  <c r="ME111" i="1"/>
  <c r="ME112" i="1"/>
  <c r="ME113" i="1"/>
  <c r="ME67" i="1"/>
  <c r="ME114" i="1"/>
  <c r="ME68" i="1"/>
  <c r="ME69" i="1"/>
  <c r="ME70" i="1"/>
  <c r="ME115" i="1"/>
  <c r="ME71" i="1"/>
  <c r="ME72" i="1"/>
  <c r="ME73" i="1"/>
  <c r="ME74" i="1"/>
  <c r="ME75" i="1"/>
  <c r="ME76" i="1"/>
  <c r="ME116" i="1"/>
  <c r="ME77" i="1"/>
  <c r="ME117" i="1"/>
  <c r="ME118" i="1"/>
  <c r="ME78" i="1"/>
  <c r="ME79" i="1"/>
  <c r="ME119" i="1"/>
  <c r="ME80" i="1"/>
  <c r="ME81" i="1"/>
  <c r="ME82" i="1"/>
  <c r="ME83" i="1"/>
  <c r="ME120" i="1"/>
  <c r="ME121" i="1"/>
  <c r="ME122" i="1"/>
  <c r="ME123" i="1"/>
  <c r="ME124" i="1"/>
  <c r="ME84" i="1"/>
  <c r="ME85" i="1"/>
  <c r="ME2" i="1"/>
  <c r="MD3" i="1"/>
  <c r="MD86" i="1"/>
  <c r="MD4" i="1"/>
  <c r="MD5" i="1"/>
  <c r="MD6" i="1"/>
  <c r="MD8" i="1"/>
  <c r="MD7" i="1"/>
  <c r="MD9" i="1"/>
  <c r="MD10" i="1"/>
  <c r="MD11" i="1"/>
  <c r="MD12" i="1"/>
  <c r="MD13" i="1"/>
  <c r="MD87" i="1"/>
  <c r="MD14" i="1"/>
  <c r="MD15" i="1"/>
  <c r="MD16" i="1"/>
  <c r="MD17" i="1"/>
  <c r="MD18" i="1"/>
  <c r="MD19" i="1"/>
  <c r="MD20" i="1"/>
  <c r="MD21" i="1"/>
  <c r="MD88" i="1"/>
  <c r="MD22" i="1"/>
  <c r="MD89" i="1"/>
  <c r="MD23" i="1"/>
  <c r="MD24" i="1"/>
  <c r="MD25" i="1"/>
  <c r="MD26" i="1"/>
  <c r="MD27" i="1"/>
  <c r="MD28" i="1"/>
  <c r="MD29" i="1"/>
  <c r="MD30" i="1"/>
  <c r="MD32" i="1"/>
  <c r="MD31" i="1"/>
  <c r="MD33" i="1"/>
  <c r="MD90" i="1"/>
  <c r="MD91" i="1"/>
  <c r="MD92" i="1"/>
  <c r="MD35" i="1"/>
  <c r="MD34" i="1"/>
  <c r="MD36" i="1"/>
  <c r="MD37" i="1"/>
  <c r="MD93" i="1"/>
  <c r="MD38" i="1"/>
  <c r="MD40" i="1"/>
  <c r="MD39" i="1"/>
  <c r="MD42" i="1"/>
  <c r="MD41" i="1"/>
  <c r="MD43" i="1"/>
  <c r="MD44" i="1"/>
  <c r="MD94" i="1"/>
  <c r="MD95" i="1"/>
  <c r="MD96" i="1"/>
  <c r="MD97" i="1"/>
  <c r="MD98" i="1"/>
  <c r="MD99" i="1"/>
  <c r="MD101" i="1"/>
  <c r="MD100" i="1"/>
  <c r="MD45" i="1"/>
  <c r="MD46" i="1"/>
  <c r="MD102" i="1"/>
  <c r="MD47" i="1"/>
  <c r="MD49" i="1"/>
  <c r="MD48" i="1"/>
  <c r="MD103" i="1"/>
  <c r="MD50" i="1"/>
  <c r="MD52" i="1"/>
  <c r="MD51" i="1"/>
  <c r="MD104" i="1"/>
  <c r="MD105" i="1"/>
  <c r="MD53" i="1"/>
  <c r="MD106" i="1"/>
  <c r="MD107" i="1"/>
  <c r="MD108" i="1"/>
  <c r="MD109" i="1"/>
  <c r="MD54" i="1"/>
  <c r="MD55" i="1"/>
  <c r="MD56" i="1"/>
  <c r="MD57" i="1"/>
  <c r="MD58" i="1"/>
  <c r="MD59" i="1"/>
  <c r="MD110" i="1"/>
  <c r="MD60" i="1"/>
  <c r="MD61" i="1"/>
  <c r="MD63" i="1"/>
  <c r="MD62" i="1"/>
  <c r="MD64" i="1"/>
  <c r="MD65" i="1"/>
  <c r="MD66" i="1"/>
  <c r="MD111" i="1"/>
  <c r="MD112" i="1"/>
  <c r="MD113" i="1"/>
  <c r="MD67" i="1"/>
  <c r="MD114" i="1"/>
  <c r="MD68" i="1"/>
  <c r="MD69" i="1"/>
  <c r="MD70" i="1"/>
  <c r="MD115" i="1"/>
  <c r="MD71" i="1"/>
  <c r="MD72" i="1"/>
  <c r="MD73" i="1"/>
  <c r="MD74" i="1"/>
  <c r="MD75" i="1"/>
  <c r="MD76" i="1"/>
  <c r="MD116" i="1"/>
  <c r="MD77" i="1"/>
  <c r="MD117" i="1"/>
  <c r="MD118" i="1"/>
  <c r="MD78" i="1"/>
  <c r="MD79" i="1"/>
  <c r="MD119" i="1"/>
  <c r="MD80" i="1"/>
  <c r="MD81" i="1"/>
  <c r="MD82" i="1"/>
  <c r="MD83" i="1"/>
  <c r="MD120" i="1"/>
  <c r="MD121" i="1"/>
  <c r="MD122" i="1"/>
  <c r="MD123" i="1"/>
  <c r="MD124" i="1"/>
  <c r="MD84" i="1"/>
  <c r="MD85" i="1"/>
  <c r="MD2" i="1"/>
  <c r="MG3" i="1"/>
  <c r="MG86" i="1"/>
  <c r="MG4" i="1"/>
  <c r="MG5" i="1"/>
  <c r="MG6" i="1"/>
  <c r="MG8" i="1"/>
  <c r="MG7" i="1"/>
  <c r="MG9" i="1"/>
  <c r="MG10" i="1"/>
  <c r="MG11" i="1"/>
  <c r="MG12" i="1"/>
  <c r="MG13" i="1"/>
  <c r="MG87" i="1"/>
  <c r="MG14" i="1"/>
  <c r="MG15" i="1"/>
  <c r="MG16" i="1"/>
  <c r="MG17" i="1"/>
  <c r="MG18" i="1"/>
  <c r="MG19" i="1"/>
  <c r="MG20" i="1"/>
  <c r="MG21" i="1"/>
  <c r="MG88" i="1"/>
  <c r="MG22" i="1"/>
  <c r="MG89" i="1"/>
  <c r="MG23" i="1"/>
  <c r="MG24" i="1"/>
  <c r="MG25" i="1"/>
  <c r="MG26" i="1"/>
  <c r="MG27" i="1"/>
  <c r="MG28" i="1"/>
  <c r="MG29" i="1"/>
  <c r="MG30" i="1"/>
  <c r="MG32" i="1"/>
  <c r="MG31" i="1"/>
  <c r="MG33" i="1"/>
  <c r="MG90" i="1"/>
  <c r="MG91" i="1"/>
  <c r="MG92" i="1"/>
  <c r="MG35" i="1"/>
  <c r="MG34" i="1"/>
  <c r="MG36" i="1"/>
  <c r="MG37" i="1"/>
  <c r="MG93" i="1"/>
  <c r="MG38" i="1"/>
  <c r="MG40" i="1"/>
  <c r="MG39" i="1"/>
  <c r="MG42" i="1"/>
  <c r="MG41" i="1"/>
  <c r="MG43" i="1"/>
  <c r="MG44" i="1"/>
  <c r="MG94" i="1"/>
  <c r="MG95" i="1"/>
  <c r="MG96" i="1"/>
  <c r="MG97" i="1"/>
  <c r="MG98" i="1"/>
  <c r="MG99" i="1"/>
  <c r="MG101" i="1"/>
  <c r="MG100" i="1"/>
  <c r="MG45" i="1"/>
  <c r="MG46" i="1"/>
  <c r="MG102" i="1"/>
  <c r="MG47" i="1"/>
  <c r="MG49" i="1"/>
  <c r="MG48" i="1"/>
  <c r="MG103" i="1"/>
  <c r="MG50" i="1"/>
  <c r="MG52" i="1"/>
  <c r="MG51" i="1"/>
  <c r="MG104" i="1"/>
  <c r="MG105" i="1"/>
  <c r="MG53" i="1"/>
  <c r="MG106" i="1"/>
  <c r="MG107" i="1"/>
  <c r="MG108" i="1"/>
  <c r="MG109" i="1"/>
  <c r="MG54" i="1"/>
  <c r="MG55" i="1"/>
  <c r="MG56" i="1"/>
  <c r="MG57" i="1"/>
  <c r="MG58" i="1"/>
  <c r="MG59" i="1"/>
  <c r="MG110" i="1"/>
  <c r="MG60" i="1"/>
  <c r="MG61" i="1"/>
  <c r="MG63" i="1"/>
  <c r="MG62" i="1"/>
  <c r="MG64" i="1"/>
  <c r="MG65" i="1"/>
  <c r="MG66" i="1"/>
  <c r="MG111" i="1"/>
  <c r="MG112" i="1"/>
  <c r="MG113" i="1"/>
  <c r="MG67" i="1"/>
  <c r="MG114" i="1"/>
  <c r="MG68" i="1"/>
  <c r="MG69" i="1"/>
  <c r="MG70" i="1"/>
  <c r="MG115" i="1"/>
  <c r="MG71" i="1"/>
  <c r="MG72" i="1"/>
  <c r="MG73" i="1"/>
  <c r="MG74" i="1"/>
  <c r="MG75" i="1"/>
  <c r="MG76" i="1"/>
  <c r="MG116" i="1"/>
  <c r="MG77" i="1"/>
  <c r="MG117" i="1"/>
  <c r="MG118" i="1"/>
  <c r="MG78" i="1"/>
  <c r="MG79" i="1"/>
  <c r="MG119" i="1"/>
  <c r="MG80" i="1"/>
  <c r="MG81" i="1"/>
  <c r="MG82" i="1"/>
  <c r="MG83" i="1"/>
  <c r="MG120" i="1"/>
  <c r="MG121" i="1"/>
  <c r="MG122" i="1"/>
  <c r="MG123" i="1"/>
  <c r="MG124" i="1"/>
  <c r="MG84" i="1"/>
  <c r="MG85" i="1"/>
  <c r="MG2" i="1"/>
  <c r="IL2" i="1"/>
  <c r="IL3" i="1"/>
  <c r="IL86" i="1"/>
  <c r="IL4" i="1"/>
  <c r="IL5" i="1"/>
  <c r="IL6" i="1"/>
  <c r="IL8" i="1"/>
  <c r="IL7" i="1"/>
  <c r="IL9" i="1"/>
  <c r="IL10" i="1"/>
  <c r="IL11" i="1"/>
  <c r="IL12" i="1"/>
  <c r="IL13" i="1"/>
  <c r="IL87" i="1"/>
  <c r="IL14" i="1"/>
  <c r="IL15" i="1"/>
  <c r="IL16" i="1"/>
  <c r="IL17" i="1"/>
  <c r="IL18" i="1"/>
  <c r="IL19" i="1"/>
  <c r="IL20" i="1"/>
  <c r="IL21" i="1"/>
  <c r="IL88" i="1"/>
  <c r="IL22" i="1"/>
  <c r="IL89" i="1"/>
  <c r="IL23" i="1"/>
  <c r="IL24" i="1"/>
  <c r="IL25" i="1"/>
  <c r="IL26" i="1"/>
  <c r="IL27" i="1"/>
  <c r="IL28" i="1"/>
  <c r="IL29" i="1"/>
  <c r="IL30" i="1"/>
  <c r="IL32" i="1"/>
  <c r="IL31" i="1"/>
  <c r="IL33" i="1"/>
  <c r="IL90" i="1"/>
  <c r="IL91" i="1"/>
  <c r="IL92" i="1"/>
  <c r="IL35" i="1"/>
  <c r="IL34" i="1"/>
  <c r="IL36" i="1"/>
  <c r="IL37" i="1"/>
  <c r="IL93" i="1"/>
  <c r="IL38" i="1"/>
  <c r="IL40" i="1"/>
  <c r="IL39" i="1"/>
  <c r="IL42" i="1"/>
  <c r="IL41" i="1"/>
  <c r="IL43" i="1"/>
  <c r="IL44" i="1"/>
  <c r="IL94" i="1"/>
  <c r="IL95" i="1"/>
  <c r="IL96" i="1"/>
  <c r="IL97" i="1"/>
  <c r="IL98" i="1"/>
  <c r="IL99" i="1"/>
  <c r="IL101" i="1"/>
  <c r="IL100" i="1"/>
  <c r="IL45" i="1"/>
  <c r="IL46" i="1"/>
  <c r="IL102" i="1"/>
  <c r="IL47" i="1"/>
  <c r="IL49" i="1"/>
  <c r="IL48" i="1"/>
  <c r="IL103" i="1"/>
  <c r="IL50" i="1"/>
  <c r="IL52" i="1"/>
  <c r="IL51" i="1"/>
  <c r="IL104" i="1"/>
  <c r="IL105" i="1"/>
  <c r="IL53" i="1"/>
  <c r="IL106" i="1"/>
  <c r="IL107" i="1"/>
  <c r="IL108" i="1"/>
  <c r="IL109" i="1"/>
  <c r="IL54" i="1"/>
  <c r="IL55" i="1"/>
  <c r="IL56" i="1"/>
  <c r="IL57" i="1"/>
  <c r="IL58" i="1"/>
  <c r="IL59" i="1"/>
  <c r="IL110" i="1"/>
  <c r="IL60" i="1"/>
  <c r="IL61" i="1"/>
  <c r="IL63" i="1"/>
  <c r="IL62" i="1"/>
  <c r="IL64" i="1"/>
  <c r="IL65" i="1"/>
  <c r="IL66" i="1"/>
  <c r="IL111" i="1"/>
  <c r="IL112" i="1"/>
  <c r="IL113" i="1"/>
  <c r="IL67" i="1"/>
  <c r="IL114" i="1"/>
  <c r="IL68" i="1"/>
  <c r="IL69" i="1"/>
  <c r="IL70" i="1"/>
  <c r="IL115" i="1"/>
  <c r="IL71" i="1"/>
  <c r="IL72" i="1"/>
  <c r="IL73" i="1"/>
  <c r="IL74" i="1"/>
  <c r="IL75" i="1"/>
  <c r="IL76" i="1"/>
  <c r="IL116" i="1"/>
  <c r="IL77" i="1"/>
  <c r="IL117" i="1"/>
  <c r="IL118" i="1"/>
  <c r="IL78" i="1"/>
  <c r="IL79" i="1"/>
  <c r="IL119" i="1"/>
  <c r="IL80" i="1"/>
  <c r="IL81" i="1"/>
  <c r="IL82" i="1"/>
  <c r="IL83" i="1"/>
  <c r="IL120" i="1"/>
  <c r="IL121" i="1"/>
  <c r="IL122" i="1"/>
  <c r="IL123" i="1"/>
  <c r="IL124" i="1"/>
  <c r="IL84" i="1"/>
  <c r="IL85" i="1"/>
  <c r="CQ2" i="1" l="1"/>
  <c r="CQ33" i="1"/>
  <c r="CN11" i="2"/>
  <c r="CQ81" i="1"/>
  <c r="CC79" i="1"/>
  <c r="CC63" i="1"/>
  <c r="CC37" i="1"/>
  <c r="CC38" i="1"/>
  <c r="CC51" i="1"/>
  <c r="CC15" i="1"/>
  <c r="CC42" i="1"/>
  <c r="CC66" i="1"/>
  <c r="CC81" i="1"/>
  <c r="CC41" i="1"/>
  <c r="CC10" i="1"/>
  <c r="CC19" i="1"/>
  <c r="CC82" i="1"/>
  <c r="CC47" i="1"/>
  <c r="CC62" i="1"/>
  <c r="CC17" i="1"/>
  <c r="CC53" i="1"/>
  <c r="CC44" i="1"/>
  <c r="CC25" i="1"/>
  <c r="CC13" i="1"/>
  <c r="CC36" i="1"/>
  <c r="CC20" i="1"/>
  <c r="CC12" i="1"/>
  <c r="CC83" i="1"/>
  <c r="CC74" i="1"/>
  <c r="CC29" i="1"/>
  <c r="CC55" i="1"/>
  <c r="CC4" i="1"/>
  <c r="CC34" i="1"/>
  <c r="CC35" i="1"/>
  <c r="CC16" i="1"/>
  <c r="CC24" i="1"/>
  <c r="CC30" i="1"/>
  <c r="CC67" i="1"/>
  <c r="CC85" i="1"/>
  <c r="CC27" i="1"/>
  <c r="CC59" i="1"/>
  <c r="CC2" i="1"/>
  <c r="CC3" i="1"/>
  <c r="CC86" i="1"/>
  <c r="CC5" i="1"/>
  <c r="CC6" i="1"/>
  <c r="CC8" i="1"/>
  <c r="CC7" i="1"/>
  <c r="CC9" i="1"/>
  <c r="CC11" i="1"/>
  <c r="CC87" i="1"/>
  <c r="CC14" i="1"/>
  <c r="CC18" i="1"/>
  <c r="CC21" i="1"/>
  <c r="CC88" i="1"/>
  <c r="CC22" i="1"/>
  <c r="CC89" i="1"/>
  <c r="CC23" i="1"/>
  <c r="CC26" i="1"/>
  <c r="CC28" i="1"/>
  <c r="CC32" i="1"/>
  <c r="CC31" i="1"/>
  <c r="CC90" i="1"/>
  <c r="CC91" i="1"/>
  <c r="CC92" i="1"/>
  <c r="CC93" i="1"/>
  <c r="CC40" i="1"/>
  <c r="CC39" i="1"/>
  <c r="CC43" i="1"/>
  <c r="CC94" i="1"/>
  <c r="CC95" i="1"/>
  <c r="CC96" i="1"/>
  <c r="CC97" i="1"/>
  <c r="CC98" i="1"/>
  <c r="CC99" i="1"/>
  <c r="CC101" i="1"/>
  <c r="CC100" i="1"/>
  <c r="CC45" i="1"/>
  <c r="CC46" i="1"/>
  <c r="CC102" i="1"/>
  <c r="CC49" i="1"/>
  <c r="CC48" i="1"/>
  <c r="CC103" i="1"/>
  <c r="CC50" i="1"/>
  <c r="CC52" i="1"/>
  <c r="CC104" i="1"/>
  <c r="CC105" i="1"/>
  <c r="CC106" i="1"/>
  <c r="CC107" i="1"/>
  <c r="CC108" i="1"/>
  <c r="CC109" i="1"/>
  <c r="CC54" i="1"/>
  <c r="CC56" i="1"/>
  <c r="CC57" i="1"/>
  <c r="CC58" i="1"/>
  <c r="CC110" i="1"/>
  <c r="CC60" i="1"/>
  <c r="CC61" i="1"/>
  <c r="CC64" i="1"/>
  <c r="CC65" i="1"/>
  <c r="CC111" i="1"/>
  <c r="CC112" i="1"/>
  <c r="CC113" i="1"/>
  <c r="CC114" i="1"/>
  <c r="CC68" i="1"/>
  <c r="CC69" i="1"/>
  <c r="CC70" i="1"/>
  <c r="CC115" i="1"/>
  <c r="CC71" i="1"/>
  <c r="CC72" i="1"/>
  <c r="CC73" i="1"/>
  <c r="CC75" i="1"/>
  <c r="CC76" i="1"/>
  <c r="CC116" i="1"/>
  <c r="CC77" i="1"/>
  <c r="CC117" i="1"/>
  <c r="CC118" i="1"/>
  <c r="CC78" i="1"/>
  <c r="CC119" i="1"/>
  <c r="CC80" i="1"/>
  <c r="CC120" i="1"/>
  <c r="CC121" i="1"/>
  <c r="CC122" i="1"/>
  <c r="CC123" i="1"/>
  <c r="CC124" i="1"/>
  <c r="CC84" i="1"/>
  <c r="CC33" i="1"/>
  <c r="CO79" i="1"/>
  <c r="CO63" i="1"/>
  <c r="CO37" i="1"/>
  <c r="CO38" i="1"/>
  <c r="CO51" i="1"/>
  <c r="CO15" i="1"/>
  <c r="CO42" i="1"/>
  <c r="CO66" i="1"/>
  <c r="CO41" i="1"/>
  <c r="CO10" i="1"/>
  <c r="CO19" i="1"/>
  <c r="CO82" i="1"/>
  <c r="CO47" i="1"/>
  <c r="CO62" i="1"/>
  <c r="CO17" i="1"/>
  <c r="CO53" i="1"/>
  <c r="CO44" i="1"/>
  <c r="CO25" i="1"/>
  <c r="CO13" i="1"/>
  <c r="CO36" i="1"/>
  <c r="CO20" i="1"/>
  <c r="CO12" i="1"/>
  <c r="CO83" i="1"/>
  <c r="CO74" i="1"/>
  <c r="CO29" i="1"/>
  <c r="CO55" i="1"/>
  <c r="CO35" i="1"/>
  <c r="CO16" i="1"/>
  <c r="CO24" i="1"/>
  <c r="CO30" i="1"/>
  <c r="CO67" i="1"/>
  <c r="CO85" i="1"/>
  <c r="CO27" i="1"/>
  <c r="CO59" i="1"/>
  <c r="CO2" i="1"/>
  <c r="CO3" i="1"/>
  <c r="CO86" i="1"/>
  <c r="CO5" i="1"/>
  <c r="CO6" i="1"/>
  <c r="CO8" i="1"/>
  <c r="CO7" i="1"/>
  <c r="CO9" i="1"/>
  <c r="CO11" i="1"/>
  <c r="CO87" i="1"/>
  <c r="CO14" i="1"/>
  <c r="CO18" i="1"/>
  <c r="CO21" i="1"/>
  <c r="CO88" i="1"/>
  <c r="CO22" i="1"/>
  <c r="CO89" i="1"/>
  <c r="CO23" i="1"/>
  <c r="CO26" i="1"/>
  <c r="CO28" i="1"/>
  <c r="CO32" i="1"/>
  <c r="CO31" i="1"/>
  <c r="CO90" i="1"/>
  <c r="CO91" i="1"/>
  <c r="CO92" i="1"/>
  <c r="CO93" i="1"/>
  <c r="CO40" i="1"/>
  <c r="CO39" i="1"/>
  <c r="CO43" i="1"/>
  <c r="CO94" i="1"/>
  <c r="CO95" i="1"/>
  <c r="CO96" i="1"/>
  <c r="CO97" i="1"/>
  <c r="CO98" i="1"/>
  <c r="CO99" i="1"/>
  <c r="CO101" i="1"/>
  <c r="CO100" i="1"/>
  <c r="CO45" i="1"/>
  <c r="CO46" i="1"/>
  <c r="CO102" i="1"/>
  <c r="CO49" i="1"/>
  <c r="CO48" i="1"/>
  <c r="CO103" i="1"/>
  <c r="CO50" i="1"/>
  <c r="CO52" i="1"/>
  <c r="CO104" i="1"/>
  <c r="CO105" i="1"/>
  <c r="CO106" i="1"/>
  <c r="CO107" i="1"/>
  <c r="CO108" i="1"/>
  <c r="CO109" i="1"/>
  <c r="CO54" i="1"/>
  <c r="CO56" i="1"/>
  <c r="CO57" i="1"/>
  <c r="CO58" i="1"/>
  <c r="CO110" i="1"/>
  <c r="CO60" i="1"/>
  <c r="CO61" i="1"/>
  <c r="CO64" i="1"/>
  <c r="CO65" i="1"/>
  <c r="CO111" i="1"/>
  <c r="CO112" i="1"/>
  <c r="CO113" i="1"/>
  <c r="CO114" i="1"/>
  <c r="CO68" i="1"/>
  <c r="CO69" i="1"/>
  <c r="CO70" i="1"/>
  <c r="CO115" i="1"/>
  <c r="CO71" i="1"/>
  <c r="CO72" i="1"/>
  <c r="CO73" i="1"/>
  <c r="CO75" i="1"/>
  <c r="CO76" i="1"/>
  <c r="CO116" i="1"/>
  <c r="CO77" i="1"/>
  <c r="CO117" i="1"/>
  <c r="CO118" i="1"/>
  <c r="CO78" i="1"/>
  <c r="CO119" i="1"/>
  <c r="CO80" i="1"/>
  <c r="CO120" i="1"/>
  <c r="CO121" i="1"/>
  <c r="CO122" i="1"/>
  <c r="CO123" i="1"/>
  <c r="CO124" i="1"/>
  <c r="CO84" i="1"/>
  <c r="KH3" i="1" l="1"/>
  <c r="IM3" i="1"/>
  <c r="KI3" i="1" s="1"/>
  <c r="IN3" i="1"/>
  <c r="KJ3" i="1" s="1"/>
  <c r="IO3" i="1"/>
  <c r="KK3" i="1" s="1"/>
  <c r="IP3" i="1"/>
  <c r="KL3" i="1" s="1"/>
  <c r="IQ3" i="1"/>
  <c r="KM3" i="1" s="1"/>
  <c r="IR3" i="1"/>
  <c r="KN3" i="1" s="1"/>
  <c r="IS3" i="1"/>
  <c r="KO3" i="1" s="1"/>
  <c r="IT3" i="1"/>
  <c r="KP3" i="1" s="1"/>
  <c r="IU3" i="1"/>
  <c r="KQ3" i="1" s="1"/>
  <c r="IV3" i="1"/>
  <c r="KR3" i="1" s="1"/>
  <c r="IW3" i="1"/>
  <c r="KS3" i="1" s="1"/>
  <c r="IX3" i="1"/>
  <c r="KT3" i="1" s="1"/>
  <c r="IY3" i="1"/>
  <c r="KU3" i="1" s="1"/>
  <c r="IZ3" i="1"/>
  <c r="KV3" i="1" s="1"/>
  <c r="JA3" i="1"/>
  <c r="KW3" i="1" s="1"/>
  <c r="JB3" i="1"/>
  <c r="KX3" i="1" s="1"/>
  <c r="JC3" i="1"/>
  <c r="KY3" i="1" s="1"/>
  <c r="JD3" i="1"/>
  <c r="KZ3" i="1" s="1"/>
  <c r="JE3" i="1"/>
  <c r="LA3" i="1" s="1"/>
  <c r="JF3" i="1"/>
  <c r="LB3" i="1" s="1"/>
  <c r="JG3" i="1"/>
  <c r="LC3" i="1" s="1"/>
  <c r="JH3" i="1"/>
  <c r="LD3" i="1" s="1"/>
  <c r="JI3" i="1"/>
  <c r="LE3" i="1" s="1"/>
  <c r="JJ3" i="1"/>
  <c r="LF3" i="1" s="1"/>
  <c r="JK3" i="1"/>
  <c r="LG3" i="1" s="1"/>
  <c r="JL3" i="1"/>
  <c r="LH3" i="1" s="1"/>
  <c r="JM3" i="1"/>
  <c r="LI3" i="1" s="1"/>
  <c r="JN3" i="1"/>
  <c r="LJ3" i="1" s="1"/>
  <c r="JO3" i="1"/>
  <c r="LK3" i="1" s="1"/>
  <c r="JP3" i="1"/>
  <c r="LL3" i="1" s="1"/>
  <c r="JQ3" i="1"/>
  <c r="LM3" i="1" s="1"/>
  <c r="LN3" i="1"/>
  <c r="KH86" i="1"/>
  <c r="IM86" i="1"/>
  <c r="KI86" i="1" s="1"/>
  <c r="IN86" i="1"/>
  <c r="KJ86" i="1" s="1"/>
  <c r="IO86" i="1"/>
  <c r="KK86" i="1" s="1"/>
  <c r="IP86" i="1"/>
  <c r="KL86" i="1" s="1"/>
  <c r="IQ86" i="1"/>
  <c r="KM86" i="1" s="1"/>
  <c r="IR86" i="1"/>
  <c r="KN86" i="1" s="1"/>
  <c r="IS86" i="1"/>
  <c r="KO86" i="1" s="1"/>
  <c r="IT86" i="1"/>
  <c r="KP86" i="1" s="1"/>
  <c r="IU86" i="1"/>
  <c r="KQ86" i="1" s="1"/>
  <c r="IV86" i="1"/>
  <c r="KR86" i="1" s="1"/>
  <c r="IW86" i="1"/>
  <c r="KS86" i="1" s="1"/>
  <c r="IX86" i="1"/>
  <c r="KT86" i="1" s="1"/>
  <c r="IY86" i="1"/>
  <c r="KU86" i="1" s="1"/>
  <c r="IZ86" i="1"/>
  <c r="KV86" i="1" s="1"/>
  <c r="JA86" i="1"/>
  <c r="KW86" i="1" s="1"/>
  <c r="JB86" i="1"/>
  <c r="KX86" i="1" s="1"/>
  <c r="JC86" i="1"/>
  <c r="KY86" i="1" s="1"/>
  <c r="JD86" i="1"/>
  <c r="KZ86" i="1" s="1"/>
  <c r="JE86" i="1"/>
  <c r="LA86" i="1" s="1"/>
  <c r="JF86" i="1"/>
  <c r="LB86" i="1" s="1"/>
  <c r="JG86" i="1"/>
  <c r="LC86" i="1" s="1"/>
  <c r="JH86" i="1"/>
  <c r="LD86" i="1" s="1"/>
  <c r="JI86" i="1"/>
  <c r="LE86" i="1" s="1"/>
  <c r="JJ86" i="1"/>
  <c r="LF86" i="1" s="1"/>
  <c r="JK86" i="1"/>
  <c r="LG86" i="1" s="1"/>
  <c r="JL86" i="1"/>
  <c r="LH86" i="1" s="1"/>
  <c r="JM86" i="1"/>
  <c r="LI86" i="1" s="1"/>
  <c r="JN86" i="1"/>
  <c r="LJ86" i="1" s="1"/>
  <c r="JO86" i="1"/>
  <c r="LK86" i="1" s="1"/>
  <c r="JP86" i="1"/>
  <c r="LL86" i="1" s="1"/>
  <c r="JQ86" i="1"/>
  <c r="LM86" i="1" s="1"/>
  <c r="LN86" i="1"/>
  <c r="KH4" i="1"/>
  <c r="IM4" i="1"/>
  <c r="KI4" i="1" s="1"/>
  <c r="IN4" i="1"/>
  <c r="KJ4" i="1" s="1"/>
  <c r="IO4" i="1"/>
  <c r="KK4" i="1" s="1"/>
  <c r="IP4" i="1"/>
  <c r="KL4" i="1" s="1"/>
  <c r="IQ4" i="1"/>
  <c r="KM4" i="1" s="1"/>
  <c r="IR4" i="1"/>
  <c r="KN4" i="1" s="1"/>
  <c r="IS4" i="1"/>
  <c r="KO4" i="1" s="1"/>
  <c r="IT4" i="1"/>
  <c r="KP4" i="1" s="1"/>
  <c r="IU4" i="1"/>
  <c r="KQ4" i="1" s="1"/>
  <c r="IV4" i="1"/>
  <c r="KR4" i="1" s="1"/>
  <c r="IW4" i="1"/>
  <c r="KS4" i="1" s="1"/>
  <c r="IX4" i="1"/>
  <c r="KT4" i="1" s="1"/>
  <c r="IY4" i="1"/>
  <c r="KU4" i="1" s="1"/>
  <c r="IZ4" i="1"/>
  <c r="KV4" i="1" s="1"/>
  <c r="JA4" i="1"/>
  <c r="KW4" i="1" s="1"/>
  <c r="JB4" i="1"/>
  <c r="KX4" i="1" s="1"/>
  <c r="JC4" i="1"/>
  <c r="KY4" i="1" s="1"/>
  <c r="JD4" i="1"/>
  <c r="KZ4" i="1" s="1"/>
  <c r="JE4" i="1"/>
  <c r="LA4" i="1" s="1"/>
  <c r="JF4" i="1"/>
  <c r="LB4" i="1" s="1"/>
  <c r="JG4" i="1"/>
  <c r="LC4" i="1" s="1"/>
  <c r="JH4" i="1"/>
  <c r="LD4" i="1" s="1"/>
  <c r="JI4" i="1"/>
  <c r="LE4" i="1" s="1"/>
  <c r="JJ4" i="1"/>
  <c r="LF4" i="1" s="1"/>
  <c r="JK4" i="1"/>
  <c r="LG4" i="1" s="1"/>
  <c r="JL4" i="1"/>
  <c r="LH4" i="1" s="1"/>
  <c r="JM4" i="1"/>
  <c r="LI4" i="1" s="1"/>
  <c r="JN4" i="1"/>
  <c r="LJ4" i="1" s="1"/>
  <c r="JO4" i="1"/>
  <c r="LK4" i="1" s="1"/>
  <c r="JP4" i="1"/>
  <c r="LL4" i="1" s="1"/>
  <c r="JQ4" i="1"/>
  <c r="LM4" i="1" s="1"/>
  <c r="LN4" i="1"/>
  <c r="KH5" i="1"/>
  <c r="IM5" i="1"/>
  <c r="KI5" i="1" s="1"/>
  <c r="IN5" i="1"/>
  <c r="KJ5" i="1" s="1"/>
  <c r="IO5" i="1"/>
  <c r="KK5" i="1" s="1"/>
  <c r="IP5" i="1"/>
  <c r="KL5" i="1" s="1"/>
  <c r="IQ5" i="1"/>
  <c r="KM5" i="1" s="1"/>
  <c r="IR5" i="1"/>
  <c r="KN5" i="1" s="1"/>
  <c r="IS5" i="1"/>
  <c r="KO5" i="1" s="1"/>
  <c r="IT5" i="1"/>
  <c r="KP5" i="1" s="1"/>
  <c r="IU5" i="1"/>
  <c r="KQ5" i="1" s="1"/>
  <c r="IV5" i="1"/>
  <c r="KR5" i="1" s="1"/>
  <c r="IW5" i="1"/>
  <c r="KS5" i="1" s="1"/>
  <c r="IX5" i="1"/>
  <c r="KT5" i="1" s="1"/>
  <c r="IY5" i="1"/>
  <c r="KU5" i="1" s="1"/>
  <c r="IZ5" i="1"/>
  <c r="KV5" i="1" s="1"/>
  <c r="JA5" i="1"/>
  <c r="KW5" i="1" s="1"/>
  <c r="JB5" i="1"/>
  <c r="KX5" i="1" s="1"/>
  <c r="JC5" i="1"/>
  <c r="KY5" i="1" s="1"/>
  <c r="JD5" i="1"/>
  <c r="KZ5" i="1" s="1"/>
  <c r="JE5" i="1"/>
  <c r="LA5" i="1" s="1"/>
  <c r="JF5" i="1"/>
  <c r="LB5" i="1" s="1"/>
  <c r="JG5" i="1"/>
  <c r="LC5" i="1" s="1"/>
  <c r="JH5" i="1"/>
  <c r="LD5" i="1" s="1"/>
  <c r="JI5" i="1"/>
  <c r="LE5" i="1" s="1"/>
  <c r="JJ5" i="1"/>
  <c r="LF5" i="1" s="1"/>
  <c r="JK5" i="1"/>
  <c r="LG5" i="1" s="1"/>
  <c r="JL5" i="1"/>
  <c r="LH5" i="1" s="1"/>
  <c r="JM5" i="1"/>
  <c r="LI5" i="1" s="1"/>
  <c r="JN5" i="1"/>
  <c r="LJ5" i="1" s="1"/>
  <c r="JO5" i="1"/>
  <c r="LK5" i="1" s="1"/>
  <c r="JP5" i="1"/>
  <c r="LL5" i="1" s="1"/>
  <c r="JQ5" i="1"/>
  <c r="LM5" i="1" s="1"/>
  <c r="LN5" i="1"/>
  <c r="KH6" i="1"/>
  <c r="IM6" i="1"/>
  <c r="KI6" i="1" s="1"/>
  <c r="IN6" i="1"/>
  <c r="KJ6" i="1" s="1"/>
  <c r="IO6" i="1"/>
  <c r="KK6" i="1" s="1"/>
  <c r="IP6" i="1"/>
  <c r="KL6" i="1" s="1"/>
  <c r="IQ6" i="1"/>
  <c r="KM6" i="1" s="1"/>
  <c r="IR6" i="1"/>
  <c r="KN6" i="1" s="1"/>
  <c r="IS6" i="1"/>
  <c r="KO6" i="1" s="1"/>
  <c r="IT6" i="1"/>
  <c r="KP6" i="1" s="1"/>
  <c r="IU6" i="1"/>
  <c r="KQ6" i="1" s="1"/>
  <c r="IV6" i="1"/>
  <c r="KR6" i="1" s="1"/>
  <c r="IW6" i="1"/>
  <c r="KS6" i="1" s="1"/>
  <c r="IX6" i="1"/>
  <c r="KT6" i="1" s="1"/>
  <c r="IY6" i="1"/>
  <c r="KU6" i="1" s="1"/>
  <c r="IZ6" i="1"/>
  <c r="KV6" i="1" s="1"/>
  <c r="JA6" i="1"/>
  <c r="KW6" i="1" s="1"/>
  <c r="JB6" i="1"/>
  <c r="KX6" i="1" s="1"/>
  <c r="JC6" i="1"/>
  <c r="KY6" i="1" s="1"/>
  <c r="JD6" i="1"/>
  <c r="KZ6" i="1" s="1"/>
  <c r="JE6" i="1"/>
  <c r="LA6" i="1" s="1"/>
  <c r="JF6" i="1"/>
  <c r="LB6" i="1" s="1"/>
  <c r="JG6" i="1"/>
  <c r="LC6" i="1" s="1"/>
  <c r="JH6" i="1"/>
  <c r="LD6" i="1" s="1"/>
  <c r="JI6" i="1"/>
  <c r="LE6" i="1" s="1"/>
  <c r="JJ6" i="1"/>
  <c r="LF6" i="1" s="1"/>
  <c r="JK6" i="1"/>
  <c r="LG6" i="1" s="1"/>
  <c r="JL6" i="1"/>
  <c r="LH6" i="1" s="1"/>
  <c r="JM6" i="1"/>
  <c r="LI6" i="1" s="1"/>
  <c r="JN6" i="1"/>
  <c r="LJ6" i="1" s="1"/>
  <c r="JO6" i="1"/>
  <c r="LK6" i="1" s="1"/>
  <c r="JP6" i="1"/>
  <c r="LL6" i="1" s="1"/>
  <c r="JQ6" i="1"/>
  <c r="LM6" i="1" s="1"/>
  <c r="LN6" i="1"/>
  <c r="KH8" i="1"/>
  <c r="IM8" i="1"/>
  <c r="KI8" i="1" s="1"/>
  <c r="IN8" i="1"/>
  <c r="KJ8" i="1" s="1"/>
  <c r="IO8" i="1"/>
  <c r="KK8" i="1" s="1"/>
  <c r="IP8" i="1"/>
  <c r="KL8" i="1" s="1"/>
  <c r="IQ8" i="1"/>
  <c r="KM8" i="1" s="1"/>
  <c r="IR8" i="1"/>
  <c r="KN8" i="1" s="1"/>
  <c r="IS8" i="1"/>
  <c r="KO8" i="1" s="1"/>
  <c r="IT8" i="1"/>
  <c r="KP8" i="1" s="1"/>
  <c r="IU8" i="1"/>
  <c r="KQ8" i="1" s="1"/>
  <c r="IV8" i="1"/>
  <c r="KR8" i="1" s="1"/>
  <c r="IW8" i="1"/>
  <c r="KS8" i="1" s="1"/>
  <c r="IX8" i="1"/>
  <c r="KT8" i="1" s="1"/>
  <c r="IY8" i="1"/>
  <c r="KU8" i="1" s="1"/>
  <c r="IZ8" i="1"/>
  <c r="KV8" i="1" s="1"/>
  <c r="JA8" i="1"/>
  <c r="KW8" i="1" s="1"/>
  <c r="JB8" i="1"/>
  <c r="KX8" i="1" s="1"/>
  <c r="JC8" i="1"/>
  <c r="KY8" i="1" s="1"/>
  <c r="JD8" i="1"/>
  <c r="KZ8" i="1" s="1"/>
  <c r="JE8" i="1"/>
  <c r="LA8" i="1" s="1"/>
  <c r="JF8" i="1"/>
  <c r="LB8" i="1" s="1"/>
  <c r="JG8" i="1"/>
  <c r="LC8" i="1" s="1"/>
  <c r="JH8" i="1"/>
  <c r="LD8" i="1" s="1"/>
  <c r="JI8" i="1"/>
  <c r="LE8" i="1" s="1"/>
  <c r="JJ8" i="1"/>
  <c r="LF8" i="1" s="1"/>
  <c r="JK8" i="1"/>
  <c r="LG8" i="1" s="1"/>
  <c r="JL8" i="1"/>
  <c r="LH8" i="1" s="1"/>
  <c r="JM8" i="1"/>
  <c r="LI8" i="1" s="1"/>
  <c r="JN8" i="1"/>
  <c r="LJ8" i="1" s="1"/>
  <c r="JO8" i="1"/>
  <c r="LK8" i="1" s="1"/>
  <c r="JP8" i="1"/>
  <c r="LL8" i="1" s="1"/>
  <c r="JQ8" i="1"/>
  <c r="LM8" i="1" s="1"/>
  <c r="LN8" i="1"/>
  <c r="KH7" i="1"/>
  <c r="IM7" i="1"/>
  <c r="KI7" i="1" s="1"/>
  <c r="IN7" i="1"/>
  <c r="KJ7" i="1" s="1"/>
  <c r="IO7" i="1"/>
  <c r="KK7" i="1" s="1"/>
  <c r="IP7" i="1"/>
  <c r="KL7" i="1" s="1"/>
  <c r="IQ7" i="1"/>
  <c r="KM7" i="1" s="1"/>
  <c r="IR7" i="1"/>
  <c r="KN7" i="1" s="1"/>
  <c r="IS7" i="1"/>
  <c r="KO7" i="1" s="1"/>
  <c r="IT7" i="1"/>
  <c r="KP7" i="1" s="1"/>
  <c r="IU7" i="1"/>
  <c r="KQ7" i="1" s="1"/>
  <c r="IV7" i="1"/>
  <c r="KR7" i="1" s="1"/>
  <c r="IW7" i="1"/>
  <c r="KS7" i="1" s="1"/>
  <c r="IX7" i="1"/>
  <c r="KT7" i="1" s="1"/>
  <c r="IY7" i="1"/>
  <c r="KU7" i="1" s="1"/>
  <c r="IZ7" i="1"/>
  <c r="KV7" i="1" s="1"/>
  <c r="JA7" i="1"/>
  <c r="KW7" i="1" s="1"/>
  <c r="JB7" i="1"/>
  <c r="KX7" i="1" s="1"/>
  <c r="JC7" i="1"/>
  <c r="KY7" i="1" s="1"/>
  <c r="JD7" i="1"/>
  <c r="KZ7" i="1" s="1"/>
  <c r="JE7" i="1"/>
  <c r="LA7" i="1" s="1"/>
  <c r="JF7" i="1"/>
  <c r="LB7" i="1" s="1"/>
  <c r="JG7" i="1"/>
  <c r="LC7" i="1" s="1"/>
  <c r="JH7" i="1"/>
  <c r="LD7" i="1" s="1"/>
  <c r="JI7" i="1"/>
  <c r="LE7" i="1" s="1"/>
  <c r="JJ7" i="1"/>
  <c r="LF7" i="1" s="1"/>
  <c r="JK7" i="1"/>
  <c r="LG7" i="1" s="1"/>
  <c r="JL7" i="1"/>
  <c r="LH7" i="1" s="1"/>
  <c r="JM7" i="1"/>
  <c r="LI7" i="1" s="1"/>
  <c r="JN7" i="1"/>
  <c r="LJ7" i="1" s="1"/>
  <c r="JO7" i="1"/>
  <c r="LK7" i="1" s="1"/>
  <c r="JP7" i="1"/>
  <c r="LL7" i="1" s="1"/>
  <c r="JQ7" i="1"/>
  <c r="LM7" i="1" s="1"/>
  <c r="LN7" i="1"/>
  <c r="KH9" i="1"/>
  <c r="IM9" i="1"/>
  <c r="KI9" i="1" s="1"/>
  <c r="IN9" i="1"/>
  <c r="KJ9" i="1" s="1"/>
  <c r="IO9" i="1"/>
  <c r="KK9" i="1" s="1"/>
  <c r="IP9" i="1"/>
  <c r="KL9" i="1" s="1"/>
  <c r="IQ9" i="1"/>
  <c r="KM9" i="1" s="1"/>
  <c r="IR9" i="1"/>
  <c r="KN9" i="1" s="1"/>
  <c r="IS9" i="1"/>
  <c r="KO9" i="1" s="1"/>
  <c r="IT9" i="1"/>
  <c r="KP9" i="1" s="1"/>
  <c r="IU9" i="1"/>
  <c r="KQ9" i="1" s="1"/>
  <c r="IV9" i="1"/>
  <c r="KR9" i="1" s="1"/>
  <c r="IW9" i="1"/>
  <c r="KS9" i="1" s="1"/>
  <c r="IX9" i="1"/>
  <c r="KT9" i="1" s="1"/>
  <c r="IY9" i="1"/>
  <c r="KU9" i="1" s="1"/>
  <c r="IZ9" i="1"/>
  <c r="KV9" i="1" s="1"/>
  <c r="JA9" i="1"/>
  <c r="KW9" i="1" s="1"/>
  <c r="JB9" i="1"/>
  <c r="KX9" i="1" s="1"/>
  <c r="JC9" i="1"/>
  <c r="KY9" i="1" s="1"/>
  <c r="JD9" i="1"/>
  <c r="KZ9" i="1" s="1"/>
  <c r="JE9" i="1"/>
  <c r="LA9" i="1" s="1"/>
  <c r="JF9" i="1"/>
  <c r="LB9" i="1" s="1"/>
  <c r="JG9" i="1"/>
  <c r="LC9" i="1" s="1"/>
  <c r="JH9" i="1"/>
  <c r="LD9" i="1" s="1"/>
  <c r="JI9" i="1"/>
  <c r="LE9" i="1" s="1"/>
  <c r="JJ9" i="1"/>
  <c r="LF9" i="1" s="1"/>
  <c r="JK9" i="1"/>
  <c r="LG9" i="1" s="1"/>
  <c r="JL9" i="1"/>
  <c r="LH9" i="1" s="1"/>
  <c r="JM9" i="1"/>
  <c r="LI9" i="1" s="1"/>
  <c r="JN9" i="1"/>
  <c r="LJ9" i="1" s="1"/>
  <c r="JO9" i="1"/>
  <c r="LK9" i="1" s="1"/>
  <c r="JP9" i="1"/>
  <c r="LL9" i="1" s="1"/>
  <c r="JQ9" i="1"/>
  <c r="LM9" i="1" s="1"/>
  <c r="LN9" i="1"/>
  <c r="KH10" i="1"/>
  <c r="IM10" i="1"/>
  <c r="KI10" i="1" s="1"/>
  <c r="IN10" i="1"/>
  <c r="KJ10" i="1" s="1"/>
  <c r="IO10" i="1"/>
  <c r="KK10" i="1" s="1"/>
  <c r="IP10" i="1"/>
  <c r="KL10" i="1" s="1"/>
  <c r="IQ10" i="1"/>
  <c r="KM10" i="1" s="1"/>
  <c r="IR10" i="1"/>
  <c r="KN10" i="1" s="1"/>
  <c r="IS10" i="1"/>
  <c r="KO10" i="1" s="1"/>
  <c r="IT10" i="1"/>
  <c r="KP10" i="1" s="1"/>
  <c r="IU10" i="1"/>
  <c r="KQ10" i="1" s="1"/>
  <c r="IV10" i="1"/>
  <c r="KR10" i="1" s="1"/>
  <c r="IW10" i="1"/>
  <c r="KS10" i="1" s="1"/>
  <c r="IX10" i="1"/>
  <c r="KT10" i="1" s="1"/>
  <c r="IY10" i="1"/>
  <c r="KU10" i="1" s="1"/>
  <c r="IZ10" i="1"/>
  <c r="KV10" i="1" s="1"/>
  <c r="JA10" i="1"/>
  <c r="KW10" i="1" s="1"/>
  <c r="JB10" i="1"/>
  <c r="KX10" i="1" s="1"/>
  <c r="JC10" i="1"/>
  <c r="KY10" i="1" s="1"/>
  <c r="JD10" i="1"/>
  <c r="KZ10" i="1" s="1"/>
  <c r="JE10" i="1"/>
  <c r="LA10" i="1" s="1"/>
  <c r="JF10" i="1"/>
  <c r="LB10" i="1" s="1"/>
  <c r="JG10" i="1"/>
  <c r="LC10" i="1" s="1"/>
  <c r="JH10" i="1"/>
  <c r="LD10" i="1" s="1"/>
  <c r="JI10" i="1"/>
  <c r="LE10" i="1" s="1"/>
  <c r="JJ10" i="1"/>
  <c r="LF10" i="1" s="1"/>
  <c r="JK10" i="1"/>
  <c r="LG10" i="1" s="1"/>
  <c r="JL10" i="1"/>
  <c r="LH10" i="1" s="1"/>
  <c r="JM10" i="1"/>
  <c r="LI10" i="1" s="1"/>
  <c r="JN10" i="1"/>
  <c r="LJ10" i="1" s="1"/>
  <c r="JO10" i="1"/>
  <c r="LK10" i="1" s="1"/>
  <c r="JP10" i="1"/>
  <c r="LL10" i="1" s="1"/>
  <c r="JQ10" i="1"/>
  <c r="LM10" i="1" s="1"/>
  <c r="LN10" i="1"/>
  <c r="KH11" i="1"/>
  <c r="IM11" i="1"/>
  <c r="KI11" i="1" s="1"/>
  <c r="IN11" i="1"/>
  <c r="KJ11" i="1" s="1"/>
  <c r="IO11" i="1"/>
  <c r="KK11" i="1" s="1"/>
  <c r="IP11" i="1"/>
  <c r="KL11" i="1" s="1"/>
  <c r="IQ11" i="1"/>
  <c r="KM11" i="1" s="1"/>
  <c r="IR11" i="1"/>
  <c r="KN11" i="1" s="1"/>
  <c r="IS11" i="1"/>
  <c r="KO11" i="1" s="1"/>
  <c r="IT11" i="1"/>
  <c r="KP11" i="1" s="1"/>
  <c r="IU11" i="1"/>
  <c r="KQ11" i="1" s="1"/>
  <c r="IV11" i="1"/>
  <c r="KR11" i="1" s="1"/>
  <c r="IW11" i="1"/>
  <c r="KS11" i="1" s="1"/>
  <c r="IX11" i="1"/>
  <c r="KT11" i="1" s="1"/>
  <c r="IY11" i="1"/>
  <c r="KU11" i="1" s="1"/>
  <c r="IZ11" i="1"/>
  <c r="KV11" i="1" s="1"/>
  <c r="JA11" i="1"/>
  <c r="KW11" i="1" s="1"/>
  <c r="JB11" i="1"/>
  <c r="KX11" i="1" s="1"/>
  <c r="JC11" i="1"/>
  <c r="KY11" i="1" s="1"/>
  <c r="JD11" i="1"/>
  <c r="KZ11" i="1" s="1"/>
  <c r="JE11" i="1"/>
  <c r="LA11" i="1" s="1"/>
  <c r="JF11" i="1"/>
  <c r="LB11" i="1" s="1"/>
  <c r="JG11" i="1"/>
  <c r="LC11" i="1" s="1"/>
  <c r="JH11" i="1"/>
  <c r="LD11" i="1" s="1"/>
  <c r="JI11" i="1"/>
  <c r="LE11" i="1" s="1"/>
  <c r="JJ11" i="1"/>
  <c r="LF11" i="1" s="1"/>
  <c r="JK11" i="1"/>
  <c r="LG11" i="1" s="1"/>
  <c r="JL11" i="1"/>
  <c r="LH11" i="1" s="1"/>
  <c r="JM11" i="1"/>
  <c r="LI11" i="1" s="1"/>
  <c r="JN11" i="1"/>
  <c r="LJ11" i="1" s="1"/>
  <c r="JO11" i="1"/>
  <c r="LK11" i="1" s="1"/>
  <c r="JP11" i="1"/>
  <c r="LL11" i="1" s="1"/>
  <c r="JQ11" i="1"/>
  <c r="LM11" i="1" s="1"/>
  <c r="LN11" i="1"/>
  <c r="KH12" i="1"/>
  <c r="IM12" i="1"/>
  <c r="KI12" i="1" s="1"/>
  <c r="IN12" i="1"/>
  <c r="KJ12" i="1" s="1"/>
  <c r="IO12" i="1"/>
  <c r="KK12" i="1" s="1"/>
  <c r="IP12" i="1"/>
  <c r="KL12" i="1" s="1"/>
  <c r="IQ12" i="1"/>
  <c r="KM12" i="1" s="1"/>
  <c r="IR12" i="1"/>
  <c r="KN12" i="1" s="1"/>
  <c r="IS12" i="1"/>
  <c r="KO12" i="1" s="1"/>
  <c r="IT12" i="1"/>
  <c r="KP12" i="1" s="1"/>
  <c r="IU12" i="1"/>
  <c r="KQ12" i="1" s="1"/>
  <c r="IV12" i="1"/>
  <c r="KR12" i="1" s="1"/>
  <c r="IW12" i="1"/>
  <c r="KS12" i="1" s="1"/>
  <c r="IX12" i="1"/>
  <c r="KT12" i="1" s="1"/>
  <c r="IY12" i="1"/>
  <c r="KU12" i="1" s="1"/>
  <c r="IZ12" i="1"/>
  <c r="KV12" i="1" s="1"/>
  <c r="JA12" i="1"/>
  <c r="KW12" i="1" s="1"/>
  <c r="JB12" i="1"/>
  <c r="KX12" i="1" s="1"/>
  <c r="JC12" i="1"/>
  <c r="KY12" i="1" s="1"/>
  <c r="JD12" i="1"/>
  <c r="KZ12" i="1" s="1"/>
  <c r="JE12" i="1"/>
  <c r="LA12" i="1" s="1"/>
  <c r="JF12" i="1"/>
  <c r="LB12" i="1" s="1"/>
  <c r="JG12" i="1"/>
  <c r="LC12" i="1" s="1"/>
  <c r="JH12" i="1"/>
  <c r="LD12" i="1" s="1"/>
  <c r="JI12" i="1"/>
  <c r="LE12" i="1" s="1"/>
  <c r="JJ12" i="1"/>
  <c r="LF12" i="1" s="1"/>
  <c r="JK12" i="1"/>
  <c r="LG12" i="1" s="1"/>
  <c r="JL12" i="1"/>
  <c r="LH12" i="1" s="1"/>
  <c r="JM12" i="1"/>
  <c r="LI12" i="1" s="1"/>
  <c r="JN12" i="1"/>
  <c r="LJ12" i="1" s="1"/>
  <c r="JO12" i="1"/>
  <c r="LK12" i="1" s="1"/>
  <c r="JP12" i="1"/>
  <c r="LL12" i="1" s="1"/>
  <c r="JQ12" i="1"/>
  <c r="LM12" i="1" s="1"/>
  <c r="LN12" i="1"/>
  <c r="KH13" i="1"/>
  <c r="IM13" i="1"/>
  <c r="KI13" i="1" s="1"/>
  <c r="IN13" i="1"/>
  <c r="KJ13" i="1" s="1"/>
  <c r="IO13" i="1"/>
  <c r="KK13" i="1" s="1"/>
  <c r="IP13" i="1"/>
  <c r="KL13" i="1" s="1"/>
  <c r="IQ13" i="1"/>
  <c r="KM13" i="1" s="1"/>
  <c r="IR13" i="1"/>
  <c r="KN13" i="1" s="1"/>
  <c r="IS13" i="1"/>
  <c r="KO13" i="1" s="1"/>
  <c r="IT13" i="1"/>
  <c r="KP13" i="1" s="1"/>
  <c r="IU13" i="1"/>
  <c r="KQ13" i="1" s="1"/>
  <c r="IV13" i="1"/>
  <c r="KR13" i="1" s="1"/>
  <c r="IW13" i="1"/>
  <c r="KS13" i="1" s="1"/>
  <c r="IX13" i="1"/>
  <c r="KT13" i="1" s="1"/>
  <c r="IY13" i="1"/>
  <c r="KU13" i="1" s="1"/>
  <c r="IZ13" i="1"/>
  <c r="KV13" i="1" s="1"/>
  <c r="JA13" i="1"/>
  <c r="KW13" i="1" s="1"/>
  <c r="JB13" i="1"/>
  <c r="KX13" i="1" s="1"/>
  <c r="JC13" i="1"/>
  <c r="KY13" i="1" s="1"/>
  <c r="JD13" i="1"/>
  <c r="KZ13" i="1" s="1"/>
  <c r="JE13" i="1"/>
  <c r="LA13" i="1" s="1"/>
  <c r="JF13" i="1"/>
  <c r="LB13" i="1" s="1"/>
  <c r="JG13" i="1"/>
  <c r="LC13" i="1" s="1"/>
  <c r="JH13" i="1"/>
  <c r="LD13" i="1" s="1"/>
  <c r="JI13" i="1"/>
  <c r="LE13" i="1" s="1"/>
  <c r="JJ13" i="1"/>
  <c r="LF13" i="1" s="1"/>
  <c r="JK13" i="1"/>
  <c r="LG13" i="1" s="1"/>
  <c r="JL13" i="1"/>
  <c r="LH13" i="1" s="1"/>
  <c r="JM13" i="1"/>
  <c r="LI13" i="1" s="1"/>
  <c r="JN13" i="1"/>
  <c r="LJ13" i="1" s="1"/>
  <c r="JO13" i="1"/>
  <c r="LK13" i="1" s="1"/>
  <c r="JP13" i="1"/>
  <c r="LL13" i="1" s="1"/>
  <c r="JQ13" i="1"/>
  <c r="LM13" i="1" s="1"/>
  <c r="LN13" i="1"/>
  <c r="KH87" i="1"/>
  <c r="IM87" i="1"/>
  <c r="KI87" i="1" s="1"/>
  <c r="IN87" i="1"/>
  <c r="KJ87" i="1" s="1"/>
  <c r="IO87" i="1"/>
  <c r="KK87" i="1" s="1"/>
  <c r="IP87" i="1"/>
  <c r="KL87" i="1" s="1"/>
  <c r="IQ87" i="1"/>
  <c r="KM87" i="1" s="1"/>
  <c r="IR87" i="1"/>
  <c r="KN87" i="1" s="1"/>
  <c r="IS87" i="1"/>
  <c r="KO87" i="1" s="1"/>
  <c r="IT87" i="1"/>
  <c r="KP87" i="1" s="1"/>
  <c r="IU87" i="1"/>
  <c r="KQ87" i="1" s="1"/>
  <c r="IV87" i="1"/>
  <c r="KR87" i="1" s="1"/>
  <c r="IW87" i="1"/>
  <c r="KS87" i="1" s="1"/>
  <c r="IX87" i="1"/>
  <c r="KT87" i="1" s="1"/>
  <c r="IY87" i="1"/>
  <c r="KU87" i="1" s="1"/>
  <c r="IZ87" i="1"/>
  <c r="KV87" i="1" s="1"/>
  <c r="JA87" i="1"/>
  <c r="KW87" i="1" s="1"/>
  <c r="JB87" i="1"/>
  <c r="KX87" i="1" s="1"/>
  <c r="JC87" i="1"/>
  <c r="KY87" i="1" s="1"/>
  <c r="JD87" i="1"/>
  <c r="KZ87" i="1" s="1"/>
  <c r="JE87" i="1"/>
  <c r="LA87" i="1" s="1"/>
  <c r="JF87" i="1"/>
  <c r="LB87" i="1" s="1"/>
  <c r="JG87" i="1"/>
  <c r="LC87" i="1" s="1"/>
  <c r="JH87" i="1"/>
  <c r="LD87" i="1" s="1"/>
  <c r="JI87" i="1"/>
  <c r="LE87" i="1" s="1"/>
  <c r="JJ87" i="1"/>
  <c r="LF87" i="1" s="1"/>
  <c r="JK87" i="1"/>
  <c r="LG87" i="1" s="1"/>
  <c r="JL87" i="1"/>
  <c r="LH87" i="1" s="1"/>
  <c r="JM87" i="1"/>
  <c r="LI87" i="1" s="1"/>
  <c r="JN87" i="1"/>
  <c r="LJ87" i="1" s="1"/>
  <c r="JO87" i="1"/>
  <c r="LK87" i="1" s="1"/>
  <c r="JP87" i="1"/>
  <c r="LL87" i="1" s="1"/>
  <c r="JQ87" i="1"/>
  <c r="LM87" i="1" s="1"/>
  <c r="LN87" i="1"/>
  <c r="KH14" i="1"/>
  <c r="IM14" i="1"/>
  <c r="KI14" i="1" s="1"/>
  <c r="IN14" i="1"/>
  <c r="KJ14" i="1" s="1"/>
  <c r="IO14" i="1"/>
  <c r="KK14" i="1" s="1"/>
  <c r="IP14" i="1"/>
  <c r="KL14" i="1" s="1"/>
  <c r="IQ14" i="1"/>
  <c r="KM14" i="1" s="1"/>
  <c r="IR14" i="1"/>
  <c r="KN14" i="1" s="1"/>
  <c r="IS14" i="1"/>
  <c r="KO14" i="1" s="1"/>
  <c r="IT14" i="1"/>
  <c r="KP14" i="1" s="1"/>
  <c r="IU14" i="1"/>
  <c r="KQ14" i="1" s="1"/>
  <c r="IV14" i="1"/>
  <c r="KR14" i="1" s="1"/>
  <c r="IW14" i="1"/>
  <c r="KS14" i="1" s="1"/>
  <c r="IX14" i="1"/>
  <c r="KT14" i="1" s="1"/>
  <c r="IY14" i="1"/>
  <c r="KU14" i="1" s="1"/>
  <c r="IZ14" i="1"/>
  <c r="KV14" i="1" s="1"/>
  <c r="JA14" i="1"/>
  <c r="KW14" i="1" s="1"/>
  <c r="JB14" i="1"/>
  <c r="KX14" i="1" s="1"/>
  <c r="JC14" i="1"/>
  <c r="KY14" i="1" s="1"/>
  <c r="JD14" i="1"/>
  <c r="KZ14" i="1" s="1"/>
  <c r="JE14" i="1"/>
  <c r="LA14" i="1" s="1"/>
  <c r="JF14" i="1"/>
  <c r="LB14" i="1" s="1"/>
  <c r="JG14" i="1"/>
  <c r="LC14" i="1" s="1"/>
  <c r="JH14" i="1"/>
  <c r="LD14" i="1" s="1"/>
  <c r="JI14" i="1"/>
  <c r="LE14" i="1" s="1"/>
  <c r="JJ14" i="1"/>
  <c r="LF14" i="1" s="1"/>
  <c r="JK14" i="1"/>
  <c r="LG14" i="1" s="1"/>
  <c r="JL14" i="1"/>
  <c r="LH14" i="1" s="1"/>
  <c r="JM14" i="1"/>
  <c r="LI14" i="1" s="1"/>
  <c r="JN14" i="1"/>
  <c r="LJ14" i="1" s="1"/>
  <c r="JO14" i="1"/>
  <c r="LK14" i="1" s="1"/>
  <c r="JP14" i="1"/>
  <c r="LL14" i="1" s="1"/>
  <c r="JQ14" i="1"/>
  <c r="LM14" i="1" s="1"/>
  <c r="LN14" i="1"/>
  <c r="KH15" i="1"/>
  <c r="IM15" i="1"/>
  <c r="KI15" i="1" s="1"/>
  <c r="IN15" i="1"/>
  <c r="KJ15" i="1" s="1"/>
  <c r="IO15" i="1"/>
  <c r="KK15" i="1" s="1"/>
  <c r="IP15" i="1"/>
  <c r="KL15" i="1" s="1"/>
  <c r="IQ15" i="1"/>
  <c r="KM15" i="1" s="1"/>
  <c r="IR15" i="1"/>
  <c r="KN15" i="1" s="1"/>
  <c r="IS15" i="1"/>
  <c r="KO15" i="1" s="1"/>
  <c r="IT15" i="1"/>
  <c r="KP15" i="1" s="1"/>
  <c r="IU15" i="1"/>
  <c r="KQ15" i="1" s="1"/>
  <c r="IV15" i="1"/>
  <c r="KR15" i="1" s="1"/>
  <c r="IW15" i="1"/>
  <c r="KS15" i="1" s="1"/>
  <c r="IX15" i="1"/>
  <c r="KT15" i="1" s="1"/>
  <c r="IY15" i="1"/>
  <c r="KU15" i="1" s="1"/>
  <c r="IZ15" i="1"/>
  <c r="KV15" i="1" s="1"/>
  <c r="JA15" i="1"/>
  <c r="KW15" i="1" s="1"/>
  <c r="JB15" i="1"/>
  <c r="KX15" i="1" s="1"/>
  <c r="JC15" i="1"/>
  <c r="KY15" i="1" s="1"/>
  <c r="JD15" i="1"/>
  <c r="KZ15" i="1" s="1"/>
  <c r="JE15" i="1"/>
  <c r="LA15" i="1" s="1"/>
  <c r="JF15" i="1"/>
  <c r="LB15" i="1" s="1"/>
  <c r="JG15" i="1"/>
  <c r="LC15" i="1" s="1"/>
  <c r="JH15" i="1"/>
  <c r="LD15" i="1" s="1"/>
  <c r="JI15" i="1"/>
  <c r="LE15" i="1" s="1"/>
  <c r="JJ15" i="1"/>
  <c r="LF15" i="1" s="1"/>
  <c r="JK15" i="1"/>
  <c r="LG15" i="1" s="1"/>
  <c r="JL15" i="1"/>
  <c r="LH15" i="1" s="1"/>
  <c r="JM15" i="1"/>
  <c r="LI15" i="1" s="1"/>
  <c r="JN15" i="1"/>
  <c r="LJ15" i="1" s="1"/>
  <c r="JO15" i="1"/>
  <c r="LK15" i="1" s="1"/>
  <c r="JP15" i="1"/>
  <c r="LL15" i="1" s="1"/>
  <c r="JQ15" i="1"/>
  <c r="LM15" i="1" s="1"/>
  <c r="LN15" i="1"/>
  <c r="KH16" i="1"/>
  <c r="IM16" i="1"/>
  <c r="KI16" i="1" s="1"/>
  <c r="IN16" i="1"/>
  <c r="KJ16" i="1" s="1"/>
  <c r="IO16" i="1"/>
  <c r="KK16" i="1" s="1"/>
  <c r="IP16" i="1"/>
  <c r="KL16" i="1" s="1"/>
  <c r="IQ16" i="1"/>
  <c r="KM16" i="1" s="1"/>
  <c r="IR16" i="1"/>
  <c r="KN16" i="1" s="1"/>
  <c r="IS16" i="1"/>
  <c r="KO16" i="1" s="1"/>
  <c r="IT16" i="1"/>
  <c r="KP16" i="1" s="1"/>
  <c r="IU16" i="1"/>
  <c r="KQ16" i="1" s="1"/>
  <c r="IV16" i="1"/>
  <c r="KR16" i="1" s="1"/>
  <c r="IW16" i="1"/>
  <c r="KS16" i="1" s="1"/>
  <c r="IX16" i="1"/>
  <c r="KT16" i="1" s="1"/>
  <c r="IY16" i="1"/>
  <c r="KU16" i="1" s="1"/>
  <c r="IZ16" i="1"/>
  <c r="KV16" i="1" s="1"/>
  <c r="JA16" i="1"/>
  <c r="KW16" i="1" s="1"/>
  <c r="JB16" i="1"/>
  <c r="KX16" i="1" s="1"/>
  <c r="JC16" i="1"/>
  <c r="KY16" i="1" s="1"/>
  <c r="JD16" i="1"/>
  <c r="KZ16" i="1" s="1"/>
  <c r="JE16" i="1"/>
  <c r="LA16" i="1" s="1"/>
  <c r="JF16" i="1"/>
  <c r="LB16" i="1" s="1"/>
  <c r="JG16" i="1"/>
  <c r="LC16" i="1" s="1"/>
  <c r="JH16" i="1"/>
  <c r="LD16" i="1" s="1"/>
  <c r="JI16" i="1"/>
  <c r="LE16" i="1" s="1"/>
  <c r="JJ16" i="1"/>
  <c r="LF16" i="1" s="1"/>
  <c r="JK16" i="1"/>
  <c r="LG16" i="1" s="1"/>
  <c r="JL16" i="1"/>
  <c r="LH16" i="1" s="1"/>
  <c r="JM16" i="1"/>
  <c r="LI16" i="1" s="1"/>
  <c r="JN16" i="1"/>
  <c r="LJ16" i="1" s="1"/>
  <c r="JO16" i="1"/>
  <c r="LK16" i="1" s="1"/>
  <c r="JP16" i="1"/>
  <c r="LL16" i="1" s="1"/>
  <c r="JQ16" i="1"/>
  <c r="LM16" i="1" s="1"/>
  <c r="LN16" i="1"/>
  <c r="KH17" i="1"/>
  <c r="IM17" i="1"/>
  <c r="KI17" i="1" s="1"/>
  <c r="IN17" i="1"/>
  <c r="KJ17" i="1" s="1"/>
  <c r="IO17" i="1"/>
  <c r="KK17" i="1" s="1"/>
  <c r="IP17" i="1"/>
  <c r="KL17" i="1" s="1"/>
  <c r="IQ17" i="1"/>
  <c r="KM17" i="1" s="1"/>
  <c r="IR17" i="1"/>
  <c r="KN17" i="1" s="1"/>
  <c r="IS17" i="1"/>
  <c r="KO17" i="1" s="1"/>
  <c r="IT17" i="1"/>
  <c r="KP17" i="1" s="1"/>
  <c r="IU17" i="1"/>
  <c r="KQ17" i="1" s="1"/>
  <c r="IV17" i="1"/>
  <c r="KR17" i="1" s="1"/>
  <c r="IW17" i="1"/>
  <c r="KS17" i="1" s="1"/>
  <c r="IX17" i="1"/>
  <c r="KT17" i="1" s="1"/>
  <c r="IY17" i="1"/>
  <c r="KU17" i="1" s="1"/>
  <c r="IZ17" i="1"/>
  <c r="KV17" i="1" s="1"/>
  <c r="JA17" i="1"/>
  <c r="KW17" i="1" s="1"/>
  <c r="JB17" i="1"/>
  <c r="KX17" i="1" s="1"/>
  <c r="JC17" i="1"/>
  <c r="KY17" i="1" s="1"/>
  <c r="JD17" i="1"/>
  <c r="KZ17" i="1" s="1"/>
  <c r="JE17" i="1"/>
  <c r="LA17" i="1" s="1"/>
  <c r="JF17" i="1"/>
  <c r="LB17" i="1" s="1"/>
  <c r="JG17" i="1"/>
  <c r="LC17" i="1" s="1"/>
  <c r="JH17" i="1"/>
  <c r="LD17" i="1" s="1"/>
  <c r="JI17" i="1"/>
  <c r="LE17" i="1" s="1"/>
  <c r="JJ17" i="1"/>
  <c r="LF17" i="1" s="1"/>
  <c r="JK17" i="1"/>
  <c r="LG17" i="1" s="1"/>
  <c r="JL17" i="1"/>
  <c r="LH17" i="1" s="1"/>
  <c r="JM17" i="1"/>
  <c r="LI17" i="1" s="1"/>
  <c r="JN17" i="1"/>
  <c r="LJ17" i="1" s="1"/>
  <c r="JO17" i="1"/>
  <c r="LK17" i="1" s="1"/>
  <c r="JP17" i="1"/>
  <c r="LL17" i="1" s="1"/>
  <c r="JQ17" i="1"/>
  <c r="LM17" i="1" s="1"/>
  <c r="LN17" i="1"/>
  <c r="KH18" i="1"/>
  <c r="IM18" i="1"/>
  <c r="KI18" i="1" s="1"/>
  <c r="IN18" i="1"/>
  <c r="KJ18" i="1" s="1"/>
  <c r="IO18" i="1"/>
  <c r="KK18" i="1" s="1"/>
  <c r="IP18" i="1"/>
  <c r="KL18" i="1" s="1"/>
  <c r="IQ18" i="1"/>
  <c r="KM18" i="1" s="1"/>
  <c r="IR18" i="1"/>
  <c r="KN18" i="1" s="1"/>
  <c r="IS18" i="1"/>
  <c r="KO18" i="1" s="1"/>
  <c r="IT18" i="1"/>
  <c r="KP18" i="1" s="1"/>
  <c r="IU18" i="1"/>
  <c r="KQ18" i="1" s="1"/>
  <c r="IV18" i="1"/>
  <c r="KR18" i="1" s="1"/>
  <c r="IW18" i="1"/>
  <c r="KS18" i="1" s="1"/>
  <c r="IX18" i="1"/>
  <c r="KT18" i="1" s="1"/>
  <c r="IY18" i="1"/>
  <c r="KU18" i="1" s="1"/>
  <c r="IZ18" i="1"/>
  <c r="KV18" i="1" s="1"/>
  <c r="JA18" i="1"/>
  <c r="KW18" i="1" s="1"/>
  <c r="JB18" i="1"/>
  <c r="KX18" i="1" s="1"/>
  <c r="JC18" i="1"/>
  <c r="KY18" i="1" s="1"/>
  <c r="JD18" i="1"/>
  <c r="KZ18" i="1" s="1"/>
  <c r="JE18" i="1"/>
  <c r="LA18" i="1" s="1"/>
  <c r="JF18" i="1"/>
  <c r="LB18" i="1" s="1"/>
  <c r="JG18" i="1"/>
  <c r="LC18" i="1" s="1"/>
  <c r="JH18" i="1"/>
  <c r="LD18" i="1" s="1"/>
  <c r="JI18" i="1"/>
  <c r="LE18" i="1" s="1"/>
  <c r="JJ18" i="1"/>
  <c r="LF18" i="1" s="1"/>
  <c r="JK18" i="1"/>
  <c r="LG18" i="1" s="1"/>
  <c r="JL18" i="1"/>
  <c r="LH18" i="1" s="1"/>
  <c r="JM18" i="1"/>
  <c r="LI18" i="1" s="1"/>
  <c r="JN18" i="1"/>
  <c r="LJ18" i="1" s="1"/>
  <c r="JO18" i="1"/>
  <c r="LK18" i="1" s="1"/>
  <c r="JP18" i="1"/>
  <c r="LL18" i="1" s="1"/>
  <c r="JQ18" i="1"/>
  <c r="LM18" i="1" s="1"/>
  <c r="LN18" i="1"/>
  <c r="KH19" i="1"/>
  <c r="IM19" i="1"/>
  <c r="KI19" i="1" s="1"/>
  <c r="IN19" i="1"/>
  <c r="KJ19" i="1" s="1"/>
  <c r="IO19" i="1"/>
  <c r="KK19" i="1" s="1"/>
  <c r="IP19" i="1"/>
  <c r="KL19" i="1" s="1"/>
  <c r="IQ19" i="1"/>
  <c r="KM19" i="1" s="1"/>
  <c r="IR19" i="1"/>
  <c r="KN19" i="1" s="1"/>
  <c r="IS19" i="1"/>
  <c r="KO19" i="1" s="1"/>
  <c r="IT19" i="1"/>
  <c r="KP19" i="1" s="1"/>
  <c r="IU19" i="1"/>
  <c r="KQ19" i="1" s="1"/>
  <c r="IV19" i="1"/>
  <c r="KR19" i="1" s="1"/>
  <c r="IW19" i="1"/>
  <c r="KS19" i="1" s="1"/>
  <c r="IX19" i="1"/>
  <c r="KT19" i="1" s="1"/>
  <c r="IY19" i="1"/>
  <c r="KU19" i="1" s="1"/>
  <c r="IZ19" i="1"/>
  <c r="KV19" i="1" s="1"/>
  <c r="JA19" i="1"/>
  <c r="KW19" i="1" s="1"/>
  <c r="JB19" i="1"/>
  <c r="KX19" i="1" s="1"/>
  <c r="JC19" i="1"/>
  <c r="KY19" i="1" s="1"/>
  <c r="JD19" i="1"/>
  <c r="KZ19" i="1" s="1"/>
  <c r="JE19" i="1"/>
  <c r="LA19" i="1" s="1"/>
  <c r="JF19" i="1"/>
  <c r="LB19" i="1" s="1"/>
  <c r="JG19" i="1"/>
  <c r="LC19" i="1" s="1"/>
  <c r="JH19" i="1"/>
  <c r="LD19" i="1" s="1"/>
  <c r="JI19" i="1"/>
  <c r="LE19" i="1" s="1"/>
  <c r="JJ19" i="1"/>
  <c r="LF19" i="1" s="1"/>
  <c r="JK19" i="1"/>
  <c r="LG19" i="1" s="1"/>
  <c r="JL19" i="1"/>
  <c r="LH19" i="1" s="1"/>
  <c r="JM19" i="1"/>
  <c r="LI19" i="1" s="1"/>
  <c r="JN19" i="1"/>
  <c r="LJ19" i="1" s="1"/>
  <c r="JO19" i="1"/>
  <c r="LK19" i="1" s="1"/>
  <c r="JP19" i="1"/>
  <c r="LL19" i="1" s="1"/>
  <c r="JQ19" i="1"/>
  <c r="LM19" i="1" s="1"/>
  <c r="LN19" i="1"/>
  <c r="KH20" i="1"/>
  <c r="IM20" i="1"/>
  <c r="KI20" i="1" s="1"/>
  <c r="IN20" i="1"/>
  <c r="KJ20" i="1" s="1"/>
  <c r="IO20" i="1"/>
  <c r="KK20" i="1" s="1"/>
  <c r="IP20" i="1"/>
  <c r="KL20" i="1" s="1"/>
  <c r="IQ20" i="1"/>
  <c r="KM20" i="1" s="1"/>
  <c r="IR20" i="1"/>
  <c r="KN20" i="1" s="1"/>
  <c r="IS20" i="1"/>
  <c r="KO20" i="1" s="1"/>
  <c r="IT20" i="1"/>
  <c r="KP20" i="1" s="1"/>
  <c r="IU20" i="1"/>
  <c r="KQ20" i="1" s="1"/>
  <c r="IV20" i="1"/>
  <c r="KR20" i="1" s="1"/>
  <c r="IW20" i="1"/>
  <c r="KS20" i="1" s="1"/>
  <c r="IX20" i="1"/>
  <c r="KT20" i="1" s="1"/>
  <c r="IY20" i="1"/>
  <c r="KU20" i="1" s="1"/>
  <c r="IZ20" i="1"/>
  <c r="KV20" i="1" s="1"/>
  <c r="JA20" i="1"/>
  <c r="KW20" i="1" s="1"/>
  <c r="JB20" i="1"/>
  <c r="KX20" i="1" s="1"/>
  <c r="JC20" i="1"/>
  <c r="KY20" i="1" s="1"/>
  <c r="JD20" i="1"/>
  <c r="KZ20" i="1" s="1"/>
  <c r="JE20" i="1"/>
  <c r="LA20" i="1" s="1"/>
  <c r="JF20" i="1"/>
  <c r="LB20" i="1" s="1"/>
  <c r="JG20" i="1"/>
  <c r="LC20" i="1" s="1"/>
  <c r="JH20" i="1"/>
  <c r="LD20" i="1" s="1"/>
  <c r="JI20" i="1"/>
  <c r="LE20" i="1" s="1"/>
  <c r="JJ20" i="1"/>
  <c r="LF20" i="1" s="1"/>
  <c r="JK20" i="1"/>
  <c r="LG20" i="1" s="1"/>
  <c r="JL20" i="1"/>
  <c r="LH20" i="1" s="1"/>
  <c r="JM20" i="1"/>
  <c r="LI20" i="1" s="1"/>
  <c r="JN20" i="1"/>
  <c r="LJ20" i="1" s="1"/>
  <c r="JO20" i="1"/>
  <c r="LK20" i="1" s="1"/>
  <c r="JP20" i="1"/>
  <c r="LL20" i="1" s="1"/>
  <c r="JQ20" i="1"/>
  <c r="LM20" i="1" s="1"/>
  <c r="LN20" i="1"/>
  <c r="KH21" i="1"/>
  <c r="IM21" i="1"/>
  <c r="KI21" i="1" s="1"/>
  <c r="IN21" i="1"/>
  <c r="KJ21" i="1" s="1"/>
  <c r="IO21" i="1"/>
  <c r="KK21" i="1" s="1"/>
  <c r="IP21" i="1"/>
  <c r="KL21" i="1" s="1"/>
  <c r="IQ21" i="1"/>
  <c r="KM21" i="1" s="1"/>
  <c r="IR21" i="1"/>
  <c r="KN21" i="1" s="1"/>
  <c r="IS21" i="1"/>
  <c r="KO21" i="1" s="1"/>
  <c r="IT21" i="1"/>
  <c r="KP21" i="1" s="1"/>
  <c r="IU21" i="1"/>
  <c r="KQ21" i="1" s="1"/>
  <c r="IV21" i="1"/>
  <c r="KR21" i="1" s="1"/>
  <c r="IW21" i="1"/>
  <c r="KS21" i="1" s="1"/>
  <c r="IX21" i="1"/>
  <c r="KT21" i="1" s="1"/>
  <c r="IY21" i="1"/>
  <c r="KU21" i="1" s="1"/>
  <c r="IZ21" i="1"/>
  <c r="KV21" i="1" s="1"/>
  <c r="JA21" i="1"/>
  <c r="KW21" i="1" s="1"/>
  <c r="JB21" i="1"/>
  <c r="KX21" i="1" s="1"/>
  <c r="JC21" i="1"/>
  <c r="KY21" i="1" s="1"/>
  <c r="JD21" i="1"/>
  <c r="KZ21" i="1" s="1"/>
  <c r="JE21" i="1"/>
  <c r="LA21" i="1" s="1"/>
  <c r="JF21" i="1"/>
  <c r="LB21" i="1" s="1"/>
  <c r="JG21" i="1"/>
  <c r="LC21" i="1" s="1"/>
  <c r="JH21" i="1"/>
  <c r="LD21" i="1" s="1"/>
  <c r="JI21" i="1"/>
  <c r="LE21" i="1" s="1"/>
  <c r="JJ21" i="1"/>
  <c r="LF21" i="1" s="1"/>
  <c r="JK21" i="1"/>
  <c r="LG21" i="1" s="1"/>
  <c r="JL21" i="1"/>
  <c r="LH21" i="1" s="1"/>
  <c r="JM21" i="1"/>
  <c r="LI21" i="1" s="1"/>
  <c r="JN21" i="1"/>
  <c r="LJ21" i="1" s="1"/>
  <c r="JO21" i="1"/>
  <c r="LK21" i="1" s="1"/>
  <c r="JP21" i="1"/>
  <c r="LL21" i="1" s="1"/>
  <c r="JQ21" i="1"/>
  <c r="LM21" i="1" s="1"/>
  <c r="LN21" i="1"/>
  <c r="KH88" i="1"/>
  <c r="IM88" i="1"/>
  <c r="KI88" i="1" s="1"/>
  <c r="IN88" i="1"/>
  <c r="KJ88" i="1" s="1"/>
  <c r="IO88" i="1"/>
  <c r="KK88" i="1" s="1"/>
  <c r="IP88" i="1"/>
  <c r="KL88" i="1" s="1"/>
  <c r="IQ88" i="1"/>
  <c r="KM88" i="1" s="1"/>
  <c r="IR88" i="1"/>
  <c r="KN88" i="1" s="1"/>
  <c r="IS88" i="1"/>
  <c r="KO88" i="1" s="1"/>
  <c r="IT88" i="1"/>
  <c r="KP88" i="1" s="1"/>
  <c r="IU88" i="1"/>
  <c r="KQ88" i="1" s="1"/>
  <c r="IV88" i="1"/>
  <c r="KR88" i="1" s="1"/>
  <c r="IW88" i="1"/>
  <c r="KS88" i="1" s="1"/>
  <c r="IX88" i="1"/>
  <c r="KT88" i="1" s="1"/>
  <c r="IY88" i="1"/>
  <c r="KU88" i="1" s="1"/>
  <c r="IZ88" i="1"/>
  <c r="KV88" i="1" s="1"/>
  <c r="JA88" i="1"/>
  <c r="KW88" i="1" s="1"/>
  <c r="JB88" i="1"/>
  <c r="KX88" i="1" s="1"/>
  <c r="JC88" i="1"/>
  <c r="KY88" i="1" s="1"/>
  <c r="JD88" i="1"/>
  <c r="KZ88" i="1" s="1"/>
  <c r="JE88" i="1"/>
  <c r="LA88" i="1" s="1"/>
  <c r="JF88" i="1"/>
  <c r="LB88" i="1" s="1"/>
  <c r="JG88" i="1"/>
  <c r="LC88" i="1" s="1"/>
  <c r="JH88" i="1"/>
  <c r="LD88" i="1" s="1"/>
  <c r="JI88" i="1"/>
  <c r="LE88" i="1" s="1"/>
  <c r="JJ88" i="1"/>
  <c r="LF88" i="1" s="1"/>
  <c r="JK88" i="1"/>
  <c r="LG88" i="1" s="1"/>
  <c r="JL88" i="1"/>
  <c r="LH88" i="1" s="1"/>
  <c r="JM88" i="1"/>
  <c r="LI88" i="1" s="1"/>
  <c r="JN88" i="1"/>
  <c r="LJ88" i="1" s="1"/>
  <c r="JO88" i="1"/>
  <c r="LK88" i="1" s="1"/>
  <c r="JP88" i="1"/>
  <c r="LL88" i="1" s="1"/>
  <c r="JQ88" i="1"/>
  <c r="LM88" i="1" s="1"/>
  <c r="LN88" i="1"/>
  <c r="KH22" i="1"/>
  <c r="IM22" i="1"/>
  <c r="KI22" i="1" s="1"/>
  <c r="IN22" i="1"/>
  <c r="KJ22" i="1" s="1"/>
  <c r="IO22" i="1"/>
  <c r="KK22" i="1" s="1"/>
  <c r="IP22" i="1"/>
  <c r="KL22" i="1" s="1"/>
  <c r="IQ22" i="1"/>
  <c r="KM22" i="1" s="1"/>
  <c r="IR22" i="1"/>
  <c r="KN22" i="1" s="1"/>
  <c r="IS22" i="1"/>
  <c r="KO22" i="1" s="1"/>
  <c r="IT22" i="1"/>
  <c r="KP22" i="1" s="1"/>
  <c r="IU22" i="1"/>
  <c r="KQ22" i="1" s="1"/>
  <c r="IV22" i="1"/>
  <c r="KR22" i="1" s="1"/>
  <c r="IW22" i="1"/>
  <c r="KS22" i="1" s="1"/>
  <c r="IX22" i="1"/>
  <c r="KT22" i="1" s="1"/>
  <c r="IY22" i="1"/>
  <c r="KU22" i="1" s="1"/>
  <c r="IZ22" i="1"/>
  <c r="KV22" i="1" s="1"/>
  <c r="JA22" i="1"/>
  <c r="KW22" i="1" s="1"/>
  <c r="JB22" i="1"/>
  <c r="KX22" i="1" s="1"/>
  <c r="JC22" i="1"/>
  <c r="KY22" i="1" s="1"/>
  <c r="JD22" i="1"/>
  <c r="KZ22" i="1" s="1"/>
  <c r="JE22" i="1"/>
  <c r="LA22" i="1" s="1"/>
  <c r="JF22" i="1"/>
  <c r="LB22" i="1" s="1"/>
  <c r="JG22" i="1"/>
  <c r="LC22" i="1" s="1"/>
  <c r="JH22" i="1"/>
  <c r="LD22" i="1" s="1"/>
  <c r="JI22" i="1"/>
  <c r="LE22" i="1" s="1"/>
  <c r="JJ22" i="1"/>
  <c r="LF22" i="1" s="1"/>
  <c r="JK22" i="1"/>
  <c r="LG22" i="1" s="1"/>
  <c r="JL22" i="1"/>
  <c r="LH22" i="1" s="1"/>
  <c r="JM22" i="1"/>
  <c r="LI22" i="1" s="1"/>
  <c r="JN22" i="1"/>
  <c r="LJ22" i="1" s="1"/>
  <c r="JO22" i="1"/>
  <c r="LK22" i="1" s="1"/>
  <c r="JP22" i="1"/>
  <c r="LL22" i="1" s="1"/>
  <c r="JQ22" i="1"/>
  <c r="LM22" i="1" s="1"/>
  <c r="LN22" i="1"/>
  <c r="KH89" i="1"/>
  <c r="IM89" i="1"/>
  <c r="KI89" i="1" s="1"/>
  <c r="IN89" i="1"/>
  <c r="KJ89" i="1" s="1"/>
  <c r="IO89" i="1"/>
  <c r="KK89" i="1" s="1"/>
  <c r="IP89" i="1"/>
  <c r="KL89" i="1" s="1"/>
  <c r="IQ89" i="1"/>
  <c r="KM89" i="1" s="1"/>
  <c r="IR89" i="1"/>
  <c r="KN89" i="1" s="1"/>
  <c r="IS89" i="1"/>
  <c r="KO89" i="1" s="1"/>
  <c r="IT89" i="1"/>
  <c r="KP89" i="1" s="1"/>
  <c r="IU89" i="1"/>
  <c r="KQ89" i="1" s="1"/>
  <c r="IV89" i="1"/>
  <c r="KR89" i="1" s="1"/>
  <c r="IW89" i="1"/>
  <c r="KS89" i="1" s="1"/>
  <c r="IX89" i="1"/>
  <c r="KT89" i="1" s="1"/>
  <c r="IY89" i="1"/>
  <c r="KU89" i="1" s="1"/>
  <c r="IZ89" i="1"/>
  <c r="KV89" i="1" s="1"/>
  <c r="JA89" i="1"/>
  <c r="KW89" i="1" s="1"/>
  <c r="JB89" i="1"/>
  <c r="KX89" i="1" s="1"/>
  <c r="JC89" i="1"/>
  <c r="KY89" i="1" s="1"/>
  <c r="JD89" i="1"/>
  <c r="KZ89" i="1" s="1"/>
  <c r="JE89" i="1"/>
  <c r="LA89" i="1" s="1"/>
  <c r="JF89" i="1"/>
  <c r="LB89" i="1" s="1"/>
  <c r="JG89" i="1"/>
  <c r="LC89" i="1" s="1"/>
  <c r="JH89" i="1"/>
  <c r="LD89" i="1" s="1"/>
  <c r="JI89" i="1"/>
  <c r="LE89" i="1" s="1"/>
  <c r="JJ89" i="1"/>
  <c r="LF89" i="1" s="1"/>
  <c r="JK89" i="1"/>
  <c r="LG89" i="1" s="1"/>
  <c r="JL89" i="1"/>
  <c r="LH89" i="1" s="1"/>
  <c r="JM89" i="1"/>
  <c r="LI89" i="1" s="1"/>
  <c r="JN89" i="1"/>
  <c r="LJ89" i="1" s="1"/>
  <c r="JO89" i="1"/>
  <c r="LK89" i="1" s="1"/>
  <c r="JP89" i="1"/>
  <c r="LL89" i="1" s="1"/>
  <c r="JQ89" i="1"/>
  <c r="LM89" i="1" s="1"/>
  <c r="LN89" i="1"/>
  <c r="KH23" i="1"/>
  <c r="IM23" i="1"/>
  <c r="KI23" i="1" s="1"/>
  <c r="IN23" i="1"/>
  <c r="KJ23" i="1" s="1"/>
  <c r="IO23" i="1"/>
  <c r="KK23" i="1" s="1"/>
  <c r="IP23" i="1"/>
  <c r="KL23" i="1" s="1"/>
  <c r="IQ23" i="1"/>
  <c r="KM23" i="1" s="1"/>
  <c r="IR23" i="1"/>
  <c r="KN23" i="1" s="1"/>
  <c r="IS23" i="1"/>
  <c r="KO23" i="1" s="1"/>
  <c r="IT23" i="1"/>
  <c r="KP23" i="1" s="1"/>
  <c r="IU23" i="1"/>
  <c r="KQ23" i="1" s="1"/>
  <c r="IV23" i="1"/>
  <c r="KR23" i="1" s="1"/>
  <c r="IW23" i="1"/>
  <c r="KS23" i="1" s="1"/>
  <c r="IX23" i="1"/>
  <c r="KT23" i="1" s="1"/>
  <c r="IY23" i="1"/>
  <c r="KU23" i="1" s="1"/>
  <c r="IZ23" i="1"/>
  <c r="KV23" i="1" s="1"/>
  <c r="JA23" i="1"/>
  <c r="KW23" i="1" s="1"/>
  <c r="JB23" i="1"/>
  <c r="KX23" i="1" s="1"/>
  <c r="JC23" i="1"/>
  <c r="KY23" i="1" s="1"/>
  <c r="JD23" i="1"/>
  <c r="KZ23" i="1" s="1"/>
  <c r="JE23" i="1"/>
  <c r="LA23" i="1" s="1"/>
  <c r="JF23" i="1"/>
  <c r="LB23" i="1" s="1"/>
  <c r="JG23" i="1"/>
  <c r="LC23" i="1" s="1"/>
  <c r="JH23" i="1"/>
  <c r="LD23" i="1" s="1"/>
  <c r="JI23" i="1"/>
  <c r="LE23" i="1" s="1"/>
  <c r="JJ23" i="1"/>
  <c r="LF23" i="1" s="1"/>
  <c r="JK23" i="1"/>
  <c r="LG23" i="1" s="1"/>
  <c r="JL23" i="1"/>
  <c r="LH23" i="1" s="1"/>
  <c r="JM23" i="1"/>
  <c r="LI23" i="1" s="1"/>
  <c r="JN23" i="1"/>
  <c r="LJ23" i="1" s="1"/>
  <c r="JO23" i="1"/>
  <c r="LK23" i="1" s="1"/>
  <c r="JP23" i="1"/>
  <c r="LL23" i="1" s="1"/>
  <c r="JQ23" i="1"/>
  <c r="LM23" i="1" s="1"/>
  <c r="LN23" i="1"/>
  <c r="KH24" i="1"/>
  <c r="IM24" i="1"/>
  <c r="KI24" i="1" s="1"/>
  <c r="IN24" i="1"/>
  <c r="KJ24" i="1" s="1"/>
  <c r="IO24" i="1"/>
  <c r="KK24" i="1" s="1"/>
  <c r="IP24" i="1"/>
  <c r="KL24" i="1" s="1"/>
  <c r="IQ24" i="1"/>
  <c r="KM24" i="1" s="1"/>
  <c r="IR24" i="1"/>
  <c r="KN24" i="1" s="1"/>
  <c r="IS24" i="1"/>
  <c r="KO24" i="1" s="1"/>
  <c r="IT24" i="1"/>
  <c r="KP24" i="1" s="1"/>
  <c r="IU24" i="1"/>
  <c r="KQ24" i="1" s="1"/>
  <c r="IV24" i="1"/>
  <c r="KR24" i="1" s="1"/>
  <c r="IW24" i="1"/>
  <c r="KS24" i="1" s="1"/>
  <c r="IX24" i="1"/>
  <c r="KT24" i="1" s="1"/>
  <c r="IY24" i="1"/>
  <c r="KU24" i="1" s="1"/>
  <c r="IZ24" i="1"/>
  <c r="KV24" i="1" s="1"/>
  <c r="JA24" i="1"/>
  <c r="KW24" i="1" s="1"/>
  <c r="JB24" i="1"/>
  <c r="KX24" i="1" s="1"/>
  <c r="JC24" i="1"/>
  <c r="KY24" i="1" s="1"/>
  <c r="JD24" i="1"/>
  <c r="KZ24" i="1" s="1"/>
  <c r="JE24" i="1"/>
  <c r="LA24" i="1" s="1"/>
  <c r="JF24" i="1"/>
  <c r="LB24" i="1" s="1"/>
  <c r="JG24" i="1"/>
  <c r="LC24" i="1" s="1"/>
  <c r="JH24" i="1"/>
  <c r="LD24" i="1" s="1"/>
  <c r="JI24" i="1"/>
  <c r="LE24" i="1" s="1"/>
  <c r="JJ24" i="1"/>
  <c r="LF24" i="1" s="1"/>
  <c r="JK24" i="1"/>
  <c r="LG24" i="1" s="1"/>
  <c r="JL24" i="1"/>
  <c r="LH24" i="1" s="1"/>
  <c r="JM24" i="1"/>
  <c r="LI24" i="1" s="1"/>
  <c r="JN24" i="1"/>
  <c r="LJ24" i="1" s="1"/>
  <c r="JO24" i="1"/>
  <c r="LK24" i="1" s="1"/>
  <c r="JP24" i="1"/>
  <c r="LL24" i="1" s="1"/>
  <c r="JQ24" i="1"/>
  <c r="LM24" i="1" s="1"/>
  <c r="LN24" i="1"/>
  <c r="KH25" i="1"/>
  <c r="IM25" i="1"/>
  <c r="KI25" i="1" s="1"/>
  <c r="IN25" i="1"/>
  <c r="KJ25" i="1" s="1"/>
  <c r="IO25" i="1"/>
  <c r="KK25" i="1" s="1"/>
  <c r="IP25" i="1"/>
  <c r="KL25" i="1" s="1"/>
  <c r="IQ25" i="1"/>
  <c r="KM25" i="1" s="1"/>
  <c r="IR25" i="1"/>
  <c r="KN25" i="1" s="1"/>
  <c r="IS25" i="1"/>
  <c r="KO25" i="1" s="1"/>
  <c r="IT25" i="1"/>
  <c r="KP25" i="1" s="1"/>
  <c r="IU25" i="1"/>
  <c r="KQ25" i="1" s="1"/>
  <c r="IV25" i="1"/>
  <c r="KR25" i="1" s="1"/>
  <c r="IW25" i="1"/>
  <c r="KS25" i="1" s="1"/>
  <c r="IX25" i="1"/>
  <c r="KT25" i="1" s="1"/>
  <c r="IY25" i="1"/>
  <c r="KU25" i="1" s="1"/>
  <c r="IZ25" i="1"/>
  <c r="KV25" i="1" s="1"/>
  <c r="JA25" i="1"/>
  <c r="KW25" i="1" s="1"/>
  <c r="JB25" i="1"/>
  <c r="KX25" i="1" s="1"/>
  <c r="JC25" i="1"/>
  <c r="KY25" i="1" s="1"/>
  <c r="JD25" i="1"/>
  <c r="KZ25" i="1" s="1"/>
  <c r="JE25" i="1"/>
  <c r="LA25" i="1" s="1"/>
  <c r="JF25" i="1"/>
  <c r="LB25" i="1" s="1"/>
  <c r="JG25" i="1"/>
  <c r="LC25" i="1" s="1"/>
  <c r="JH25" i="1"/>
  <c r="LD25" i="1" s="1"/>
  <c r="JI25" i="1"/>
  <c r="LE25" i="1" s="1"/>
  <c r="JJ25" i="1"/>
  <c r="LF25" i="1" s="1"/>
  <c r="JK25" i="1"/>
  <c r="LG25" i="1" s="1"/>
  <c r="JL25" i="1"/>
  <c r="LH25" i="1" s="1"/>
  <c r="JM25" i="1"/>
  <c r="LI25" i="1" s="1"/>
  <c r="JN25" i="1"/>
  <c r="LJ25" i="1" s="1"/>
  <c r="JO25" i="1"/>
  <c r="LK25" i="1" s="1"/>
  <c r="JP25" i="1"/>
  <c r="LL25" i="1" s="1"/>
  <c r="JQ25" i="1"/>
  <c r="LM25" i="1" s="1"/>
  <c r="LN25" i="1"/>
  <c r="KH26" i="1"/>
  <c r="IM26" i="1"/>
  <c r="KI26" i="1" s="1"/>
  <c r="IN26" i="1"/>
  <c r="KJ26" i="1" s="1"/>
  <c r="IO26" i="1"/>
  <c r="KK26" i="1" s="1"/>
  <c r="IP26" i="1"/>
  <c r="KL26" i="1" s="1"/>
  <c r="IQ26" i="1"/>
  <c r="KM26" i="1" s="1"/>
  <c r="IR26" i="1"/>
  <c r="KN26" i="1" s="1"/>
  <c r="IS26" i="1"/>
  <c r="KO26" i="1" s="1"/>
  <c r="IT26" i="1"/>
  <c r="KP26" i="1" s="1"/>
  <c r="IU26" i="1"/>
  <c r="KQ26" i="1" s="1"/>
  <c r="IV26" i="1"/>
  <c r="KR26" i="1" s="1"/>
  <c r="IW26" i="1"/>
  <c r="KS26" i="1" s="1"/>
  <c r="IX26" i="1"/>
  <c r="KT26" i="1" s="1"/>
  <c r="IY26" i="1"/>
  <c r="KU26" i="1" s="1"/>
  <c r="IZ26" i="1"/>
  <c r="KV26" i="1" s="1"/>
  <c r="JA26" i="1"/>
  <c r="KW26" i="1" s="1"/>
  <c r="JB26" i="1"/>
  <c r="KX26" i="1" s="1"/>
  <c r="JC26" i="1"/>
  <c r="KY26" i="1" s="1"/>
  <c r="JD26" i="1"/>
  <c r="KZ26" i="1" s="1"/>
  <c r="JE26" i="1"/>
  <c r="LA26" i="1" s="1"/>
  <c r="JF26" i="1"/>
  <c r="LB26" i="1" s="1"/>
  <c r="JG26" i="1"/>
  <c r="LC26" i="1" s="1"/>
  <c r="JH26" i="1"/>
  <c r="LD26" i="1" s="1"/>
  <c r="JI26" i="1"/>
  <c r="LE26" i="1" s="1"/>
  <c r="JJ26" i="1"/>
  <c r="LF26" i="1" s="1"/>
  <c r="JK26" i="1"/>
  <c r="LG26" i="1" s="1"/>
  <c r="JL26" i="1"/>
  <c r="LH26" i="1" s="1"/>
  <c r="JM26" i="1"/>
  <c r="LI26" i="1" s="1"/>
  <c r="JN26" i="1"/>
  <c r="LJ26" i="1" s="1"/>
  <c r="JO26" i="1"/>
  <c r="LK26" i="1" s="1"/>
  <c r="JP26" i="1"/>
  <c r="LL26" i="1" s="1"/>
  <c r="JQ26" i="1"/>
  <c r="LM26" i="1" s="1"/>
  <c r="LN26" i="1"/>
  <c r="KH27" i="1"/>
  <c r="IM27" i="1"/>
  <c r="KI27" i="1" s="1"/>
  <c r="IN27" i="1"/>
  <c r="KJ27" i="1" s="1"/>
  <c r="IO27" i="1"/>
  <c r="KK27" i="1" s="1"/>
  <c r="IP27" i="1"/>
  <c r="KL27" i="1" s="1"/>
  <c r="IQ27" i="1"/>
  <c r="KM27" i="1" s="1"/>
  <c r="IR27" i="1"/>
  <c r="KN27" i="1" s="1"/>
  <c r="IS27" i="1"/>
  <c r="KO27" i="1" s="1"/>
  <c r="IT27" i="1"/>
  <c r="KP27" i="1" s="1"/>
  <c r="IU27" i="1"/>
  <c r="KQ27" i="1" s="1"/>
  <c r="IV27" i="1"/>
  <c r="KR27" i="1" s="1"/>
  <c r="IW27" i="1"/>
  <c r="KS27" i="1" s="1"/>
  <c r="IX27" i="1"/>
  <c r="KT27" i="1" s="1"/>
  <c r="IY27" i="1"/>
  <c r="KU27" i="1" s="1"/>
  <c r="IZ27" i="1"/>
  <c r="KV27" i="1" s="1"/>
  <c r="JA27" i="1"/>
  <c r="KW27" i="1" s="1"/>
  <c r="JB27" i="1"/>
  <c r="KX27" i="1" s="1"/>
  <c r="JC27" i="1"/>
  <c r="KY27" i="1" s="1"/>
  <c r="JD27" i="1"/>
  <c r="KZ27" i="1" s="1"/>
  <c r="JE27" i="1"/>
  <c r="LA27" i="1" s="1"/>
  <c r="JF27" i="1"/>
  <c r="LB27" i="1" s="1"/>
  <c r="JG27" i="1"/>
  <c r="LC27" i="1" s="1"/>
  <c r="JH27" i="1"/>
  <c r="LD27" i="1" s="1"/>
  <c r="JI27" i="1"/>
  <c r="LE27" i="1" s="1"/>
  <c r="JJ27" i="1"/>
  <c r="LF27" i="1" s="1"/>
  <c r="JK27" i="1"/>
  <c r="LG27" i="1" s="1"/>
  <c r="JL27" i="1"/>
  <c r="LH27" i="1" s="1"/>
  <c r="JM27" i="1"/>
  <c r="LI27" i="1" s="1"/>
  <c r="JN27" i="1"/>
  <c r="LJ27" i="1" s="1"/>
  <c r="JO27" i="1"/>
  <c r="LK27" i="1" s="1"/>
  <c r="JP27" i="1"/>
  <c r="LL27" i="1" s="1"/>
  <c r="JQ27" i="1"/>
  <c r="LM27" i="1" s="1"/>
  <c r="LN27" i="1"/>
  <c r="KH28" i="1"/>
  <c r="IM28" i="1"/>
  <c r="KI28" i="1" s="1"/>
  <c r="IN28" i="1"/>
  <c r="KJ28" i="1" s="1"/>
  <c r="IO28" i="1"/>
  <c r="KK28" i="1" s="1"/>
  <c r="IP28" i="1"/>
  <c r="KL28" i="1" s="1"/>
  <c r="IQ28" i="1"/>
  <c r="KM28" i="1" s="1"/>
  <c r="IR28" i="1"/>
  <c r="KN28" i="1" s="1"/>
  <c r="IS28" i="1"/>
  <c r="KO28" i="1" s="1"/>
  <c r="IT28" i="1"/>
  <c r="KP28" i="1" s="1"/>
  <c r="IU28" i="1"/>
  <c r="KQ28" i="1" s="1"/>
  <c r="IV28" i="1"/>
  <c r="KR28" i="1" s="1"/>
  <c r="IW28" i="1"/>
  <c r="KS28" i="1" s="1"/>
  <c r="IX28" i="1"/>
  <c r="KT28" i="1" s="1"/>
  <c r="IY28" i="1"/>
  <c r="KU28" i="1" s="1"/>
  <c r="IZ28" i="1"/>
  <c r="KV28" i="1" s="1"/>
  <c r="JA28" i="1"/>
  <c r="KW28" i="1" s="1"/>
  <c r="JB28" i="1"/>
  <c r="KX28" i="1" s="1"/>
  <c r="JC28" i="1"/>
  <c r="KY28" i="1" s="1"/>
  <c r="JD28" i="1"/>
  <c r="KZ28" i="1" s="1"/>
  <c r="JE28" i="1"/>
  <c r="LA28" i="1" s="1"/>
  <c r="JF28" i="1"/>
  <c r="LB28" i="1" s="1"/>
  <c r="JG28" i="1"/>
  <c r="LC28" i="1" s="1"/>
  <c r="JH28" i="1"/>
  <c r="LD28" i="1" s="1"/>
  <c r="JI28" i="1"/>
  <c r="LE28" i="1" s="1"/>
  <c r="JJ28" i="1"/>
  <c r="LF28" i="1" s="1"/>
  <c r="JK28" i="1"/>
  <c r="LG28" i="1" s="1"/>
  <c r="JL28" i="1"/>
  <c r="LH28" i="1" s="1"/>
  <c r="JM28" i="1"/>
  <c r="LI28" i="1" s="1"/>
  <c r="JN28" i="1"/>
  <c r="LJ28" i="1" s="1"/>
  <c r="JO28" i="1"/>
  <c r="LK28" i="1" s="1"/>
  <c r="JP28" i="1"/>
  <c r="LL28" i="1" s="1"/>
  <c r="JQ28" i="1"/>
  <c r="LM28" i="1" s="1"/>
  <c r="LN28" i="1"/>
  <c r="KH29" i="1"/>
  <c r="IM29" i="1"/>
  <c r="KI29" i="1" s="1"/>
  <c r="IN29" i="1"/>
  <c r="KJ29" i="1" s="1"/>
  <c r="IO29" i="1"/>
  <c r="KK29" i="1" s="1"/>
  <c r="IP29" i="1"/>
  <c r="KL29" i="1" s="1"/>
  <c r="IQ29" i="1"/>
  <c r="KM29" i="1" s="1"/>
  <c r="IR29" i="1"/>
  <c r="KN29" i="1" s="1"/>
  <c r="IS29" i="1"/>
  <c r="KO29" i="1" s="1"/>
  <c r="IT29" i="1"/>
  <c r="KP29" i="1" s="1"/>
  <c r="IU29" i="1"/>
  <c r="KQ29" i="1" s="1"/>
  <c r="IV29" i="1"/>
  <c r="KR29" i="1" s="1"/>
  <c r="IW29" i="1"/>
  <c r="KS29" i="1" s="1"/>
  <c r="IX29" i="1"/>
  <c r="KT29" i="1" s="1"/>
  <c r="IY29" i="1"/>
  <c r="KU29" i="1" s="1"/>
  <c r="IZ29" i="1"/>
  <c r="KV29" i="1" s="1"/>
  <c r="JA29" i="1"/>
  <c r="KW29" i="1" s="1"/>
  <c r="JB29" i="1"/>
  <c r="KX29" i="1" s="1"/>
  <c r="JC29" i="1"/>
  <c r="KY29" i="1" s="1"/>
  <c r="JD29" i="1"/>
  <c r="KZ29" i="1" s="1"/>
  <c r="JE29" i="1"/>
  <c r="LA29" i="1" s="1"/>
  <c r="JF29" i="1"/>
  <c r="LB29" i="1" s="1"/>
  <c r="JG29" i="1"/>
  <c r="LC29" i="1" s="1"/>
  <c r="JH29" i="1"/>
  <c r="LD29" i="1" s="1"/>
  <c r="JI29" i="1"/>
  <c r="LE29" i="1" s="1"/>
  <c r="JJ29" i="1"/>
  <c r="LF29" i="1" s="1"/>
  <c r="JK29" i="1"/>
  <c r="LG29" i="1" s="1"/>
  <c r="JL29" i="1"/>
  <c r="LH29" i="1" s="1"/>
  <c r="JM29" i="1"/>
  <c r="LI29" i="1" s="1"/>
  <c r="JN29" i="1"/>
  <c r="LJ29" i="1" s="1"/>
  <c r="JO29" i="1"/>
  <c r="LK29" i="1" s="1"/>
  <c r="JP29" i="1"/>
  <c r="LL29" i="1" s="1"/>
  <c r="JQ29" i="1"/>
  <c r="LM29" i="1" s="1"/>
  <c r="LN29" i="1"/>
  <c r="KH30" i="1"/>
  <c r="IM30" i="1"/>
  <c r="KI30" i="1" s="1"/>
  <c r="IN30" i="1"/>
  <c r="KJ30" i="1" s="1"/>
  <c r="IO30" i="1"/>
  <c r="KK30" i="1" s="1"/>
  <c r="IP30" i="1"/>
  <c r="KL30" i="1" s="1"/>
  <c r="IQ30" i="1"/>
  <c r="KM30" i="1" s="1"/>
  <c r="IR30" i="1"/>
  <c r="KN30" i="1" s="1"/>
  <c r="IS30" i="1"/>
  <c r="KO30" i="1" s="1"/>
  <c r="IT30" i="1"/>
  <c r="KP30" i="1" s="1"/>
  <c r="IU30" i="1"/>
  <c r="KQ30" i="1" s="1"/>
  <c r="IV30" i="1"/>
  <c r="KR30" i="1" s="1"/>
  <c r="IW30" i="1"/>
  <c r="KS30" i="1" s="1"/>
  <c r="IX30" i="1"/>
  <c r="KT30" i="1" s="1"/>
  <c r="IY30" i="1"/>
  <c r="KU30" i="1" s="1"/>
  <c r="IZ30" i="1"/>
  <c r="KV30" i="1" s="1"/>
  <c r="JA30" i="1"/>
  <c r="KW30" i="1" s="1"/>
  <c r="JB30" i="1"/>
  <c r="KX30" i="1" s="1"/>
  <c r="JC30" i="1"/>
  <c r="KY30" i="1" s="1"/>
  <c r="JD30" i="1"/>
  <c r="KZ30" i="1" s="1"/>
  <c r="JE30" i="1"/>
  <c r="LA30" i="1" s="1"/>
  <c r="JF30" i="1"/>
  <c r="LB30" i="1" s="1"/>
  <c r="JG30" i="1"/>
  <c r="LC30" i="1" s="1"/>
  <c r="JH30" i="1"/>
  <c r="LD30" i="1" s="1"/>
  <c r="JI30" i="1"/>
  <c r="LE30" i="1" s="1"/>
  <c r="JJ30" i="1"/>
  <c r="LF30" i="1" s="1"/>
  <c r="JK30" i="1"/>
  <c r="LG30" i="1" s="1"/>
  <c r="JL30" i="1"/>
  <c r="LH30" i="1" s="1"/>
  <c r="JM30" i="1"/>
  <c r="LI30" i="1" s="1"/>
  <c r="JN30" i="1"/>
  <c r="LJ30" i="1" s="1"/>
  <c r="JO30" i="1"/>
  <c r="LK30" i="1" s="1"/>
  <c r="JP30" i="1"/>
  <c r="LL30" i="1" s="1"/>
  <c r="JQ30" i="1"/>
  <c r="LM30" i="1" s="1"/>
  <c r="LN30" i="1"/>
  <c r="KH32" i="1"/>
  <c r="IM32" i="1"/>
  <c r="KI32" i="1" s="1"/>
  <c r="IN32" i="1"/>
  <c r="KJ32" i="1" s="1"/>
  <c r="IO32" i="1"/>
  <c r="KK32" i="1" s="1"/>
  <c r="IP32" i="1"/>
  <c r="KL32" i="1" s="1"/>
  <c r="IQ32" i="1"/>
  <c r="KM32" i="1" s="1"/>
  <c r="IR32" i="1"/>
  <c r="KN32" i="1" s="1"/>
  <c r="IS32" i="1"/>
  <c r="KO32" i="1" s="1"/>
  <c r="IT32" i="1"/>
  <c r="KP32" i="1" s="1"/>
  <c r="IU32" i="1"/>
  <c r="KQ32" i="1" s="1"/>
  <c r="IV32" i="1"/>
  <c r="KR32" i="1" s="1"/>
  <c r="IW32" i="1"/>
  <c r="KS32" i="1" s="1"/>
  <c r="IX32" i="1"/>
  <c r="KT32" i="1" s="1"/>
  <c r="IY32" i="1"/>
  <c r="KU32" i="1" s="1"/>
  <c r="IZ32" i="1"/>
  <c r="KV32" i="1" s="1"/>
  <c r="JA32" i="1"/>
  <c r="KW32" i="1" s="1"/>
  <c r="JB32" i="1"/>
  <c r="KX32" i="1" s="1"/>
  <c r="JC32" i="1"/>
  <c r="KY32" i="1" s="1"/>
  <c r="JD32" i="1"/>
  <c r="KZ32" i="1" s="1"/>
  <c r="JE32" i="1"/>
  <c r="LA32" i="1" s="1"/>
  <c r="JF32" i="1"/>
  <c r="LB32" i="1" s="1"/>
  <c r="JG32" i="1"/>
  <c r="LC32" i="1" s="1"/>
  <c r="JH32" i="1"/>
  <c r="LD32" i="1" s="1"/>
  <c r="JI32" i="1"/>
  <c r="LE32" i="1" s="1"/>
  <c r="JJ32" i="1"/>
  <c r="LF32" i="1" s="1"/>
  <c r="JK32" i="1"/>
  <c r="LG32" i="1" s="1"/>
  <c r="JL32" i="1"/>
  <c r="LH32" i="1" s="1"/>
  <c r="JM32" i="1"/>
  <c r="LI32" i="1" s="1"/>
  <c r="JN32" i="1"/>
  <c r="LJ32" i="1" s="1"/>
  <c r="JO32" i="1"/>
  <c r="LK32" i="1" s="1"/>
  <c r="JP32" i="1"/>
  <c r="LL32" i="1" s="1"/>
  <c r="JQ32" i="1"/>
  <c r="LM32" i="1" s="1"/>
  <c r="LN32" i="1"/>
  <c r="KH31" i="1"/>
  <c r="IM31" i="1"/>
  <c r="KI31" i="1" s="1"/>
  <c r="IN31" i="1"/>
  <c r="KJ31" i="1" s="1"/>
  <c r="IO31" i="1"/>
  <c r="KK31" i="1" s="1"/>
  <c r="IP31" i="1"/>
  <c r="KL31" i="1" s="1"/>
  <c r="IQ31" i="1"/>
  <c r="KM31" i="1" s="1"/>
  <c r="IR31" i="1"/>
  <c r="KN31" i="1" s="1"/>
  <c r="IS31" i="1"/>
  <c r="KO31" i="1" s="1"/>
  <c r="IT31" i="1"/>
  <c r="KP31" i="1" s="1"/>
  <c r="IU31" i="1"/>
  <c r="KQ31" i="1" s="1"/>
  <c r="IV31" i="1"/>
  <c r="KR31" i="1" s="1"/>
  <c r="IW31" i="1"/>
  <c r="KS31" i="1" s="1"/>
  <c r="IX31" i="1"/>
  <c r="KT31" i="1" s="1"/>
  <c r="IY31" i="1"/>
  <c r="KU31" i="1" s="1"/>
  <c r="IZ31" i="1"/>
  <c r="KV31" i="1" s="1"/>
  <c r="JA31" i="1"/>
  <c r="KW31" i="1" s="1"/>
  <c r="JB31" i="1"/>
  <c r="KX31" i="1" s="1"/>
  <c r="JC31" i="1"/>
  <c r="KY31" i="1" s="1"/>
  <c r="JD31" i="1"/>
  <c r="KZ31" i="1" s="1"/>
  <c r="JE31" i="1"/>
  <c r="LA31" i="1" s="1"/>
  <c r="JF31" i="1"/>
  <c r="LB31" i="1" s="1"/>
  <c r="JG31" i="1"/>
  <c r="LC31" i="1" s="1"/>
  <c r="JH31" i="1"/>
  <c r="LD31" i="1" s="1"/>
  <c r="JI31" i="1"/>
  <c r="LE31" i="1" s="1"/>
  <c r="JJ31" i="1"/>
  <c r="LF31" i="1" s="1"/>
  <c r="JK31" i="1"/>
  <c r="LG31" i="1" s="1"/>
  <c r="JL31" i="1"/>
  <c r="LH31" i="1" s="1"/>
  <c r="JM31" i="1"/>
  <c r="LI31" i="1" s="1"/>
  <c r="JN31" i="1"/>
  <c r="LJ31" i="1" s="1"/>
  <c r="JO31" i="1"/>
  <c r="LK31" i="1" s="1"/>
  <c r="JP31" i="1"/>
  <c r="LL31" i="1" s="1"/>
  <c r="JQ31" i="1"/>
  <c r="LM31" i="1" s="1"/>
  <c r="LN31" i="1"/>
  <c r="KH33" i="1"/>
  <c r="IM33" i="1"/>
  <c r="KI33" i="1" s="1"/>
  <c r="IN33" i="1"/>
  <c r="KJ33" i="1" s="1"/>
  <c r="IO33" i="1"/>
  <c r="KK33" i="1" s="1"/>
  <c r="IP33" i="1"/>
  <c r="KL33" i="1" s="1"/>
  <c r="IQ33" i="1"/>
  <c r="KM33" i="1" s="1"/>
  <c r="IR33" i="1"/>
  <c r="KN33" i="1" s="1"/>
  <c r="IS33" i="1"/>
  <c r="KO33" i="1" s="1"/>
  <c r="IT33" i="1"/>
  <c r="KP33" i="1" s="1"/>
  <c r="IU33" i="1"/>
  <c r="KQ33" i="1" s="1"/>
  <c r="IV33" i="1"/>
  <c r="KR33" i="1" s="1"/>
  <c r="IW33" i="1"/>
  <c r="KS33" i="1" s="1"/>
  <c r="IX33" i="1"/>
  <c r="KT33" i="1" s="1"/>
  <c r="IY33" i="1"/>
  <c r="KU33" i="1" s="1"/>
  <c r="IZ33" i="1"/>
  <c r="KV33" i="1" s="1"/>
  <c r="JA33" i="1"/>
  <c r="KW33" i="1" s="1"/>
  <c r="JB33" i="1"/>
  <c r="KX33" i="1" s="1"/>
  <c r="JC33" i="1"/>
  <c r="KY33" i="1" s="1"/>
  <c r="JD33" i="1"/>
  <c r="KZ33" i="1" s="1"/>
  <c r="JE33" i="1"/>
  <c r="LA33" i="1" s="1"/>
  <c r="JF33" i="1"/>
  <c r="LB33" i="1" s="1"/>
  <c r="JG33" i="1"/>
  <c r="LC33" i="1" s="1"/>
  <c r="JH33" i="1"/>
  <c r="LD33" i="1" s="1"/>
  <c r="JI33" i="1"/>
  <c r="LE33" i="1" s="1"/>
  <c r="JJ33" i="1"/>
  <c r="LF33" i="1" s="1"/>
  <c r="JK33" i="1"/>
  <c r="LG33" i="1" s="1"/>
  <c r="JL33" i="1"/>
  <c r="LH33" i="1" s="1"/>
  <c r="JM33" i="1"/>
  <c r="LI33" i="1" s="1"/>
  <c r="JN33" i="1"/>
  <c r="LJ33" i="1" s="1"/>
  <c r="JO33" i="1"/>
  <c r="LK33" i="1" s="1"/>
  <c r="JP33" i="1"/>
  <c r="LL33" i="1" s="1"/>
  <c r="JQ33" i="1"/>
  <c r="LM33" i="1" s="1"/>
  <c r="LN33" i="1"/>
  <c r="KH90" i="1"/>
  <c r="IM90" i="1"/>
  <c r="KI90" i="1" s="1"/>
  <c r="IN90" i="1"/>
  <c r="KJ90" i="1" s="1"/>
  <c r="IO90" i="1"/>
  <c r="KK90" i="1" s="1"/>
  <c r="IP90" i="1"/>
  <c r="KL90" i="1" s="1"/>
  <c r="IQ90" i="1"/>
  <c r="KM90" i="1" s="1"/>
  <c r="IR90" i="1"/>
  <c r="KN90" i="1" s="1"/>
  <c r="IS90" i="1"/>
  <c r="KO90" i="1" s="1"/>
  <c r="IT90" i="1"/>
  <c r="KP90" i="1" s="1"/>
  <c r="IU90" i="1"/>
  <c r="KQ90" i="1" s="1"/>
  <c r="IV90" i="1"/>
  <c r="KR90" i="1" s="1"/>
  <c r="IW90" i="1"/>
  <c r="KS90" i="1" s="1"/>
  <c r="IX90" i="1"/>
  <c r="KT90" i="1" s="1"/>
  <c r="IY90" i="1"/>
  <c r="KU90" i="1" s="1"/>
  <c r="IZ90" i="1"/>
  <c r="KV90" i="1" s="1"/>
  <c r="JA90" i="1"/>
  <c r="KW90" i="1" s="1"/>
  <c r="JB90" i="1"/>
  <c r="KX90" i="1" s="1"/>
  <c r="JC90" i="1"/>
  <c r="KY90" i="1" s="1"/>
  <c r="JD90" i="1"/>
  <c r="KZ90" i="1" s="1"/>
  <c r="JE90" i="1"/>
  <c r="LA90" i="1" s="1"/>
  <c r="JF90" i="1"/>
  <c r="LB90" i="1" s="1"/>
  <c r="JG90" i="1"/>
  <c r="LC90" i="1" s="1"/>
  <c r="JH90" i="1"/>
  <c r="LD90" i="1" s="1"/>
  <c r="JI90" i="1"/>
  <c r="LE90" i="1" s="1"/>
  <c r="JJ90" i="1"/>
  <c r="LF90" i="1" s="1"/>
  <c r="JK90" i="1"/>
  <c r="LG90" i="1" s="1"/>
  <c r="JL90" i="1"/>
  <c r="LH90" i="1" s="1"/>
  <c r="JM90" i="1"/>
  <c r="LI90" i="1" s="1"/>
  <c r="JN90" i="1"/>
  <c r="LJ90" i="1" s="1"/>
  <c r="JO90" i="1"/>
  <c r="LK90" i="1" s="1"/>
  <c r="JP90" i="1"/>
  <c r="LL90" i="1" s="1"/>
  <c r="JQ90" i="1"/>
  <c r="LM90" i="1" s="1"/>
  <c r="LN90" i="1"/>
  <c r="KH91" i="1"/>
  <c r="IM91" i="1"/>
  <c r="KI91" i="1" s="1"/>
  <c r="IN91" i="1"/>
  <c r="KJ91" i="1" s="1"/>
  <c r="IO91" i="1"/>
  <c r="KK91" i="1" s="1"/>
  <c r="IP91" i="1"/>
  <c r="KL91" i="1" s="1"/>
  <c r="IQ91" i="1"/>
  <c r="KM91" i="1" s="1"/>
  <c r="IR91" i="1"/>
  <c r="KN91" i="1" s="1"/>
  <c r="IS91" i="1"/>
  <c r="KO91" i="1" s="1"/>
  <c r="IT91" i="1"/>
  <c r="KP91" i="1" s="1"/>
  <c r="IU91" i="1"/>
  <c r="KQ91" i="1" s="1"/>
  <c r="IV91" i="1"/>
  <c r="KR91" i="1" s="1"/>
  <c r="IW91" i="1"/>
  <c r="KS91" i="1" s="1"/>
  <c r="IX91" i="1"/>
  <c r="KT91" i="1" s="1"/>
  <c r="IY91" i="1"/>
  <c r="KU91" i="1" s="1"/>
  <c r="IZ91" i="1"/>
  <c r="KV91" i="1" s="1"/>
  <c r="JA91" i="1"/>
  <c r="KW91" i="1" s="1"/>
  <c r="JB91" i="1"/>
  <c r="KX91" i="1" s="1"/>
  <c r="JC91" i="1"/>
  <c r="KY91" i="1" s="1"/>
  <c r="JD91" i="1"/>
  <c r="KZ91" i="1" s="1"/>
  <c r="JE91" i="1"/>
  <c r="LA91" i="1" s="1"/>
  <c r="JF91" i="1"/>
  <c r="LB91" i="1" s="1"/>
  <c r="JG91" i="1"/>
  <c r="LC91" i="1" s="1"/>
  <c r="JH91" i="1"/>
  <c r="LD91" i="1" s="1"/>
  <c r="JI91" i="1"/>
  <c r="LE91" i="1" s="1"/>
  <c r="JJ91" i="1"/>
  <c r="LF91" i="1" s="1"/>
  <c r="JK91" i="1"/>
  <c r="LG91" i="1" s="1"/>
  <c r="JL91" i="1"/>
  <c r="LH91" i="1" s="1"/>
  <c r="JM91" i="1"/>
  <c r="LI91" i="1" s="1"/>
  <c r="JN91" i="1"/>
  <c r="LJ91" i="1" s="1"/>
  <c r="JO91" i="1"/>
  <c r="LK91" i="1" s="1"/>
  <c r="JP91" i="1"/>
  <c r="LL91" i="1" s="1"/>
  <c r="JQ91" i="1"/>
  <c r="LM91" i="1" s="1"/>
  <c r="LN91" i="1"/>
  <c r="KH92" i="1"/>
  <c r="IM92" i="1"/>
  <c r="KI92" i="1" s="1"/>
  <c r="IN92" i="1"/>
  <c r="KJ92" i="1" s="1"/>
  <c r="IO92" i="1"/>
  <c r="KK92" i="1" s="1"/>
  <c r="IP92" i="1"/>
  <c r="KL92" i="1" s="1"/>
  <c r="IQ92" i="1"/>
  <c r="KM92" i="1" s="1"/>
  <c r="IR92" i="1"/>
  <c r="KN92" i="1" s="1"/>
  <c r="IS92" i="1"/>
  <c r="KO92" i="1" s="1"/>
  <c r="IT92" i="1"/>
  <c r="KP92" i="1" s="1"/>
  <c r="IU92" i="1"/>
  <c r="KQ92" i="1" s="1"/>
  <c r="IV92" i="1"/>
  <c r="KR92" i="1" s="1"/>
  <c r="IW92" i="1"/>
  <c r="KS92" i="1" s="1"/>
  <c r="IX92" i="1"/>
  <c r="KT92" i="1" s="1"/>
  <c r="IY92" i="1"/>
  <c r="KU92" i="1" s="1"/>
  <c r="IZ92" i="1"/>
  <c r="KV92" i="1" s="1"/>
  <c r="JA92" i="1"/>
  <c r="KW92" i="1" s="1"/>
  <c r="JB92" i="1"/>
  <c r="KX92" i="1" s="1"/>
  <c r="JC92" i="1"/>
  <c r="KY92" i="1" s="1"/>
  <c r="JD92" i="1"/>
  <c r="KZ92" i="1" s="1"/>
  <c r="JE92" i="1"/>
  <c r="LA92" i="1" s="1"/>
  <c r="JF92" i="1"/>
  <c r="LB92" i="1" s="1"/>
  <c r="JG92" i="1"/>
  <c r="LC92" i="1" s="1"/>
  <c r="JH92" i="1"/>
  <c r="LD92" i="1" s="1"/>
  <c r="JI92" i="1"/>
  <c r="LE92" i="1" s="1"/>
  <c r="JJ92" i="1"/>
  <c r="LF92" i="1" s="1"/>
  <c r="JK92" i="1"/>
  <c r="LG92" i="1" s="1"/>
  <c r="JL92" i="1"/>
  <c r="LH92" i="1" s="1"/>
  <c r="JM92" i="1"/>
  <c r="LI92" i="1" s="1"/>
  <c r="JN92" i="1"/>
  <c r="LJ92" i="1" s="1"/>
  <c r="JO92" i="1"/>
  <c r="LK92" i="1" s="1"/>
  <c r="JP92" i="1"/>
  <c r="LL92" i="1" s="1"/>
  <c r="JQ92" i="1"/>
  <c r="LM92" i="1" s="1"/>
  <c r="LN92" i="1"/>
  <c r="KH35" i="1"/>
  <c r="IM35" i="1"/>
  <c r="KI35" i="1" s="1"/>
  <c r="IN35" i="1"/>
  <c r="KJ35" i="1" s="1"/>
  <c r="IO35" i="1"/>
  <c r="KK35" i="1" s="1"/>
  <c r="IP35" i="1"/>
  <c r="KL35" i="1" s="1"/>
  <c r="IQ35" i="1"/>
  <c r="KM35" i="1" s="1"/>
  <c r="IR35" i="1"/>
  <c r="KN35" i="1" s="1"/>
  <c r="IS35" i="1"/>
  <c r="KO35" i="1" s="1"/>
  <c r="IT35" i="1"/>
  <c r="KP35" i="1" s="1"/>
  <c r="IU35" i="1"/>
  <c r="KQ35" i="1" s="1"/>
  <c r="IV35" i="1"/>
  <c r="KR35" i="1" s="1"/>
  <c r="IW35" i="1"/>
  <c r="KS35" i="1" s="1"/>
  <c r="IX35" i="1"/>
  <c r="KT35" i="1" s="1"/>
  <c r="IY35" i="1"/>
  <c r="KU35" i="1" s="1"/>
  <c r="IZ35" i="1"/>
  <c r="KV35" i="1" s="1"/>
  <c r="JA35" i="1"/>
  <c r="KW35" i="1" s="1"/>
  <c r="JB35" i="1"/>
  <c r="KX35" i="1" s="1"/>
  <c r="JC35" i="1"/>
  <c r="KY35" i="1" s="1"/>
  <c r="JD35" i="1"/>
  <c r="KZ35" i="1" s="1"/>
  <c r="JE35" i="1"/>
  <c r="LA35" i="1" s="1"/>
  <c r="JF35" i="1"/>
  <c r="LB35" i="1" s="1"/>
  <c r="JG35" i="1"/>
  <c r="LC35" i="1" s="1"/>
  <c r="JH35" i="1"/>
  <c r="LD35" i="1" s="1"/>
  <c r="JI35" i="1"/>
  <c r="LE35" i="1" s="1"/>
  <c r="JJ35" i="1"/>
  <c r="LF35" i="1" s="1"/>
  <c r="JK35" i="1"/>
  <c r="LG35" i="1" s="1"/>
  <c r="JL35" i="1"/>
  <c r="LH35" i="1" s="1"/>
  <c r="JM35" i="1"/>
  <c r="LI35" i="1" s="1"/>
  <c r="JN35" i="1"/>
  <c r="LJ35" i="1" s="1"/>
  <c r="JO35" i="1"/>
  <c r="LK35" i="1" s="1"/>
  <c r="JP35" i="1"/>
  <c r="LL35" i="1" s="1"/>
  <c r="JQ35" i="1"/>
  <c r="LM35" i="1" s="1"/>
  <c r="LN35" i="1"/>
  <c r="KH34" i="1"/>
  <c r="IM34" i="1"/>
  <c r="KI34" i="1" s="1"/>
  <c r="IN34" i="1"/>
  <c r="KJ34" i="1" s="1"/>
  <c r="IO34" i="1"/>
  <c r="KK34" i="1" s="1"/>
  <c r="IP34" i="1"/>
  <c r="KL34" i="1" s="1"/>
  <c r="IQ34" i="1"/>
  <c r="KM34" i="1" s="1"/>
  <c r="IR34" i="1"/>
  <c r="KN34" i="1" s="1"/>
  <c r="IS34" i="1"/>
  <c r="KO34" i="1" s="1"/>
  <c r="IT34" i="1"/>
  <c r="KP34" i="1" s="1"/>
  <c r="IU34" i="1"/>
  <c r="KQ34" i="1" s="1"/>
  <c r="IV34" i="1"/>
  <c r="KR34" i="1" s="1"/>
  <c r="IW34" i="1"/>
  <c r="KS34" i="1" s="1"/>
  <c r="IX34" i="1"/>
  <c r="KT34" i="1" s="1"/>
  <c r="IY34" i="1"/>
  <c r="KU34" i="1" s="1"/>
  <c r="IZ34" i="1"/>
  <c r="KV34" i="1" s="1"/>
  <c r="JA34" i="1"/>
  <c r="KW34" i="1" s="1"/>
  <c r="JB34" i="1"/>
  <c r="KX34" i="1" s="1"/>
  <c r="JC34" i="1"/>
  <c r="KY34" i="1" s="1"/>
  <c r="JD34" i="1"/>
  <c r="KZ34" i="1" s="1"/>
  <c r="JE34" i="1"/>
  <c r="LA34" i="1" s="1"/>
  <c r="JF34" i="1"/>
  <c r="LB34" i="1" s="1"/>
  <c r="JG34" i="1"/>
  <c r="LC34" i="1" s="1"/>
  <c r="JH34" i="1"/>
  <c r="LD34" i="1" s="1"/>
  <c r="JI34" i="1"/>
  <c r="LE34" i="1" s="1"/>
  <c r="JJ34" i="1"/>
  <c r="LF34" i="1" s="1"/>
  <c r="JK34" i="1"/>
  <c r="LG34" i="1" s="1"/>
  <c r="JL34" i="1"/>
  <c r="LH34" i="1" s="1"/>
  <c r="JM34" i="1"/>
  <c r="LI34" i="1" s="1"/>
  <c r="JN34" i="1"/>
  <c r="LJ34" i="1" s="1"/>
  <c r="JO34" i="1"/>
  <c r="LK34" i="1" s="1"/>
  <c r="JP34" i="1"/>
  <c r="LL34" i="1" s="1"/>
  <c r="JQ34" i="1"/>
  <c r="LM34" i="1" s="1"/>
  <c r="LN34" i="1"/>
  <c r="KH36" i="1"/>
  <c r="IM36" i="1"/>
  <c r="KI36" i="1" s="1"/>
  <c r="IN36" i="1"/>
  <c r="KJ36" i="1" s="1"/>
  <c r="IO36" i="1"/>
  <c r="KK36" i="1" s="1"/>
  <c r="IP36" i="1"/>
  <c r="KL36" i="1" s="1"/>
  <c r="IQ36" i="1"/>
  <c r="KM36" i="1" s="1"/>
  <c r="IR36" i="1"/>
  <c r="KN36" i="1" s="1"/>
  <c r="IS36" i="1"/>
  <c r="KO36" i="1" s="1"/>
  <c r="IT36" i="1"/>
  <c r="KP36" i="1" s="1"/>
  <c r="IU36" i="1"/>
  <c r="KQ36" i="1" s="1"/>
  <c r="IV36" i="1"/>
  <c r="KR36" i="1" s="1"/>
  <c r="IW36" i="1"/>
  <c r="KS36" i="1" s="1"/>
  <c r="IX36" i="1"/>
  <c r="KT36" i="1" s="1"/>
  <c r="IY36" i="1"/>
  <c r="KU36" i="1" s="1"/>
  <c r="IZ36" i="1"/>
  <c r="KV36" i="1" s="1"/>
  <c r="JA36" i="1"/>
  <c r="KW36" i="1" s="1"/>
  <c r="JB36" i="1"/>
  <c r="KX36" i="1" s="1"/>
  <c r="JC36" i="1"/>
  <c r="KY36" i="1" s="1"/>
  <c r="JD36" i="1"/>
  <c r="KZ36" i="1" s="1"/>
  <c r="JE36" i="1"/>
  <c r="LA36" i="1" s="1"/>
  <c r="JF36" i="1"/>
  <c r="LB36" i="1" s="1"/>
  <c r="JG36" i="1"/>
  <c r="LC36" i="1" s="1"/>
  <c r="JH36" i="1"/>
  <c r="LD36" i="1" s="1"/>
  <c r="JI36" i="1"/>
  <c r="LE36" i="1" s="1"/>
  <c r="JJ36" i="1"/>
  <c r="LF36" i="1" s="1"/>
  <c r="JK36" i="1"/>
  <c r="LG36" i="1" s="1"/>
  <c r="JL36" i="1"/>
  <c r="LH36" i="1" s="1"/>
  <c r="JM36" i="1"/>
  <c r="LI36" i="1" s="1"/>
  <c r="JN36" i="1"/>
  <c r="LJ36" i="1" s="1"/>
  <c r="JO36" i="1"/>
  <c r="LK36" i="1" s="1"/>
  <c r="JP36" i="1"/>
  <c r="LL36" i="1" s="1"/>
  <c r="JQ36" i="1"/>
  <c r="LM36" i="1" s="1"/>
  <c r="LN36" i="1"/>
  <c r="KH37" i="1"/>
  <c r="IM37" i="1"/>
  <c r="KI37" i="1" s="1"/>
  <c r="IN37" i="1"/>
  <c r="KJ37" i="1" s="1"/>
  <c r="IO37" i="1"/>
  <c r="KK37" i="1" s="1"/>
  <c r="IP37" i="1"/>
  <c r="KL37" i="1" s="1"/>
  <c r="IQ37" i="1"/>
  <c r="KM37" i="1" s="1"/>
  <c r="IR37" i="1"/>
  <c r="KN37" i="1" s="1"/>
  <c r="IS37" i="1"/>
  <c r="KO37" i="1" s="1"/>
  <c r="IT37" i="1"/>
  <c r="KP37" i="1" s="1"/>
  <c r="IU37" i="1"/>
  <c r="KQ37" i="1" s="1"/>
  <c r="IV37" i="1"/>
  <c r="KR37" i="1" s="1"/>
  <c r="IW37" i="1"/>
  <c r="KS37" i="1" s="1"/>
  <c r="IX37" i="1"/>
  <c r="KT37" i="1" s="1"/>
  <c r="IY37" i="1"/>
  <c r="KU37" i="1" s="1"/>
  <c r="IZ37" i="1"/>
  <c r="KV37" i="1" s="1"/>
  <c r="JA37" i="1"/>
  <c r="KW37" i="1" s="1"/>
  <c r="JB37" i="1"/>
  <c r="KX37" i="1" s="1"/>
  <c r="JC37" i="1"/>
  <c r="KY37" i="1" s="1"/>
  <c r="JD37" i="1"/>
  <c r="KZ37" i="1" s="1"/>
  <c r="JE37" i="1"/>
  <c r="LA37" i="1" s="1"/>
  <c r="JF37" i="1"/>
  <c r="LB37" i="1" s="1"/>
  <c r="JG37" i="1"/>
  <c r="LC37" i="1" s="1"/>
  <c r="JH37" i="1"/>
  <c r="LD37" i="1" s="1"/>
  <c r="JI37" i="1"/>
  <c r="LE37" i="1" s="1"/>
  <c r="JJ37" i="1"/>
  <c r="LF37" i="1" s="1"/>
  <c r="JK37" i="1"/>
  <c r="LG37" i="1" s="1"/>
  <c r="JL37" i="1"/>
  <c r="LH37" i="1" s="1"/>
  <c r="JM37" i="1"/>
  <c r="LI37" i="1" s="1"/>
  <c r="JN37" i="1"/>
  <c r="LJ37" i="1" s="1"/>
  <c r="JO37" i="1"/>
  <c r="LK37" i="1" s="1"/>
  <c r="JP37" i="1"/>
  <c r="LL37" i="1" s="1"/>
  <c r="JQ37" i="1"/>
  <c r="LM37" i="1" s="1"/>
  <c r="LN37" i="1"/>
  <c r="KH93" i="1"/>
  <c r="IM93" i="1"/>
  <c r="KI93" i="1" s="1"/>
  <c r="IN93" i="1"/>
  <c r="KJ93" i="1" s="1"/>
  <c r="IO93" i="1"/>
  <c r="KK93" i="1" s="1"/>
  <c r="IP93" i="1"/>
  <c r="KL93" i="1" s="1"/>
  <c r="IQ93" i="1"/>
  <c r="KM93" i="1" s="1"/>
  <c r="IR93" i="1"/>
  <c r="KN93" i="1" s="1"/>
  <c r="IS93" i="1"/>
  <c r="KO93" i="1" s="1"/>
  <c r="IT93" i="1"/>
  <c r="KP93" i="1" s="1"/>
  <c r="IU93" i="1"/>
  <c r="KQ93" i="1" s="1"/>
  <c r="IV93" i="1"/>
  <c r="KR93" i="1" s="1"/>
  <c r="IW93" i="1"/>
  <c r="KS93" i="1" s="1"/>
  <c r="IX93" i="1"/>
  <c r="KT93" i="1" s="1"/>
  <c r="IY93" i="1"/>
  <c r="KU93" i="1" s="1"/>
  <c r="IZ93" i="1"/>
  <c r="KV93" i="1" s="1"/>
  <c r="JA93" i="1"/>
  <c r="KW93" i="1" s="1"/>
  <c r="JB93" i="1"/>
  <c r="KX93" i="1" s="1"/>
  <c r="JC93" i="1"/>
  <c r="KY93" i="1" s="1"/>
  <c r="JD93" i="1"/>
  <c r="KZ93" i="1" s="1"/>
  <c r="JE93" i="1"/>
  <c r="LA93" i="1" s="1"/>
  <c r="JF93" i="1"/>
  <c r="LB93" i="1" s="1"/>
  <c r="JG93" i="1"/>
  <c r="LC93" i="1" s="1"/>
  <c r="JH93" i="1"/>
  <c r="LD93" i="1" s="1"/>
  <c r="JI93" i="1"/>
  <c r="LE93" i="1" s="1"/>
  <c r="JJ93" i="1"/>
  <c r="LF93" i="1" s="1"/>
  <c r="JK93" i="1"/>
  <c r="LG93" i="1" s="1"/>
  <c r="JL93" i="1"/>
  <c r="LH93" i="1" s="1"/>
  <c r="JM93" i="1"/>
  <c r="LI93" i="1" s="1"/>
  <c r="JN93" i="1"/>
  <c r="LJ93" i="1" s="1"/>
  <c r="JO93" i="1"/>
  <c r="LK93" i="1" s="1"/>
  <c r="JP93" i="1"/>
  <c r="LL93" i="1" s="1"/>
  <c r="JQ93" i="1"/>
  <c r="LM93" i="1" s="1"/>
  <c r="LN93" i="1"/>
  <c r="KH38" i="1"/>
  <c r="IM38" i="1"/>
  <c r="KI38" i="1" s="1"/>
  <c r="IN38" i="1"/>
  <c r="KJ38" i="1" s="1"/>
  <c r="IO38" i="1"/>
  <c r="KK38" i="1" s="1"/>
  <c r="IP38" i="1"/>
  <c r="KL38" i="1" s="1"/>
  <c r="IQ38" i="1"/>
  <c r="KM38" i="1" s="1"/>
  <c r="IR38" i="1"/>
  <c r="KN38" i="1" s="1"/>
  <c r="IS38" i="1"/>
  <c r="KO38" i="1" s="1"/>
  <c r="IT38" i="1"/>
  <c r="KP38" i="1" s="1"/>
  <c r="IU38" i="1"/>
  <c r="KQ38" i="1" s="1"/>
  <c r="IV38" i="1"/>
  <c r="KR38" i="1" s="1"/>
  <c r="IW38" i="1"/>
  <c r="KS38" i="1" s="1"/>
  <c r="IX38" i="1"/>
  <c r="KT38" i="1" s="1"/>
  <c r="IY38" i="1"/>
  <c r="KU38" i="1" s="1"/>
  <c r="IZ38" i="1"/>
  <c r="KV38" i="1" s="1"/>
  <c r="JA38" i="1"/>
  <c r="KW38" i="1" s="1"/>
  <c r="JB38" i="1"/>
  <c r="KX38" i="1" s="1"/>
  <c r="JC38" i="1"/>
  <c r="KY38" i="1" s="1"/>
  <c r="JD38" i="1"/>
  <c r="KZ38" i="1" s="1"/>
  <c r="JE38" i="1"/>
  <c r="LA38" i="1" s="1"/>
  <c r="JF38" i="1"/>
  <c r="LB38" i="1" s="1"/>
  <c r="JG38" i="1"/>
  <c r="LC38" i="1" s="1"/>
  <c r="JH38" i="1"/>
  <c r="LD38" i="1" s="1"/>
  <c r="JI38" i="1"/>
  <c r="LE38" i="1" s="1"/>
  <c r="JJ38" i="1"/>
  <c r="LF38" i="1" s="1"/>
  <c r="JK38" i="1"/>
  <c r="LG38" i="1" s="1"/>
  <c r="JL38" i="1"/>
  <c r="LH38" i="1" s="1"/>
  <c r="JM38" i="1"/>
  <c r="LI38" i="1" s="1"/>
  <c r="JN38" i="1"/>
  <c r="LJ38" i="1" s="1"/>
  <c r="JO38" i="1"/>
  <c r="LK38" i="1" s="1"/>
  <c r="JP38" i="1"/>
  <c r="LL38" i="1" s="1"/>
  <c r="JQ38" i="1"/>
  <c r="LM38" i="1" s="1"/>
  <c r="LN38" i="1"/>
  <c r="KH40" i="1"/>
  <c r="IM40" i="1"/>
  <c r="KI40" i="1" s="1"/>
  <c r="IN40" i="1"/>
  <c r="KJ40" i="1" s="1"/>
  <c r="IO40" i="1"/>
  <c r="KK40" i="1" s="1"/>
  <c r="IP40" i="1"/>
  <c r="KL40" i="1" s="1"/>
  <c r="IQ40" i="1"/>
  <c r="KM40" i="1" s="1"/>
  <c r="IR40" i="1"/>
  <c r="KN40" i="1" s="1"/>
  <c r="IS40" i="1"/>
  <c r="KO40" i="1" s="1"/>
  <c r="IT40" i="1"/>
  <c r="KP40" i="1" s="1"/>
  <c r="IU40" i="1"/>
  <c r="KQ40" i="1" s="1"/>
  <c r="IV40" i="1"/>
  <c r="KR40" i="1" s="1"/>
  <c r="IW40" i="1"/>
  <c r="KS40" i="1" s="1"/>
  <c r="IX40" i="1"/>
  <c r="KT40" i="1" s="1"/>
  <c r="IY40" i="1"/>
  <c r="KU40" i="1" s="1"/>
  <c r="IZ40" i="1"/>
  <c r="KV40" i="1" s="1"/>
  <c r="JA40" i="1"/>
  <c r="KW40" i="1" s="1"/>
  <c r="JB40" i="1"/>
  <c r="KX40" i="1" s="1"/>
  <c r="JC40" i="1"/>
  <c r="KY40" i="1" s="1"/>
  <c r="JD40" i="1"/>
  <c r="KZ40" i="1" s="1"/>
  <c r="JE40" i="1"/>
  <c r="LA40" i="1" s="1"/>
  <c r="JF40" i="1"/>
  <c r="LB40" i="1" s="1"/>
  <c r="JG40" i="1"/>
  <c r="LC40" i="1" s="1"/>
  <c r="JH40" i="1"/>
  <c r="LD40" i="1" s="1"/>
  <c r="JI40" i="1"/>
  <c r="LE40" i="1" s="1"/>
  <c r="JJ40" i="1"/>
  <c r="LF40" i="1" s="1"/>
  <c r="JK40" i="1"/>
  <c r="LG40" i="1" s="1"/>
  <c r="JL40" i="1"/>
  <c r="LH40" i="1" s="1"/>
  <c r="JM40" i="1"/>
  <c r="LI40" i="1" s="1"/>
  <c r="JN40" i="1"/>
  <c r="LJ40" i="1" s="1"/>
  <c r="JO40" i="1"/>
  <c r="LK40" i="1" s="1"/>
  <c r="JP40" i="1"/>
  <c r="LL40" i="1" s="1"/>
  <c r="JQ40" i="1"/>
  <c r="LM40" i="1" s="1"/>
  <c r="LN40" i="1"/>
  <c r="KH39" i="1"/>
  <c r="IM39" i="1"/>
  <c r="KI39" i="1" s="1"/>
  <c r="IN39" i="1"/>
  <c r="KJ39" i="1" s="1"/>
  <c r="IO39" i="1"/>
  <c r="KK39" i="1" s="1"/>
  <c r="IP39" i="1"/>
  <c r="KL39" i="1" s="1"/>
  <c r="IQ39" i="1"/>
  <c r="KM39" i="1" s="1"/>
  <c r="IR39" i="1"/>
  <c r="KN39" i="1" s="1"/>
  <c r="IS39" i="1"/>
  <c r="KO39" i="1" s="1"/>
  <c r="IT39" i="1"/>
  <c r="KP39" i="1" s="1"/>
  <c r="IU39" i="1"/>
  <c r="KQ39" i="1" s="1"/>
  <c r="IV39" i="1"/>
  <c r="KR39" i="1" s="1"/>
  <c r="IW39" i="1"/>
  <c r="KS39" i="1" s="1"/>
  <c r="IX39" i="1"/>
  <c r="KT39" i="1" s="1"/>
  <c r="IY39" i="1"/>
  <c r="KU39" i="1" s="1"/>
  <c r="IZ39" i="1"/>
  <c r="KV39" i="1" s="1"/>
  <c r="JA39" i="1"/>
  <c r="KW39" i="1" s="1"/>
  <c r="JB39" i="1"/>
  <c r="KX39" i="1" s="1"/>
  <c r="JC39" i="1"/>
  <c r="KY39" i="1" s="1"/>
  <c r="JD39" i="1"/>
  <c r="KZ39" i="1" s="1"/>
  <c r="JE39" i="1"/>
  <c r="LA39" i="1" s="1"/>
  <c r="JF39" i="1"/>
  <c r="LB39" i="1" s="1"/>
  <c r="JG39" i="1"/>
  <c r="LC39" i="1" s="1"/>
  <c r="JH39" i="1"/>
  <c r="LD39" i="1" s="1"/>
  <c r="JI39" i="1"/>
  <c r="LE39" i="1" s="1"/>
  <c r="JJ39" i="1"/>
  <c r="LF39" i="1" s="1"/>
  <c r="JK39" i="1"/>
  <c r="LG39" i="1" s="1"/>
  <c r="JL39" i="1"/>
  <c r="LH39" i="1" s="1"/>
  <c r="JM39" i="1"/>
  <c r="LI39" i="1" s="1"/>
  <c r="JN39" i="1"/>
  <c r="LJ39" i="1" s="1"/>
  <c r="JO39" i="1"/>
  <c r="LK39" i="1" s="1"/>
  <c r="JP39" i="1"/>
  <c r="LL39" i="1" s="1"/>
  <c r="JQ39" i="1"/>
  <c r="LM39" i="1" s="1"/>
  <c r="LN39" i="1"/>
  <c r="KH42" i="1"/>
  <c r="IM42" i="1"/>
  <c r="KI42" i="1" s="1"/>
  <c r="IN42" i="1"/>
  <c r="KJ42" i="1" s="1"/>
  <c r="IO42" i="1"/>
  <c r="KK42" i="1" s="1"/>
  <c r="IP42" i="1"/>
  <c r="KL42" i="1" s="1"/>
  <c r="IQ42" i="1"/>
  <c r="KM42" i="1" s="1"/>
  <c r="IR42" i="1"/>
  <c r="KN42" i="1" s="1"/>
  <c r="IS42" i="1"/>
  <c r="KO42" i="1" s="1"/>
  <c r="IT42" i="1"/>
  <c r="KP42" i="1" s="1"/>
  <c r="IU42" i="1"/>
  <c r="KQ42" i="1" s="1"/>
  <c r="IV42" i="1"/>
  <c r="KR42" i="1" s="1"/>
  <c r="IW42" i="1"/>
  <c r="KS42" i="1" s="1"/>
  <c r="IX42" i="1"/>
  <c r="KT42" i="1" s="1"/>
  <c r="IY42" i="1"/>
  <c r="KU42" i="1" s="1"/>
  <c r="IZ42" i="1"/>
  <c r="KV42" i="1" s="1"/>
  <c r="JA42" i="1"/>
  <c r="KW42" i="1" s="1"/>
  <c r="JB42" i="1"/>
  <c r="KX42" i="1" s="1"/>
  <c r="JC42" i="1"/>
  <c r="KY42" i="1" s="1"/>
  <c r="JD42" i="1"/>
  <c r="KZ42" i="1" s="1"/>
  <c r="JE42" i="1"/>
  <c r="LA42" i="1" s="1"/>
  <c r="JF42" i="1"/>
  <c r="LB42" i="1" s="1"/>
  <c r="JG42" i="1"/>
  <c r="LC42" i="1" s="1"/>
  <c r="JH42" i="1"/>
  <c r="LD42" i="1" s="1"/>
  <c r="JI42" i="1"/>
  <c r="LE42" i="1" s="1"/>
  <c r="JJ42" i="1"/>
  <c r="LF42" i="1" s="1"/>
  <c r="JK42" i="1"/>
  <c r="LG42" i="1" s="1"/>
  <c r="JL42" i="1"/>
  <c r="LH42" i="1" s="1"/>
  <c r="JM42" i="1"/>
  <c r="LI42" i="1" s="1"/>
  <c r="JN42" i="1"/>
  <c r="LJ42" i="1" s="1"/>
  <c r="JO42" i="1"/>
  <c r="LK42" i="1" s="1"/>
  <c r="JP42" i="1"/>
  <c r="LL42" i="1" s="1"/>
  <c r="JQ42" i="1"/>
  <c r="LM42" i="1" s="1"/>
  <c r="LN42" i="1"/>
  <c r="KH41" i="1"/>
  <c r="IM41" i="1"/>
  <c r="KI41" i="1" s="1"/>
  <c r="IN41" i="1"/>
  <c r="KJ41" i="1" s="1"/>
  <c r="IO41" i="1"/>
  <c r="KK41" i="1" s="1"/>
  <c r="IP41" i="1"/>
  <c r="KL41" i="1" s="1"/>
  <c r="IQ41" i="1"/>
  <c r="KM41" i="1" s="1"/>
  <c r="IR41" i="1"/>
  <c r="KN41" i="1" s="1"/>
  <c r="IS41" i="1"/>
  <c r="KO41" i="1" s="1"/>
  <c r="IT41" i="1"/>
  <c r="KP41" i="1" s="1"/>
  <c r="IU41" i="1"/>
  <c r="KQ41" i="1" s="1"/>
  <c r="IV41" i="1"/>
  <c r="KR41" i="1" s="1"/>
  <c r="IW41" i="1"/>
  <c r="KS41" i="1" s="1"/>
  <c r="IX41" i="1"/>
  <c r="KT41" i="1" s="1"/>
  <c r="IY41" i="1"/>
  <c r="KU41" i="1" s="1"/>
  <c r="IZ41" i="1"/>
  <c r="KV41" i="1" s="1"/>
  <c r="JA41" i="1"/>
  <c r="KW41" i="1" s="1"/>
  <c r="JB41" i="1"/>
  <c r="KX41" i="1" s="1"/>
  <c r="JC41" i="1"/>
  <c r="KY41" i="1" s="1"/>
  <c r="JD41" i="1"/>
  <c r="KZ41" i="1" s="1"/>
  <c r="JE41" i="1"/>
  <c r="LA41" i="1" s="1"/>
  <c r="JF41" i="1"/>
  <c r="LB41" i="1" s="1"/>
  <c r="JG41" i="1"/>
  <c r="LC41" i="1" s="1"/>
  <c r="JH41" i="1"/>
  <c r="LD41" i="1" s="1"/>
  <c r="JI41" i="1"/>
  <c r="LE41" i="1" s="1"/>
  <c r="JJ41" i="1"/>
  <c r="LF41" i="1" s="1"/>
  <c r="JK41" i="1"/>
  <c r="LG41" i="1" s="1"/>
  <c r="JL41" i="1"/>
  <c r="LH41" i="1" s="1"/>
  <c r="JM41" i="1"/>
  <c r="LI41" i="1" s="1"/>
  <c r="JN41" i="1"/>
  <c r="LJ41" i="1" s="1"/>
  <c r="JO41" i="1"/>
  <c r="LK41" i="1" s="1"/>
  <c r="JP41" i="1"/>
  <c r="LL41" i="1" s="1"/>
  <c r="JQ41" i="1"/>
  <c r="LM41" i="1" s="1"/>
  <c r="LN41" i="1"/>
  <c r="KH43" i="1"/>
  <c r="IM43" i="1"/>
  <c r="KI43" i="1" s="1"/>
  <c r="IN43" i="1"/>
  <c r="KJ43" i="1" s="1"/>
  <c r="IO43" i="1"/>
  <c r="KK43" i="1" s="1"/>
  <c r="IP43" i="1"/>
  <c r="KL43" i="1" s="1"/>
  <c r="IQ43" i="1"/>
  <c r="KM43" i="1" s="1"/>
  <c r="IR43" i="1"/>
  <c r="KN43" i="1" s="1"/>
  <c r="IS43" i="1"/>
  <c r="KO43" i="1" s="1"/>
  <c r="IT43" i="1"/>
  <c r="KP43" i="1" s="1"/>
  <c r="IU43" i="1"/>
  <c r="KQ43" i="1" s="1"/>
  <c r="IV43" i="1"/>
  <c r="KR43" i="1" s="1"/>
  <c r="IW43" i="1"/>
  <c r="KS43" i="1" s="1"/>
  <c r="IX43" i="1"/>
  <c r="KT43" i="1" s="1"/>
  <c r="IY43" i="1"/>
  <c r="KU43" i="1" s="1"/>
  <c r="IZ43" i="1"/>
  <c r="KV43" i="1" s="1"/>
  <c r="JA43" i="1"/>
  <c r="KW43" i="1" s="1"/>
  <c r="JB43" i="1"/>
  <c r="KX43" i="1" s="1"/>
  <c r="JC43" i="1"/>
  <c r="KY43" i="1" s="1"/>
  <c r="JD43" i="1"/>
  <c r="KZ43" i="1" s="1"/>
  <c r="JE43" i="1"/>
  <c r="LA43" i="1" s="1"/>
  <c r="JF43" i="1"/>
  <c r="LB43" i="1" s="1"/>
  <c r="JG43" i="1"/>
  <c r="LC43" i="1" s="1"/>
  <c r="JH43" i="1"/>
  <c r="LD43" i="1" s="1"/>
  <c r="JI43" i="1"/>
  <c r="LE43" i="1" s="1"/>
  <c r="JJ43" i="1"/>
  <c r="LF43" i="1" s="1"/>
  <c r="JK43" i="1"/>
  <c r="LG43" i="1" s="1"/>
  <c r="JL43" i="1"/>
  <c r="LH43" i="1" s="1"/>
  <c r="JM43" i="1"/>
  <c r="LI43" i="1" s="1"/>
  <c r="JN43" i="1"/>
  <c r="LJ43" i="1" s="1"/>
  <c r="JO43" i="1"/>
  <c r="LK43" i="1" s="1"/>
  <c r="JP43" i="1"/>
  <c r="LL43" i="1" s="1"/>
  <c r="JQ43" i="1"/>
  <c r="LM43" i="1" s="1"/>
  <c r="LN43" i="1"/>
  <c r="KH44" i="1"/>
  <c r="IM44" i="1"/>
  <c r="KI44" i="1" s="1"/>
  <c r="IN44" i="1"/>
  <c r="KJ44" i="1" s="1"/>
  <c r="IO44" i="1"/>
  <c r="KK44" i="1" s="1"/>
  <c r="IP44" i="1"/>
  <c r="KL44" i="1" s="1"/>
  <c r="IQ44" i="1"/>
  <c r="KM44" i="1" s="1"/>
  <c r="IR44" i="1"/>
  <c r="KN44" i="1" s="1"/>
  <c r="IS44" i="1"/>
  <c r="KO44" i="1" s="1"/>
  <c r="IT44" i="1"/>
  <c r="KP44" i="1" s="1"/>
  <c r="IU44" i="1"/>
  <c r="KQ44" i="1" s="1"/>
  <c r="IV44" i="1"/>
  <c r="KR44" i="1" s="1"/>
  <c r="IW44" i="1"/>
  <c r="KS44" i="1" s="1"/>
  <c r="IX44" i="1"/>
  <c r="KT44" i="1" s="1"/>
  <c r="IY44" i="1"/>
  <c r="KU44" i="1" s="1"/>
  <c r="IZ44" i="1"/>
  <c r="KV44" i="1" s="1"/>
  <c r="JA44" i="1"/>
  <c r="KW44" i="1" s="1"/>
  <c r="JB44" i="1"/>
  <c r="KX44" i="1" s="1"/>
  <c r="JC44" i="1"/>
  <c r="KY44" i="1" s="1"/>
  <c r="JD44" i="1"/>
  <c r="KZ44" i="1" s="1"/>
  <c r="JE44" i="1"/>
  <c r="LA44" i="1" s="1"/>
  <c r="JF44" i="1"/>
  <c r="LB44" i="1" s="1"/>
  <c r="JG44" i="1"/>
  <c r="LC44" i="1" s="1"/>
  <c r="JH44" i="1"/>
  <c r="LD44" i="1" s="1"/>
  <c r="JI44" i="1"/>
  <c r="LE44" i="1" s="1"/>
  <c r="JJ44" i="1"/>
  <c r="LF44" i="1" s="1"/>
  <c r="JK44" i="1"/>
  <c r="LG44" i="1" s="1"/>
  <c r="JL44" i="1"/>
  <c r="LH44" i="1" s="1"/>
  <c r="JM44" i="1"/>
  <c r="LI44" i="1" s="1"/>
  <c r="JN44" i="1"/>
  <c r="LJ44" i="1" s="1"/>
  <c r="JO44" i="1"/>
  <c r="LK44" i="1" s="1"/>
  <c r="JP44" i="1"/>
  <c r="LL44" i="1" s="1"/>
  <c r="JQ44" i="1"/>
  <c r="LM44" i="1" s="1"/>
  <c r="LN44" i="1"/>
  <c r="KH94" i="1"/>
  <c r="IM94" i="1"/>
  <c r="KI94" i="1" s="1"/>
  <c r="IN94" i="1"/>
  <c r="KJ94" i="1" s="1"/>
  <c r="IO94" i="1"/>
  <c r="KK94" i="1" s="1"/>
  <c r="IP94" i="1"/>
  <c r="KL94" i="1" s="1"/>
  <c r="IQ94" i="1"/>
  <c r="KM94" i="1" s="1"/>
  <c r="IR94" i="1"/>
  <c r="KN94" i="1" s="1"/>
  <c r="IS94" i="1"/>
  <c r="KO94" i="1" s="1"/>
  <c r="IT94" i="1"/>
  <c r="KP94" i="1" s="1"/>
  <c r="IU94" i="1"/>
  <c r="KQ94" i="1" s="1"/>
  <c r="IV94" i="1"/>
  <c r="KR94" i="1" s="1"/>
  <c r="IW94" i="1"/>
  <c r="KS94" i="1" s="1"/>
  <c r="IX94" i="1"/>
  <c r="KT94" i="1" s="1"/>
  <c r="IY94" i="1"/>
  <c r="KU94" i="1" s="1"/>
  <c r="IZ94" i="1"/>
  <c r="KV94" i="1" s="1"/>
  <c r="JA94" i="1"/>
  <c r="KW94" i="1" s="1"/>
  <c r="JB94" i="1"/>
  <c r="KX94" i="1" s="1"/>
  <c r="JC94" i="1"/>
  <c r="KY94" i="1" s="1"/>
  <c r="JD94" i="1"/>
  <c r="KZ94" i="1" s="1"/>
  <c r="JE94" i="1"/>
  <c r="LA94" i="1" s="1"/>
  <c r="JF94" i="1"/>
  <c r="LB94" i="1" s="1"/>
  <c r="JG94" i="1"/>
  <c r="LC94" i="1" s="1"/>
  <c r="JH94" i="1"/>
  <c r="LD94" i="1" s="1"/>
  <c r="JI94" i="1"/>
  <c r="LE94" i="1" s="1"/>
  <c r="JJ94" i="1"/>
  <c r="LF94" i="1" s="1"/>
  <c r="JK94" i="1"/>
  <c r="LG94" i="1" s="1"/>
  <c r="JL94" i="1"/>
  <c r="LH94" i="1" s="1"/>
  <c r="JM94" i="1"/>
  <c r="LI94" i="1" s="1"/>
  <c r="JN94" i="1"/>
  <c r="LJ94" i="1" s="1"/>
  <c r="JO94" i="1"/>
  <c r="LK94" i="1" s="1"/>
  <c r="JP94" i="1"/>
  <c r="LL94" i="1" s="1"/>
  <c r="JQ94" i="1"/>
  <c r="LM94" i="1" s="1"/>
  <c r="LN94" i="1"/>
  <c r="KH95" i="1"/>
  <c r="IM95" i="1"/>
  <c r="KI95" i="1" s="1"/>
  <c r="IN95" i="1"/>
  <c r="KJ95" i="1" s="1"/>
  <c r="IO95" i="1"/>
  <c r="KK95" i="1" s="1"/>
  <c r="IP95" i="1"/>
  <c r="KL95" i="1" s="1"/>
  <c r="IQ95" i="1"/>
  <c r="KM95" i="1" s="1"/>
  <c r="IR95" i="1"/>
  <c r="KN95" i="1" s="1"/>
  <c r="IS95" i="1"/>
  <c r="KO95" i="1" s="1"/>
  <c r="IT95" i="1"/>
  <c r="KP95" i="1" s="1"/>
  <c r="IU95" i="1"/>
  <c r="KQ95" i="1" s="1"/>
  <c r="IV95" i="1"/>
  <c r="KR95" i="1" s="1"/>
  <c r="IW95" i="1"/>
  <c r="KS95" i="1" s="1"/>
  <c r="IX95" i="1"/>
  <c r="KT95" i="1" s="1"/>
  <c r="IY95" i="1"/>
  <c r="KU95" i="1" s="1"/>
  <c r="IZ95" i="1"/>
  <c r="KV95" i="1" s="1"/>
  <c r="JA95" i="1"/>
  <c r="KW95" i="1" s="1"/>
  <c r="JB95" i="1"/>
  <c r="KX95" i="1" s="1"/>
  <c r="JC95" i="1"/>
  <c r="KY95" i="1" s="1"/>
  <c r="JD95" i="1"/>
  <c r="KZ95" i="1" s="1"/>
  <c r="JE95" i="1"/>
  <c r="LA95" i="1" s="1"/>
  <c r="JF95" i="1"/>
  <c r="LB95" i="1" s="1"/>
  <c r="JG95" i="1"/>
  <c r="LC95" i="1" s="1"/>
  <c r="JH95" i="1"/>
  <c r="LD95" i="1" s="1"/>
  <c r="JI95" i="1"/>
  <c r="LE95" i="1" s="1"/>
  <c r="JJ95" i="1"/>
  <c r="LF95" i="1" s="1"/>
  <c r="JK95" i="1"/>
  <c r="LG95" i="1" s="1"/>
  <c r="JL95" i="1"/>
  <c r="LH95" i="1" s="1"/>
  <c r="JM95" i="1"/>
  <c r="LI95" i="1" s="1"/>
  <c r="JN95" i="1"/>
  <c r="LJ95" i="1" s="1"/>
  <c r="JO95" i="1"/>
  <c r="LK95" i="1" s="1"/>
  <c r="JP95" i="1"/>
  <c r="LL95" i="1" s="1"/>
  <c r="JQ95" i="1"/>
  <c r="LM95" i="1" s="1"/>
  <c r="LN95" i="1"/>
  <c r="KH96" i="1"/>
  <c r="IM96" i="1"/>
  <c r="KI96" i="1" s="1"/>
  <c r="IN96" i="1"/>
  <c r="KJ96" i="1" s="1"/>
  <c r="IO96" i="1"/>
  <c r="KK96" i="1" s="1"/>
  <c r="IP96" i="1"/>
  <c r="KL96" i="1" s="1"/>
  <c r="IQ96" i="1"/>
  <c r="KM96" i="1" s="1"/>
  <c r="IR96" i="1"/>
  <c r="KN96" i="1" s="1"/>
  <c r="IS96" i="1"/>
  <c r="KO96" i="1" s="1"/>
  <c r="IT96" i="1"/>
  <c r="KP96" i="1" s="1"/>
  <c r="IU96" i="1"/>
  <c r="KQ96" i="1" s="1"/>
  <c r="IV96" i="1"/>
  <c r="KR96" i="1" s="1"/>
  <c r="IW96" i="1"/>
  <c r="KS96" i="1" s="1"/>
  <c r="IX96" i="1"/>
  <c r="KT96" i="1" s="1"/>
  <c r="IY96" i="1"/>
  <c r="KU96" i="1" s="1"/>
  <c r="IZ96" i="1"/>
  <c r="KV96" i="1" s="1"/>
  <c r="JA96" i="1"/>
  <c r="KW96" i="1" s="1"/>
  <c r="JB96" i="1"/>
  <c r="KX96" i="1" s="1"/>
  <c r="JC96" i="1"/>
  <c r="KY96" i="1" s="1"/>
  <c r="JD96" i="1"/>
  <c r="KZ96" i="1" s="1"/>
  <c r="JE96" i="1"/>
  <c r="LA96" i="1" s="1"/>
  <c r="JF96" i="1"/>
  <c r="LB96" i="1" s="1"/>
  <c r="JG96" i="1"/>
  <c r="LC96" i="1" s="1"/>
  <c r="JH96" i="1"/>
  <c r="LD96" i="1" s="1"/>
  <c r="JI96" i="1"/>
  <c r="LE96" i="1" s="1"/>
  <c r="JJ96" i="1"/>
  <c r="LF96" i="1" s="1"/>
  <c r="JK96" i="1"/>
  <c r="LG96" i="1" s="1"/>
  <c r="JL96" i="1"/>
  <c r="LH96" i="1" s="1"/>
  <c r="JM96" i="1"/>
  <c r="LI96" i="1" s="1"/>
  <c r="JN96" i="1"/>
  <c r="LJ96" i="1" s="1"/>
  <c r="JO96" i="1"/>
  <c r="LK96" i="1" s="1"/>
  <c r="JP96" i="1"/>
  <c r="LL96" i="1" s="1"/>
  <c r="JQ96" i="1"/>
  <c r="LM96" i="1" s="1"/>
  <c r="LN96" i="1"/>
  <c r="KH97" i="1"/>
  <c r="IM97" i="1"/>
  <c r="KI97" i="1" s="1"/>
  <c r="IN97" i="1"/>
  <c r="KJ97" i="1" s="1"/>
  <c r="IO97" i="1"/>
  <c r="KK97" i="1" s="1"/>
  <c r="IP97" i="1"/>
  <c r="KL97" i="1" s="1"/>
  <c r="IQ97" i="1"/>
  <c r="KM97" i="1" s="1"/>
  <c r="IR97" i="1"/>
  <c r="KN97" i="1" s="1"/>
  <c r="IS97" i="1"/>
  <c r="KO97" i="1" s="1"/>
  <c r="IT97" i="1"/>
  <c r="KP97" i="1" s="1"/>
  <c r="IU97" i="1"/>
  <c r="KQ97" i="1" s="1"/>
  <c r="IV97" i="1"/>
  <c r="KR97" i="1" s="1"/>
  <c r="IW97" i="1"/>
  <c r="KS97" i="1" s="1"/>
  <c r="IX97" i="1"/>
  <c r="KT97" i="1" s="1"/>
  <c r="IY97" i="1"/>
  <c r="KU97" i="1" s="1"/>
  <c r="IZ97" i="1"/>
  <c r="KV97" i="1" s="1"/>
  <c r="JA97" i="1"/>
  <c r="KW97" i="1" s="1"/>
  <c r="JB97" i="1"/>
  <c r="KX97" i="1" s="1"/>
  <c r="JC97" i="1"/>
  <c r="KY97" i="1" s="1"/>
  <c r="JD97" i="1"/>
  <c r="KZ97" i="1" s="1"/>
  <c r="JE97" i="1"/>
  <c r="LA97" i="1" s="1"/>
  <c r="JF97" i="1"/>
  <c r="LB97" i="1" s="1"/>
  <c r="JG97" i="1"/>
  <c r="LC97" i="1" s="1"/>
  <c r="JH97" i="1"/>
  <c r="LD97" i="1" s="1"/>
  <c r="JI97" i="1"/>
  <c r="LE97" i="1" s="1"/>
  <c r="JJ97" i="1"/>
  <c r="LF97" i="1" s="1"/>
  <c r="JK97" i="1"/>
  <c r="LG97" i="1" s="1"/>
  <c r="JL97" i="1"/>
  <c r="LH97" i="1" s="1"/>
  <c r="JM97" i="1"/>
  <c r="LI97" i="1" s="1"/>
  <c r="JN97" i="1"/>
  <c r="LJ97" i="1" s="1"/>
  <c r="JO97" i="1"/>
  <c r="LK97" i="1" s="1"/>
  <c r="JP97" i="1"/>
  <c r="LL97" i="1" s="1"/>
  <c r="JQ97" i="1"/>
  <c r="LM97" i="1" s="1"/>
  <c r="LN97" i="1"/>
  <c r="KH98" i="1"/>
  <c r="IM98" i="1"/>
  <c r="KI98" i="1" s="1"/>
  <c r="IN98" i="1"/>
  <c r="KJ98" i="1" s="1"/>
  <c r="IO98" i="1"/>
  <c r="KK98" i="1" s="1"/>
  <c r="IP98" i="1"/>
  <c r="KL98" i="1" s="1"/>
  <c r="IQ98" i="1"/>
  <c r="KM98" i="1" s="1"/>
  <c r="IR98" i="1"/>
  <c r="KN98" i="1" s="1"/>
  <c r="IS98" i="1"/>
  <c r="KO98" i="1" s="1"/>
  <c r="IT98" i="1"/>
  <c r="KP98" i="1" s="1"/>
  <c r="IU98" i="1"/>
  <c r="KQ98" i="1" s="1"/>
  <c r="IV98" i="1"/>
  <c r="KR98" i="1" s="1"/>
  <c r="IW98" i="1"/>
  <c r="KS98" i="1" s="1"/>
  <c r="IX98" i="1"/>
  <c r="KT98" i="1" s="1"/>
  <c r="IY98" i="1"/>
  <c r="KU98" i="1" s="1"/>
  <c r="IZ98" i="1"/>
  <c r="KV98" i="1" s="1"/>
  <c r="JA98" i="1"/>
  <c r="KW98" i="1" s="1"/>
  <c r="JB98" i="1"/>
  <c r="KX98" i="1" s="1"/>
  <c r="JC98" i="1"/>
  <c r="KY98" i="1" s="1"/>
  <c r="JD98" i="1"/>
  <c r="KZ98" i="1" s="1"/>
  <c r="JE98" i="1"/>
  <c r="LA98" i="1" s="1"/>
  <c r="JF98" i="1"/>
  <c r="LB98" i="1" s="1"/>
  <c r="JG98" i="1"/>
  <c r="LC98" i="1" s="1"/>
  <c r="JH98" i="1"/>
  <c r="LD98" i="1" s="1"/>
  <c r="JI98" i="1"/>
  <c r="LE98" i="1" s="1"/>
  <c r="JJ98" i="1"/>
  <c r="LF98" i="1" s="1"/>
  <c r="JK98" i="1"/>
  <c r="LG98" i="1" s="1"/>
  <c r="JL98" i="1"/>
  <c r="LH98" i="1" s="1"/>
  <c r="JM98" i="1"/>
  <c r="LI98" i="1" s="1"/>
  <c r="JN98" i="1"/>
  <c r="LJ98" i="1" s="1"/>
  <c r="JO98" i="1"/>
  <c r="LK98" i="1" s="1"/>
  <c r="JP98" i="1"/>
  <c r="LL98" i="1" s="1"/>
  <c r="JQ98" i="1"/>
  <c r="LM98" i="1" s="1"/>
  <c r="LN98" i="1"/>
  <c r="KH99" i="1"/>
  <c r="IM99" i="1"/>
  <c r="KI99" i="1" s="1"/>
  <c r="IN99" i="1"/>
  <c r="KJ99" i="1" s="1"/>
  <c r="IO99" i="1"/>
  <c r="KK99" i="1" s="1"/>
  <c r="IP99" i="1"/>
  <c r="KL99" i="1" s="1"/>
  <c r="IQ99" i="1"/>
  <c r="KM99" i="1" s="1"/>
  <c r="IR99" i="1"/>
  <c r="KN99" i="1" s="1"/>
  <c r="IS99" i="1"/>
  <c r="KO99" i="1" s="1"/>
  <c r="IT99" i="1"/>
  <c r="KP99" i="1" s="1"/>
  <c r="IU99" i="1"/>
  <c r="KQ99" i="1" s="1"/>
  <c r="IV99" i="1"/>
  <c r="KR99" i="1" s="1"/>
  <c r="IW99" i="1"/>
  <c r="KS99" i="1" s="1"/>
  <c r="IX99" i="1"/>
  <c r="KT99" i="1" s="1"/>
  <c r="IY99" i="1"/>
  <c r="KU99" i="1" s="1"/>
  <c r="IZ99" i="1"/>
  <c r="KV99" i="1" s="1"/>
  <c r="JA99" i="1"/>
  <c r="KW99" i="1" s="1"/>
  <c r="JB99" i="1"/>
  <c r="KX99" i="1" s="1"/>
  <c r="JC99" i="1"/>
  <c r="KY99" i="1" s="1"/>
  <c r="JD99" i="1"/>
  <c r="KZ99" i="1" s="1"/>
  <c r="JE99" i="1"/>
  <c r="LA99" i="1" s="1"/>
  <c r="JF99" i="1"/>
  <c r="LB99" i="1" s="1"/>
  <c r="JG99" i="1"/>
  <c r="LC99" i="1" s="1"/>
  <c r="JH99" i="1"/>
  <c r="LD99" i="1" s="1"/>
  <c r="JI99" i="1"/>
  <c r="LE99" i="1" s="1"/>
  <c r="JJ99" i="1"/>
  <c r="LF99" i="1" s="1"/>
  <c r="JK99" i="1"/>
  <c r="LG99" i="1" s="1"/>
  <c r="JL99" i="1"/>
  <c r="LH99" i="1" s="1"/>
  <c r="JM99" i="1"/>
  <c r="LI99" i="1" s="1"/>
  <c r="JN99" i="1"/>
  <c r="LJ99" i="1" s="1"/>
  <c r="JO99" i="1"/>
  <c r="LK99" i="1" s="1"/>
  <c r="JP99" i="1"/>
  <c r="LL99" i="1" s="1"/>
  <c r="JQ99" i="1"/>
  <c r="LM99" i="1" s="1"/>
  <c r="LN99" i="1"/>
  <c r="KH101" i="1"/>
  <c r="IM101" i="1"/>
  <c r="KI101" i="1" s="1"/>
  <c r="IN101" i="1"/>
  <c r="KJ101" i="1" s="1"/>
  <c r="IO101" i="1"/>
  <c r="KK101" i="1" s="1"/>
  <c r="IP101" i="1"/>
  <c r="KL101" i="1" s="1"/>
  <c r="IQ101" i="1"/>
  <c r="KM101" i="1" s="1"/>
  <c r="IR101" i="1"/>
  <c r="KN101" i="1" s="1"/>
  <c r="IS101" i="1"/>
  <c r="KO101" i="1" s="1"/>
  <c r="IT101" i="1"/>
  <c r="KP101" i="1" s="1"/>
  <c r="IU101" i="1"/>
  <c r="KQ101" i="1" s="1"/>
  <c r="IV101" i="1"/>
  <c r="KR101" i="1" s="1"/>
  <c r="IW101" i="1"/>
  <c r="KS101" i="1" s="1"/>
  <c r="IX101" i="1"/>
  <c r="KT101" i="1" s="1"/>
  <c r="IY101" i="1"/>
  <c r="KU101" i="1" s="1"/>
  <c r="IZ101" i="1"/>
  <c r="KV101" i="1" s="1"/>
  <c r="JA101" i="1"/>
  <c r="KW101" i="1" s="1"/>
  <c r="JB101" i="1"/>
  <c r="KX101" i="1" s="1"/>
  <c r="JC101" i="1"/>
  <c r="KY101" i="1" s="1"/>
  <c r="JD101" i="1"/>
  <c r="KZ101" i="1" s="1"/>
  <c r="JE101" i="1"/>
  <c r="LA101" i="1" s="1"/>
  <c r="JF101" i="1"/>
  <c r="LB101" i="1" s="1"/>
  <c r="JG101" i="1"/>
  <c r="LC101" i="1" s="1"/>
  <c r="JH101" i="1"/>
  <c r="LD101" i="1" s="1"/>
  <c r="JI101" i="1"/>
  <c r="LE101" i="1" s="1"/>
  <c r="JJ101" i="1"/>
  <c r="LF101" i="1" s="1"/>
  <c r="JK101" i="1"/>
  <c r="LG101" i="1" s="1"/>
  <c r="JL101" i="1"/>
  <c r="LH101" i="1" s="1"/>
  <c r="JM101" i="1"/>
  <c r="LI101" i="1" s="1"/>
  <c r="JN101" i="1"/>
  <c r="LJ101" i="1" s="1"/>
  <c r="JO101" i="1"/>
  <c r="LK101" i="1" s="1"/>
  <c r="JP101" i="1"/>
  <c r="LL101" i="1" s="1"/>
  <c r="JQ101" i="1"/>
  <c r="LM101" i="1" s="1"/>
  <c r="LN101" i="1"/>
  <c r="KH100" i="1"/>
  <c r="IM100" i="1"/>
  <c r="KI100" i="1" s="1"/>
  <c r="IN100" i="1"/>
  <c r="KJ100" i="1" s="1"/>
  <c r="IO100" i="1"/>
  <c r="KK100" i="1" s="1"/>
  <c r="IP100" i="1"/>
  <c r="KL100" i="1" s="1"/>
  <c r="IQ100" i="1"/>
  <c r="KM100" i="1" s="1"/>
  <c r="IR100" i="1"/>
  <c r="KN100" i="1" s="1"/>
  <c r="IS100" i="1"/>
  <c r="KO100" i="1" s="1"/>
  <c r="IT100" i="1"/>
  <c r="KP100" i="1" s="1"/>
  <c r="IU100" i="1"/>
  <c r="KQ100" i="1" s="1"/>
  <c r="IV100" i="1"/>
  <c r="KR100" i="1" s="1"/>
  <c r="IW100" i="1"/>
  <c r="KS100" i="1" s="1"/>
  <c r="IX100" i="1"/>
  <c r="KT100" i="1" s="1"/>
  <c r="IY100" i="1"/>
  <c r="KU100" i="1" s="1"/>
  <c r="IZ100" i="1"/>
  <c r="KV100" i="1" s="1"/>
  <c r="JA100" i="1"/>
  <c r="KW100" i="1" s="1"/>
  <c r="JB100" i="1"/>
  <c r="KX100" i="1" s="1"/>
  <c r="JC100" i="1"/>
  <c r="KY100" i="1" s="1"/>
  <c r="JD100" i="1"/>
  <c r="KZ100" i="1" s="1"/>
  <c r="JE100" i="1"/>
  <c r="LA100" i="1" s="1"/>
  <c r="JF100" i="1"/>
  <c r="LB100" i="1" s="1"/>
  <c r="JG100" i="1"/>
  <c r="LC100" i="1" s="1"/>
  <c r="JH100" i="1"/>
  <c r="LD100" i="1" s="1"/>
  <c r="JI100" i="1"/>
  <c r="LE100" i="1" s="1"/>
  <c r="JJ100" i="1"/>
  <c r="LF100" i="1" s="1"/>
  <c r="JK100" i="1"/>
  <c r="LG100" i="1" s="1"/>
  <c r="JL100" i="1"/>
  <c r="LH100" i="1" s="1"/>
  <c r="JM100" i="1"/>
  <c r="LI100" i="1" s="1"/>
  <c r="JN100" i="1"/>
  <c r="LJ100" i="1" s="1"/>
  <c r="JO100" i="1"/>
  <c r="LK100" i="1" s="1"/>
  <c r="JP100" i="1"/>
  <c r="LL100" i="1" s="1"/>
  <c r="JQ100" i="1"/>
  <c r="LM100" i="1" s="1"/>
  <c r="LN100" i="1"/>
  <c r="KH45" i="1"/>
  <c r="IM45" i="1"/>
  <c r="KI45" i="1" s="1"/>
  <c r="IN45" i="1"/>
  <c r="KJ45" i="1" s="1"/>
  <c r="IO45" i="1"/>
  <c r="KK45" i="1" s="1"/>
  <c r="IP45" i="1"/>
  <c r="KL45" i="1" s="1"/>
  <c r="IQ45" i="1"/>
  <c r="KM45" i="1" s="1"/>
  <c r="IR45" i="1"/>
  <c r="KN45" i="1" s="1"/>
  <c r="IS45" i="1"/>
  <c r="KO45" i="1" s="1"/>
  <c r="IT45" i="1"/>
  <c r="KP45" i="1" s="1"/>
  <c r="IU45" i="1"/>
  <c r="KQ45" i="1" s="1"/>
  <c r="IV45" i="1"/>
  <c r="KR45" i="1" s="1"/>
  <c r="IW45" i="1"/>
  <c r="KS45" i="1" s="1"/>
  <c r="IX45" i="1"/>
  <c r="KT45" i="1" s="1"/>
  <c r="IY45" i="1"/>
  <c r="KU45" i="1" s="1"/>
  <c r="IZ45" i="1"/>
  <c r="KV45" i="1" s="1"/>
  <c r="JA45" i="1"/>
  <c r="KW45" i="1" s="1"/>
  <c r="JB45" i="1"/>
  <c r="KX45" i="1" s="1"/>
  <c r="JC45" i="1"/>
  <c r="KY45" i="1" s="1"/>
  <c r="JD45" i="1"/>
  <c r="KZ45" i="1" s="1"/>
  <c r="JE45" i="1"/>
  <c r="LA45" i="1" s="1"/>
  <c r="JF45" i="1"/>
  <c r="LB45" i="1" s="1"/>
  <c r="JG45" i="1"/>
  <c r="LC45" i="1" s="1"/>
  <c r="JH45" i="1"/>
  <c r="LD45" i="1" s="1"/>
  <c r="JI45" i="1"/>
  <c r="LE45" i="1" s="1"/>
  <c r="JJ45" i="1"/>
  <c r="LF45" i="1" s="1"/>
  <c r="JK45" i="1"/>
  <c r="LG45" i="1" s="1"/>
  <c r="JL45" i="1"/>
  <c r="LH45" i="1" s="1"/>
  <c r="JM45" i="1"/>
  <c r="LI45" i="1" s="1"/>
  <c r="JN45" i="1"/>
  <c r="LJ45" i="1" s="1"/>
  <c r="JO45" i="1"/>
  <c r="LK45" i="1" s="1"/>
  <c r="JP45" i="1"/>
  <c r="LL45" i="1" s="1"/>
  <c r="JQ45" i="1"/>
  <c r="LM45" i="1" s="1"/>
  <c r="LN45" i="1"/>
  <c r="KH46" i="1"/>
  <c r="IM46" i="1"/>
  <c r="KI46" i="1" s="1"/>
  <c r="IN46" i="1"/>
  <c r="KJ46" i="1" s="1"/>
  <c r="IO46" i="1"/>
  <c r="KK46" i="1" s="1"/>
  <c r="IP46" i="1"/>
  <c r="KL46" i="1" s="1"/>
  <c r="IQ46" i="1"/>
  <c r="KM46" i="1" s="1"/>
  <c r="IR46" i="1"/>
  <c r="KN46" i="1" s="1"/>
  <c r="IS46" i="1"/>
  <c r="KO46" i="1" s="1"/>
  <c r="IT46" i="1"/>
  <c r="KP46" i="1" s="1"/>
  <c r="IU46" i="1"/>
  <c r="KQ46" i="1" s="1"/>
  <c r="IV46" i="1"/>
  <c r="KR46" i="1" s="1"/>
  <c r="IW46" i="1"/>
  <c r="KS46" i="1" s="1"/>
  <c r="IX46" i="1"/>
  <c r="KT46" i="1" s="1"/>
  <c r="IY46" i="1"/>
  <c r="KU46" i="1" s="1"/>
  <c r="IZ46" i="1"/>
  <c r="KV46" i="1" s="1"/>
  <c r="JA46" i="1"/>
  <c r="KW46" i="1" s="1"/>
  <c r="JB46" i="1"/>
  <c r="KX46" i="1" s="1"/>
  <c r="JC46" i="1"/>
  <c r="KY46" i="1" s="1"/>
  <c r="JD46" i="1"/>
  <c r="KZ46" i="1" s="1"/>
  <c r="JE46" i="1"/>
  <c r="LA46" i="1" s="1"/>
  <c r="JF46" i="1"/>
  <c r="LB46" i="1" s="1"/>
  <c r="JG46" i="1"/>
  <c r="LC46" i="1" s="1"/>
  <c r="JH46" i="1"/>
  <c r="LD46" i="1" s="1"/>
  <c r="JI46" i="1"/>
  <c r="LE46" i="1" s="1"/>
  <c r="JJ46" i="1"/>
  <c r="LF46" i="1" s="1"/>
  <c r="JK46" i="1"/>
  <c r="LG46" i="1" s="1"/>
  <c r="JL46" i="1"/>
  <c r="LH46" i="1" s="1"/>
  <c r="JM46" i="1"/>
  <c r="LI46" i="1" s="1"/>
  <c r="JN46" i="1"/>
  <c r="LJ46" i="1" s="1"/>
  <c r="JO46" i="1"/>
  <c r="LK46" i="1" s="1"/>
  <c r="JP46" i="1"/>
  <c r="LL46" i="1" s="1"/>
  <c r="JQ46" i="1"/>
  <c r="LM46" i="1" s="1"/>
  <c r="LN46" i="1"/>
  <c r="KH102" i="1"/>
  <c r="IM102" i="1"/>
  <c r="KI102" i="1" s="1"/>
  <c r="IN102" i="1"/>
  <c r="KJ102" i="1" s="1"/>
  <c r="IO102" i="1"/>
  <c r="KK102" i="1" s="1"/>
  <c r="IP102" i="1"/>
  <c r="KL102" i="1" s="1"/>
  <c r="IQ102" i="1"/>
  <c r="KM102" i="1" s="1"/>
  <c r="IR102" i="1"/>
  <c r="KN102" i="1" s="1"/>
  <c r="IS102" i="1"/>
  <c r="KO102" i="1" s="1"/>
  <c r="IT102" i="1"/>
  <c r="KP102" i="1" s="1"/>
  <c r="IU102" i="1"/>
  <c r="KQ102" i="1" s="1"/>
  <c r="IV102" i="1"/>
  <c r="KR102" i="1" s="1"/>
  <c r="IW102" i="1"/>
  <c r="KS102" i="1" s="1"/>
  <c r="IX102" i="1"/>
  <c r="KT102" i="1" s="1"/>
  <c r="IY102" i="1"/>
  <c r="KU102" i="1" s="1"/>
  <c r="IZ102" i="1"/>
  <c r="KV102" i="1" s="1"/>
  <c r="JA102" i="1"/>
  <c r="KW102" i="1" s="1"/>
  <c r="JB102" i="1"/>
  <c r="KX102" i="1" s="1"/>
  <c r="JC102" i="1"/>
  <c r="KY102" i="1" s="1"/>
  <c r="JD102" i="1"/>
  <c r="KZ102" i="1" s="1"/>
  <c r="JE102" i="1"/>
  <c r="LA102" i="1" s="1"/>
  <c r="JF102" i="1"/>
  <c r="LB102" i="1" s="1"/>
  <c r="JG102" i="1"/>
  <c r="LC102" i="1" s="1"/>
  <c r="JH102" i="1"/>
  <c r="LD102" i="1" s="1"/>
  <c r="JI102" i="1"/>
  <c r="LE102" i="1" s="1"/>
  <c r="JJ102" i="1"/>
  <c r="LF102" i="1" s="1"/>
  <c r="JK102" i="1"/>
  <c r="LG102" i="1" s="1"/>
  <c r="JL102" i="1"/>
  <c r="LH102" i="1" s="1"/>
  <c r="JM102" i="1"/>
  <c r="LI102" i="1" s="1"/>
  <c r="JN102" i="1"/>
  <c r="LJ102" i="1" s="1"/>
  <c r="JO102" i="1"/>
  <c r="LK102" i="1" s="1"/>
  <c r="JP102" i="1"/>
  <c r="LL102" i="1" s="1"/>
  <c r="JQ102" i="1"/>
  <c r="LM102" i="1" s="1"/>
  <c r="LN102" i="1"/>
  <c r="KH47" i="1"/>
  <c r="IM47" i="1"/>
  <c r="KI47" i="1" s="1"/>
  <c r="IN47" i="1"/>
  <c r="KJ47" i="1" s="1"/>
  <c r="IO47" i="1"/>
  <c r="KK47" i="1" s="1"/>
  <c r="IP47" i="1"/>
  <c r="KL47" i="1" s="1"/>
  <c r="IQ47" i="1"/>
  <c r="KM47" i="1" s="1"/>
  <c r="IR47" i="1"/>
  <c r="KN47" i="1" s="1"/>
  <c r="IS47" i="1"/>
  <c r="KO47" i="1" s="1"/>
  <c r="IT47" i="1"/>
  <c r="KP47" i="1" s="1"/>
  <c r="IU47" i="1"/>
  <c r="KQ47" i="1" s="1"/>
  <c r="IV47" i="1"/>
  <c r="KR47" i="1" s="1"/>
  <c r="IW47" i="1"/>
  <c r="KS47" i="1" s="1"/>
  <c r="IX47" i="1"/>
  <c r="KT47" i="1" s="1"/>
  <c r="IY47" i="1"/>
  <c r="KU47" i="1" s="1"/>
  <c r="IZ47" i="1"/>
  <c r="KV47" i="1" s="1"/>
  <c r="JA47" i="1"/>
  <c r="KW47" i="1" s="1"/>
  <c r="JB47" i="1"/>
  <c r="KX47" i="1" s="1"/>
  <c r="JC47" i="1"/>
  <c r="KY47" i="1" s="1"/>
  <c r="JD47" i="1"/>
  <c r="KZ47" i="1" s="1"/>
  <c r="JE47" i="1"/>
  <c r="LA47" i="1" s="1"/>
  <c r="JF47" i="1"/>
  <c r="LB47" i="1" s="1"/>
  <c r="JG47" i="1"/>
  <c r="LC47" i="1" s="1"/>
  <c r="JH47" i="1"/>
  <c r="LD47" i="1" s="1"/>
  <c r="JI47" i="1"/>
  <c r="LE47" i="1" s="1"/>
  <c r="JJ47" i="1"/>
  <c r="LF47" i="1" s="1"/>
  <c r="JK47" i="1"/>
  <c r="LG47" i="1" s="1"/>
  <c r="JL47" i="1"/>
  <c r="LH47" i="1" s="1"/>
  <c r="JM47" i="1"/>
  <c r="LI47" i="1" s="1"/>
  <c r="JN47" i="1"/>
  <c r="LJ47" i="1" s="1"/>
  <c r="JO47" i="1"/>
  <c r="LK47" i="1" s="1"/>
  <c r="JP47" i="1"/>
  <c r="LL47" i="1" s="1"/>
  <c r="JQ47" i="1"/>
  <c r="LM47" i="1" s="1"/>
  <c r="LN47" i="1"/>
  <c r="KH49" i="1"/>
  <c r="IM49" i="1"/>
  <c r="KI49" i="1" s="1"/>
  <c r="IN49" i="1"/>
  <c r="KJ49" i="1" s="1"/>
  <c r="IO49" i="1"/>
  <c r="KK49" i="1" s="1"/>
  <c r="IP49" i="1"/>
  <c r="KL49" i="1" s="1"/>
  <c r="IQ49" i="1"/>
  <c r="KM49" i="1" s="1"/>
  <c r="IR49" i="1"/>
  <c r="KN49" i="1" s="1"/>
  <c r="IS49" i="1"/>
  <c r="KO49" i="1" s="1"/>
  <c r="IT49" i="1"/>
  <c r="KP49" i="1" s="1"/>
  <c r="IU49" i="1"/>
  <c r="KQ49" i="1" s="1"/>
  <c r="IV49" i="1"/>
  <c r="KR49" i="1" s="1"/>
  <c r="IW49" i="1"/>
  <c r="KS49" i="1" s="1"/>
  <c r="IX49" i="1"/>
  <c r="KT49" i="1" s="1"/>
  <c r="IY49" i="1"/>
  <c r="KU49" i="1" s="1"/>
  <c r="IZ49" i="1"/>
  <c r="KV49" i="1" s="1"/>
  <c r="JA49" i="1"/>
  <c r="KW49" i="1" s="1"/>
  <c r="JB49" i="1"/>
  <c r="KX49" i="1" s="1"/>
  <c r="JC49" i="1"/>
  <c r="KY49" i="1" s="1"/>
  <c r="JD49" i="1"/>
  <c r="KZ49" i="1" s="1"/>
  <c r="JE49" i="1"/>
  <c r="LA49" i="1" s="1"/>
  <c r="JF49" i="1"/>
  <c r="LB49" i="1" s="1"/>
  <c r="JG49" i="1"/>
  <c r="LC49" i="1" s="1"/>
  <c r="JH49" i="1"/>
  <c r="LD49" i="1" s="1"/>
  <c r="JI49" i="1"/>
  <c r="LE49" i="1" s="1"/>
  <c r="JJ49" i="1"/>
  <c r="LF49" i="1" s="1"/>
  <c r="JK49" i="1"/>
  <c r="LG49" i="1" s="1"/>
  <c r="JL49" i="1"/>
  <c r="LH49" i="1" s="1"/>
  <c r="JM49" i="1"/>
  <c r="LI49" i="1" s="1"/>
  <c r="JN49" i="1"/>
  <c r="LJ49" i="1" s="1"/>
  <c r="JO49" i="1"/>
  <c r="LK49" i="1" s="1"/>
  <c r="JP49" i="1"/>
  <c r="LL49" i="1" s="1"/>
  <c r="JQ49" i="1"/>
  <c r="LM49" i="1" s="1"/>
  <c r="LN49" i="1"/>
  <c r="KH48" i="1"/>
  <c r="IM48" i="1"/>
  <c r="KI48" i="1" s="1"/>
  <c r="IN48" i="1"/>
  <c r="KJ48" i="1" s="1"/>
  <c r="IO48" i="1"/>
  <c r="KK48" i="1" s="1"/>
  <c r="IP48" i="1"/>
  <c r="KL48" i="1" s="1"/>
  <c r="IQ48" i="1"/>
  <c r="KM48" i="1" s="1"/>
  <c r="IR48" i="1"/>
  <c r="KN48" i="1" s="1"/>
  <c r="IS48" i="1"/>
  <c r="KO48" i="1" s="1"/>
  <c r="IT48" i="1"/>
  <c r="KP48" i="1" s="1"/>
  <c r="IU48" i="1"/>
  <c r="KQ48" i="1" s="1"/>
  <c r="IV48" i="1"/>
  <c r="KR48" i="1" s="1"/>
  <c r="IW48" i="1"/>
  <c r="KS48" i="1" s="1"/>
  <c r="IX48" i="1"/>
  <c r="KT48" i="1" s="1"/>
  <c r="IY48" i="1"/>
  <c r="KU48" i="1" s="1"/>
  <c r="IZ48" i="1"/>
  <c r="KV48" i="1" s="1"/>
  <c r="JA48" i="1"/>
  <c r="KW48" i="1" s="1"/>
  <c r="JB48" i="1"/>
  <c r="KX48" i="1" s="1"/>
  <c r="JC48" i="1"/>
  <c r="KY48" i="1" s="1"/>
  <c r="JD48" i="1"/>
  <c r="KZ48" i="1" s="1"/>
  <c r="JE48" i="1"/>
  <c r="LA48" i="1" s="1"/>
  <c r="JF48" i="1"/>
  <c r="LB48" i="1" s="1"/>
  <c r="JG48" i="1"/>
  <c r="LC48" i="1" s="1"/>
  <c r="JH48" i="1"/>
  <c r="LD48" i="1" s="1"/>
  <c r="JI48" i="1"/>
  <c r="LE48" i="1" s="1"/>
  <c r="JJ48" i="1"/>
  <c r="LF48" i="1" s="1"/>
  <c r="JK48" i="1"/>
  <c r="LG48" i="1" s="1"/>
  <c r="JL48" i="1"/>
  <c r="LH48" i="1" s="1"/>
  <c r="JM48" i="1"/>
  <c r="LI48" i="1" s="1"/>
  <c r="JN48" i="1"/>
  <c r="LJ48" i="1" s="1"/>
  <c r="JO48" i="1"/>
  <c r="LK48" i="1" s="1"/>
  <c r="JP48" i="1"/>
  <c r="LL48" i="1" s="1"/>
  <c r="JQ48" i="1"/>
  <c r="LM48" i="1" s="1"/>
  <c r="LN48" i="1"/>
  <c r="KH103" i="1"/>
  <c r="IM103" i="1"/>
  <c r="KI103" i="1" s="1"/>
  <c r="IN103" i="1"/>
  <c r="KJ103" i="1" s="1"/>
  <c r="IO103" i="1"/>
  <c r="KK103" i="1" s="1"/>
  <c r="IP103" i="1"/>
  <c r="KL103" i="1" s="1"/>
  <c r="IQ103" i="1"/>
  <c r="KM103" i="1" s="1"/>
  <c r="IR103" i="1"/>
  <c r="KN103" i="1" s="1"/>
  <c r="IS103" i="1"/>
  <c r="KO103" i="1" s="1"/>
  <c r="IT103" i="1"/>
  <c r="KP103" i="1" s="1"/>
  <c r="IU103" i="1"/>
  <c r="KQ103" i="1" s="1"/>
  <c r="IV103" i="1"/>
  <c r="KR103" i="1" s="1"/>
  <c r="IW103" i="1"/>
  <c r="KS103" i="1" s="1"/>
  <c r="IX103" i="1"/>
  <c r="KT103" i="1" s="1"/>
  <c r="IY103" i="1"/>
  <c r="KU103" i="1" s="1"/>
  <c r="IZ103" i="1"/>
  <c r="KV103" i="1" s="1"/>
  <c r="JA103" i="1"/>
  <c r="KW103" i="1" s="1"/>
  <c r="JB103" i="1"/>
  <c r="KX103" i="1" s="1"/>
  <c r="JC103" i="1"/>
  <c r="KY103" i="1" s="1"/>
  <c r="JD103" i="1"/>
  <c r="KZ103" i="1" s="1"/>
  <c r="JE103" i="1"/>
  <c r="LA103" i="1" s="1"/>
  <c r="JF103" i="1"/>
  <c r="LB103" i="1" s="1"/>
  <c r="JG103" i="1"/>
  <c r="LC103" i="1" s="1"/>
  <c r="JH103" i="1"/>
  <c r="LD103" i="1" s="1"/>
  <c r="JI103" i="1"/>
  <c r="LE103" i="1" s="1"/>
  <c r="JJ103" i="1"/>
  <c r="LF103" i="1" s="1"/>
  <c r="JK103" i="1"/>
  <c r="LG103" i="1" s="1"/>
  <c r="JL103" i="1"/>
  <c r="LH103" i="1" s="1"/>
  <c r="JM103" i="1"/>
  <c r="LI103" i="1" s="1"/>
  <c r="JN103" i="1"/>
  <c r="LJ103" i="1" s="1"/>
  <c r="JO103" i="1"/>
  <c r="LK103" i="1" s="1"/>
  <c r="JP103" i="1"/>
  <c r="LL103" i="1" s="1"/>
  <c r="JQ103" i="1"/>
  <c r="LM103" i="1" s="1"/>
  <c r="LN103" i="1"/>
  <c r="KH50" i="1"/>
  <c r="IM50" i="1"/>
  <c r="KI50" i="1" s="1"/>
  <c r="IN50" i="1"/>
  <c r="KJ50" i="1" s="1"/>
  <c r="IO50" i="1"/>
  <c r="KK50" i="1" s="1"/>
  <c r="IP50" i="1"/>
  <c r="KL50" i="1" s="1"/>
  <c r="IQ50" i="1"/>
  <c r="KM50" i="1" s="1"/>
  <c r="IR50" i="1"/>
  <c r="KN50" i="1" s="1"/>
  <c r="IS50" i="1"/>
  <c r="KO50" i="1" s="1"/>
  <c r="IT50" i="1"/>
  <c r="KP50" i="1" s="1"/>
  <c r="IU50" i="1"/>
  <c r="KQ50" i="1" s="1"/>
  <c r="IV50" i="1"/>
  <c r="KR50" i="1" s="1"/>
  <c r="IW50" i="1"/>
  <c r="KS50" i="1" s="1"/>
  <c r="IX50" i="1"/>
  <c r="KT50" i="1" s="1"/>
  <c r="IY50" i="1"/>
  <c r="KU50" i="1" s="1"/>
  <c r="IZ50" i="1"/>
  <c r="KV50" i="1" s="1"/>
  <c r="JA50" i="1"/>
  <c r="KW50" i="1" s="1"/>
  <c r="JB50" i="1"/>
  <c r="KX50" i="1" s="1"/>
  <c r="JC50" i="1"/>
  <c r="KY50" i="1" s="1"/>
  <c r="JD50" i="1"/>
  <c r="KZ50" i="1" s="1"/>
  <c r="JE50" i="1"/>
  <c r="LA50" i="1" s="1"/>
  <c r="JF50" i="1"/>
  <c r="LB50" i="1" s="1"/>
  <c r="JG50" i="1"/>
  <c r="LC50" i="1" s="1"/>
  <c r="JH50" i="1"/>
  <c r="LD50" i="1" s="1"/>
  <c r="JI50" i="1"/>
  <c r="LE50" i="1" s="1"/>
  <c r="JJ50" i="1"/>
  <c r="LF50" i="1" s="1"/>
  <c r="JK50" i="1"/>
  <c r="LG50" i="1" s="1"/>
  <c r="JL50" i="1"/>
  <c r="LH50" i="1" s="1"/>
  <c r="JM50" i="1"/>
  <c r="LI50" i="1" s="1"/>
  <c r="JN50" i="1"/>
  <c r="LJ50" i="1" s="1"/>
  <c r="JO50" i="1"/>
  <c r="LK50" i="1" s="1"/>
  <c r="JP50" i="1"/>
  <c r="LL50" i="1" s="1"/>
  <c r="JQ50" i="1"/>
  <c r="LM50" i="1" s="1"/>
  <c r="LN50" i="1"/>
  <c r="KH52" i="1"/>
  <c r="IM52" i="1"/>
  <c r="KI52" i="1" s="1"/>
  <c r="IN52" i="1"/>
  <c r="KJ52" i="1" s="1"/>
  <c r="IO52" i="1"/>
  <c r="KK52" i="1" s="1"/>
  <c r="IP52" i="1"/>
  <c r="KL52" i="1" s="1"/>
  <c r="IQ52" i="1"/>
  <c r="KM52" i="1" s="1"/>
  <c r="IR52" i="1"/>
  <c r="KN52" i="1" s="1"/>
  <c r="IS52" i="1"/>
  <c r="KO52" i="1" s="1"/>
  <c r="IT52" i="1"/>
  <c r="KP52" i="1" s="1"/>
  <c r="IU52" i="1"/>
  <c r="KQ52" i="1" s="1"/>
  <c r="IV52" i="1"/>
  <c r="KR52" i="1" s="1"/>
  <c r="IW52" i="1"/>
  <c r="KS52" i="1" s="1"/>
  <c r="IX52" i="1"/>
  <c r="KT52" i="1" s="1"/>
  <c r="IY52" i="1"/>
  <c r="KU52" i="1" s="1"/>
  <c r="IZ52" i="1"/>
  <c r="KV52" i="1" s="1"/>
  <c r="JA52" i="1"/>
  <c r="KW52" i="1" s="1"/>
  <c r="JB52" i="1"/>
  <c r="KX52" i="1" s="1"/>
  <c r="JC52" i="1"/>
  <c r="KY52" i="1" s="1"/>
  <c r="JD52" i="1"/>
  <c r="KZ52" i="1" s="1"/>
  <c r="JE52" i="1"/>
  <c r="LA52" i="1" s="1"/>
  <c r="JF52" i="1"/>
  <c r="LB52" i="1" s="1"/>
  <c r="JG52" i="1"/>
  <c r="LC52" i="1" s="1"/>
  <c r="JH52" i="1"/>
  <c r="LD52" i="1" s="1"/>
  <c r="JI52" i="1"/>
  <c r="LE52" i="1" s="1"/>
  <c r="JJ52" i="1"/>
  <c r="LF52" i="1" s="1"/>
  <c r="JK52" i="1"/>
  <c r="LG52" i="1" s="1"/>
  <c r="JL52" i="1"/>
  <c r="LH52" i="1" s="1"/>
  <c r="JM52" i="1"/>
  <c r="LI52" i="1" s="1"/>
  <c r="JN52" i="1"/>
  <c r="LJ52" i="1" s="1"/>
  <c r="JO52" i="1"/>
  <c r="LK52" i="1" s="1"/>
  <c r="JP52" i="1"/>
  <c r="LL52" i="1" s="1"/>
  <c r="JQ52" i="1"/>
  <c r="LM52" i="1" s="1"/>
  <c r="LN52" i="1"/>
  <c r="KH51" i="1"/>
  <c r="IM51" i="1"/>
  <c r="KI51" i="1" s="1"/>
  <c r="IN51" i="1"/>
  <c r="KJ51" i="1" s="1"/>
  <c r="IO51" i="1"/>
  <c r="KK51" i="1" s="1"/>
  <c r="IP51" i="1"/>
  <c r="KL51" i="1" s="1"/>
  <c r="IQ51" i="1"/>
  <c r="KM51" i="1" s="1"/>
  <c r="IR51" i="1"/>
  <c r="KN51" i="1" s="1"/>
  <c r="IS51" i="1"/>
  <c r="KO51" i="1" s="1"/>
  <c r="IT51" i="1"/>
  <c r="KP51" i="1" s="1"/>
  <c r="IU51" i="1"/>
  <c r="KQ51" i="1" s="1"/>
  <c r="IV51" i="1"/>
  <c r="KR51" i="1" s="1"/>
  <c r="IW51" i="1"/>
  <c r="KS51" i="1" s="1"/>
  <c r="IX51" i="1"/>
  <c r="KT51" i="1" s="1"/>
  <c r="IY51" i="1"/>
  <c r="KU51" i="1" s="1"/>
  <c r="IZ51" i="1"/>
  <c r="KV51" i="1" s="1"/>
  <c r="JA51" i="1"/>
  <c r="KW51" i="1" s="1"/>
  <c r="JB51" i="1"/>
  <c r="KX51" i="1" s="1"/>
  <c r="JC51" i="1"/>
  <c r="KY51" i="1" s="1"/>
  <c r="JD51" i="1"/>
  <c r="KZ51" i="1" s="1"/>
  <c r="JE51" i="1"/>
  <c r="LA51" i="1" s="1"/>
  <c r="JF51" i="1"/>
  <c r="LB51" i="1" s="1"/>
  <c r="JG51" i="1"/>
  <c r="LC51" i="1" s="1"/>
  <c r="JH51" i="1"/>
  <c r="LD51" i="1" s="1"/>
  <c r="JI51" i="1"/>
  <c r="LE51" i="1" s="1"/>
  <c r="JJ51" i="1"/>
  <c r="LF51" i="1" s="1"/>
  <c r="JK51" i="1"/>
  <c r="LG51" i="1" s="1"/>
  <c r="JL51" i="1"/>
  <c r="LH51" i="1" s="1"/>
  <c r="JM51" i="1"/>
  <c r="LI51" i="1" s="1"/>
  <c r="JN51" i="1"/>
  <c r="LJ51" i="1" s="1"/>
  <c r="JO51" i="1"/>
  <c r="LK51" i="1" s="1"/>
  <c r="JP51" i="1"/>
  <c r="LL51" i="1" s="1"/>
  <c r="JQ51" i="1"/>
  <c r="LM51" i="1" s="1"/>
  <c r="LN51" i="1"/>
  <c r="KH104" i="1"/>
  <c r="IM104" i="1"/>
  <c r="KI104" i="1" s="1"/>
  <c r="IN104" i="1"/>
  <c r="KJ104" i="1" s="1"/>
  <c r="IO104" i="1"/>
  <c r="KK104" i="1" s="1"/>
  <c r="IP104" i="1"/>
  <c r="KL104" i="1" s="1"/>
  <c r="IQ104" i="1"/>
  <c r="KM104" i="1" s="1"/>
  <c r="IR104" i="1"/>
  <c r="KN104" i="1" s="1"/>
  <c r="IS104" i="1"/>
  <c r="KO104" i="1" s="1"/>
  <c r="IT104" i="1"/>
  <c r="KP104" i="1" s="1"/>
  <c r="IU104" i="1"/>
  <c r="KQ104" i="1" s="1"/>
  <c r="IV104" i="1"/>
  <c r="KR104" i="1" s="1"/>
  <c r="IW104" i="1"/>
  <c r="KS104" i="1" s="1"/>
  <c r="IX104" i="1"/>
  <c r="KT104" i="1" s="1"/>
  <c r="IY104" i="1"/>
  <c r="KU104" i="1" s="1"/>
  <c r="IZ104" i="1"/>
  <c r="KV104" i="1" s="1"/>
  <c r="JA104" i="1"/>
  <c r="KW104" i="1" s="1"/>
  <c r="JB104" i="1"/>
  <c r="KX104" i="1" s="1"/>
  <c r="JC104" i="1"/>
  <c r="KY104" i="1" s="1"/>
  <c r="JD104" i="1"/>
  <c r="KZ104" i="1" s="1"/>
  <c r="JE104" i="1"/>
  <c r="LA104" i="1" s="1"/>
  <c r="JF104" i="1"/>
  <c r="LB104" i="1" s="1"/>
  <c r="JG104" i="1"/>
  <c r="LC104" i="1" s="1"/>
  <c r="JH104" i="1"/>
  <c r="LD104" i="1" s="1"/>
  <c r="JI104" i="1"/>
  <c r="LE104" i="1" s="1"/>
  <c r="JJ104" i="1"/>
  <c r="LF104" i="1" s="1"/>
  <c r="JK104" i="1"/>
  <c r="LG104" i="1" s="1"/>
  <c r="JL104" i="1"/>
  <c r="LH104" i="1" s="1"/>
  <c r="JM104" i="1"/>
  <c r="LI104" i="1" s="1"/>
  <c r="JN104" i="1"/>
  <c r="LJ104" i="1" s="1"/>
  <c r="JO104" i="1"/>
  <c r="LK104" i="1" s="1"/>
  <c r="JP104" i="1"/>
  <c r="LL104" i="1" s="1"/>
  <c r="JQ104" i="1"/>
  <c r="LM104" i="1" s="1"/>
  <c r="LN104" i="1"/>
  <c r="KH105" i="1"/>
  <c r="IM105" i="1"/>
  <c r="KI105" i="1" s="1"/>
  <c r="IN105" i="1"/>
  <c r="KJ105" i="1" s="1"/>
  <c r="IO105" i="1"/>
  <c r="KK105" i="1" s="1"/>
  <c r="IP105" i="1"/>
  <c r="KL105" i="1" s="1"/>
  <c r="IQ105" i="1"/>
  <c r="KM105" i="1" s="1"/>
  <c r="IR105" i="1"/>
  <c r="KN105" i="1" s="1"/>
  <c r="IS105" i="1"/>
  <c r="KO105" i="1" s="1"/>
  <c r="IT105" i="1"/>
  <c r="KP105" i="1" s="1"/>
  <c r="IU105" i="1"/>
  <c r="KQ105" i="1" s="1"/>
  <c r="IV105" i="1"/>
  <c r="KR105" i="1" s="1"/>
  <c r="IW105" i="1"/>
  <c r="KS105" i="1" s="1"/>
  <c r="IX105" i="1"/>
  <c r="KT105" i="1" s="1"/>
  <c r="IY105" i="1"/>
  <c r="KU105" i="1" s="1"/>
  <c r="IZ105" i="1"/>
  <c r="KV105" i="1" s="1"/>
  <c r="JA105" i="1"/>
  <c r="KW105" i="1" s="1"/>
  <c r="JB105" i="1"/>
  <c r="KX105" i="1" s="1"/>
  <c r="JC105" i="1"/>
  <c r="KY105" i="1" s="1"/>
  <c r="JD105" i="1"/>
  <c r="KZ105" i="1" s="1"/>
  <c r="JE105" i="1"/>
  <c r="LA105" i="1" s="1"/>
  <c r="JF105" i="1"/>
  <c r="LB105" i="1" s="1"/>
  <c r="JG105" i="1"/>
  <c r="LC105" i="1" s="1"/>
  <c r="JH105" i="1"/>
  <c r="LD105" i="1" s="1"/>
  <c r="JI105" i="1"/>
  <c r="LE105" i="1" s="1"/>
  <c r="JJ105" i="1"/>
  <c r="LF105" i="1" s="1"/>
  <c r="JK105" i="1"/>
  <c r="LG105" i="1" s="1"/>
  <c r="JL105" i="1"/>
  <c r="LH105" i="1" s="1"/>
  <c r="JM105" i="1"/>
  <c r="LI105" i="1" s="1"/>
  <c r="JN105" i="1"/>
  <c r="LJ105" i="1" s="1"/>
  <c r="JO105" i="1"/>
  <c r="LK105" i="1" s="1"/>
  <c r="JP105" i="1"/>
  <c r="LL105" i="1" s="1"/>
  <c r="JQ105" i="1"/>
  <c r="LM105" i="1" s="1"/>
  <c r="LN105" i="1"/>
  <c r="KH53" i="1"/>
  <c r="IM53" i="1"/>
  <c r="KI53" i="1" s="1"/>
  <c r="IN53" i="1"/>
  <c r="KJ53" i="1" s="1"/>
  <c r="IO53" i="1"/>
  <c r="KK53" i="1" s="1"/>
  <c r="IP53" i="1"/>
  <c r="KL53" i="1" s="1"/>
  <c r="IQ53" i="1"/>
  <c r="KM53" i="1" s="1"/>
  <c r="IR53" i="1"/>
  <c r="KN53" i="1" s="1"/>
  <c r="IS53" i="1"/>
  <c r="KO53" i="1" s="1"/>
  <c r="IT53" i="1"/>
  <c r="KP53" i="1" s="1"/>
  <c r="IU53" i="1"/>
  <c r="KQ53" i="1" s="1"/>
  <c r="IV53" i="1"/>
  <c r="KR53" i="1" s="1"/>
  <c r="IW53" i="1"/>
  <c r="KS53" i="1" s="1"/>
  <c r="IX53" i="1"/>
  <c r="KT53" i="1" s="1"/>
  <c r="IY53" i="1"/>
  <c r="KU53" i="1" s="1"/>
  <c r="IZ53" i="1"/>
  <c r="KV53" i="1" s="1"/>
  <c r="JA53" i="1"/>
  <c r="KW53" i="1" s="1"/>
  <c r="JB53" i="1"/>
  <c r="KX53" i="1" s="1"/>
  <c r="JC53" i="1"/>
  <c r="KY53" i="1" s="1"/>
  <c r="JD53" i="1"/>
  <c r="KZ53" i="1" s="1"/>
  <c r="JE53" i="1"/>
  <c r="LA53" i="1" s="1"/>
  <c r="JF53" i="1"/>
  <c r="LB53" i="1" s="1"/>
  <c r="JG53" i="1"/>
  <c r="LC53" i="1" s="1"/>
  <c r="JH53" i="1"/>
  <c r="LD53" i="1" s="1"/>
  <c r="JI53" i="1"/>
  <c r="LE53" i="1" s="1"/>
  <c r="JJ53" i="1"/>
  <c r="LF53" i="1" s="1"/>
  <c r="JK53" i="1"/>
  <c r="LG53" i="1" s="1"/>
  <c r="JL53" i="1"/>
  <c r="LH53" i="1" s="1"/>
  <c r="JM53" i="1"/>
  <c r="LI53" i="1" s="1"/>
  <c r="JN53" i="1"/>
  <c r="LJ53" i="1" s="1"/>
  <c r="JO53" i="1"/>
  <c r="LK53" i="1" s="1"/>
  <c r="JP53" i="1"/>
  <c r="LL53" i="1" s="1"/>
  <c r="JQ53" i="1"/>
  <c r="LM53" i="1" s="1"/>
  <c r="LN53" i="1"/>
  <c r="KH106" i="1"/>
  <c r="IM106" i="1"/>
  <c r="KI106" i="1" s="1"/>
  <c r="IN106" i="1"/>
  <c r="KJ106" i="1" s="1"/>
  <c r="IO106" i="1"/>
  <c r="KK106" i="1" s="1"/>
  <c r="IP106" i="1"/>
  <c r="KL106" i="1" s="1"/>
  <c r="IQ106" i="1"/>
  <c r="KM106" i="1" s="1"/>
  <c r="IR106" i="1"/>
  <c r="KN106" i="1" s="1"/>
  <c r="IS106" i="1"/>
  <c r="KO106" i="1" s="1"/>
  <c r="IT106" i="1"/>
  <c r="KP106" i="1" s="1"/>
  <c r="IU106" i="1"/>
  <c r="KQ106" i="1" s="1"/>
  <c r="IV106" i="1"/>
  <c r="KR106" i="1" s="1"/>
  <c r="IW106" i="1"/>
  <c r="KS106" i="1" s="1"/>
  <c r="IX106" i="1"/>
  <c r="KT106" i="1" s="1"/>
  <c r="IY106" i="1"/>
  <c r="KU106" i="1" s="1"/>
  <c r="IZ106" i="1"/>
  <c r="KV106" i="1" s="1"/>
  <c r="JA106" i="1"/>
  <c r="KW106" i="1" s="1"/>
  <c r="JB106" i="1"/>
  <c r="KX106" i="1" s="1"/>
  <c r="JC106" i="1"/>
  <c r="KY106" i="1" s="1"/>
  <c r="JD106" i="1"/>
  <c r="KZ106" i="1" s="1"/>
  <c r="JE106" i="1"/>
  <c r="LA106" i="1" s="1"/>
  <c r="JF106" i="1"/>
  <c r="LB106" i="1" s="1"/>
  <c r="JG106" i="1"/>
  <c r="LC106" i="1" s="1"/>
  <c r="JH106" i="1"/>
  <c r="LD106" i="1" s="1"/>
  <c r="JI106" i="1"/>
  <c r="LE106" i="1" s="1"/>
  <c r="JJ106" i="1"/>
  <c r="LF106" i="1" s="1"/>
  <c r="JK106" i="1"/>
  <c r="LG106" i="1" s="1"/>
  <c r="JL106" i="1"/>
  <c r="LH106" i="1" s="1"/>
  <c r="JM106" i="1"/>
  <c r="LI106" i="1" s="1"/>
  <c r="JN106" i="1"/>
  <c r="LJ106" i="1" s="1"/>
  <c r="JO106" i="1"/>
  <c r="LK106" i="1" s="1"/>
  <c r="JP106" i="1"/>
  <c r="LL106" i="1" s="1"/>
  <c r="JQ106" i="1"/>
  <c r="LM106" i="1" s="1"/>
  <c r="LN106" i="1"/>
  <c r="KH107" i="1"/>
  <c r="IM107" i="1"/>
  <c r="KI107" i="1" s="1"/>
  <c r="IN107" i="1"/>
  <c r="KJ107" i="1" s="1"/>
  <c r="IO107" i="1"/>
  <c r="KK107" i="1" s="1"/>
  <c r="IP107" i="1"/>
  <c r="KL107" i="1" s="1"/>
  <c r="IQ107" i="1"/>
  <c r="KM107" i="1" s="1"/>
  <c r="IR107" i="1"/>
  <c r="KN107" i="1" s="1"/>
  <c r="IS107" i="1"/>
  <c r="KO107" i="1" s="1"/>
  <c r="IT107" i="1"/>
  <c r="KP107" i="1" s="1"/>
  <c r="IU107" i="1"/>
  <c r="KQ107" i="1" s="1"/>
  <c r="IV107" i="1"/>
  <c r="KR107" i="1" s="1"/>
  <c r="IW107" i="1"/>
  <c r="KS107" i="1" s="1"/>
  <c r="IX107" i="1"/>
  <c r="KT107" i="1" s="1"/>
  <c r="IY107" i="1"/>
  <c r="KU107" i="1" s="1"/>
  <c r="IZ107" i="1"/>
  <c r="KV107" i="1" s="1"/>
  <c r="JA107" i="1"/>
  <c r="KW107" i="1" s="1"/>
  <c r="JB107" i="1"/>
  <c r="KX107" i="1" s="1"/>
  <c r="JC107" i="1"/>
  <c r="KY107" i="1" s="1"/>
  <c r="JD107" i="1"/>
  <c r="KZ107" i="1" s="1"/>
  <c r="JE107" i="1"/>
  <c r="LA107" i="1" s="1"/>
  <c r="JF107" i="1"/>
  <c r="LB107" i="1" s="1"/>
  <c r="JG107" i="1"/>
  <c r="LC107" i="1" s="1"/>
  <c r="JH107" i="1"/>
  <c r="LD107" i="1" s="1"/>
  <c r="JI107" i="1"/>
  <c r="LE107" i="1" s="1"/>
  <c r="JJ107" i="1"/>
  <c r="LF107" i="1" s="1"/>
  <c r="JK107" i="1"/>
  <c r="LG107" i="1" s="1"/>
  <c r="JL107" i="1"/>
  <c r="LH107" i="1" s="1"/>
  <c r="JM107" i="1"/>
  <c r="LI107" i="1" s="1"/>
  <c r="JN107" i="1"/>
  <c r="LJ107" i="1" s="1"/>
  <c r="JO107" i="1"/>
  <c r="LK107" i="1" s="1"/>
  <c r="JP107" i="1"/>
  <c r="LL107" i="1" s="1"/>
  <c r="JQ107" i="1"/>
  <c r="LM107" i="1" s="1"/>
  <c r="LN107" i="1"/>
  <c r="KH108" i="1"/>
  <c r="IM108" i="1"/>
  <c r="KI108" i="1" s="1"/>
  <c r="IN108" i="1"/>
  <c r="KJ108" i="1" s="1"/>
  <c r="IO108" i="1"/>
  <c r="KK108" i="1" s="1"/>
  <c r="IP108" i="1"/>
  <c r="KL108" i="1" s="1"/>
  <c r="IQ108" i="1"/>
  <c r="KM108" i="1" s="1"/>
  <c r="IR108" i="1"/>
  <c r="KN108" i="1" s="1"/>
  <c r="IS108" i="1"/>
  <c r="KO108" i="1" s="1"/>
  <c r="IT108" i="1"/>
  <c r="KP108" i="1" s="1"/>
  <c r="IU108" i="1"/>
  <c r="KQ108" i="1" s="1"/>
  <c r="IV108" i="1"/>
  <c r="KR108" i="1" s="1"/>
  <c r="IW108" i="1"/>
  <c r="KS108" i="1" s="1"/>
  <c r="IX108" i="1"/>
  <c r="KT108" i="1" s="1"/>
  <c r="IY108" i="1"/>
  <c r="KU108" i="1" s="1"/>
  <c r="IZ108" i="1"/>
  <c r="KV108" i="1" s="1"/>
  <c r="JA108" i="1"/>
  <c r="KW108" i="1" s="1"/>
  <c r="JB108" i="1"/>
  <c r="KX108" i="1" s="1"/>
  <c r="JC108" i="1"/>
  <c r="KY108" i="1" s="1"/>
  <c r="JD108" i="1"/>
  <c r="KZ108" i="1" s="1"/>
  <c r="JE108" i="1"/>
  <c r="LA108" i="1" s="1"/>
  <c r="JF108" i="1"/>
  <c r="LB108" i="1" s="1"/>
  <c r="JG108" i="1"/>
  <c r="LC108" i="1" s="1"/>
  <c r="JH108" i="1"/>
  <c r="LD108" i="1" s="1"/>
  <c r="JI108" i="1"/>
  <c r="LE108" i="1" s="1"/>
  <c r="JJ108" i="1"/>
  <c r="LF108" i="1" s="1"/>
  <c r="JK108" i="1"/>
  <c r="LG108" i="1" s="1"/>
  <c r="JL108" i="1"/>
  <c r="LH108" i="1" s="1"/>
  <c r="JM108" i="1"/>
  <c r="LI108" i="1" s="1"/>
  <c r="JN108" i="1"/>
  <c r="LJ108" i="1" s="1"/>
  <c r="JO108" i="1"/>
  <c r="LK108" i="1" s="1"/>
  <c r="JP108" i="1"/>
  <c r="LL108" i="1" s="1"/>
  <c r="JQ108" i="1"/>
  <c r="LM108" i="1" s="1"/>
  <c r="LN108" i="1"/>
  <c r="KH109" i="1"/>
  <c r="IM109" i="1"/>
  <c r="KI109" i="1" s="1"/>
  <c r="IN109" i="1"/>
  <c r="KJ109" i="1" s="1"/>
  <c r="IO109" i="1"/>
  <c r="KK109" i="1" s="1"/>
  <c r="IP109" i="1"/>
  <c r="KL109" i="1" s="1"/>
  <c r="IQ109" i="1"/>
  <c r="KM109" i="1" s="1"/>
  <c r="IR109" i="1"/>
  <c r="KN109" i="1" s="1"/>
  <c r="IS109" i="1"/>
  <c r="KO109" i="1" s="1"/>
  <c r="IT109" i="1"/>
  <c r="KP109" i="1" s="1"/>
  <c r="IU109" i="1"/>
  <c r="KQ109" i="1" s="1"/>
  <c r="IV109" i="1"/>
  <c r="KR109" i="1" s="1"/>
  <c r="IW109" i="1"/>
  <c r="KS109" i="1" s="1"/>
  <c r="IX109" i="1"/>
  <c r="KT109" i="1" s="1"/>
  <c r="IY109" i="1"/>
  <c r="KU109" i="1" s="1"/>
  <c r="IZ109" i="1"/>
  <c r="KV109" i="1" s="1"/>
  <c r="JA109" i="1"/>
  <c r="KW109" i="1" s="1"/>
  <c r="JB109" i="1"/>
  <c r="KX109" i="1" s="1"/>
  <c r="JC109" i="1"/>
  <c r="KY109" i="1" s="1"/>
  <c r="JD109" i="1"/>
  <c r="KZ109" i="1" s="1"/>
  <c r="JE109" i="1"/>
  <c r="LA109" i="1" s="1"/>
  <c r="JF109" i="1"/>
  <c r="LB109" i="1" s="1"/>
  <c r="JG109" i="1"/>
  <c r="LC109" i="1" s="1"/>
  <c r="JH109" i="1"/>
  <c r="LD109" i="1" s="1"/>
  <c r="JI109" i="1"/>
  <c r="LE109" i="1" s="1"/>
  <c r="JJ109" i="1"/>
  <c r="LF109" i="1" s="1"/>
  <c r="JK109" i="1"/>
  <c r="LG109" i="1" s="1"/>
  <c r="JL109" i="1"/>
  <c r="LH109" i="1" s="1"/>
  <c r="JM109" i="1"/>
  <c r="LI109" i="1" s="1"/>
  <c r="JN109" i="1"/>
  <c r="LJ109" i="1" s="1"/>
  <c r="JO109" i="1"/>
  <c r="LK109" i="1" s="1"/>
  <c r="JP109" i="1"/>
  <c r="LL109" i="1" s="1"/>
  <c r="JQ109" i="1"/>
  <c r="LM109" i="1" s="1"/>
  <c r="LN109" i="1"/>
  <c r="KH54" i="1"/>
  <c r="IM54" i="1"/>
  <c r="KI54" i="1" s="1"/>
  <c r="IN54" i="1"/>
  <c r="KJ54" i="1" s="1"/>
  <c r="IO54" i="1"/>
  <c r="KK54" i="1" s="1"/>
  <c r="IP54" i="1"/>
  <c r="KL54" i="1" s="1"/>
  <c r="IQ54" i="1"/>
  <c r="KM54" i="1" s="1"/>
  <c r="IR54" i="1"/>
  <c r="KN54" i="1" s="1"/>
  <c r="IS54" i="1"/>
  <c r="KO54" i="1" s="1"/>
  <c r="IT54" i="1"/>
  <c r="KP54" i="1" s="1"/>
  <c r="IU54" i="1"/>
  <c r="KQ54" i="1" s="1"/>
  <c r="IV54" i="1"/>
  <c r="KR54" i="1" s="1"/>
  <c r="IW54" i="1"/>
  <c r="KS54" i="1" s="1"/>
  <c r="IX54" i="1"/>
  <c r="KT54" i="1" s="1"/>
  <c r="IY54" i="1"/>
  <c r="KU54" i="1" s="1"/>
  <c r="IZ54" i="1"/>
  <c r="KV54" i="1" s="1"/>
  <c r="JA54" i="1"/>
  <c r="KW54" i="1" s="1"/>
  <c r="JB54" i="1"/>
  <c r="KX54" i="1" s="1"/>
  <c r="JC54" i="1"/>
  <c r="KY54" i="1" s="1"/>
  <c r="JD54" i="1"/>
  <c r="KZ54" i="1" s="1"/>
  <c r="JE54" i="1"/>
  <c r="LA54" i="1" s="1"/>
  <c r="JF54" i="1"/>
  <c r="LB54" i="1" s="1"/>
  <c r="JG54" i="1"/>
  <c r="LC54" i="1" s="1"/>
  <c r="JH54" i="1"/>
  <c r="LD54" i="1" s="1"/>
  <c r="JI54" i="1"/>
  <c r="LE54" i="1" s="1"/>
  <c r="JJ54" i="1"/>
  <c r="LF54" i="1" s="1"/>
  <c r="JK54" i="1"/>
  <c r="LG54" i="1" s="1"/>
  <c r="JL54" i="1"/>
  <c r="LH54" i="1" s="1"/>
  <c r="JM54" i="1"/>
  <c r="LI54" i="1" s="1"/>
  <c r="JN54" i="1"/>
  <c r="LJ54" i="1" s="1"/>
  <c r="JO54" i="1"/>
  <c r="LK54" i="1" s="1"/>
  <c r="JP54" i="1"/>
  <c r="LL54" i="1" s="1"/>
  <c r="JQ54" i="1"/>
  <c r="LM54" i="1" s="1"/>
  <c r="LN54" i="1"/>
  <c r="KH55" i="1"/>
  <c r="IM55" i="1"/>
  <c r="KI55" i="1" s="1"/>
  <c r="IN55" i="1"/>
  <c r="KJ55" i="1" s="1"/>
  <c r="IO55" i="1"/>
  <c r="KK55" i="1" s="1"/>
  <c r="IP55" i="1"/>
  <c r="KL55" i="1" s="1"/>
  <c r="IQ55" i="1"/>
  <c r="KM55" i="1" s="1"/>
  <c r="IR55" i="1"/>
  <c r="KN55" i="1" s="1"/>
  <c r="IS55" i="1"/>
  <c r="KO55" i="1" s="1"/>
  <c r="IT55" i="1"/>
  <c r="KP55" i="1" s="1"/>
  <c r="IU55" i="1"/>
  <c r="KQ55" i="1" s="1"/>
  <c r="IV55" i="1"/>
  <c r="KR55" i="1" s="1"/>
  <c r="IW55" i="1"/>
  <c r="KS55" i="1" s="1"/>
  <c r="IX55" i="1"/>
  <c r="KT55" i="1" s="1"/>
  <c r="IY55" i="1"/>
  <c r="KU55" i="1" s="1"/>
  <c r="IZ55" i="1"/>
  <c r="KV55" i="1" s="1"/>
  <c r="JA55" i="1"/>
  <c r="KW55" i="1" s="1"/>
  <c r="JB55" i="1"/>
  <c r="KX55" i="1" s="1"/>
  <c r="JC55" i="1"/>
  <c r="KY55" i="1" s="1"/>
  <c r="JD55" i="1"/>
  <c r="KZ55" i="1" s="1"/>
  <c r="JE55" i="1"/>
  <c r="LA55" i="1" s="1"/>
  <c r="JF55" i="1"/>
  <c r="LB55" i="1" s="1"/>
  <c r="JG55" i="1"/>
  <c r="LC55" i="1" s="1"/>
  <c r="JH55" i="1"/>
  <c r="LD55" i="1" s="1"/>
  <c r="JI55" i="1"/>
  <c r="LE55" i="1" s="1"/>
  <c r="JJ55" i="1"/>
  <c r="LF55" i="1" s="1"/>
  <c r="JK55" i="1"/>
  <c r="LG55" i="1" s="1"/>
  <c r="JL55" i="1"/>
  <c r="LH55" i="1" s="1"/>
  <c r="JM55" i="1"/>
  <c r="LI55" i="1" s="1"/>
  <c r="JN55" i="1"/>
  <c r="LJ55" i="1" s="1"/>
  <c r="JO55" i="1"/>
  <c r="LK55" i="1" s="1"/>
  <c r="JP55" i="1"/>
  <c r="LL55" i="1" s="1"/>
  <c r="JQ55" i="1"/>
  <c r="LM55" i="1" s="1"/>
  <c r="LN55" i="1"/>
  <c r="KH56" i="1"/>
  <c r="IM56" i="1"/>
  <c r="KI56" i="1" s="1"/>
  <c r="IN56" i="1"/>
  <c r="KJ56" i="1" s="1"/>
  <c r="IO56" i="1"/>
  <c r="KK56" i="1" s="1"/>
  <c r="IP56" i="1"/>
  <c r="KL56" i="1" s="1"/>
  <c r="IQ56" i="1"/>
  <c r="KM56" i="1" s="1"/>
  <c r="IR56" i="1"/>
  <c r="KN56" i="1" s="1"/>
  <c r="IS56" i="1"/>
  <c r="KO56" i="1" s="1"/>
  <c r="IT56" i="1"/>
  <c r="KP56" i="1" s="1"/>
  <c r="IU56" i="1"/>
  <c r="KQ56" i="1" s="1"/>
  <c r="IV56" i="1"/>
  <c r="KR56" i="1" s="1"/>
  <c r="IW56" i="1"/>
  <c r="KS56" i="1" s="1"/>
  <c r="IX56" i="1"/>
  <c r="KT56" i="1" s="1"/>
  <c r="IY56" i="1"/>
  <c r="KU56" i="1" s="1"/>
  <c r="IZ56" i="1"/>
  <c r="KV56" i="1" s="1"/>
  <c r="JA56" i="1"/>
  <c r="KW56" i="1" s="1"/>
  <c r="JB56" i="1"/>
  <c r="KX56" i="1" s="1"/>
  <c r="JC56" i="1"/>
  <c r="KY56" i="1" s="1"/>
  <c r="JD56" i="1"/>
  <c r="KZ56" i="1" s="1"/>
  <c r="JE56" i="1"/>
  <c r="LA56" i="1" s="1"/>
  <c r="JF56" i="1"/>
  <c r="LB56" i="1" s="1"/>
  <c r="JG56" i="1"/>
  <c r="LC56" i="1" s="1"/>
  <c r="JH56" i="1"/>
  <c r="LD56" i="1" s="1"/>
  <c r="JI56" i="1"/>
  <c r="LE56" i="1" s="1"/>
  <c r="JJ56" i="1"/>
  <c r="LF56" i="1" s="1"/>
  <c r="JK56" i="1"/>
  <c r="LG56" i="1" s="1"/>
  <c r="JL56" i="1"/>
  <c r="LH56" i="1" s="1"/>
  <c r="JM56" i="1"/>
  <c r="LI56" i="1" s="1"/>
  <c r="JN56" i="1"/>
  <c r="LJ56" i="1" s="1"/>
  <c r="JO56" i="1"/>
  <c r="LK56" i="1" s="1"/>
  <c r="JP56" i="1"/>
  <c r="LL56" i="1" s="1"/>
  <c r="JQ56" i="1"/>
  <c r="LM56" i="1" s="1"/>
  <c r="LN56" i="1"/>
  <c r="KH57" i="1"/>
  <c r="IM57" i="1"/>
  <c r="KI57" i="1" s="1"/>
  <c r="IN57" i="1"/>
  <c r="KJ57" i="1" s="1"/>
  <c r="IO57" i="1"/>
  <c r="KK57" i="1" s="1"/>
  <c r="IP57" i="1"/>
  <c r="KL57" i="1" s="1"/>
  <c r="IQ57" i="1"/>
  <c r="KM57" i="1" s="1"/>
  <c r="IR57" i="1"/>
  <c r="KN57" i="1" s="1"/>
  <c r="IS57" i="1"/>
  <c r="KO57" i="1" s="1"/>
  <c r="IT57" i="1"/>
  <c r="KP57" i="1" s="1"/>
  <c r="IU57" i="1"/>
  <c r="KQ57" i="1" s="1"/>
  <c r="IV57" i="1"/>
  <c r="KR57" i="1" s="1"/>
  <c r="IW57" i="1"/>
  <c r="KS57" i="1" s="1"/>
  <c r="IX57" i="1"/>
  <c r="KT57" i="1" s="1"/>
  <c r="IY57" i="1"/>
  <c r="KU57" i="1" s="1"/>
  <c r="IZ57" i="1"/>
  <c r="KV57" i="1" s="1"/>
  <c r="JA57" i="1"/>
  <c r="KW57" i="1" s="1"/>
  <c r="JB57" i="1"/>
  <c r="KX57" i="1" s="1"/>
  <c r="JC57" i="1"/>
  <c r="KY57" i="1" s="1"/>
  <c r="JD57" i="1"/>
  <c r="KZ57" i="1" s="1"/>
  <c r="JE57" i="1"/>
  <c r="LA57" i="1" s="1"/>
  <c r="JF57" i="1"/>
  <c r="LB57" i="1" s="1"/>
  <c r="JG57" i="1"/>
  <c r="LC57" i="1" s="1"/>
  <c r="JH57" i="1"/>
  <c r="LD57" i="1" s="1"/>
  <c r="JI57" i="1"/>
  <c r="LE57" i="1" s="1"/>
  <c r="JJ57" i="1"/>
  <c r="LF57" i="1" s="1"/>
  <c r="JK57" i="1"/>
  <c r="LG57" i="1" s="1"/>
  <c r="JL57" i="1"/>
  <c r="LH57" i="1" s="1"/>
  <c r="JM57" i="1"/>
  <c r="LI57" i="1" s="1"/>
  <c r="JN57" i="1"/>
  <c r="LJ57" i="1" s="1"/>
  <c r="JO57" i="1"/>
  <c r="LK57" i="1" s="1"/>
  <c r="JP57" i="1"/>
  <c r="LL57" i="1" s="1"/>
  <c r="JQ57" i="1"/>
  <c r="LM57" i="1" s="1"/>
  <c r="LN57" i="1"/>
  <c r="KH58" i="1"/>
  <c r="IM58" i="1"/>
  <c r="KI58" i="1" s="1"/>
  <c r="IN58" i="1"/>
  <c r="KJ58" i="1" s="1"/>
  <c r="IO58" i="1"/>
  <c r="KK58" i="1" s="1"/>
  <c r="IP58" i="1"/>
  <c r="KL58" i="1" s="1"/>
  <c r="IQ58" i="1"/>
  <c r="KM58" i="1" s="1"/>
  <c r="IR58" i="1"/>
  <c r="KN58" i="1" s="1"/>
  <c r="IS58" i="1"/>
  <c r="KO58" i="1" s="1"/>
  <c r="IT58" i="1"/>
  <c r="KP58" i="1" s="1"/>
  <c r="IU58" i="1"/>
  <c r="KQ58" i="1" s="1"/>
  <c r="IV58" i="1"/>
  <c r="KR58" i="1" s="1"/>
  <c r="IW58" i="1"/>
  <c r="KS58" i="1" s="1"/>
  <c r="IX58" i="1"/>
  <c r="KT58" i="1" s="1"/>
  <c r="IY58" i="1"/>
  <c r="KU58" i="1" s="1"/>
  <c r="IZ58" i="1"/>
  <c r="KV58" i="1" s="1"/>
  <c r="JA58" i="1"/>
  <c r="KW58" i="1" s="1"/>
  <c r="JB58" i="1"/>
  <c r="KX58" i="1" s="1"/>
  <c r="JC58" i="1"/>
  <c r="KY58" i="1" s="1"/>
  <c r="JD58" i="1"/>
  <c r="KZ58" i="1" s="1"/>
  <c r="JE58" i="1"/>
  <c r="LA58" i="1" s="1"/>
  <c r="JF58" i="1"/>
  <c r="LB58" i="1" s="1"/>
  <c r="JG58" i="1"/>
  <c r="LC58" i="1" s="1"/>
  <c r="JH58" i="1"/>
  <c r="LD58" i="1" s="1"/>
  <c r="JI58" i="1"/>
  <c r="LE58" i="1" s="1"/>
  <c r="JJ58" i="1"/>
  <c r="LF58" i="1" s="1"/>
  <c r="JK58" i="1"/>
  <c r="LG58" i="1" s="1"/>
  <c r="JL58" i="1"/>
  <c r="LH58" i="1" s="1"/>
  <c r="JM58" i="1"/>
  <c r="LI58" i="1" s="1"/>
  <c r="JN58" i="1"/>
  <c r="LJ58" i="1" s="1"/>
  <c r="JO58" i="1"/>
  <c r="LK58" i="1" s="1"/>
  <c r="JP58" i="1"/>
  <c r="LL58" i="1" s="1"/>
  <c r="JQ58" i="1"/>
  <c r="LM58" i="1" s="1"/>
  <c r="LN58" i="1"/>
  <c r="KH59" i="1"/>
  <c r="IM59" i="1"/>
  <c r="KI59" i="1" s="1"/>
  <c r="IN59" i="1"/>
  <c r="KJ59" i="1" s="1"/>
  <c r="IO59" i="1"/>
  <c r="KK59" i="1" s="1"/>
  <c r="IP59" i="1"/>
  <c r="KL59" i="1" s="1"/>
  <c r="IQ59" i="1"/>
  <c r="KM59" i="1" s="1"/>
  <c r="IR59" i="1"/>
  <c r="KN59" i="1" s="1"/>
  <c r="IS59" i="1"/>
  <c r="KO59" i="1" s="1"/>
  <c r="IT59" i="1"/>
  <c r="KP59" i="1" s="1"/>
  <c r="IU59" i="1"/>
  <c r="KQ59" i="1" s="1"/>
  <c r="IV59" i="1"/>
  <c r="KR59" i="1" s="1"/>
  <c r="IW59" i="1"/>
  <c r="KS59" i="1" s="1"/>
  <c r="IX59" i="1"/>
  <c r="KT59" i="1" s="1"/>
  <c r="IY59" i="1"/>
  <c r="KU59" i="1" s="1"/>
  <c r="IZ59" i="1"/>
  <c r="KV59" i="1" s="1"/>
  <c r="JA59" i="1"/>
  <c r="KW59" i="1" s="1"/>
  <c r="JB59" i="1"/>
  <c r="KX59" i="1" s="1"/>
  <c r="JC59" i="1"/>
  <c r="KY59" i="1" s="1"/>
  <c r="JD59" i="1"/>
  <c r="KZ59" i="1" s="1"/>
  <c r="JE59" i="1"/>
  <c r="LA59" i="1" s="1"/>
  <c r="JF59" i="1"/>
  <c r="LB59" i="1" s="1"/>
  <c r="JG59" i="1"/>
  <c r="LC59" i="1" s="1"/>
  <c r="JH59" i="1"/>
  <c r="LD59" i="1" s="1"/>
  <c r="JI59" i="1"/>
  <c r="LE59" i="1" s="1"/>
  <c r="JJ59" i="1"/>
  <c r="LF59" i="1" s="1"/>
  <c r="JK59" i="1"/>
  <c r="LG59" i="1" s="1"/>
  <c r="JL59" i="1"/>
  <c r="LH59" i="1" s="1"/>
  <c r="JM59" i="1"/>
  <c r="LI59" i="1" s="1"/>
  <c r="JN59" i="1"/>
  <c r="LJ59" i="1" s="1"/>
  <c r="JO59" i="1"/>
  <c r="LK59" i="1" s="1"/>
  <c r="JP59" i="1"/>
  <c r="LL59" i="1" s="1"/>
  <c r="JQ59" i="1"/>
  <c r="LM59" i="1" s="1"/>
  <c r="LN59" i="1"/>
  <c r="KH110" i="1"/>
  <c r="IM110" i="1"/>
  <c r="KI110" i="1" s="1"/>
  <c r="IN110" i="1"/>
  <c r="KJ110" i="1" s="1"/>
  <c r="IO110" i="1"/>
  <c r="KK110" i="1" s="1"/>
  <c r="IP110" i="1"/>
  <c r="KL110" i="1" s="1"/>
  <c r="IQ110" i="1"/>
  <c r="KM110" i="1" s="1"/>
  <c r="IR110" i="1"/>
  <c r="KN110" i="1" s="1"/>
  <c r="IS110" i="1"/>
  <c r="KO110" i="1" s="1"/>
  <c r="IT110" i="1"/>
  <c r="KP110" i="1" s="1"/>
  <c r="IU110" i="1"/>
  <c r="KQ110" i="1" s="1"/>
  <c r="IV110" i="1"/>
  <c r="KR110" i="1" s="1"/>
  <c r="IW110" i="1"/>
  <c r="KS110" i="1" s="1"/>
  <c r="IX110" i="1"/>
  <c r="KT110" i="1" s="1"/>
  <c r="IY110" i="1"/>
  <c r="KU110" i="1" s="1"/>
  <c r="IZ110" i="1"/>
  <c r="KV110" i="1" s="1"/>
  <c r="JA110" i="1"/>
  <c r="KW110" i="1" s="1"/>
  <c r="JB110" i="1"/>
  <c r="KX110" i="1" s="1"/>
  <c r="JC110" i="1"/>
  <c r="KY110" i="1" s="1"/>
  <c r="JD110" i="1"/>
  <c r="KZ110" i="1" s="1"/>
  <c r="JE110" i="1"/>
  <c r="LA110" i="1" s="1"/>
  <c r="JF110" i="1"/>
  <c r="LB110" i="1" s="1"/>
  <c r="JG110" i="1"/>
  <c r="LC110" i="1" s="1"/>
  <c r="JH110" i="1"/>
  <c r="LD110" i="1" s="1"/>
  <c r="JI110" i="1"/>
  <c r="LE110" i="1" s="1"/>
  <c r="JJ110" i="1"/>
  <c r="LF110" i="1" s="1"/>
  <c r="JK110" i="1"/>
  <c r="LG110" i="1" s="1"/>
  <c r="JL110" i="1"/>
  <c r="LH110" i="1" s="1"/>
  <c r="JM110" i="1"/>
  <c r="LI110" i="1" s="1"/>
  <c r="JN110" i="1"/>
  <c r="LJ110" i="1" s="1"/>
  <c r="JO110" i="1"/>
  <c r="LK110" i="1" s="1"/>
  <c r="JP110" i="1"/>
  <c r="LL110" i="1" s="1"/>
  <c r="JQ110" i="1"/>
  <c r="LM110" i="1" s="1"/>
  <c r="LN110" i="1"/>
  <c r="KH60" i="1"/>
  <c r="IM60" i="1"/>
  <c r="KI60" i="1" s="1"/>
  <c r="IN60" i="1"/>
  <c r="KJ60" i="1" s="1"/>
  <c r="IO60" i="1"/>
  <c r="KK60" i="1" s="1"/>
  <c r="IP60" i="1"/>
  <c r="KL60" i="1" s="1"/>
  <c r="IQ60" i="1"/>
  <c r="KM60" i="1" s="1"/>
  <c r="IR60" i="1"/>
  <c r="KN60" i="1" s="1"/>
  <c r="IS60" i="1"/>
  <c r="KO60" i="1" s="1"/>
  <c r="IT60" i="1"/>
  <c r="KP60" i="1" s="1"/>
  <c r="IU60" i="1"/>
  <c r="KQ60" i="1" s="1"/>
  <c r="IV60" i="1"/>
  <c r="KR60" i="1" s="1"/>
  <c r="IW60" i="1"/>
  <c r="KS60" i="1" s="1"/>
  <c r="IX60" i="1"/>
  <c r="KT60" i="1" s="1"/>
  <c r="IY60" i="1"/>
  <c r="KU60" i="1" s="1"/>
  <c r="IZ60" i="1"/>
  <c r="KV60" i="1" s="1"/>
  <c r="JA60" i="1"/>
  <c r="KW60" i="1" s="1"/>
  <c r="JB60" i="1"/>
  <c r="KX60" i="1" s="1"/>
  <c r="JC60" i="1"/>
  <c r="KY60" i="1" s="1"/>
  <c r="JD60" i="1"/>
  <c r="KZ60" i="1" s="1"/>
  <c r="JE60" i="1"/>
  <c r="LA60" i="1" s="1"/>
  <c r="JF60" i="1"/>
  <c r="LB60" i="1" s="1"/>
  <c r="JG60" i="1"/>
  <c r="LC60" i="1" s="1"/>
  <c r="JH60" i="1"/>
  <c r="LD60" i="1" s="1"/>
  <c r="JI60" i="1"/>
  <c r="LE60" i="1" s="1"/>
  <c r="JJ60" i="1"/>
  <c r="LF60" i="1" s="1"/>
  <c r="JK60" i="1"/>
  <c r="LG60" i="1" s="1"/>
  <c r="JL60" i="1"/>
  <c r="LH60" i="1" s="1"/>
  <c r="JM60" i="1"/>
  <c r="LI60" i="1" s="1"/>
  <c r="JN60" i="1"/>
  <c r="LJ60" i="1" s="1"/>
  <c r="JO60" i="1"/>
  <c r="LK60" i="1" s="1"/>
  <c r="JP60" i="1"/>
  <c r="LL60" i="1" s="1"/>
  <c r="JQ60" i="1"/>
  <c r="LM60" i="1" s="1"/>
  <c r="LN60" i="1"/>
  <c r="KH61" i="1"/>
  <c r="IM61" i="1"/>
  <c r="KI61" i="1" s="1"/>
  <c r="IN61" i="1"/>
  <c r="KJ61" i="1" s="1"/>
  <c r="IO61" i="1"/>
  <c r="KK61" i="1" s="1"/>
  <c r="IP61" i="1"/>
  <c r="KL61" i="1" s="1"/>
  <c r="IQ61" i="1"/>
  <c r="KM61" i="1" s="1"/>
  <c r="IR61" i="1"/>
  <c r="KN61" i="1" s="1"/>
  <c r="IS61" i="1"/>
  <c r="KO61" i="1" s="1"/>
  <c r="IT61" i="1"/>
  <c r="KP61" i="1" s="1"/>
  <c r="IU61" i="1"/>
  <c r="KQ61" i="1" s="1"/>
  <c r="IV61" i="1"/>
  <c r="KR61" i="1" s="1"/>
  <c r="IW61" i="1"/>
  <c r="KS61" i="1" s="1"/>
  <c r="IX61" i="1"/>
  <c r="KT61" i="1" s="1"/>
  <c r="IY61" i="1"/>
  <c r="KU61" i="1" s="1"/>
  <c r="IZ61" i="1"/>
  <c r="KV61" i="1" s="1"/>
  <c r="JA61" i="1"/>
  <c r="KW61" i="1" s="1"/>
  <c r="JB61" i="1"/>
  <c r="KX61" i="1" s="1"/>
  <c r="JC61" i="1"/>
  <c r="KY61" i="1" s="1"/>
  <c r="JD61" i="1"/>
  <c r="KZ61" i="1" s="1"/>
  <c r="JE61" i="1"/>
  <c r="LA61" i="1" s="1"/>
  <c r="JF61" i="1"/>
  <c r="LB61" i="1" s="1"/>
  <c r="JG61" i="1"/>
  <c r="LC61" i="1" s="1"/>
  <c r="JH61" i="1"/>
  <c r="LD61" i="1" s="1"/>
  <c r="JI61" i="1"/>
  <c r="LE61" i="1" s="1"/>
  <c r="JJ61" i="1"/>
  <c r="LF61" i="1" s="1"/>
  <c r="JK61" i="1"/>
  <c r="LG61" i="1" s="1"/>
  <c r="JL61" i="1"/>
  <c r="LH61" i="1" s="1"/>
  <c r="JM61" i="1"/>
  <c r="LI61" i="1" s="1"/>
  <c r="JN61" i="1"/>
  <c r="LJ61" i="1" s="1"/>
  <c r="JO61" i="1"/>
  <c r="LK61" i="1" s="1"/>
  <c r="JP61" i="1"/>
  <c r="LL61" i="1" s="1"/>
  <c r="JQ61" i="1"/>
  <c r="LM61" i="1" s="1"/>
  <c r="LN61" i="1"/>
  <c r="KH63" i="1"/>
  <c r="IM63" i="1"/>
  <c r="KI63" i="1" s="1"/>
  <c r="IN63" i="1"/>
  <c r="KJ63" i="1" s="1"/>
  <c r="IO63" i="1"/>
  <c r="KK63" i="1" s="1"/>
  <c r="IP63" i="1"/>
  <c r="KL63" i="1" s="1"/>
  <c r="IQ63" i="1"/>
  <c r="KM63" i="1" s="1"/>
  <c r="IR63" i="1"/>
  <c r="KN63" i="1" s="1"/>
  <c r="IS63" i="1"/>
  <c r="KO63" i="1" s="1"/>
  <c r="IT63" i="1"/>
  <c r="KP63" i="1" s="1"/>
  <c r="IU63" i="1"/>
  <c r="KQ63" i="1" s="1"/>
  <c r="IV63" i="1"/>
  <c r="KR63" i="1" s="1"/>
  <c r="IW63" i="1"/>
  <c r="KS63" i="1" s="1"/>
  <c r="IX63" i="1"/>
  <c r="KT63" i="1" s="1"/>
  <c r="IY63" i="1"/>
  <c r="KU63" i="1" s="1"/>
  <c r="IZ63" i="1"/>
  <c r="KV63" i="1" s="1"/>
  <c r="JA63" i="1"/>
  <c r="KW63" i="1" s="1"/>
  <c r="JB63" i="1"/>
  <c r="KX63" i="1" s="1"/>
  <c r="JC63" i="1"/>
  <c r="KY63" i="1" s="1"/>
  <c r="JD63" i="1"/>
  <c r="KZ63" i="1" s="1"/>
  <c r="JE63" i="1"/>
  <c r="LA63" i="1" s="1"/>
  <c r="JF63" i="1"/>
  <c r="LB63" i="1" s="1"/>
  <c r="JG63" i="1"/>
  <c r="LC63" i="1" s="1"/>
  <c r="JH63" i="1"/>
  <c r="LD63" i="1" s="1"/>
  <c r="JI63" i="1"/>
  <c r="LE63" i="1" s="1"/>
  <c r="JJ63" i="1"/>
  <c r="LF63" i="1" s="1"/>
  <c r="JK63" i="1"/>
  <c r="LG63" i="1" s="1"/>
  <c r="JL63" i="1"/>
  <c r="LH63" i="1" s="1"/>
  <c r="JM63" i="1"/>
  <c r="LI63" i="1" s="1"/>
  <c r="JN63" i="1"/>
  <c r="LJ63" i="1" s="1"/>
  <c r="JO63" i="1"/>
  <c r="LK63" i="1" s="1"/>
  <c r="JP63" i="1"/>
  <c r="LL63" i="1" s="1"/>
  <c r="JQ63" i="1"/>
  <c r="LM63" i="1" s="1"/>
  <c r="LN63" i="1"/>
  <c r="KH62" i="1"/>
  <c r="IM62" i="1"/>
  <c r="KI62" i="1" s="1"/>
  <c r="IN62" i="1"/>
  <c r="KJ62" i="1" s="1"/>
  <c r="IO62" i="1"/>
  <c r="KK62" i="1" s="1"/>
  <c r="IP62" i="1"/>
  <c r="KL62" i="1" s="1"/>
  <c r="IQ62" i="1"/>
  <c r="KM62" i="1" s="1"/>
  <c r="IR62" i="1"/>
  <c r="KN62" i="1" s="1"/>
  <c r="IS62" i="1"/>
  <c r="KO62" i="1" s="1"/>
  <c r="IT62" i="1"/>
  <c r="KP62" i="1" s="1"/>
  <c r="IU62" i="1"/>
  <c r="KQ62" i="1" s="1"/>
  <c r="IV62" i="1"/>
  <c r="KR62" i="1" s="1"/>
  <c r="IW62" i="1"/>
  <c r="KS62" i="1" s="1"/>
  <c r="IX62" i="1"/>
  <c r="KT62" i="1" s="1"/>
  <c r="IY62" i="1"/>
  <c r="KU62" i="1" s="1"/>
  <c r="IZ62" i="1"/>
  <c r="KV62" i="1" s="1"/>
  <c r="JA62" i="1"/>
  <c r="KW62" i="1" s="1"/>
  <c r="JB62" i="1"/>
  <c r="KX62" i="1" s="1"/>
  <c r="JC62" i="1"/>
  <c r="KY62" i="1" s="1"/>
  <c r="JD62" i="1"/>
  <c r="KZ62" i="1" s="1"/>
  <c r="JE62" i="1"/>
  <c r="LA62" i="1" s="1"/>
  <c r="JF62" i="1"/>
  <c r="LB62" i="1" s="1"/>
  <c r="JG62" i="1"/>
  <c r="LC62" i="1" s="1"/>
  <c r="JH62" i="1"/>
  <c r="LD62" i="1" s="1"/>
  <c r="JI62" i="1"/>
  <c r="LE62" i="1" s="1"/>
  <c r="JJ62" i="1"/>
  <c r="LF62" i="1" s="1"/>
  <c r="JK62" i="1"/>
  <c r="LG62" i="1" s="1"/>
  <c r="JL62" i="1"/>
  <c r="LH62" i="1" s="1"/>
  <c r="JM62" i="1"/>
  <c r="LI62" i="1" s="1"/>
  <c r="JN62" i="1"/>
  <c r="LJ62" i="1" s="1"/>
  <c r="JO62" i="1"/>
  <c r="LK62" i="1" s="1"/>
  <c r="JP62" i="1"/>
  <c r="LL62" i="1" s="1"/>
  <c r="JQ62" i="1"/>
  <c r="LM62" i="1" s="1"/>
  <c r="LN62" i="1"/>
  <c r="KH64" i="1"/>
  <c r="IM64" i="1"/>
  <c r="KI64" i="1" s="1"/>
  <c r="IN64" i="1"/>
  <c r="KJ64" i="1" s="1"/>
  <c r="IO64" i="1"/>
  <c r="KK64" i="1" s="1"/>
  <c r="IP64" i="1"/>
  <c r="KL64" i="1" s="1"/>
  <c r="IQ64" i="1"/>
  <c r="KM64" i="1" s="1"/>
  <c r="IR64" i="1"/>
  <c r="KN64" i="1" s="1"/>
  <c r="IS64" i="1"/>
  <c r="KO64" i="1" s="1"/>
  <c r="IT64" i="1"/>
  <c r="KP64" i="1" s="1"/>
  <c r="IU64" i="1"/>
  <c r="KQ64" i="1" s="1"/>
  <c r="IV64" i="1"/>
  <c r="KR64" i="1" s="1"/>
  <c r="IW64" i="1"/>
  <c r="KS64" i="1" s="1"/>
  <c r="IX64" i="1"/>
  <c r="KT64" i="1" s="1"/>
  <c r="IY64" i="1"/>
  <c r="KU64" i="1" s="1"/>
  <c r="IZ64" i="1"/>
  <c r="KV64" i="1" s="1"/>
  <c r="JA64" i="1"/>
  <c r="KW64" i="1" s="1"/>
  <c r="JB64" i="1"/>
  <c r="KX64" i="1" s="1"/>
  <c r="JC64" i="1"/>
  <c r="KY64" i="1" s="1"/>
  <c r="JD64" i="1"/>
  <c r="KZ64" i="1" s="1"/>
  <c r="JE64" i="1"/>
  <c r="LA64" i="1" s="1"/>
  <c r="JF64" i="1"/>
  <c r="LB64" i="1" s="1"/>
  <c r="JG64" i="1"/>
  <c r="LC64" i="1" s="1"/>
  <c r="JH64" i="1"/>
  <c r="LD64" i="1" s="1"/>
  <c r="JI64" i="1"/>
  <c r="LE64" i="1" s="1"/>
  <c r="JJ64" i="1"/>
  <c r="LF64" i="1" s="1"/>
  <c r="JK64" i="1"/>
  <c r="LG64" i="1" s="1"/>
  <c r="JL64" i="1"/>
  <c r="LH64" i="1" s="1"/>
  <c r="JM64" i="1"/>
  <c r="LI64" i="1" s="1"/>
  <c r="JN64" i="1"/>
  <c r="LJ64" i="1" s="1"/>
  <c r="JO64" i="1"/>
  <c r="LK64" i="1" s="1"/>
  <c r="JP64" i="1"/>
  <c r="LL64" i="1" s="1"/>
  <c r="JQ64" i="1"/>
  <c r="LM64" i="1" s="1"/>
  <c r="LN64" i="1"/>
  <c r="KH65" i="1"/>
  <c r="IM65" i="1"/>
  <c r="KI65" i="1" s="1"/>
  <c r="IN65" i="1"/>
  <c r="KJ65" i="1" s="1"/>
  <c r="IO65" i="1"/>
  <c r="KK65" i="1" s="1"/>
  <c r="IP65" i="1"/>
  <c r="KL65" i="1" s="1"/>
  <c r="IQ65" i="1"/>
  <c r="KM65" i="1" s="1"/>
  <c r="IR65" i="1"/>
  <c r="KN65" i="1" s="1"/>
  <c r="IS65" i="1"/>
  <c r="KO65" i="1" s="1"/>
  <c r="IT65" i="1"/>
  <c r="KP65" i="1" s="1"/>
  <c r="IU65" i="1"/>
  <c r="KQ65" i="1" s="1"/>
  <c r="IV65" i="1"/>
  <c r="KR65" i="1" s="1"/>
  <c r="IW65" i="1"/>
  <c r="KS65" i="1" s="1"/>
  <c r="IX65" i="1"/>
  <c r="KT65" i="1" s="1"/>
  <c r="IY65" i="1"/>
  <c r="KU65" i="1" s="1"/>
  <c r="IZ65" i="1"/>
  <c r="KV65" i="1" s="1"/>
  <c r="JA65" i="1"/>
  <c r="KW65" i="1" s="1"/>
  <c r="JB65" i="1"/>
  <c r="KX65" i="1" s="1"/>
  <c r="JC65" i="1"/>
  <c r="KY65" i="1" s="1"/>
  <c r="JD65" i="1"/>
  <c r="KZ65" i="1" s="1"/>
  <c r="JE65" i="1"/>
  <c r="LA65" i="1" s="1"/>
  <c r="JF65" i="1"/>
  <c r="LB65" i="1" s="1"/>
  <c r="JG65" i="1"/>
  <c r="LC65" i="1" s="1"/>
  <c r="JH65" i="1"/>
  <c r="LD65" i="1" s="1"/>
  <c r="JI65" i="1"/>
  <c r="LE65" i="1" s="1"/>
  <c r="JJ65" i="1"/>
  <c r="LF65" i="1" s="1"/>
  <c r="JK65" i="1"/>
  <c r="LG65" i="1" s="1"/>
  <c r="JL65" i="1"/>
  <c r="LH65" i="1" s="1"/>
  <c r="JM65" i="1"/>
  <c r="LI65" i="1" s="1"/>
  <c r="JN65" i="1"/>
  <c r="LJ65" i="1" s="1"/>
  <c r="JO65" i="1"/>
  <c r="LK65" i="1" s="1"/>
  <c r="JP65" i="1"/>
  <c r="LL65" i="1" s="1"/>
  <c r="JQ65" i="1"/>
  <c r="LM65" i="1" s="1"/>
  <c r="LN65" i="1"/>
  <c r="KH66" i="1"/>
  <c r="IM66" i="1"/>
  <c r="KI66" i="1" s="1"/>
  <c r="IN66" i="1"/>
  <c r="KJ66" i="1" s="1"/>
  <c r="IO66" i="1"/>
  <c r="KK66" i="1" s="1"/>
  <c r="IP66" i="1"/>
  <c r="KL66" i="1" s="1"/>
  <c r="IQ66" i="1"/>
  <c r="KM66" i="1" s="1"/>
  <c r="IR66" i="1"/>
  <c r="KN66" i="1" s="1"/>
  <c r="IS66" i="1"/>
  <c r="KO66" i="1" s="1"/>
  <c r="IT66" i="1"/>
  <c r="KP66" i="1" s="1"/>
  <c r="IU66" i="1"/>
  <c r="KQ66" i="1" s="1"/>
  <c r="IV66" i="1"/>
  <c r="KR66" i="1" s="1"/>
  <c r="IW66" i="1"/>
  <c r="KS66" i="1" s="1"/>
  <c r="IX66" i="1"/>
  <c r="KT66" i="1" s="1"/>
  <c r="IY66" i="1"/>
  <c r="KU66" i="1" s="1"/>
  <c r="IZ66" i="1"/>
  <c r="KV66" i="1" s="1"/>
  <c r="JA66" i="1"/>
  <c r="KW66" i="1" s="1"/>
  <c r="JB66" i="1"/>
  <c r="KX66" i="1" s="1"/>
  <c r="JC66" i="1"/>
  <c r="KY66" i="1" s="1"/>
  <c r="JD66" i="1"/>
  <c r="KZ66" i="1" s="1"/>
  <c r="JE66" i="1"/>
  <c r="LA66" i="1" s="1"/>
  <c r="JF66" i="1"/>
  <c r="LB66" i="1" s="1"/>
  <c r="JG66" i="1"/>
  <c r="LC66" i="1" s="1"/>
  <c r="JH66" i="1"/>
  <c r="LD66" i="1" s="1"/>
  <c r="JI66" i="1"/>
  <c r="LE66" i="1" s="1"/>
  <c r="JJ66" i="1"/>
  <c r="LF66" i="1" s="1"/>
  <c r="JK66" i="1"/>
  <c r="LG66" i="1" s="1"/>
  <c r="JL66" i="1"/>
  <c r="LH66" i="1" s="1"/>
  <c r="JM66" i="1"/>
  <c r="LI66" i="1" s="1"/>
  <c r="JN66" i="1"/>
  <c r="LJ66" i="1" s="1"/>
  <c r="JO66" i="1"/>
  <c r="LK66" i="1" s="1"/>
  <c r="JP66" i="1"/>
  <c r="LL66" i="1" s="1"/>
  <c r="JQ66" i="1"/>
  <c r="LM66" i="1" s="1"/>
  <c r="LN66" i="1"/>
  <c r="KH111" i="1"/>
  <c r="IM111" i="1"/>
  <c r="KI111" i="1" s="1"/>
  <c r="IN111" i="1"/>
  <c r="KJ111" i="1" s="1"/>
  <c r="IO111" i="1"/>
  <c r="KK111" i="1" s="1"/>
  <c r="IP111" i="1"/>
  <c r="KL111" i="1" s="1"/>
  <c r="IQ111" i="1"/>
  <c r="KM111" i="1" s="1"/>
  <c r="IR111" i="1"/>
  <c r="KN111" i="1" s="1"/>
  <c r="IS111" i="1"/>
  <c r="KO111" i="1" s="1"/>
  <c r="IT111" i="1"/>
  <c r="KP111" i="1" s="1"/>
  <c r="IU111" i="1"/>
  <c r="KQ111" i="1" s="1"/>
  <c r="IV111" i="1"/>
  <c r="KR111" i="1" s="1"/>
  <c r="IW111" i="1"/>
  <c r="KS111" i="1" s="1"/>
  <c r="IX111" i="1"/>
  <c r="KT111" i="1" s="1"/>
  <c r="IY111" i="1"/>
  <c r="KU111" i="1" s="1"/>
  <c r="IZ111" i="1"/>
  <c r="KV111" i="1" s="1"/>
  <c r="JA111" i="1"/>
  <c r="KW111" i="1" s="1"/>
  <c r="JB111" i="1"/>
  <c r="KX111" i="1" s="1"/>
  <c r="JC111" i="1"/>
  <c r="KY111" i="1" s="1"/>
  <c r="JD111" i="1"/>
  <c r="KZ111" i="1" s="1"/>
  <c r="JE111" i="1"/>
  <c r="LA111" i="1" s="1"/>
  <c r="JF111" i="1"/>
  <c r="LB111" i="1" s="1"/>
  <c r="JG111" i="1"/>
  <c r="LC111" i="1" s="1"/>
  <c r="JH111" i="1"/>
  <c r="LD111" i="1" s="1"/>
  <c r="JI111" i="1"/>
  <c r="LE111" i="1" s="1"/>
  <c r="JJ111" i="1"/>
  <c r="LF111" i="1" s="1"/>
  <c r="JK111" i="1"/>
  <c r="LG111" i="1" s="1"/>
  <c r="JL111" i="1"/>
  <c r="LH111" i="1" s="1"/>
  <c r="JM111" i="1"/>
  <c r="LI111" i="1" s="1"/>
  <c r="JN111" i="1"/>
  <c r="LJ111" i="1" s="1"/>
  <c r="JO111" i="1"/>
  <c r="LK111" i="1" s="1"/>
  <c r="JP111" i="1"/>
  <c r="LL111" i="1" s="1"/>
  <c r="JQ111" i="1"/>
  <c r="LM111" i="1" s="1"/>
  <c r="LN111" i="1"/>
  <c r="KH112" i="1"/>
  <c r="IM112" i="1"/>
  <c r="KI112" i="1" s="1"/>
  <c r="IN112" i="1"/>
  <c r="KJ112" i="1" s="1"/>
  <c r="IO112" i="1"/>
  <c r="KK112" i="1" s="1"/>
  <c r="IP112" i="1"/>
  <c r="KL112" i="1" s="1"/>
  <c r="IQ112" i="1"/>
  <c r="KM112" i="1" s="1"/>
  <c r="IR112" i="1"/>
  <c r="KN112" i="1" s="1"/>
  <c r="IS112" i="1"/>
  <c r="KO112" i="1" s="1"/>
  <c r="IT112" i="1"/>
  <c r="KP112" i="1" s="1"/>
  <c r="IU112" i="1"/>
  <c r="KQ112" i="1" s="1"/>
  <c r="IV112" i="1"/>
  <c r="KR112" i="1" s="1"/>
  <c r="IW112" i="1"/>
  <c r="KS112" i="1" s="1"/>
  <c r="IX112" i="1"/>
  <c r="KT112" i="1" s="1"/>
  <c r="IY112" i="1"/>
  <c r="KU112" i="1" s="1"/>
  <c r="IZ112" i="1"/>
  <c r="KV112" i="1" s="1"/>
  <c r="JA112" i="1"/>
  <c r="KW112" i="1" s="1"/>
  <c r="JB112" i="1"/>
  <c r="KX112" i="1" s="1"/>
  <c r="JC112" i="1"/>
  <c r="KY112" i="1" s="1"/>
  <c r="JD112" i="1"/>
  <c r="KZ112" i="1" s="1"/>
  <c r="JE112" i="1"/>
  <c r="LA112" i="1" s="1"/>
  <c r="JF112" i="1"/>
  <c r="LB112" i="1" s="1"/>
  <c r="JG112" i="1"/>
  <c r="LC112" i="1" s="1"/>
  <c r="JH112" i="1"/>
  <c r="LD112" i="1" s="1"/>
  <c r="JI112" i="1"/>
  <c r="LE112" i="1" s="1"/>
  <c r="JJ112" i="1"/>
  <c r="LF112" i="1" s="1"/>
  <c r="JK112" i="1"/>
  <c r="LG112" i="1" s="1"/>
  <c r="JL112" i="1"/>
  <c r="LH112" i="1" s="1"/>
  <c r="JM112" i="1"/>
  <c r="LI112" i="1" s="1"/>
  <c r="JN112" i="1"/>
  <c r="LJ112" i="1" s="1"/>
  <c r="JO112" i="1"/>
  <c r="LK112" i="1" s="1"/>
  <c r="JP112" i="1"/>
  <c r="LL112" i="1" s="1"/>
  <c r="JQ112" i="1"/>
  <c r="LM112" i="1" s="1"/>
  <c r="LN112" i="1"/>
  <c r="KH113" i="1"/>
  <c r="IM113" i="1"/>
  <c r="KI113" i="1" s="1"/>
  <c r="IN113" i="1"/>
  <c r="KJ113" i="1" s="1"/>
  <c r="IO113" i="1"/>
  <c r="KK113" i="1" s="1"/>
  <c r="IP113" i="1"/>
  <c r="KL113" i="1" s="1"/>
  <c r="IQ113" i="1"/>
  <c r="KM113" i="1" s="1"/>
  <c r="IR113" i="1"/>
  <c r="KN113" i="1" s="1"/>
  <c r="IS113" i="1"/>
  <c r="KO113" i="1" s="1"/>
  <c r="IT113" i="1"/>
  <c r="KP113" i="1" s="1"/>
  <c r="IU113" i="1"/>
  <c r="KQ113" i="1" s="1"/>
  <c r="IV113" i="1"/>
  <c r="KR113" i="1" s="1"/>
  <c r="IW113" i="1"/>
  <c r="KS113" i="1" s="1"/>
  <c r="IX113" i="1"/>
  <c r="KT113" i="1" s="1"/>
  <c r="IY113" i="1"/>
  <c r="KU113" i="1" s="1"/>
  <c r="IZ113" i="1"/>
  <c r="KV113" i="1" s="1"/>
  <c r="JA113" i="1"/>
  <c r="KW113" i="1" s="1"/>
  <c r="JB113" i="1"/>
  <c r="KX113" i="1" s="1"/>
  <c r="JC113" i="1"/>
  <c r="KY113" i="1" s="1"/>
  <c r="JD113" i="1"/>
  <c r="KZ113" i="1" s="1"/>
  <c r="JE113" i="1"/>
  <c r="LA113" i="1" s="1"/>
  <c r="JF113" i="1"/>
  <c r="LB113" i="1" s="1"/>
  <c r="JG113" i="1"/>
  <c r="LC113" i="1" s="1"/>
  <c r="JH113" i="1"/>
  <c r="LD113" i="1" s="1"/>
  <c r="JI113" i="1"/>
  <c r="LE113" i="1" s="1"/>
  <c r="JJ113" i="1"/>
  <c r="LF113" i="1" s="1"/>
  <c r="JK113" i="1"/>
  <c r="LG113" i="1" s="1"/>
  <c r="JL113" i="1"/>
  <c r="LH113" i="1" s="1"/>
  <c r="JM113" i="1"/>
  <c r="LI113" i="1" s="1"/>
  <c r="JN113" i="1"/>
  <c r="LJ113" i="1" s="1"/>
  <c r="JO113" i="1"/>
  <c r="LK113" i="1" s="1"/>
  <c r="JP113" i="1"/>
  <c r="LL113" i="1" s="1"/>
  <c r="JQ113" i="1"/>
  <c r="LM113" i="1" s="1"/>
  <c r="LN113" i="1"/>
  <c r="KH67" i="1"/>
  <c r="IM67" i="1"/>
  <c r="KI67" i="1" s="1"/>
  <c r="IN67" i="1"/>
  <c r="KJ67" i="1" s="1"/>
  <c r="IO67" i="1"/>
  <c r="KK67" i="1" s="1"/>
  <c r="IP67" i="1"/>
  <c r="KL67" i="1" s="1"/>
  <c r="IQ67" i="1"/>
  <c r="KM67" i="1" s="1"/>
  <c r="IR67" i="1"/>
  <c r="KN67" i="1" s="1"/>
  <c r="IS67" i="1"/>
  <c r="KO67" i="1" s="1"/>
  <c r="IT67" i="1"/>
  <c r="KP67" i="1" s="1"/>
  <c r="IU67" i="1"/>
  <c r="KQ67" i="1" s="1"/>
  <c r="IV67" i="1"/>
  <c r="KR67" i="1" s="1"/>
  <c r="IW67" i="1"/>
  <c r="KS67" i="1" s="1"/>
  <c r="IX67" i="1"/>
  <c r="KT67" i="1" s="1"/>
  <c r="IY67" i="1"/>
  <c r="KU67" i="1" s="1"/>
  <c r="IZ67" i="1"/>
  <c r="KV67" i="1" s="1"/>
  <c r="JA67" i="1"/>
  <c r="KW67" i="1" s="1"/>
  <c r="JB67" i="1"/>
  <c r="KX67" i="1" s="1"/>
  <c r="JC67" i="1"/>
  <c r="KY67" i="1" s="1"/>
  <c r="JD67" i="1"/>
  <c r="KZ67" i="1" s="1"/>
  <c r="JE67" i="1"/>
  <c r="LA67" i="1" s="1"/>
  <c r="JF67" i="1"/>
  <c r="LB67" i="1" s="1"/>
  <c r="JG67" i="1"/>
  <c r="LC67" i="1" s="1"/>
  <c r="JH67" i="1"/>
  <c r="LD67" i="1" s="1"/>
  <c r="JI67" i="1"/>
  <c r="LE67" i="1" s="1"/>
  <c r="JJ67" i="1"/>
  <c r="LF67" i="1" s="1"/>
  <c r="JK67" i="1"/>
  <c r="LG67" i="1" s="1"/>
  <c r="JL67" i="1"/>
  <c r="LH67" i="1" s="1"/>
  <c r="JM67" i="1"/>
  <c r="LI67" i="1" s="1"/>
  <c r="JN67" i="1"/>
  <c r="LJ67" i="1" s="1"/>
  <c r="JO67" i="1"/>
  <c r="LK67" i="1" s="1"/>
  <c r="JP67" i="1"/>
  <c r="LL67" i="1" s="1"/>
  <c r="JQ67" i="1"/>
  <c r="LM67" i="1" s="1"/>
  <c r="LN67" i="1"/>
  <c r="KH114" i="1"/>
  <c r="IM114" i="1"/>
  <c r="KI114" i="1" s="1"/>
  <c r="IN114" i="1"/>
  <c r="KJ114" i="1" s="1"/>
  <c r="IO114" i="1"/>
  <c r="KK114" i="1" s="1"/>
  <c r="IP114" i="1"/>
  <c r="KL114" i="1" s="1"/>
  <c r="IQ114" i="1"/>
  <c r="KM114" i="1" s="1"/>
  <c r="IR114" i="1"/>
  <c r="KN114" i="1" s="1"/>
  <c r="IS114" i="1"/>
  <c r="KO114" i="1" s="1"/>
  <c r="IT114" i="1"/>
  <c r="KP114" i="1" s="1"/>
  <c r="IU114" i="1"/>
  <c r="KQ114" i="1" s="1"/>
  <c r="IV114" i="1"/>
  <c r="KR114" i="1" s="1"/>
  <c r="IW114" i="1"/>
  <c r="KS114" i="1" s="1"/>
  <c r="IX114" i="1"/>
  <c r="KT114" i="1" s="1"/>
  <c r="IY114" i="1"/>
  <c r="KU114" i="1" s="1"/>
  <c r="IZ114" i="1"/>
  <c r="KV114" i="1" s="1"/>
  <c r="JA114" i="1"/>
  <c r="KW114" i="1" s="1"/>
  <c r="JB114" i="1"/>
  <c r="KX114" i="1" s="1"/>
  <c r="JC114" i="1"/>
  <c r="KY114" i="1" s="1"/>
  <c r="JD114" i="1"/>
  <c r="KZ114" i="1" s="1"/>
  <c r="JE114" i="1"/>
  <c r="LA114" i="1" s="1"/>
  <c r="JF114" i="1"/>
  <c r="LB114" i="1" s="1"/>
  <c r="JG114" i="1"/>
  <c r="LC114" i="1" s="1"/>
  <c r="JH114" i="1"/>
  <c r="LD114" i="1" s="1"/>
  <c r="JI114" i="1"/>
  <c r="LE114" i="1" s="1"/>
  <c r="JJ114" i="1"/>
  <c r="LF114" i="1" s="1"/>
  <c r="JK114" i="1"/>
  <c r="LG114" i="1" s="1"/>
  <c r="JL114" i="1"/>
  <c r="LH114" i="1" s="1"/>
  <c r="JM114" i="1"/>
  <c r="LI114" i="1" s="1"/>
  <c r="JN114" i="1"/>
  <c r="LJ114" i="1" s="1"/>
  <c r="JO114" i="1"/>
  <c r="LK114" i="1" s="1"/>
  <c r="JP114" i="1"/>
  <c r="LL114" i="1" s="1"/>
  <c r="JQ114" i="1"/>
  <c r="LM114" i="1" s="1"/>
  <c r="LN114" i="1"/>
  <c r="KH68" i="1"/>
  <c r="IM68" i="1"/>
  <c r="KI68" i="1" s="1"/>
  <c r="IN68" i="1"/>
  <c r="KJ68" i="1" s="1"/>
  <c r="IO68" i="1"/>
  <c r="KK68" i="1" s="1"/>
  <c r="IP68" i="1"/>
  <c r="KL68" i="1" s="1"/>
  <c r="IQ68" i="1"/>
  <c r="KM68" i="1" s="1"/>
  <c r="IR68" i="1"/>
  <c r="KN68" i="1" s="1"/>
  <c r="IS68" i="1"/>
  <c r="KO68" i="1" s="1"/>
  <c r="IT68" i="1"/>
  <c r="KP68" i="1" s="1"/>
  <c r="IU68" i="1"/>
  <c r="KQ68" i="1" s="1"/>
  <c r="IV68" i="1"/>
  <c r="KR68" i="1" s="1"/>
  <c r="IW68" i="1"/>
  <c r="KS68" i="1" s="1"/>
  <c r="IX68" i="1"/>
  <c r="KT68" i="1" s="1"/>
  <c r="IY68" i="1"/>
  <c r="KU68" i="1" s="1"/>
  <c r="IZ68" i="1"/>
  <c r="KV68" i="1" s="1"/>
  <c r="JA68" i="1"/>
  <c r="KW68" i="1" s="1"/>
  <c r="JB68" i="1"/>
  <c r="KX68" i="1" s="1"/>
  <c r="JC68" i="1"/>
  <c r="KY68" i="1" s="1"/>
  <c r="JD68" i="1"/>
  <c r="KZ68" i="1" s="1"/>
  <c r="JE68" i="1"/>
  <c r="LA68" i="1" s="1"/>
  <c r="JF68" i="1"/>
  <c r="LB68" i="1" s="1"/>
  <c r="JG68" i="1"/>
  <c r="LC68" i="1" s="1"/>
  <c r="JH68" i="1"/>
  <c r="LD68" i="1" s="1"/>
  <c r="JI68" i="1"/>
  <c r="LE68" i="1" s="1"/>
  <c r="JJ68" i="1"/>
  <c r="LF68" i="1" s="1"/>
  <c r="JK68" i="1"/>
  <c r="LG68" i="1" s="1"/>
  <c r="JL68" i="1"/>
  <c r="LH68" i="1" s="1"/>
  <c r="JM68" i="1"/>
  <c r="LI68" i="1" s="1"/>
  <c r="JN68" i="1"/>
  <c r="LJ68" i="1" s="1"/>
  <c r="JO68" i="1"/>
  <c r="LK68" i="1" s="1"/>
  <c r="JP68" i="1"/>
  <c r="LL68" i="1" s="1"/>
  <c r="JQ68" i="1"/>
  <c r="LM68" i="1" s="1"/>
  <c r="LN68" i="1"/>
  <c r="KH69" i="1"/>
  <c r="IM69" i="1"/>
  <c r="KI69" i="1" s="1"/>
  <c r="IN69" i="1"/>
  <c r="KJ69" i="1" s="1"/>
  <c r="IO69" i="1"/>
  <c r="KK69" i="1" s="1"/>
  <c r="IP69" i="1"/>
  <c r="KL69" i="1" s="1"/>
  <c r="IQ69" i="1"/>
  <c r="KM69" i="1" s="1"/>
  <c r="IR69" i="1"/>
  <c r="KN69" i="1" s="1"/>
  <c r="IS69" i="1"/>
  <c r="KO69" i="1" s="1"/>
  <c r="IT69" i="1"/>
  <c r="KP69" i="1" s="1"/>
  <c r="IU69" i="1"/>
  <c r="KQ69" i="1" s="1"/>
  <c r="IV69" i="1"/>
  <c r="KR69" i="1" s="1"/>
  <c r="IW69" i="1"/>
  <c r="KS69" i="1" s="1"/>
  <c r="IX69" i="1"/>
  <c r="KT69" i="1" s="1"/>
  <c r="IY69" i="1"/>
  <c r="KU69" i="1" s="1"/>
  <c r="IZ69" i="1"/>
  <c r="KV69" i="1" s="1"/>
  <c r="JA69" i="1"/>
  <c r="KW69" i="1" s="1"/>
  <c r="JB69" i="1"/>
  <c r="KX69" i="1" s="1"/>
  <c r="JC69" i="1"/>
  <c r="KY69" i="1" s="1"/>
  <c r="JD69" i="1"/>
  <c r="KZ69" i="1" s="1"/>
  <c r="JE69" i="1"/>
  <c r="LA69" i="1" s="1"/>
  <c r="JF69" i="1"/>
  <c r="LB69" i="1" s="1"/>
  <c r="JG69" i="1"/>
  <c r="LC69" i="1" s="1"/>
  <c r="JH69" i="1"/>
  <c r="LD69" i="1" s="1"/>
  <c r="JI69" i="1"/>
  <c r="LE69" i="1" s="1"/>
  <c r="JJ69" i="1"/>
  <c r="LF69" i="1" s="1"/>
  <c r="JK69" i="1"/>
  <c r="LG69" i="1" s="1"/>
  <c r="JL69" i="1"/>
  <c r="LH69" i="1" s="1"/>
  <c r="JM69" i="1"/>
  <c r="LI69" i="1" s="1"/>
  <c r="JN69" i="1"/>
  <c r="LJ69" i="1" s="1"/>
  <c r="JO69" i="1"/>
  <c r="LK69" i="1" s="1"/>
  <c r="JP69" i="1"/>
  <c r="LL69" i="1" s="1"/>
  <c r="JQ69" i="1"/>
  <c r="LM69" i="1" s="1"/>
  <c r="LN69" i="1"/>
  <c r="KH70" i="1"/>
  <c r="IM70" i="1"/>
  <c r="KI70" i="1" s="1"/>
  <c r="IN70" i="1"/>
  <c r="KJ70" i="1" s="1"/>
  <c r="IO70" i="1"/>
  <c r="KK70" i="1" s="1"/>
  <c r="IP70" i="1"/>
  <c r="KL70" i="1" s="1"/>
  <c r="IQ70" i="1"/>
  <c r="KM70" i="1" s="1"/>
  <c r="IR70" i="1"/>
  <c r="KN70" i="1" s="1"/>
  <c r="IS70" i="1"/>
  <c r="KO70" i="1" s="1"/>
  <c r="IT70" i="1"/>
  <c r="KP70" i="1" s="1"/>
  <c r="IU70" i="1"/>
  <c r="KQ70" i="1" s="1"/>
  <c r="IV70" i="1"/>
  <c r="KR70" i="1" s="1"/>
  <c r="IW70" i="1"/>
  <c r="KS70" i="1" s="1"/>
  <c r="IX70" i="1"/>
  <c r="KT70" i="1" s="1"/>
  <c r="IY70" i="1"/>
  <c r="KU70" i="1" s="1"/>
  <c r="IZ70" i="1"/>
  <c r="KV70" i="1" s="1"/>
  <c r="JA70" i="1"/>
  <c r="KW70" i="1" s="1"/>
  <c r="JB70" i="1"/>
  <c r="KX70" i="1" s="1"/>
  <c r="JC70" i="1"/>
  <c r="KY70" i="1" s="1"/>
  <c r="JD70" i="1"/>
  <c r="KZ70" i="1" s="1"/>
  <c r="JE70" i="1"/>
  <c r="LA70" i="1" s="1"/>
  <c r="JF70" i="1"/>
  <c r="LB70" i="1" s="1"/>
  <c r="JG70" i="1"/>
  <c r="LC70" i="1" s="1"/>
  <c r="JH70" i="1"/>
  <c r="LD70" i="1" s="1"/>
  <c r="JI70" i="1"/>
  <c r="LE70" i="1" s="1"/>
  <c r="JJ70" i="1"/>
  <c r="LF70" i="1" s="1"/>
  <c r="JK70" i="1"/>
  <c r="LG70" i="1" s="1"/>
  <c r="JL70" i="1"/>
  <c r="LH70" i="1" s="1"/>
  <c r="JM70" i="1"/>
  <c r="LI70" i="1" s="1"/>
  <c r="JN70" i="1"/>
  <c r="LJ70" i="1" s="1"/>
  <c r="JO70" i="1"/>
  <c r="LK70" i="1" s="1"/>
  <c r="JP70" i="1"/>
  <c r="LL70" i="1" s="1"/>
  <c r="JQ70" i="1"/>
  <c r="LM70" i="1" s="1"/>
  <c r="LN70" i="1"/>
  <c r="KH115" i="1"/>
  <c r="IM115" i="1"/>
  <c r="KI115" i="1" s="1"/>
  <c r="IN115" i="1"/>
  <c r="KJ115" i="1" s="1"/>
  <c r="IO115" i="1"/>
  <c r="KK115" i="1" s="1"/>
  <c r="IP115" i="1"/>
  <c r="KL115" i="1" s="1"/>
  <c r="IQ115" i="1"/>
  <c r="KM115" i="1" s="1"/>
  <c r="IR115" i="1"/>
  <c r="KN115" i="1" s="1"/>
  <c r="IS115" i="1"/>
  <c r="KO115" i="1" s="1"/>
  <c r="IT115" i="1"/>
  <c r="KP115" i="1" s="1"/>
  <c r="IU115" i="1"/>
  <c r="KQ115" i="1" s="1"/>
  <c r="IV115" i="1"/>
  <c r="KR115" i="1" s="1"/>
  <c r="IW115" i="1"/>
  <c r="KS115" i="1" s="1"/>
  <c r="IX115" i="1"/>
  <c r="KT115" i="1" s="1"/>
  <c r="IY115" i="1"/>
  <c r="KU115" i="1" s="1"/>
  <c r="IZ115" i="1"/>
  <c r="KV115" i="1" s="1"/>
  <c r="JA115" i="1"/>
  <c r="KW115" i="1" s="1"/>
  <c r="JB115" i="1"/>
  <c r="KX115" i="1" s="1"/>
  <c r="JC115" i="1"/>
  <c r="KY115" i="1" s="1"/>
  <c r="JD115" i="1"/>
  <c r="KZ115" i="1" s="1"/>
  <c r="JE115" i="1"/>
  <c r="LA115" i="1" s="1"/>
  <c r="JF115" i="1"/>
  <c r="LB115" i="1" s="1"/>
  <c r="JG115" i="1"/>
  <c r="LC115" i="1" s="1"/>
  <c r="JH115" i="1"/>
  <c r="LD115" i="1" s="1"/>
  <c r="JI115" i="1"/>
  <c r="LE115" i="1" s="1"/>
  <c r="JJ115" i="1"/>
  <c r="LF115" i="1" s="1"/>
  <c r="JK115" i="1"/>
  <c r="LG115" i="1" s="1"/>
  <c r="JL115" i="1"/>
  <c r="LH115" i="1" s="1"/>
  <c r="JM115" i="1"/>
  <c r="LI115" i="1" s="1"/>
  <c r="JN115" i="1"/>
  <c r="LJ115" i="1" s="1"/>
  <c r="JO115" i="1"/>
  <c r="LK115" i="1" s="1"/>
  <c r="JP115" i="1"/>
  <c r="LL115" i="1" s="1"/>
  <c r="JQ115" i="1"/>
  <c r="LM115" i="1" s="1"/>
  <c r="LN115" i="1"/>
  <c r="KH71" i="1"/>
  <c r="IM71" i="1"/>
  <c r="KI71" i="1" s="1"/>
  <c r="IN71" i="1"/>
  <c r="KJ71" i="1" s="1"/>
  <c r="IO71" i="1"/>
  <c r="KK71" i="1" s="1"/>
  <c r="IP71" i="1"/>
  <c r="KL71" i="1" s="1"/>
  <c r="IQ71" i="1"/>
  <c r="KM71" i="1" s="1"/>
  <c r="IR71" i="1"/>
  <c r="KN71" i="1" s="1"/>
  <c r="IS71" i="1"/>
  <c r="KO71" i="1" s="1"/>
  <c r="IT71" i="1"/>
  <c r="KP71" i="1" s="1"/>
  <c r="IU71" i="1"/>
  <c r="KQ71" i="1" s="1"/>
  <c r="IV71" i="1"/>
  <c r="KR71" i="1" s="1"/>
  <c r="IW71" i="1"/>
  <c r="KS71" i="1" s="1"/>
  <c r="IX71" i="1"/>
  <c r="KT71" i="1" s="1"/>
  <c r="IY71" i="1"/>
  <c r="KU71" i="1" s="1"/>
  <c r="IZ71" i="1"/>
  <c r="KV71" i="1" s="1"/>
  <c r="JA71" i="1"/>
  <c r="KW71" i="1" s="1"/>
  <c r="JB71" i="1"/>
  <c r="KX71" i="1" s="1"/>
  <c r="JC71" i="1"/>
  <c r="KY71" i="1" s="1"/>
  <c r="JD71" i="1"/>
  <c r="KZ71" i="1" s="1"/>
  <c r="JE71" i="1"/>
  <c r="LA71" i="1" s="1"/>
  <c r="JF71" i="1"/>
  <c r="LB71" i="1" s="1"/>
  <c r="JG71" i="1"/>
  <c r="LC71" i="1" s="1"/>
  <c r="JH71" i="1"/>
  <c r="LD71" i="1" s="1"/>
  <c r="JI71" i="1"/>
  <c r="LE71" i="1" s="1"/>
  <c r="JJ71" i="1"/>
  <c r="LF71" i="1" s="1"/>
  <c r="JK71" i="1"/>
  <c r="LG71" i="1" s="1"/>
  <c r="JL71" i="1"/>
  <c r="LH71" i="1" s="1"/>
  <c r="JM71" i="1"/>
  <c r="LI71" i="1" s="1"/>
  <c r="JN71" i="1"/>
  <c r="LJ71" i="1" s="1"/>
  <c r="JO71" i="1"/>
  <c r="LK71" i="1" s="1"/>
  <c r="JP71" i="1"/>
  <c r="LL71" i="1" s="1"/>
  <c r="JQ71" i="1"/>
  <c r="LM71" i="1" s="1"/>
  <c r="LN71" i="1"/>
  <c r="KH72" i="1"/>
  <c r="IM72" i="1"/>
  <c r="KI72" i="1" s="1"/>
  <c r="IN72" i="1"/>
  <c r="KJ72" i="1" s="1"/>
  <c r="IO72" i="1"/>
  <c r="KK72" i="1" s="1"/>
  <c r="IP72" i="1"/>
  <c r="KL72" i="1" s="1"/>
  <c r="IQ72" i="1"/>
  <c r="KM72" i="1" s="1"/>
  <c r="IR72" i="1"/>
  <c r="KN72" i="1" s="1"/>
  <c r="IS72" i="1"/>
  <c r="KO72" i="1" s="1"/>
  <c r="IT72" i="1"/>
  <c r="KP72" i="1" s="1"/>
  <c r="IU72" i="1"/>
  <c r="KQ72" i="1" s="1"/>
  <c r="IV72" i="1"/>
  <c r="KR72" i="1" s="1"/>
  <c r="IW72" i="1"/>
  <c r="KS72" i="1" s="1"/>
  <c r="IX72" i="1"/>
  <c r="KT72" i="1" s="1"/>
  <c r="IY72" i="1"/>
  <c r="KU72" i="1" s="1"/>
  <c r="IZ72" i="1"/>
  <c r="KV72" i="1" s="1"/>
  <c r="JA72" i="1"/>
  <c r="KW72" i="1" s="1"/>
  <c r="JB72" i="1"/>
  <c r="KX72" i="1" s="1"/>
  <c r="JC72" i="1"/>
  <c r="KY72" i="1" s="1"/>
  <c r="JD72" i="1"/>
  <c r="KZ72" i="1" s="1"/>
  <c r="JE72" i="1"/>
  <c r="LA72" i="1" s="1"/>
  <c r="JF72" i="1"/>
  <c r="LB72" i="1" s="1"/>
  <c r="JG72" i="1"/>
  <c r="LC72" i="1" s="1"/>
  <c r="JH72" i="1"/>
  <c r="LD72" i="1" s="1"/>
  <c r="JI72" i="1"/>
  <c r="LE72" i="1" s="1"/>
  <c r="JJ72" i="1"/>
  <c r="LF72" i="1" s="1"/>
  <c r="JK72" i="1"/>
  <c r="LG72" i="1" s="1"/>
  <c r="JL72" i="1"/>
  <c r="LH72" i="1" s="1"/>
  <c r="JM72" i="1"/>
  <c r="LI72" i="1" s="1"/>
  <c r="JN72" i="1"/>
  <c r="LJ72" i="1" s="1"/>
  <c r="JO72" i="1"/>
  <c r="LK72" i="1" s="1"/>
  <c r="JP72" i="1"/>
  <c r="LL72" i="1" s="1"/>
  <c r="JQ72" i="1"/>
  <c r="LM72" i="1" s="1"/>
  <c r="LN72" i="1"/>
  <c r="KH73" i="1"/>
  <c r="IM73" i="1"/>
  <c r="KI73" i="1" s="1"/>
  <c r="IN73" i="1"/>
  <c r="KJ73" i="1" s="1"/>
  <c r="IO73" i="1"/>
  <c r="KK73" i="1" s="1"/>
  <c r="IP73" i="1"/>
  <c r="KL73" i="1" s="1"/>
  <c r="IQ73" i="1"/>
  <c r="KM73" i="1" s="1"/>
  <c r="IR73" i="1"/>
  <c r="KN73" i="1" s="1"/>
  <c r="IS73" i="1"/>
  <c r="KO73" i="1" s="1"/>
  <c r="IT73" i="1"/>
  <c r="KP73" i="1" s="1"/>
  <c r="IU73" i="1"/>
  <c r="KQ73" i="1" s="1"/>
  <c r="IV73" i="1"/>
  <c r="KR73" i="1" s="1"/>
  <c r="IW73" i="1"/>
  <c r="KS73" i="1" s="1"/>
  <c r="IX73" i="1"/>
  <c r="KT73" i="1" s="1"/>
  <c r="IY73" i="1"/>
  <c r="KU73" i="1" s="1"/>
  <c r="IZ73" i="1"/>
  <c r="KV73" i="1" s="1"/>
  <c r="JA73" i="1"/>
  <c r="KW73" i="1" s="1"/>
  <c r="JB73" i="1"/>
  <c r="KX73" i="1" s="1"/>
  <c r="JC73" i="1"/>
  <c r="KY73" i="1" s="1"/>
  <c r="JD73" i="1"/>
  <c r="KZ73" i="1" s="1"/>
  <c r="JE73" i="1"/>
  <c r="LA73" i="1" s="1"/>
  <c r="JF73" i="1"/>
  <c r="LB73" i="1" s="1"/>
  <c r="JG73" i="1"/>
  <c r="LC73" i="1" s="1"/>
  <c r="JH73" i="1"/>
  <c r="LD73" i="1" s="1"/>
  <c r="JI73" i="1"/>
  <c r="LE73" i="1" s="1"/>
  <c r="JJ73" i="1"/>
  <c r="LF73" i="1" s="1"/>
  <c r="JK73" i="1"/>
  <c r="LG73" i="1" s="1"/>
  <c r="JL73" i="1"/>
  <c r="LH73" i="1" s="1"/>
  <c r="JM73" i="1"/>
  <c r="LI73" i="1" s="1"/>
  <c r="JN73" i="1"/>
  <c r="LJ73" i="1" s="1"/>
  <c r="JO73" i="1"/>
  <c r="LK73" i="1" s="1"/>
  <c r="JP73" i="1"/>
  <c r="LL73" i="1" s="1"/>
  <c r="JQ73" i="1"/>
  <c r="LM73" i="1" s="1"/>
  <c r="LN73" i="1"/>
  <c r="KH74" i="1"/>
  <c r="IM74" i="1"/>
  <c r="KI74" i="1" s="1"/>
  <c r="IN74" i="1"/>
  <c r="KJ74" i="1" s="1"/>
  <c r="IO74" i="1"/>
  <c r="KK74" i="1" s="1"/>
  <c r="IP74" i="1"/>
  <c r="KL74" i="1" s="1"/>
  <c r="IQ74" i="1"/>
  <c r="KM74" i="1" s="1"/>
  <c r="IR74" i="1"/>
  <c r="KN74" i="1" s="1"/>
  <c r="IS74" i="1"/>
  <c r="KO74" i="1" s="1"/>
  <c r="IT74" i="1"/>
  <c r="KP74" i="1" s="1"/>
  <c r="IU74" i="1"/>
  <c r="KQ74" i="1" s="1"/>
  <c r="IV74" i="1"/>
  <c r="KR74" i="1" s="1"/>
  <c r="IW74" i="1"/>
  <c r="KS74" i="1" s="1"/>
  <c r="IX74" i="1"/>
  <c r="KT74" i="1" s="1"/>
  <c r="IY74" i="1"/>
  <c r="KU74" i="1" s="1"/>
  <c r="IZ74" i="1"/>
  <c r="KV74" i="1" s="1"/>
  <c r="JA74" i="1"/>
  <c r="KW74" i="1" s="1"/>
  <c r="JB74" i="1"/>
  <c r="KX74" i="1" s="1"/>
  <c r="JC74" i="1"/>
  <c r="KY74" i="1" s="1"/>
  <c r="JD74" i="1"/>
  <c r="KZ74" i="1" s="1"/>
  <c r="JE74" i="1"/>
  <c r="LA74" i="1" s="1"/>
  <c r="JF74" i="1"/>
  <c r="LB74" i="1" s="1"/>
  <c r="JG74" i="1"/>
  <c r="LC74" i="1" s="1"/>
  <c r="JH74" i="1"/>
  <c r="LD74" i="1" s="1"/>
  <c r="JI74" i="1"/>
  <c r="LE74" i="1" s="1"/>
  <c r="JJ74" i="1"/>
  <c r="LF74" i="1" s="1"/>
  <c r="JK74" i="1"/>
  <c r="LG74" i="1" s="1"/>
  <c r="JL74" i="1"/>
  <c r="LH74" i="1" s="1"/>
  <c r="JM74" i="1"/>
  <c r="LI74" i="1" s="1"/>
  <c r="JN74" i="1"/>
  <c r="LJ74" i="1" s="1"/>
  <c r="JO74" i="1"/>
  <c r="LK74" i="1" s="1"/>
  <c r="JP74" i="1"/>
  <c r="LL74" i="1" s="1"/>
  <c r="JQ74" i="1"/>
  <c r="LM74" i="1" s="1"/>
  <c r="LN74" i="1"/>
  <c r="KH75" i="1"/>
  <c r="IM75" i="1"/>
  <c r="KI75" i="1" s="1"/>
  <c r="IN75" i="1"/>
  <c r="KJ75" i="1" s="1"/>
  <c r="IO75" i="1"/>
  <c r="KK75" i="1" s="1"/>
  <c r="IP75" i="1"/>
  <c r="KL75" i="1" s="1"/>
  <c r="IQ75" i="1"/>
  <c r="KM75" i="1" s="1"/>
  <c r="IR75" i="1"/>
  <c r="KN75" i="1" s="1"/>
  <c r="IS75" i="1"/>
  <c r="KO75" i="1" s="1"/>
  <c r="IT75" i="1"/>
  <c r="KP75" i="1" s="1"/>
  <c r="IU75" i="1"/>
  <c r="KQ75" i="1" s="1"/>
  <c r="IV75" i="1"/>
  <c r="KR75" i="1" s="1"/>
  <c r="IW75" i="1"/>
  <c r="KS75" i="1" s="1"/>
  <c r="IX75" i="1"/>
  <c r="KT75" i="1" s="1"/>
  <c r="IY75" i="1"/>
  <c r="KU75" i="1" s="1"/>
  <c r="IZ75" i="1"/>
  <c r="KV75" i="1" s="1"/>
  <c r="JA75" i="1"/>
  <c r="KW75" i="1" s="1"/>
  <c r="JB75" i="1"/>
  <c r="KX75" i="1" s="1"/>
  <c r="JC75" i="1"/>
  <c r="KY75" i="1" s="1"/>
  <c r="JD75" i="1"/>
  <c r="KZ75" i="1" s="1"/>
  <c r="JE75" i="1"/>
  <c r="LA75" i="1" s="1"/>
  <c r="JF75" i="1"/>
  <c r="LB75" i="1" s="1"/>
  <c r="JG75" i="1"/>
  <c r="LC75" i="1" s="1"/>
  <c r="JH75" i="1"/>
  <c r="LD75" i="1" s="1"/>
  <c r="JI75" i="1"/>
  <c r="LE75" i="1" s="1"/>
  <c r="JJ75" i="1"/>
  <c r="LF75" i="1" s="1"/>
  <c r="JK75" i="1"/>
  <c r="LG75" i="1" s="1"/>
  <c r="JL75" i="1"/>
  <c r="LH75" i="1" s="1"/>
  <c r="JM75" i="1"/>
  <c r="LI75" i="1" s="1"/>
  <c r="JN75" i="1"/>
  <c r="LJ75" i="1" s="1"/>
  <c r="JO75" i="1"/>
  <c r="LK75" i="1" s="1"/>
  <c r="JP75" i="1"/>
  <c r="LL75" i="1" s="1"/>
  <c r="JQ75" i="1"/>
  <c r="LM75" i="1" s="1"/>
  <c r="LN75" i="1"/>
  <c r="KH76" i="1"/>
  <c r="IM76" i="1"/>
  <c r="KI76" i="1" s="1"/>
  <c r="IN76" i="1"/>
  <c r="KJ76" i="1" s="1"/>
  <c r="IO76" i="1"/>
  <c r="KK76" i="1" s="1"/>
  <c r="IP76" i="1"/>
  <c r="KL76" i="1" s="1"/>
  <c r="IQ76" i="1"/>
  <c r="KM76" i="1" s="1"/>
  <c r="IR76" i="1"/>
  <c r="KN76" i="1" s="1"/>
  <c r="IS76" i="1"/>
  <c r="KO76" i="1" s="1"/>
  <c r="IT76" i="1"/>
  <c r="KP76" i="1" s="1"/>
  <c r="IU76" i="1"/>
  <c r="KQ76" i="1" s="1"/>
  <c r="IV76" i="1"/>
  <c r="KR76" i="1" s="1"/>
  <c r="IW76" i="1"/>
  <c r="KS76" i="1" s="1"/>
  <c r="IX76" i="1"/>
  <c r="KT76" i="1" s="1"/>
  <c r="IY76" i="1"/>
  <c r="KU76" i="1" s="1"/>
  <c r="IZ76" i="1"/>
  <c r="KV76" i="1" s="1"/>
  <c r="JA76" i="1"/>
  <c r="KW76" i="1" s="1"/>
  <c r="JB76" i="1"/>
  <c r="KX76" i="1" s="1"/>
  <c r="JC76" i="1"/>
  <c r="KY76" i="1" s="1"/>
  <c r="JD76" i="1"/>
  <c r="KZ76" i="1" s="1"/>
  <c r="JE76" i="1"/>
  <c r="LA76" i="1" s="1"/>
  <c r="JF76" i="1"/>
  <c r="LB76" i="1" s="1"/>
  <c r="JG76" i="1"/>
  <c r="LC76" i="1" s="1"/>
  <c r="JH76" i="1"/>
  <c r="LD76" i="1" s="1"/>
  <c r="JI76" i="1"/>
  <c r="LE76" i="1" s="1"/>
  <c r="JJ76" i="1"/>
  <c r="LF76" i="1" s="1"/>
  <c r="JK76" i="1"/>
  <c r="LG76" i="1" s="1"/>
  <c r="JL76" i="1"/>
  <c r="LH76" i="1" s="1"/>
  <c r="JM76" i="1"/>
  <c r="LI76" i="1" s="1"/>
  <c r="JN76" i="1"/>
  <c r="LJ76" i="1" s="1"/>
  <c r="JO76" i="1"/>
  <c r="LK76" i="1" s="1"/>
  <c r="JP76" i="1"/>
  <c r="LL76" i="1" s="1"/>
  <c r="JQ76" i="1"/>
  <c r="LM76" i="1" s="1"/>
  <c r="LN76" i="1"/>
  <c r="KH116" i="1"/>
  <c r="IM116" i="1"/>
  <c r="KI116" i="1" s="1"/>
  <c r="IN116" i="1"/>
  <c r="KJ116" i="1" s="1"/>
  <c r="IO116" i="1"/>
  <c r="KK116" i="1" s="1"/>
  <c r="IP116" i="1"/>
  <c r="KL116" i="1" s="1"/>
  <c r="IQ116" i="1"/>
  <c r="KM116" i="1" s="1"/>
  <c r="IR116" i="1"/>
  <c r="KN116" i="1" s="1"/>
  <c r="IS116" i="1"/>
  <c r="KO116" i="1" s="1"/>
  <c r="IT116" i="1"/>
  <c r="KP116" i="1" s="1"/>
  <c r="IU116" i="1"/>
  <c r="KQ116" i="1" s="1"/>
  <c r="IV116" i="1"/>
  <c r="KR116" i="1" s="1"/>
  <c r="IW116" i="1"/>
  <c r="KS116" i="1" s="1"/>
  <c r="IX116" i="1"/>
  <c r="KT116" i="1" s="1"/>
  <c r="IY116" i="1"/>
  <c r="KU116" i="1" s="1"/>
  <c r="IZ116" i="1"/>
  <c r="KV116" i="1" s="1"/>
  <c r="JA116" i="1"/>
  <c r="KW116" i="1" s="1"/>
  <c r="JB116" i="1"/>
  <c r="KX116" i="1" s="1"/>
  <c r="JC116" i="1"/>
  <c r="KY116" i="1" s="1"/>
  <c r="JD116" i="1"/>
  <c r="KZ116" i="1" s="1"/>
  <c r="JE116" i="1"/>
  <c r="LA116" i="1" s="1"/>
  <c r="JF116" i="1"/>
  <c r="LB116" i="1" s="1"/>
  <c r="JG116" i="1"/>
  <c r="LC116" i="1" s="1"/>
  <c r="JH116" i="1"/>
  <c r="LD116" i="1" s="1"/>
  <c r="JI116" i="1"/>
  <c r="LE116" i="1" s="1"/>
  <c r="JJ116" i="1"/>
  <c r="LF116" i="1" s="1"/>
  <c r="JK116" i="1"/>
  <c r="LG116" i="1" s="1"/>
  <c r="JL116" i="1"/>
  <c r="LH116" i="1" s="1"/>
  <c r="JM116" i="1"/>
  <c r="LI116" i="1" s="1"/>
  <c r="JN116" i="1"/>
  <c r="LJ116" i="1" s="1"/>
  <c r="JO116" i="1"/>
  <c r="LK116" i="1" s="1"/>
  <c r="JP116" i="1"/>
  <c r="LL116" i="1" s="1"/>
  <c r="JQ116" i="1"/>
  <c r="LM116" i="1" s="1"/>
  <c r="LN116" i="1"/>
  <c r="KH77" i="1"/>
  <c r="IM77" i="1"/>
  <c r="KI77" i="1" s="1"/>
  <c r="IN77" i="1"/>
  <c r="KJ77" i="1" s="1"/>
  <c r="IO77" i="1"/>
  <c r="KK77" i="1" s="1"/>
  <c r="IP77" i="1"/>
  <c r="KL77" i="1" s="1"/>
  <c r="IQ77" i="1"/>
  <c r="KM77" i="1" s="1"/>
  <c r="IR77" i="1"/>
  <c r="KN77" i="1" s="1"/>
  <c r="IS77" i="1"/>
  <c r="KO77" i="1" s="1"/>
  <c r="IT77" i="1"/>
  <c r="KP77" i="1" s="1"/>
  <c r="IU77" i="1"/>
  <c r="KQ77" i="1" s="1"/>
  <c r="IV77" i="1"/>
  <c r="KR77" i="1" s="1"/>
  <c r="IW77" i="1"/>
  <c r="KS77" i="1" s="1"/>
  <c r="IX77" i="1"/>
  <c r="KT77" i="1" s="1"/>
  <c r="IY77" i="1"/>
  <c r="KU77" i="1" s="1"/>
  <c r="IZ77" i="1"/>
  <c r="KV77" i="1" s="1"/>
  <c r="JA77" i="1"/>
  <c r="KW77" i="1" s="1"/>
  <c r="JB77" i="1"/>
  <c r="KX77" i="1" s="1"/>
  <c r="JC77" i="1"/>
  <c r="KY77" i="1" s="1"/>
  <c r="JD77" i="1"/>
  <c r="KZ77" i="1" s="1"/>
  <c r="JE77" i="1"/>
  <c r="LA77" i="1" s="1"/>
  <c r="JF77" i="1"/>
  <c r="LB77" i="1" s="1"/>
  <c r="JG77" i="1"/>
  <c r="LC77" i="1" s="1"/>
  <c r="JH77" i="1"/>
  <c r="LD77" i="1" s="1"/>
  <c r="JI77" i="1"/>
  <c r="LE77" i="1" s="1"/>
  <c r="JJ77" i="1"/>
  <c r="LF77" i="1" s="1"/>
  <c r="JK77" i="1"/>
  <c r="LG77" i="1" s="1"/>
  <c r="JL77" i="1"/>
  <c r="LH77" i="1" s="1"/>
  <c r="JM77" i="1"/>
  <c r="LI77" i="1" s="1"/>
  <c r="JN77" i="1"/>
  <c r="LJ77" i="1" s="1"/>
  <c r="JO77" i="1"/>
  <c r="LK77" i="1" s="1"/>
  <c r="JP77" i="1"/>
  <c r="LL77" i="1" s="1"/>
  <c r="JQ77" i="1"/>
  <c r="LM77" i="1" s="1"/>
  <c r="LN77" i="1"/>
  <c r="KH117" i="1"/>
  <c r="IM117" i="1"/>
  <c r="KI117" i="1" s="1"/>
  <c r="IN117" i="1"/>
  <c r="KJ117" i="1" s="1"/>
  <c r="IO117" i="1"/>
  <c r="KK117" i="1" s="1"/>
  <c r="IP117" i="1"/>
  <c r="KL117" i="1" s="1"/>
  <c r="IQ117" i="1"/>
  <c r="KM117" i="1" s="1"/>
  <c r="IR117" i="1"/>
  <c r="KN117" i="1" s="1"/>
  <c r="IS117" i="1"/>
  <c r="KO117" i="1" s="1"/>
  <c r="IT117" i="1"/>
  <c r="KP117" i="1" s="1"/>
  <c r="IU117" i="1"/>
  <c r="KQ117" i="1" s="1"/>
  <c r="IV117" i="1"/>
  <c r="KR117" i="1" s="1"/>
  <c r="IW117" i="1"/>
  <c r="KS117" i="1" s="1"/>
  <c r="IX117" i="1"/>
  <c r="KT117" i="1" s="1"/>
  <c r="IY117" i="1"/>
  <c r="KU117" i="1" s="1"/>
  <c r="IZ117" i="1"/>
  <c r="KV117" i="1" s="1"/>
  <c r="JA117" i="1"/>
  <c r="KW117" i="1" s="1"/>
  <c r="JB117" i="1"/>
  <c r="KX117" i="1" s="1"/>
  <c r="JC117" i="1"/>
  <c r="KY117" i="1" s="1"/>
  <c r="JD117" i="1"/>
  <c r="KZ117" i="1" s="1"/>
  <c r="JE117" i="1"/>
  <c r="LA117" i="1" s="1"/>
  <c r="JF117" i="1"/>
  <c r="LB117" i="1" s="1"/>
  <c r="JG117" i="1"/>
  <c r="LC117" i="1" s="1"/>
  <c r="JH117" i="1"/>
  <c r="LD117" i="1" s="1"/>
  <c r="JI117" i="1"/>
  <c r="LE117" i="1" s="1"/>
  <c r="JJ117" i="1"/>
  <c r="LF117" i="1" s="1"/>
  <c r="JK117" i="1"/>
  <c r="LG117" i="1" s="1"/>
  <c r="JL117" i="1"/>
  <c r="LH117" i="1" s="1"/>
  <c r="JM117" i="1"/>
  <c r="LI117" i="1" s="1"/>
  <c r="JN117" i="1"/>
  <c r="LJ117" i="1" s="1"/>
  <c r="JO117" i="1"/>
  <c r="LK117" i="1" s="1"/>
  <c r="JP117" i="1"/>
  <c r="LL117" i="1" s="1"/>
  <c r="JQ117" i="1"/>
  <c r="LM117" i="1" s="1"/>
  <c r="LN117" i="1"/>
  <c r="KH118" i="1"/>
  <c r="IM118" i="1"/>
  <c r="KI118" i="1" s="1"/>
  <c r="IN118" i="1"/>
  <c r="KJ118" i="1" s="1"/>
  <c r="IO118" i="1"/>
  <c r="KK118" i="1" s="1"/>
  <c r="IP118" i="1"/>
  <c r="KL118" i="1" s="1"/>
  <c r="IQ118" i="1"/>
  <c r="KM118" i="1" s="1"/>
  <c r="IR118" i="1"/>
  <c r="KN118" i="1" s="1"/>
  <c r="IS118" i="1"/>
  <c r="KO118" i="1" s="1"/>
  <c r="IT118" i="1"/>
  <c r="KP118" i="1" s="1"/>
  <c r="IU118" i="1"/>
  <c r="KQ118" i="1" s="1"/>
  <c r="IV118" i="1"/>
  <c r="KR118" i="1" s="1"/>
  <c r="IW118" i="1"/>
  <c r="KS118" i="1" s="1"/>
  <c r="IX118" i="1"/>
  <c r="KT118" i="1" s="1"/>
  <c r="IY118" i="1"/>
  <c r="KU118" i="1" s="1"/>
  <c r="IZ118" i="1"/>
  <c r="KV118" i="1" s="1"/>
  <c r="JA118" i="1"/>
  <c r="KW118" i="1" s="1"/>
  <c r="JB118" i="1"/>
  <c r="KX118" i="1" s="1"/>
  <c r="JC118" i="1"/>
  <c r="KY118" i="1" s="1"/>
  <c r="JD118" i="1"/>
  <c r="KZ118" i="1" s="1"/>
  <c r="JE118" i="1"/>
  <c r="LA118" i="1" s="1"/>
  <c r="JF118" i="1"/>
  <c r="LB118" i="1" s="1"/>
  <c r="JG118" i="1"/>
  <c r="LC118" i="1" s="1"/>
  <c r="JH118" i="1"/>
  <c r="LD118" i="1" s="1"/>
  <c r="JI118" i="1"/>
  <c r="LE118" i="1" s="1"/>
  <c r="JJ118" i="1"/>
  <c r="LF118" i="1" s="1"/>
  <c r="JK118" i="1"/>
  <c r="LG118" i="1" s="1"/>
  <c r="JL118" i="1"/>
  <c r="LH118" i="1" s="1"/>
  <c r="JM118" i="1"/>
  <c r="LI118" i="1" s="1"/>
  <c r="JN118" i="1"/>
  <c r="LJ118" i="1" s="1"/>
  <c r="JO118" i="1"/>
  <c r="LK118" i="1" s="1"/>
  <c r="JP118" i="1"/>
  <c r="LL118" i="1" s="1"/>
  <c r="JQ118" i="1"/>
  <c r="LM118" i="1" s="1"/>
  <c r="LN118" i="1"/>
  <c r="KH78" i="1"/>
  <c r="IM78" i="1"/>
  <c r="KI78" i="1" s="1"/>
  <c r="IN78" i="1"/>
  <c r="KJ78" i="1" s="1"/>
  <c r="IO78" i="1"/>
  <c r="KK78" i="1" s="1"/>
  <c r="IP78" i="1"/>
  <c r="KL78" i="1" s="1"/>
  <c r="IQ78" i="1"/>
  <c r="KM78" i="1" s="1"/>
  <c r="IR78" i="1"/>
  <c r="KN78" i="1" s="1"/>
  <c r="IS78" i="1"/>
  <c r="KO78" i="1" s="1"/>
  <c r="IT78" i="1"/>
  <c r="KP78" i="1" s="1"/>
  <c r="IU78" i="1"/>
  <c r="KQ78" i="1" s="1"/>
  <c r="IV78" i="1"/>
  <c r="KR78" i="1" s="1"/>
  <c r="IW78" i="1"/>
  <c r="KS78" i="1" s="1"/>
  <c r="IX78" i="1"/>
  <c r="KT78" i="1" s="1"/>
  <c r="IY78" i="1"/>
  <c r="KU78" i="1" s="1"/>
  <c r="IZ78" i="1"/>
  <c r="KV78" i="1" s="1"/>
  <c r="JA78" i="1"/>
  <c r="KW78" i="1" s="1"/>
  <c r="JB78" i="1"/>
  <c r="KX78" i="1" s="1"/>
  <c r="JC78" i="1"/>
  <c r="KY78" i="1" s="1"/>
  <c r="JD78" i="1"/>
  <c r="KZ78" i="1" s="1"/>
  <c r="JE78" i="1"/>
  <c r="LA78" i="1" s="1"/>
  <c r="JF78" i="1"/>
  <c r="LB78" i="1" s="1"/>
  <c r="JG78" i="1"/>
  <c r="LC78" i="1" s="1"/>
  <c r="JH78" i="1"/>
  <c r="LD78" i="1" s="1"/>
  <c r="JI78" i="1"/>
  <c r="LE78" i="1" s="1"/>
  <c r="JJ78" i="1"/>
  <c r="LF78" i="1" s="1"/>
  <c r="JK78" i="1"/>
  <c r="LG78" i="1" s="1"/>
  <c r="JL78" i="1"/>
  <c r="LH78" i="1" s="1"/>
  <c r="JM78" i="1"/>
  <c r="LI78" i="1" s="1"/>
  <c r="JN78" i="1"/>
  <c r="LJ78" i="1" s="1"/>
  <c r="JO78" i="1"/>
  <c r="LK78" i="1" s="1"/>
  <c r="JP78" i="1"/>
  <c r="LL78" i="1" s="1"/>
  <c r="JQ78" i="1"/>
  <c r="LM78" i="1" s="1"/>
  <c r="LN78" i="1"/>
  <c r="KH79" i="1"/>
  <c r="IM79" i="1"/>
  <c r="KI79" i="1" s="1"/>
  <c r="IN79" i="1"/>
  <c r="KJ79" i="1" s="1"/>
  <c r="IO79" i="1"/>
  <c r="KK79" i="1" s="1"/>
  <c r="IP79" i="1"/>
  <c r="KL79" i="1" s="1"/>
  <c r="IQ79" i="1"/>
  <c r="KM79" i="1" s="1"/>
  <c r="IR79" i="1"/>
  <c r="KN79" i="1" s="1"/>
  <c r="IS79" i="1"/>
  <c r="KO79" i="1" s="1"/>
  <c r="IT79" i="1"/>
  <c r="KP79" i="1" s="1"/>
  <c r="IU79" i="1"/>
  <c r="KQ79" i="1" s="1"/>
  <c r="IV79" i="1"/>
  <c r="KR79" i="1" s="1"/>
  <c r="IW79" i="1"/>
  <c r="KS79" i="1" s="1"/>
  <c r="IX79" i="1"/>
  <c r="KT79" i="1" s="1"/>
  <c r="IY79" i="1"/>
  <c r="KU79" i="1" s="1"/>
  <c r="IZ79" i="1"/>
  <c r="KV79" i="1" s="1"/>
  <c r="JA79" i="1"/>
  <c r="KW79" i="1" s="1"/>
  <c r="JB79" i="1"/>
  <c r="KX79" i="1" s="1"/>
  <c r="JC79" i="1"/>
  <c r="KY79" i="1" s="1"/>
  <c r="JD79" i="1"/>
  <c r="KZ79" i="1" s="1"/>
  <c r="JE79" i="1"/>
  <c r="LA79" i="1" s="1"/>
  <c r="JF79" i="1"/>
  <c r="LB79" i="1" s="1"/>
  <c r="JG79" i="1"/>
  <c r="LC79" i="1" s="1"/>
  <c r="JH79" i="1"/>
  <c r="LD79" i="1" s="1"/>
  <c r="JI79" i="1"/>
  <c r="LE79" i="1" s="1"/>
  <c r="JJ79" i="1"/>
  <c r="LF79" i="1" s="1"/>
  <c r="JK79" i="1"/>
  <c r="LG79" i="1" s="1"/>
  <c r="JL79" i="1"/>
  <c r="LH79" i="1" s="1"/>
  <c r="JM79" i="1"/>
  <c r="LI79" i="1" s="1"/>
  <c r="JN79" i="1"/>
  <c r="LJ79" i="1" s="1"/>
  <c r="JO79" i="1"/>
  <c r="LK79" i="1" s="1"/>
  <c r="JP79" i="1"/>
  <c r="LL79" i="1" s="1"/>
  <c r="JQ79" i="1"/>
  <c r="LM79" i="1" s="1"/>
  <c r="LN79" i="1"/>
  <c r="KH119" i="1"/>
  <c r="IM119" i="1"/>
  <c r="KI119" i="1" s="1"/>
  <c r="IN119" i="1"/>
  <c r="KJ119" i="1" s="1"/>
  <c r="IO119" i="1"/>
  <c r="KK119" i="1" s="1"/>
  <c r="IP119" i="1"/>
  <c r="KL119" i="1" s="1"/>
  <c r="IQ119" i="1"/>
  <c r="KM119" i="1" s="1"/>
  <c r="IR119" i="1"/>
  <c r="KN119" i="1" s="1"/>
  <c r="IS119" i="1"/>
  <c r="KO119" i="1" s="1"/>
  <c r="IT119" i="1"/>
  <c r="KP119" i="1" s="1"/>
  <c r="IU119" i="1"/>
  <c r="KQ119" i="1" s="1"/>
  <c r="IV119" i="1"/>
  <c r="KR119" i="1" s="1"/>
  <c r="IW119" i="1"/>
  <c r="KS119" i="1" s="1"/>
  <c r="IX119" i="1"/>
  <c r="KT119" i="1" s="1"/>
  <c r="IY119" i="1"/>
  <c r="KU119" i="1" s="1"/>
  <c r="IZ119" i="1"/>
  <c r="KV119" i="1" s="1"/>
  <c r="JA119" i="1"/>
  <c r="KW119" i="1" s="1"/>
  <c r="JB119" i="1"/>
  <c r="KX119" i="1" s="1"/>
  <c r="JC119" i="1"/>
  <c r="KY119" i="1" s="1"/>
  <c r="JD119" i="1"/>
  <c r="KZ119" i="1" s="1"/>
  <c r="JE119" i="1"/>
  <c r="LA119" i="1" s="1"/>
  <c r="JF119" i="1"/>
  <c r="LB119" i="1" s="1"/>
  <c r="JG119" i="1"/>
  <c r="LC119" i="1" s="1"/>
  <c r="JH119" i="1"/>
  <c r="LD119" i="1" s="1"/>
  <c r="JI119" i="1"/>
  <c r="LE119" i="1" s="1"/>
  <c r="JJ119" i="1"/>
  <c r="LF119" i="1" s="1"/>
  <c r="JK119" i="1"/>
  <c r="LG119" i="1" s="1"/>
  <c r="JL119" i="1"/>
  <c r="LH119" i="1" s="1"/>
  <c r="JM119" i="1"/>
  <c r="LI119" i="1" s="1"/>
  <c r="JN119" i="1"/>
  <c r="LJ119" i="1" s="1"/>
  <c r="JO119" i="1"/>
  <c r="LK119" i="1" s="1"/>
  <c r="JP119" i="1"/>
  <c r="LL119" i="1" s="1"/>
  <c r="JQ119" i="1"/>
  <c r="LM119" i="1" s="1"/>
  <c r="LN119" i="1"/>
  <c r="KH80" i="1"/>
  <c r="IM80" i="1"/>
  <c r="KI80" i="1" s="1"/>
  <c r="IN80" i="1"/>
  <c r="KJ80" i="1" s="1"/>
  <c r="IO80" i="1"/>
  <c r="KK80" i="1" s="1"/>
  <c r="IP80" i="1"/>
  <c r="KL80" i="1" s="1"/>
  <c r="IQ80" i="1"/>
  <c r="KM80" i="1" s="1"/>
  <c r="IR80" i="1"/>
  <c r="KN80" i="1" s="1"/>
  <c r="IS80" i="1"/>
  <c r="KO80" i="1" s="1"/>
  <c r="IT80" i="1"/>
  <c r="KP80" i="1" s="1"/>
  <c r="IU80" i="1"/>
  <c r="KQ80" i="1" s="1"/>
  <c r="IV80" i="1"/>
  <c r="KR80" i="1" s="1"/>
  <c r="IW80" i="1"/>
  <c r="KS80" i="1" s="1"/>
  <c r="IX80" i="1"/>
  <c r="KT80" i="1" s="1"/>
  <c r="IY80" i="1"/>
  <c r="KU80" i="1" s="1"/>
  <c r="IZ80" i="1"/>
  <c r="KV80" i="1" s="1"/>
  <c r="JA80" i="1"/>
  <c r="KW80" i="1" s="1"/>
  <c r="JB80" i="1"/>
  <c r="KX80" i="1" s="1"/>
  <c r="JC80" i="1"/>
  <c r="KY80" i="1" s="1"/>
  <c r="JD80" i="1"/>
  <c r="KZ80" i="1" s="1"/>
  <c r="JE80" i="1"/>
  <c r="LA80" i="1" s="1"/>
  <c r="JF80" i="1"/>
  <c r="LB80" i="1" s="1"/>
  <c r="JG80" i="1"/>
  <c r="LC80" i="1" s="1"/>
  <c r="JH80" i="1"/>
  <c r="LD80" i="1" s="1"/>
  <c r="JI80" i="1"/>
  <c r="LE80" i="1" s="1"/>
  <c r="JJ80" i="1"/>
  <c r="LF80" i="1" s="1"/>
  <c r="JK80" i="1"/>
  <c r="LG80" i="1" s="1"/>
  <c r="JL80" i="1"/>
  <c r="LH80" i="1" s="1"/>
  <c r="JM80" i="1"/>
  <c r="LI80" i="1" s="1"/>
  <c r="JN80" i="1"/>
  <c r="LJ80" i="1" s="1"/>
  <c r="JO80" i="1"/>
  <c r="LK80" i="1" s="1"/>
  <c r="JP80" i="1"/>
  <c r="LL80" i="1" s="1"/>
  <c r="JQ80" i="1"/>
  <c r="LM80" i="1" s="1"/>
  <c r="LN80" i="1"/>
  <c r="KH81" i="1"/>
  <c r="IM81" i="1"/>
  <c r="KI81" i="1" s="1"/>
  <c r="IN81" i="1"/>
  <c r="KJ81" i="1" s="1"/>
  <c r="IO81" i="1"/>
  <c r="KK81" i="1" s="1"/>
  <c r="IP81" i="1"/>
  <c r="KL81" i="1" s="1"/>
  <c r="IQ81" i="1"/>
  <c r="KM81" i="1" s="1"/>
  <c r="IR81" i="1"/>
  <c r="KN81" i="1" s="1"/>
  <c r="IS81" i="1"/>
  <c r="KO81" i="1" s="1"/>
  <c r="IT81" i="1"/>
  <c r="KP81" i="1" s="1"/>
  <c r="IU81" i="1"/>
  <c r="KQ81" i="1" s="1"/>
  <c r="IV81" i="1"/>
  <c r="KR81" i="1" s="1"/>
  <c r="IW81" i="1"/>
  <c r="KS81" i="1" s="1"/>
  <c r="IX81" i="1"/>
  <c r="KT81" i="1" s="1"/>
  <c r="IY81" i="1"/>
  <c r="KU81" i="1" s="1"/>
  <c r="IZ81" i="1"/>
  <c r="KV81" i="1" s="1"/>
  <c r="JA81" i="1"/>
  <c r="KW81" i="1" s="1"/>
  <c r="JB81" i="1"/>
  <c r="KX81" i="1" s="1"/>
  <c r="JC81" i="1"/>
  <c r="KY81" i="1" s="1"/>
  <c r="JD81" i="1"/>
  <c r="KZ81" i="1" s="1"/>
  <c r="JE81" i="1"/>
  <c r="LA81" i="1" s="1"/>
  <c r="JF81" i="1"/>
  <c r="LB81" i="1" s="1"/>
  <c r="JG81" i="1"/>
  <c r="LC81" i="1" s="1"/>
  <c r="JH81" i="1"/>
  <c r="LD81" i="1" s="1"/>
  <c r="JI81" i="1"/>
  <c r="LE81" i="1" s="1"/>
  <c r="JJ81" i="1"/>
  <c r="LF81" i="1" s="1"/>
  <c r="JK81" i="1"/>
  <c r="LG81" i="1" s="1"/>
  <c r="JL81" i="1"/>
  <c r="LH81" i="1" s="1"/>
  <c r="JM81" i="1"/>
  <c r="LI81" i="1" s="1"/>
  <c r="JN81" i="1"/>
  <c r="LJ81" i="1" s="1"/>
  <c r="JO81" i="1"/>
  <c r="LK81" i="1" s="1"/>
  <c r="JP81" i="1"/>
  <c r="LL81" i="1" s="1"/>
  <c r="JQ81" i="1"/>
  <c r="LM81" i="1" s="1"/>
  <c r="LN81" i="1"/>
  <c r="KH82" i="1"/>
  <c r="IM82" i="1"/>
  <c r="KI82" i="1" s="1"/>
  <c r="IN82" i="1"/>
  <c r="KJ82" i="1" s="1"/>
  <c r="IO82" i="1"/>
  <c r="KK82" i="1" s="1"/>
  <c r="IP82" i="1"/>
  <c r="KL82" i="1" s="1"/>
  <c r="IQ82" i="1"/>
  <c r="KM82" i="1" s="1"/>
  <c r="IR82" i="1"/>
  <c r="KN82" i="1" s="1"/>
  <c r="IS82" i="1"/>
  <c r="KO82" i="1" s="1"/>
  <c r="IT82" i="1"/>
  <c r="KP82" i="1" s="1"/>
  <c r="IU82" i="1"/>
  <c r="KQ82" i="1" s="1"/>
  <c r="IV82" i="1"/>
  <c r="KR82" i="1" s="1"/>
  <c r="IW82" i="1"/>
  <c r="KS82" i="1" s="1"/>
  <c r="IX82" i="1"/>
  <c r="KT82" i="1" s="1"/>
  <c r="IY82" i="1"/>
  <c r="KU82" i="1" s="1"/>
  <c r="IZ82" i="1"/>
  <c r="KV82" i="1" s="1"/>
  <c r="JA82" i="1"/>
  <c r="KW82" i="1" s="1"/>
  <c r="JB82" i="1"/>
  <c r="KX82" i="1" s="1"/>
  <c r="JC82" i="1"/>
  <c r="KY82" i="1" s="1"/>
  <c r="JD82" i="1"/>
  <c r="KZ82" i="1" s="1"/>
  <c r="JE82" i="1"/>
  <c r="LA82" i="1" s="1"/>
  <c r="JF82" i="1"/>
  <c r="LB82" i="1" s="1"/>
  <c r="JG82" i="1"/>
  <c r="LC82" i="1" s="1"/>
  <c r="JH82" i="1"/>
  <c r="LD82" i="1" s="1"/>
  <c r="JI82" i="1"/>
  <c r="LE82" i="1" s="1"/>
  <c r="JJ82" i="1"/>
  <c r="LF82" i="1" s="1"/>
  <c r="JK82" i="1"/>
  <c r="LG82" i="1" s="1"/>
  <c r="JL82" i="1"/>
  <c r="LH82" i="1" s="1"/>
  <c r="JM82" i="1"/>
  <c r="LI82" i="1" s="1"/>
  <c r="JN82" i="1"/>
  <c r="LJ82" i="1" s="1"/>
  <c r="JO82" i="1"/>
  <c r="LK82" i="1" s="1"/>
  <c r="JP82" i="1"/>
  <c r="LL82" i="1" s="1"/>
  <c r="JQ82" i="1"/>
  <c r="LM82" i="1" s="1"/>
  <c r="LN82" i="1"/>
  <c r="KH83" i="1"/>
  <c r="IM83" i="1"/>
  <c r="KI83" i="1" s="1"/>
  <c r="IN83" i="1"/>
  <c r="KJ83" i="1" s="1"/>
  <c r="IO83" i="1"/>
  <c r="KK83" i="1" s="1"/>
  <c r="IP83" i="1"/>
  <c r="KL83" i="1" s="1"/>
  <c r="IQ83" i="1"/>
  <c r="KM83" i="1" s="1"/>
  <c r="IR83" i="1"/>
  <c r="KN83" i="1" s="1"/>
  <c r="IS83" i="1"/>
  <c r="KO83" i="1" s="1"/>
  <c r="IT83" i="1"/>
  <c r="KP83" i="1" s="1"/>
  <c r="IU83" i="1"/>
  <c r="KQ83" i="1" s="1"/>
  <c r="IV83" i="1"/>
  <c r="KR83" i="1" s="1"/>
  <c r="IW83" i="1"/>
  <c r="KS83" i="1" s="1"/>
  <c r="IX83" i="1"/>
  <c r="KT83" i="1" s="1"/>
  <c r="IY83" i="1"/>
  <c r="KU83" i="1" s="1"/>
  <c r="IZ83" i="1"/>
  <c r="KV83" i="1" s="1"/>
  <c r="JA83" i="1"/>
  <c r="KW83" i="1" s="1"/>
  <c r="JB83" i="1"/>
  <c r="KX83" i="1" s="1"/>
  <c r="JC83" i="1"/>
  <c r="KY83" i="1" s="1"/>
  <c r="JD83" i="1"/>
  <c r="KZ83" i="1" s="1"/>
  <c r="JE83" i="1"/>
  <c r="LA83" i="1" s="1"/>
  <c r="JF83" i="1"/>
  <c r="LB83" i="1" s="1"/>
  <c r="JG83" i="1"/>
  <c r="LC83" i="1" s="1"/>
  <c r="JH83" i="1"/>
  <c r="LD83" i="1" s="1"/>
  <c r="JI83" i="1"/>
  <c r="LE83" i="1" s="1"/>
  <c r="JJ83" i="1"/>
  <c r="LF83" i="1" s="1"/>
  <c r="JK83" i="1"/>
  <c r="LG83" i="1" s="1"/>
  <c r="JL83" i="1"/>
  <c r="LH83" i="1" s="1"/>
  <c r="JM83" i="1"/>
  <c r="LI83" i="1" s="1"/>
  <c r="JN83" i="1"/>
  <c r="LJ83" i="1" s="1"/>
  <c r="JO83" i="1"/>
  <c r="LK83" i="1" s="1"/>
  <c r="JP83" i="1"/>
  <c r="LL83" i="1" s="1"/>
  <c r="JQ83" i="1"/>
  <c r="LM83" i="1" s="1"/>
  <c r="LN83" i="1"/>
  <c r="KH120" i="1"/>
  <c r="IM120" i="1"/>
  <c r="KI120" i="1" s="1"/>
  <c r="IN120" i="1"/>
  <c r="KJ120" i="1" s="1"/>
  <c r="IO120" i="1"/>
  <c r="KK120" i="1" s="1"/>
  <c r="IP120" i="1"/>
  <c r="KL120" i="1" s="1"/>
  <c r="IQ120" i="1"/>
  <c r="KM120" i="1" s="1"/>
  <c r="IR120" i="1"/>
  <c r="KN120" i="1" s="1"/>
  <c r="IS120" i="1"/>
  <c r="KO120" i="1" s="1"/>
  <c r="IT120" i="1"/>
  <c r="KP120" i="1" s="1"/>
  <c r="IU120" i="1"/>
  <c r="KQ120" i="1" s="1"/>
  <c r="IV120" i="1"/>
  <c r="KR120" i="1" s="1"/>
  <c r="IW120" i="1"/>
  <c r="KS120" i="1" s="1"/>
  <c r="IX120" i="1"/>
  <c r="KT120" i="1" s="1"/>
  <c r="IY120" i="1"/>
  <c r="KU120" i="1" s="1"/>
  <c r="IZ120" i="1"/>
  <c r="KV120" i="1" s="1"/>
  <c r="JA120" i="1"/>
  <c r="KW120" i="1" s="1"/>
  <c r="JB120" i="1"/>
  <c r="KX120" i="1" s="1"/>
  <c r="JC120" i="1"/>
  <c r="KY120" i="1" s="1"/>
  <c r="JD120" i="1"/>
  <c r="KZ120" i="1" s="1"/>
  <c r="JE120" i="1"/>
  <c r="LA120" i="1" s="1"/>
  <c r="JF120" i="1"/>
  <c r="LB120" i="1" s="1"/>
  <c r="JG120" i="1"/>
  <c r="LC120" i="1" s="1"/>
  <c r="JH120" i="1"/>
  <c r="LD120" i="1" s="1"/>
  <c r="JI120" i="1"/>
  <c r="LE120" i="1" s="1"/>
  <c r="JJ120" i="1"/>
  <c r="LF120" i="1" s="1"/>
  <c r="JK120" i="1"/>
  <c r="LG120" i="1" s="1"/>
  <c r="JL120" i="1"/>
  <c r="LH120" i="1" s="1"/>
  <c r="JM120" i="1"/>
  <c r="LI120" i="1" s="1"/>
  <c r="JN120" i="1"/>
  <c r="LJ120" i="1" s="1"/>
  <c r="JO120" i="1"/>
  <c r="LK120" i="1" s="1"/>
  <c r="JP120" i="1"/>
  <c r="LL120" i="1" s="1"/>
  <c r="JQ120" i="1"/>
  <c r="LM120" i="1" s="1"/>
  <c r="LN120" i="1"/>
  <c r="KH121" i="1"/>
  <c r="IM121" i="1"/>
  <c r="KI121" i="1" s="1"/>
  <c r="IN121" i="1"/>
  <c r="KJ121" i="1" s="1"/>
  <c r="IO121" i="1"/>
  <c r="KK121" i="1" s="1"/>
  <c r="IP121" i="1"/>
  <c r="KL121" i="1" s="1"/>
  <c r="IQ121" i="1"/>
  <c r="KM121" i="1" s="1"/>
  <c r="IR121" i="1"/>
  <c r="KN121" i="1" s="1"/>
  <c r="IS121" i="1"/>
  <c r="KO121" i="1" s="1"/>
  <c r="IT121" i="1"/>
  <c r="KP121" i="1" s="1"/>
  <c r="IU121" i="1"/>
  <c r="KQ121" i="1" s="1"/>
  <c r="IV121" i="1"/>
  <c r="KR121" i="1" s="1"/>
  <c r="IW121" i="1"/>
  <c r="KS121" i="1" s="1"/>
  <c r="IX121" i="1"/>
  <c r="KT121" i="1" s="1"/>
  <c r="IY121" i="1"/>
  <c r="KU121" i="1" s="1"/>
  <c r="IZ121" i="1"/>
  <c r="KV121" i="1" s="1"/>
  <c r="JA121" i="1"/>
  <c r="KW121" i="1" s="1"/>
  <c r="JB121" i="1"/>
  <c r="KX121" i="1" s="1"/>
  <c r="JC121" i="1"/>
  <c r="KY121" i="1" s="1"/>
  <c r="JD121" i="1"/>
  <c r="KZ121" i="1" s="1"/>
  <c r="JE121" i="1"/>
  <c r="LA121" i="1" s="1"/>
  <c r="JF121" i="1"/>
  <c r="LB121" i="1" s="1"/>
  <c r="JG121" i="1"/>
  <c r="LC121" i="1" s="1"/>
  <c r="JH121" i="1"/>
  <c r="LD121" i="1" s="1"/>
  <c r="JI121" i="1"/>
  <c r="LE121" i="1" s="1"/>
  <c r="JJ121" i="1"/>
  <c r="LF121" i="1" s="1"/>
  <c r="JK121" i="1"/>
  <c r="LG121" i="1" s="1"/>
  <c r="JL121" i="1"/>
  <c r="LH121" i="1" s="1"/>
  <c r="JM121" i="1"/>
  <c r="LI121" i="1" s="1"/>
  <c r="JN121" i="1"/>
  <c r="LJ121" i="1" s="1"/>
  <c r="JO121" i="1"/>
  <c r="LK121" i="1" s="1"/>
  <c r="JP121" i="1"/>
  <c r="LL121" i="1" s="1"/>
  <c r="JQ121" i="1"/>
  <c r="LM121" i="1" s="1"/>
  <c r="LN121" i="1"/>
  <c r="KH122" i="1"/>
  <c r="IM122" i="1"/>
  <c r="KI122" i="1" s="1"/>
  <c r="IN122" i="1"/>
  <c r="KJ122" i="1" s="1"/>
  <c r="IO122" i="1"/>
  <c r="KK122" i="1" s="1"/>
  <c r="IP122" i="1"/>
  <c r="KL122" i="1" s="1"/>
  <c r="IQ122" i="1"/>
  <c r="KM122" i="1" s="1"/>
  <c r="IR122" i="1"/>
  <c r="KN122" i="1" s="1"/>
  <c r="IS122" i="1"/>
  <c r="KO122" i="1" s="1"/>
  <c r="IT122" i="1"/>
  <c r="KP122" i="1" s="1"/>
  <c r="IU122" i="1"/>
  <c r="KQ122" i="1" s="1"/>
  <c r="IV122" i="1"/>
  <c r="KR122" i="1" s="1"/>
  <c r="IW122" i="1"/>
  <c r="KS122" i="1" s="1"/>
  <c r="IX122" i="1"/>
  <c r="KT122" i="1" s="1"/>
  <c r="IY122" i="1"/>
  <c r="KU122" i="1" s="1"/>
  <c r="IZ122" i="1"/>
  <c r="KV122" i="1" s="1"/>
  <c r="JA122" i="1"/>
  <c r="KW122" i="1" s="1"/>
  <c r="JB122" i="1"/>
  <c r="KX122" i="1" s="1"/>
  <c r="JC122" i="1"/>
  <c r="KY122" i="1" s="1"/>
  <c r="JD122" i="1"/>
  <c r="KZ122" i="1" s="1"/>
  <c r="JE122" i="1"/>
  <c r="LA122" i="1" s="1"/>
  <c r="JF122" i="1"/>
  <c r="LB122" i="1" s="1"/>
  <c r="JG122" i="1"/>
  <c r="LC122" i="1" s="1"/>
  <c r="JH122" i="1"/>
  <c r="LD122" i="1" s="1"/>
  <c r="JI122" i="1"/>
  <c r="LE122" i="1" s="1"/>
  <c r="JJ122" i="1"/>
  <c r="LF122" i="1" s="1"/>
  <c r="JK122" i="1"/>
  <c r="LG122" i="1" s="1"/>
  <c r="JL122" i="1"/>
  <c r="LH122" i="1" s="1"/>
  <c r="JM122" i="1"/>
  <c r="LI122" i="1" s="1"/>
  <c r="JN122" i="1"/>
  <c r="LJ122" i="1" s="1"/>
  <c r="JO122" i="1"/>
  <c r="LK122" i="1" s="1"/>
  <c r="JP122" i="1"/>
  <c r="LL122" i="1" s="1"/>
  <c r="JQ122" i="1"/>
  <c r="LM122" i="1" s="1"/>
  <c r="LN122" i="1"/>
  <c r="KH123" i="1"/>
  <c r="IM123" i="1"/>
  <c r="KI123" i="1" s="1"/>
  <c r="IN123" i="1"/>
  <c r="KJ123" i="1" s="1"/>
  <c r="IO123" i="1"/>
  <c r="KK123" i="1" s="1"/>
  <c r="IP123" i="1"/>
  <c r="KL123" i="1" s="1"/>
  <c r="IQ123" i="1"/>
  <c r="KM123" i="1" s="1"/>
  <c r="IR123" i="1"/>
  <c r="KN123" i="1" s="1"/>
  <c r="IS123" i="1"/>
  <c r="KO123" i="1" s="1"/>
  <c r="IT123" i="1"/>
  <c r="KP123" i="1" s="1"/>
  <c r="IU123" i="1"/>
  <c r="KQ123" i="1" s="1"/>
  <c r="IV123" i="1"/>
  <c r="KR123" i="1" s="1"/>
  <c r="IW123" i="1"/>
  <c r="KS123" i="1" s="1"/>
  <c r="IX123" i="1"/>
  <c r="KT123" i="1" s="1"/>
  <c r="IY123" i="1"/>
  <c r="KU123" i="1" s="1"/>
  <c r="IZ123" i="1"/>
  <c r="KV123" i="1" s="1"/>
  <c r="JA123" i="1"/>
  <c r="KW123" i="1" s="1"/>
  <c r="JB123" i="1"/>
  <c r="KX123" i="1" s="1"/>
  <c r="JC123" i="1"/>
  <c r="KY123" i="1" s="1"/>
  <c r="JD123" i="1"/>
  <c r="KZ123" i="1" s="1"/>
  <c r="JE123" i="1"/>
  <c r="LA123" i="1" s="1"/>
  <c r="JF123" i="1"/>
  <c r="LB123" i="1" s="1"/>
  <c r="JG123" i="1"/>
  <c r="LC123" i="1" s="1"/>
  <c r="JH123" i="1"/>
  <c r="LD123" i="1" s="1"/>
  <c r="JI123" i="1"/>
  <c r="LE123" i="1" s="1"/>
  <c r="JJ123" i="1"/>
  <c r="LF123" i="1" s="1"/>
  <c r="JK123" i="1"/>
  <c r="LG123" i="1" s="1"/>
  <c r="JL123" i="1"/>
  <c r="LH123" i="1" s="1"/>
  <c r="JM123" i="1"/>
  <c r="LI123" i="1" s="1"/>
  <c r="JN123" i="1"/>
  <c r="LJ123" i="1" s="1"/>
  <c r="JO123" i="1"/>
  <c r="LK123" i="1" s="1"/>
  <c r="JP123" i="1"/>
  <c r="LL123" i="1" s="1"/>
  <c r="JQ123" i="1"/>
  <c r="LM123" i="1" s="1"/>
  <c r="LN123" i="1"/>
  <c r="KH124" i="1"/>
  <c r="IM124" i="1"/>
  <c r="KI124" i="1" s="1"/>
  <c r="IN124" i="1"/>
  <c r="KJ124" i="1" s="1"/>
  <c r="IO124" i="1"/>
  <c r="KK124" i="1" s="1"/>
  <c r="IP124" i="1"/>
  <c r="KL124" i="1" s="1"/>
  <c r="IQ124" i="1"/>
  <c r="KM124" i="1" s="1"/>
  <c r="IR124" i="1"/>
  <c r="KN124" i="1" s="1"/>
  <c r="IS124" i="1"/>
  <c r="KO124" i="1" s="1"/>
  <c r="IT124" i="1"/>
  <c r="KP124" i="1" s="1"/>
  <c r="IU124" i="1"/>
  <c r="KQ124" i="1" s="1"/>
  <c r="IV124" i="1"/>
  <c r="KR124" i="1" s="1"/>
  <c r="IW124" i="1"/>
  <c r="KS124" i="1" s="1"/>
  <c r="IX124" i="1"/>
  <c r="KT124" i="1" s="1"/>
  <c r="IY124" i="1"/>
  <c r="KU124" i="1" s="1"/>
  <c r="IZ124" i="1"/>
  <c r="KV124" i="1" s="1"/>
  <c r="JA124" i="1"/>
  <c r="KW124" i="1" s="1"/>
  <c r="JB124" i="1"/>
  <c r="KX124" i="1" s="1"/>
  <c r="JC124" i="1"/>
  <c r="KY124" i="1" s="1"/>
  <c r="JD124" i="1"/>
  <c r="KZ124" i="1" s="1"/>
  <c r="JE124" i="1"/>
  <c r="LA124" i="1" s="1"/>
  <c r="JF124" i="1"/>
  <c r="LB124" i="1" s="1"/>
  <c r="JG124" i="1"/>
  <c r="LC124" i="1" s="1"/>
  <c r="JH124" i="1"/>
  <c r="LD124" i="1" s="1"/>
  <c r="JI124" i="1"/>
  <c r="LE124" i="1" s="1"/>
  <c r="JJ124" i="1"/>
  <c r="LF124" i="1" s="1"/>
  <c r="JK124" i="1"/>
  <c r="LG124" i="1" s="1"/>
  <c r="JL124" i="1"/>
  <c r="LH124" i="1" s="1"/>
  <c r="JM124" i="1"/>
  <c r="LI124" i="1" s="1"/>
  <c r="JN124" i="1"/>
  <c r="LJ124" i="1" s="1"/>
  <c r="JO124" i="1"/>
  <c r="LK124" i="1" s="1"/>
  <c r="JP124" i="1"/>
  <c r="LL124" i="1" s="1"/>
  <c r="JQ124" i="1"/>
  <c r="LM124" i="1" s="1"/>
  <c r="LN124" i="1"/>
  <c r="KH84" i="1"/>
  <c r="IM84" i="1"/>
  <c r="KI84" i="1" s="1"/>
  <c r="IN84" i="1"/>
  <c r="KJ84" i="1" s="1"/>
  <c r="IO84" i="1"/>
  <c r="KK84" i="1" s="1"/>
  <c r="IP84" i="1"/>
  <c r="KL84" i="1" s="1"/>
  <c r="IQ84" i="1"/>
  <c r="KM84" i="1" s="1"/>
  <c r="IR84" i="1"/>
  <c r="KN84" i="1" s="1"/>
  <c r="IS84" i="1"/>
  <c r="KO84" i="1" s="1"/>
  <c r="IT84" i="1"/>
  <c r="KP84" i="1" s="1"/>
  <c r="IU84" i="1"/>
  <c r="KQ84" i="1" s="1"/>
  <c r="IV84" i="1"/>
  <c r="KR84" i="1" s="1"/>
  <c r="IW84" i="1"/>
  <c r="KS84" i="1" s="1"/>
  <c r="IX84" i="1"/>
  <c r="KT84" i="1" s="1"/>
  <c r="IY84" i="1"/>
  <c r="KU84" i="1" s="1"/>
  <c r="IZ84" i="1"/>
  <c r="KV84" i="1" s="1"/>
  <c r="JA84" i="1"/>
  <c r="KW84" i="1" s="1"/>
  <c r="JB84" i="1"/>
  <c r="KX84" i="1" s="1"/>
  <c r="JC84" i="1"/>
  <c r="KY84" i="1" s="1"/>
  <c r="JD84" i="1"/>
  <c r="KZ84" i="1" s="1"/>
  <c r="JE84" i="1"/>
  <c r="LA84" i="1" s="1"/>
  <c r="JF84" i="1"/>
  <c r="LB84" i="1" s="1"/>
  <c r="JG84" i="1"/>
  <c r="LC84" i="1" s="1"/>
  <c r="JH84" i="1"/>
  <c r="LD84" i="1" s="1"/>
  <c r="JI84" i="1"/>
  <c r="LE84" i="1" s="1"/>
  <c r="JJ84" i="1"/>
  <c r="LF84" i="1" s="1"/>
  <c r="JK84" i="1"/>
  <c r="LG84" i="1" s="1"/>
  <c r="JL84" i="1"/>
  <c r="LH84" i="1" s="1"/>
  <c r="JM84" i="1"/>
  <c r="LI84" i="1" s="1"/>
  <c r="JN84" i="1"/>
  <c r="LJ84" i="1" s="1"/>
  <c r="JO84" i="1"/>
  <c r="LK84" i="1" s="1"/>
  <c r="JP84" i="1"/>
  <c r="LL84" i="1" s="1"/>
  <c r="JQ84" i="1"/>
  <c r="LM84" i="1" s="1"/>
  <c r="LN84" i="1"/>
  <c r="KH85" i="1"/>
  <c r="IM85" i="1"/>
  <c r="KI85" i="1" s="1"/>
  <c r="IN85" i="1"/>
  <c r="KJ85" i="1" s="1"/>
  <c r="IO85" i="1"/>
  <c r="KK85" i="1" s="1"/>
  <c r="IP85" i="1"/>
  <c r="KL85" i="1" s="1"/>
  <c r="IQ85" i="1"/>
  <c r="KM85" i="1" s="1"/>
  <c r="IR85" i="1"/>
  <c r="KN85" i="1" s="1"/>
  <c r="IS85" i="1"/>
  <c r="KO85" i="1" s="1"/>
  <c r="IT85" i="1"/>
  <c r="KP85" i="1" s="1"/>
  <c r="IU85" i="1"/>
  <c r="KQ85" i="1" s="1"/>
  <c r="IV85" i="1"/>
  <c r="KR85" i="1" s="1"/>
  <c r="IW85" i="1"/>
  <c r="KS85" i="1" s="1"/>
  <c r="IX85" i="1"/>
  <c r="KT85" i="1" s="1"/>
  <c r="IY85" i="1"/>
  <c r="KU85" i="1" s="1"/>
  <c r="IZ85" i="1"/>
  <c r="KV85" i="1" s="1"/>
  <c r="JA85" i="1"/>
  <c r="KW85" i="1" s="1"/>
  <c r="JB85" i="1"/>
  <c r="KX85" i="1" s="1"/>
  <c r="JC85" i="1"/>
  <c r="KY85" i="1" s="1"/>
  <c r="JD85" i="1"/>
  <c r="KZ85" i="1" s="1"/>
  <c r="JE85" i="1"/>
  <c r="LA85" i="1" s="1"/>
  <c r="JF85" i="1"/>
  <c r="LB85" i="1" s="1"/>
  <c r="JG85" i="1"/>
  <c r="LC85" i="1" s="1"/>
  <c r="JH85" i="1"/>
  <c r="LD85" i="1" s="1"/>
  <c r="JI85" i="1"/>
  <c r="LE85" i="1" s="1"/>
  <c r="JJ85" i="1"/>
  <c r="LF85" i="1" s="1"/>
  <c r="JK85" i="1"/>
  <c r="LG85" i="1" s="1"/>
  <c r="JL85" i="1"/>
  <c r="LH85" i="1" s="1"/>
  <c r="JM85" i="1"/>
  <c r="LI85" i="1" s="1"/>
  <c r="JN85" i="1"/>
  <c r="LJ85" i="1" s="1"/>
  <c r="JO85" i="1"/>
  <c r="LK85" i="1" s="1"/>
  <c r="JP85" i="1"/>
  <c r="LL85" i="1" s="1"/>
  <c r="JQ85" i="1"/>
  <c r="LM85" i="1" s="1"/>
  <c r="LN85" i="1"/>
  <c r="IM2" i="1"/>
  <c r="KI2" i="1" s="1"/>
  <c r="IN2" i="1"/>
  <c r="KJ2" i="1" s="1"/>
  <c r="IO2" i="1"/>
  <c r="KK2" i="1" s="1"/>
  <c r="IP2" i="1"/>
  <c r="KL2" i="1" s="1"/>
  <c r="IQ2" i="1"/>
  <c r="KM2" i="1" s="1"/>
  <c r="IR2" i="1"/>
  <c r="KN2" i="1" s="1"/>
  <c r="IS2" i="1"/>
  <c r="KO2" i="1" s="1"/>
  <c r="IT2" i="1"/>
  <c r="KP2" i="1" s="1"/>
  <c r="IU2" i="1"/>
  <c r="KQ2" i="1" s="1"/>
  <c r="IV2" i="1"/>
  <c r="KR2" i="1" s="1"/>
  <c r="IW2" i="1"/>
  <c r="KS2" i="1" s="1"/>
  <c r="IX2" i="1"/>
  <c r="KT2" i="1" s="1"/>
  <c r="IY2" i="1"/>
  <c r="KU2" i="1" s="1"/>
  <c r="IZ2" i="1"/>
  <c r="KV2" i="1" s="1"/>
  <c r="JA2" i="1"/>
  <c r="KW2" i="1" s="1"/>
  <c r="JB2" i="1"/>
  <c r="KX2" i="1" s="1"/>
  <c r="JC2" i="1"/>
  <c r="KY2" i="1" s="1"/>
  <c r="JD2" i="1"/>
  <c r="KZ2" i="1" s="1"/>
  <c r="JE2" i="1"/>
  <c r="LA2" i="1" s="1"/>
  <c r="JF2" i="1"/>
  <c r="LB2" i="1" s="1"/>
  <c r="JG2" i="1"/>
  <c r="LC2" i="1" s="1"/>
  <c r="JH2" i="1"/>
  <c r="LD2" i="1" s="1"/>
  <c r="JI2" i="1"/>
  <c r="LE2" i="1" s="1"/>
  <c r="JJ2" i="1"/>
  <c r="LF2" i="1" s="1"/>
  <c r="JK2" i="1"/>
  <c r="LG2" i="1" s="1"/>
  <c r="JL2" i="1"/>
  <c r="LH2" i="1" s="1"/>
  <c r="JM2" i="1"/>
  <c r="LI2" i="1" s="1"/>
  <c r="JN2" i="1"/>
  <c r="LJ2" i="1" s="1"/>
  <c r="JO2" i="1"/>
  <c r="LK2" i="1" s="1"/>
  <c r="JP2" i="1"/>
  <c r="LL2" i="1" s="1"/>
  <c r="JQ2" i="1"/>
  <c r="LM2" i="1" s="1"/>
  <c r="LN2" i="1"/>
  <c r="KH2" i="1"/>
  <c r="AR2" i="2" l="1"/>
  <c r="BI2" i="2"/>
  <c r="BJ2" i="2" s="1"/>
  <c r="BK2" i="2"/>
  <c r="BL2" i="2"/>
  <c r="BM2" i="2" s="1"/>
  <c r="BO2" i="2"/>
  <c r="BP2" i="2"/>
  <c r="AR3" i="2"/>
  <c r="BI3" i="2"/>
  <c r="BJ3" i="2" s="1"/>
  <c r="BK3" i="2"/>
  <c r="BL3" i="2"/>
  <c r="BM3" i="2" s="1"/>
  <c r="BO3" i="2"/>
  <c r="BP3" i="2"/>
  <c r="AR4" i="2"/>
  <c r="AS4" i="2" s="1"/>
  <c r="BI4" i="2"/>
  <c r="BJ4" i="2" s="1"/>
  <c r="BK4" i="2"/>
  <c r="BL4" i="2"/>
  <c r="BM4" i="2" s="1"/>
  <c r="BO4" i="2"/>
  <c r="BP4" i="2"/>
  <c r="AR5" i="2"/>
  <c r="AS5" i="2" s="1"/>
  <c r="BI5" i="2"/>
  <c r="BJ5" i="2" s="1"/>
  <c r="BK5" i="2"/>
  <c r="BL5" i="2"/>
  <c r="BM5" i="2" s="1"/>
  <c r="BO5" i="2"/>
  <c r="BP5" i="2"/>
  <c r="AS6" i="2"/>
  <c r="AT6" i="2" s="1"/>
  <c r="AU6" i="2"/>
  <c r="BK6" i="2"/>
  <c r="BL6" i="2" s="1"/>
  <c r="BM6" i="2"/>
  <c r="BN6" i="2"/>
  <c r="BO6" i="2"/>
  <c r="BP6" i="2" s="1"/>
  <c r="BR6" i="2"/>
  <c r="BS6" i="2"/>
  <c r="AS7" i="2"/>
  <c r="BQ7" i="2" s="1"/>
  <c r="AU7" i="2"/>
  <c r="BL7" i="2"/>
  <c r="BM7" i="2"/>
  <c r="BO7" i="2"/>
  <c r="BP7" i="2" s="1"/>
  <c r="BR7" i="2"/>
  <c r="BS7" i="2"/>
  <c r="BC2" i="1"/>
  <c r="BD2" i="1" s="1"/>
  <c r="BE2" i="1"/>
  <c r="BU2" i="1"/>
  <c r="BW2" i="1"/>
  <c r="CD2" i="1"/>
  <c r="CF2" i="1"/>
  <c r="CG2" i="1"/>
  <c r="CL2" i="1"/>
  <c r="CM2" i="1"/>
  <c r="BC3" i="1"/>
  <c r="BE3" i="1"/>
  <c r="BV3" i="1"/>
  <c r="BW3" i="1"/>
  <c r="CD3" i="1"/>
  <c r="CF3" i="1"/>
  <c r="CG3" i="1"/>
  <c r="CL3" i="1"/>
  <c r="CM3" i="1"/>
  <c r="BC86" i="1"/>
  <c r="BD86" i="1" s="1"/>
  <c r="BE86" i="1"/>
  <c r="BU86" i="1"/>
  <c r="BW86" i="1"/>
  <c r="BX86" i="1"/>
  <c r="CD86" i="1"/>
  <c r="CF86" i="1"/>
  <c r="CG86" i="1"/>
  <c r="CL86" i="1"/>
  <c r="CM86" i="1"/>
  <c r="BC4" i="1"/>
  <c r="BE4" i="1"/>
  <c r="BU4" i="1"/>
  <c r="CB4" i="1" s="1"/>
  <c r="BW4" i="1"/>
  <c r="CD4" i="1"/>
  <c r="CF4" i="1"/>
  <c r="CG4" i="1"/>
  <c r="CH4" i="1" s="1"/>
  <c r="CL4" i="1"/>
  <c r="CM4" i="1"/>
  <c r="BC5" i="1"/>
  <c r="BE5" i="1"/>
  <c r="BU5" i="1"/>
  <c r="CB5" i="1" s="1"/>
  <c r="BW5" i="1"/>
  <c r="CD5" i="1"/>
  <c r="CF5" i="1"/>
  <c r="CG5" i="1"/>
  <c r="CH5" i="1" s="1"/>
  <c r="CL5" i="1"/>
  <c r="CM5" i="1"/>
  <c r="BC6" i="1"/>
  <c r="BD6" i="1" s="1"/>
  <c r="BE6" i="1"/>
  <c r="BU6" i="1"/>
  <c r="BW6" i="1"/>
  <c r="CD6" i="1"/>
  <c r="CF6" i="1"/>
  <c r="CG6" i="1"/>
  <c r="CH6" i="1" s="1"/>
  <c r="CL6" i="1"/>
  <c r="CM6" i="1"/>
  <c r="BC8" i="1"/>
  <c r="BE8" i="1"/>
  <c r="BU8" i="1"/>
  <c r="CB8" i="1" s="1"/>
  <c r="BW8" i="1"/>
  <c r="CD8" i="1"/>
  <c r="CF8" i="1"/>
  <c r="CG8" i="1"/>
  <c r="CH8" i="1" s="1"/>
  <c r="CL8" i="1"/>
  <c r="CM8" i="1"/>
  <c r="BC7" i="1"/>
  <c r="CA7" i="1" s="1"/>
  <c r="BE7" i="1"/>
  <c r="BU7" i="1"/>
  <c r="CB7" i="1" s="1"/>
  <c r="BW7" i="1"/>
  <c r="CD7" i="1"/>
  <c r="CF7" i="1"/>
  <c r="CG7" i="1"/>
  <c r="CH7" i="1" s="1"/>
  <c r="CL7" i="1"/>
  <c r="CM7" i="1"/>
  <c r="BC9" i="1"/>
  <c r="BD9" i="1" s="1"/>
  <c r="BE9" i="1"/>
  <c r="BU9" i="1"/>
  <c r="BW9" i="1"/>
  <c r="CD9" i="1"/>
  <c r="CF9" i="1"/>
  <c r="CG9" i="1"/>
  <c r="CH9" i="1" s="1"/>
  <c r="CL9" i="1"/>
  <c r="CM9" i="1"/>
  <c r="BC10" i="1"/>
  <c r="BD10" i="1" s="1"/>
  <c r="BE10" i="1"/>
  <c r="BU10" i="1"/>
  <c r="BW10" i="1"/>
  <c r="CD10" i="1"/>
  <c r="CF10" i="1"/>
  <c r="CG10" i="1"/>
  <c r="CL10" i="1"/>
  <c r="CM10" i="1"/>
  <c r="BC11" i="1"/>
  <c r="BE11" i="1"/>
  <c r="BU11" i="1"/>
  <c r="CB11" i="1" s="1"/>
  <c r="BW11" i="1"/>
  <c r="CD11" i="1"/>
  <c r="CF11" i="1"/>
  <c r="CG11" i="1"/>
  <c r="CH11" i="1" s="1"/>
  <c r="CL11" i="1"/>
  <c r="CM11" i="1"/>
  <c r="BC12" i="1"/>
  <c r="BD12" i="1" s="1"/>
  <c r="BE12" i="1"/>
  <c r="BU12" i="1"/>
  <c r="BW12" i="1"/>
  <c r="CD12" i="1"/>
  <c r="CF12" i="1"/>
  <c r="CG12" i="1"/>
  <c r="CL12" i="1"/>
  <c r="CM12" i="1"/>
  <c r="BC13" i="1"/>
  <c r="BE13" i="1"/>
  <c r="BU13" i="1"/>
  <c r="CB13" i="1" s="1"/>
  <c r="BW13" i="1"/>
  <c r="CD13" i="1"/>
  <c r="CF13" i="1"/>
  <c r="CG13" i="1"/>
  <c r="CH13" i="1" s="1"/>
  <c r="CL13" i="1"/>
  <c r="CM13" i="1"/>
  <c r="BC87" i="1"/>
  <c r="BD87" i="1" s="1"/>
  <c r="BE87" i="1"/>
  <c r="BU87" i="1"/>
  <c r="BW87" i="1"/>
  <c r="BX87" i="1"/>
  <c r="CD87" i="1"/>
  <c r="CF87" i="1"/>
  <c r="CG87" i="1"/>
  <c r="CL87" i="1"/>
  <c r="CM87" i="1"/>
  <c r="BC14" i="1"/>
  <c r="BE14" i="1"/>
  <c r="BU14" i="1"/>
  <c r="CB14" i="1" s="1"/>
  <c r="BW14" i="1"/>
  <c r="CD14" i="1"/>
  <c r="CF14" i="1"/>
  <c r="CG14" i="1"/>
  <c r="CH14" i="1" s="1"/>
  <c r="CL14" i="1"/>
  <c r="CM14" i="1"/>
  <c r="BC15" i="1"/>
  <c r="BE15" i="1"/>
  <c r="BU15" i="1"/>
  <c r="BW15" i="1"/>
  <c r="CD15" i="1"/>
  <c r="CF15" i="1"/>
  <c r="CG15" i="1"/>
  <c r="CH15" i="1" s="1"/>
  <c r="CL15" i="1"/>
  <c r="CM15" i="1"/>
  <c r="BC16" i="1"/>
  <c r="BE16" i="1"/>
  <c r="BU16" i="1"/>
  <c r="CB16" i="1" s="1"/>
  <c r="BW16" i="1"/>
  <c r="CD16" i="1"/>
  <c r="CF16" i="1"/>
  <c r="CG16" i="1"/>
  <c r="CH16" i="1" s="1"/>
  <c r="CL16" i="1"/>
  <c r="CM16" i="1"/>
  <c r="BC17" i="1"/>
  <c r="BD17" i="1" s="1"/>
  <c r="BE17" i="1"/>
  <c r="BU17" i="1"/>
  <c r="BW17" i="1"/>
  <c r="CD17" i="1"/>
  <c r="CF17" i="1"/>
  <c r="CG17" i="1"/>
  <c r="CL17" i="1"/>
  <c r="CM17" i="1"/>
  <c r="BC18" i="1"/>
  <c r="BD18" i="1" s="1"/>
  <c r="BE18" i="1"/>
  <c r="BU18" i="1"/>
  <c r="BW18" i="1"/>
  <c r="CD18" i="1"/>
  <c r="CF18" i="1"/>
  <c r="CG18" i="1"/>
  <c r="CL18" i="1"/>
  <c r="CM18" i="1"/>
  <c r="BC19" i="1"/>
  <c r="BE19" i="1"/>
  <c r="BU19" i="1"/>
  <c r="CB19" i="1" s="1"/>
  <c r="BW19" i="1"/>
  <c r="CD19" i="1"/>
  <c r="CF19" i="1"/>
  <c r="CG19" i="1"/>
  <c r="CH19" i="1" s="1"/>
  <c r="CL19" i="1"/>
  <c r="CM19" i="1"/>
  <c r="BC20" i="1"/>
  <c r="BE20" i="1"/>
  <c r="BU20" i="1"/>
  <c r="BW20" i="1"/>
  <c r="CD20" i="1"/>
  <c r="CF20" i="1"/>
  <c r="CG20" i="1"/>
  <c r="CH20" i="1" s="1"/>
  <c r="CL20" i="1"/>
  <c r="CM20" i="1"/>
  <c r="BC21" i="1"/>
  <c r="BD21" i="1" s="1"/>
  <c r="BE21" i="1"/>
  <c r="BU21" i="1"/>
  <c r="BW21" i="1"/>
  <c r="CD21" i="1"/>
  <c r="CF21" i="1"/>
  <c r="CG21" i="1"/>
  <c r="CL21" i="1"/>
  <c r="CM21" i="1"/>
  <c r="BC88" i="1"/>
  <c r="BD88" i="1" s="1"/>
  <c r="BE88" i="1"/>
  <c r="BU88" i="1"/>
  <c r="BW88" i="1"/>
  <c r="BX88" i="1"/>
  <c r="CD88" i="1"/>
  <c r="CF88" i="1"/>
  <c r="CG88" i="1"/>
  <c r="CL88" i="1"/>
  <c r="CM88" i="1"/>
  <c r="BC22" i="1"/>
  <c r="BD22" i="1" s="1"/>
  <c r="BE22" i="1"/>
  <c r="BU22" i="1"/>
  <c r="BW22" i="1"/>
  <c r="CD22" i="1"/>
  <c r="CF22" i="1"/>
  <c r="CG22" i="1"/>
  <c r="CL22" i="1"/>
  <c r="CM22" i="1"/>
  <c r="BC89" i="1"/>
  <c r="BD89" i="1" s="1"/>
  <c r="BE89" i="1"/>
  <c r="BU89" i="1"/>
  <c r="BW89" i="1"/>
  <c r="BX89" i="1"/>
  <c r="CD89" i="1"/>
  <c r="CF89" i="1"/>
  <c r="CG89" i="1"/>
  <c r="CL89" i="1"/>
  <c r="CM89" i="1"/>
  <c r="BC23" i="1"/>
  <c r="BE23" i="1"/>
  <c r="BU23" i="1"/>
  <c r="CB23" i="1" s="1"/>
  <c r="BW23" i="1"/>
  <c r="CD23" i="1"/>
  <c r="CF23" i="1"/>
  <c r="CG23" i="1"/>
  <c r="CL23" i="1"/>
  <c r="CM23" i="1"/>
  <c r="BC24" i="1"/>
  <c r="BD24" i="1" s="1"/>
  <c r="BE24" i="1"/>
  <c r="BU24" i="1"/>
  <c r="BW24" i="1"/>
  <c r="CD24" i="1"/>
  <c r="CF24" i="1"/>
  <c r="CG24" i="1"/>
  <c r="CL24" i="1"/>
  <c r="CM24" i="1"/>
  <c r="BC25" i="1"/>
  <c r="BE25" i="1"/>
  <c r="BU25" i="1"/>
  <c r="CB25" i="1" s="1"/>
  <c r="BW25" i="1"/>
  <c r="CD25" i="1"/>
  <c r="CF25" i="1"/>
  <c r="CG25" i="1"/>
  <c r="CH25" i="1" s="1"/>
  <c r="CL25" i="1"/>
  <c r="CM25" i="1"/>
  <c r="BC26" i="1"/>
  <c r="BE26" i="1"/>
  <c r="BU26" i="1"/>
  <c r="CB26" i="1" s="1"/>
  <c r="BW26" i="1"/>
  <c r="CD26" i="1"/>
  <c r="CF26" i="1"/>
  <c r="CG26" i="1"/>
  <c r="CL26" i="1"/>
  <c r="CM26" i="1"/>
  <c r="BC27" i="1"/>
  <c r="BE27" i="1"/>
  <c r="BU27" i="1"/>
  <c r="BW27" i="1"/>
  <c r="CD27" i="1"/>
  <c r="CF27" i="1"/>
  <c r="CG27" i="1"/>
  <c r="CH27" i="1" s="1"/>
  <c r="CL27" i="1"/>
  <c r="CM27" i="1"/>
  <c r="BC28" i="1"/>
  <c r="BE28" i="1"/>
  <c r="BU28" i="1"/>
  <c r="CB28" i="1" s="1"/>
  <c r="BW28" i="1"/>
  <c r="CD28" i="1"/>
  <c r="CF28" i="1"/>
  <c r="CG28" i="1"/>
  <c r="CL28" i="1"/>
  <c r="CM28" i="1"/>
  <c r="BC29" i="1"/>
  <c r="BE29" i="1"/>
  <c r="BV29" i="1"/>
  <c r="BW29" i="1"/>
  <c r="CD29" i="1"/>
  <c r="CF29" i="1"/>
  <c r="CG29" i="1"/>
  <c r="CL29" i="1"/>
  <c r="CM29" i="1"/>
  <c r="BC30" i="1"/>
  <c r="BD30" i="1" s="1"/>
  <c r="BE30" i="1"/>
  <c r="BU30" i="1"/>
  <c r="BW30" i="1"/>
  <c r="CD30" i="1"/>
  <c r="CF30" i="1"/>
  <c r="CG30" i="1"/>
  <c r="CL30" i="1"/>
  <c r="CM30" i="1"/>
  <c r="BC32" i="1"/>
  <c r="BE32" i="1"/>
  <c r="BU32" i="1"/>
  <c r="CB32" i="1" s="1"/>
  <c r="BW32" i="1"/>
  <c r="CD32" i="1"/>
  <c r="CF32" i="1"/>
  <c r="CG32" i="1"/>
  <c r="CL32" i="1"/>
  <c r="CM32" i="1"/>
  <c r="BC31" i="1"/>
  <c r="BE31" i="1"/>
  <c r="BU31" i="1"/>
  <c r="CB31" i="1" s="1"/>
  <c r="BW31" i="1"/>
  <c r="CD31" i="1"/>
  <c r="CF31" i="1"/>
  <c r="CG31" i="1"/>
  <c r="CL31" i="1"/>
  <c r="CM31" i="1"/>
  <c r="BC33" i="1"/>
  <c r="BE33" i="1"/>
  <c r="BU33" i="1"/>
  <c r="CB33" i="1" s="1"/>
  <c r="BW33" i="1"/>
  <c r="CD33" i="1"/>
  <c r="CF33" i="1"/>
  <c r="CG33" i="1"/>
  <c r="CH33" i="1" s="1"/>
  <c r="CL33" i="1"/>
  <c r="CM33" i="1"/>
  <c r="BC90" i="1"/>
  <c r="BD90" i="1" s="1"/>
  <c r="BE90" i="1"/>
  <c r="BU90" i="1"/>
  <c r="BW90" i="1"/>
  <c r="BX90" i="1"/>
  <c r="CD90" i="1"/>
  <c r="CF90" i="1"/>
  <c r="CG90" i="1"/>
  <c r="CL90" i="1"/>
  <c r="CM90" i="1"/>
  <c r="BC91" i="1"/>
  <c r="BD91" i="1" s="1"/>
  <c r="BE91" i="1"/>
  <c r="BU91" i="1"/>
  <c r="BV91" i="1" s="1"/>
  <c r="BW91" i="1"/>
  <c r="BX91" i="1"/>
  <c r="CD91" i="1"/>
  <c r="CF91" i="1"/>
  <c r="CG91" i="1"/>
  <c r="CL91" i="1"/>
  <c r="CM91" i="1"/>
  <c r="BC92" i="1"/>
  <c r="BD92" i="1" s="1"/>
  <c r="BE92" i="1"/>
  <c r="BU92" i="1"/>
  <c r="BW92" i="1"/>
  <c r="CD92" i="1"/>
  <c r="CF92" i="1"/>
  <c r="CG92" i="1"/>
  <c r="CL92" i="1"/>
  <c r="CM92" i="1"/>
  <c r="BC35" i="1"/>
  <c r="BE35" i="1"/>
  <c r="BU35" i="1"/>
  <c r="CB35" i="1" s="1"/>
  <c r="BW35" i="1"/>
  <c r="CD35" i="1"/>
  <c r="CF35" i="1"/>
  <c r="CG35" i="1"/>
  <c r="CL35" i="1"/>
  <c r="CM35" i="1"/>
  <c r="BC34" i="1"/>
  <c r="BE34" i="1"/>
  <c r="BU34" i="1"/>
  <c r="BW34" i="1"/>
  <c r="CD34" i="1"/>
  <c r="CF34" i="1"/>
  <c r="CG34" i="1"/>
  <c r="CL34" i="1"/>
  <c r="CM34" i="1"/>
  <c r="BC36" i="1"/>
  <c r="BE36" i="1"/>
  <c r="BU36" i="1"/>
  <c r="BW36" i="1"/>
  <c r="CD36" i="1"/>
  <c r="CF36" i="1"/>
  <c r="CG36" i="1"/>
  <c r="CH36" i="1" s="1"/>
  <c r="CL36" i="1"/>
  <c r="CM36" i="1"/>
  <c r="BC37" i="1"/>
  <c r="BE37" i="1"/>
  <c r="BU37" i="1"/>
  <c r="BW37" i="1"/>
  <c r="CD37" i="1"/>
  <c r="CF37" i="1"/>
  <c r="CG37" i="1"/>
  <c r="CL37" i="1"/>
  <c r="CM37" i="1"/>
  <c r="BE93" i="1"/>
  <c r="BV93" i="1"/>
  <c r="BW93" i="1"/>
  <c r="CD93" i="1"/>
  <c r="CE93" i="1"/>
  <c r="CF93" i="1"/>
  <c r="CG93" i="1"/>
  <c r="CL93" i="1"/>
  <c r="CM93" i="1"/>
  <c r="BC38" i="1"/>
  <c r="CA38" i="1" s="1"/>
  <c r="BE38" i="1"/>
  <c r="BU38" i="1"/>
  <c r="BW38" i="1"/>
  <c r="CD38" i="1"/>
  <c r="CF38" i="1"/>
  <c r="CG38" i="1"/>
  <c r="CH38" i="1" s="1"/>
  <c r="CL38" i="1"/>
  <c r="CM38" i="1"/>
  <c r="BC40" i="1"/>
  <c r="BE40" i="1"/>
  <c r="BU40" i="1"/>
  <c r="BW40" i="1"/>
  <c r="CD40" i="1"/>
  <c r="CF40" i="1"/>
  <c r="CG40" i="1"/>
  <c r="CH40" i="1" s="1"/>
  <c r="CL40" i="1"/>
  <c r="CM40" i="1"/>
  <c r="BC39" i="1"/>
  <c r="BE39" i="1"/>
  <c r="BU39" i="1"/>
  <c r="CB39" i="1" s="1"/>
  <c r="BW39" i="1"/>
  <c r="CD39" i="1"/>
  <c r="CF39" i="1"/>
  <c r="CG39" i="1"/>
  <c r="CH39" i="1" s="1"/>
  <c r="CL39" i="1"/>
  <c r="CM39" i="1"/>
  <c r="BC42" i="1"/>
  <c r="BD42" i="1" s="1"/>
  <c r="BE42" i="1"/>
  <c r="BU42" i="1"/>
  <c r="CJ42" i="1" s="1"/>
  <c r="BW42" i="1"/>
  <c r="CD42" i="1"/>
  <c r="CF42" i="1"/>
  <c r="CG42" i="1"/>
  <c r="CH42" i="1" s="1"/>
  <c r="CL42" i="1"/>
  <c r="CM42" i="1"/>
  <c r="BC41" i="1"/>
  <c r="BD41" i="1" s="1"/>
  <c r="BE41" i="1"/>
  <c r="BU41" i="1"/>
  <c r="CJ41" i="1" s="1"/>
  <c r="BW41" i="1"/>
  <c r="CD41" i="1"/>
  <c r="CF41" i="1"/>
  <c r="CG41" i="1"/>
  <c r="CH41" i="1" s="1"/>
  <c r="CL41" i="1"/>
  <c r="CM41" i="1"/>
  <c r="BC43" i="1"/>
  <c r="CA43" i="1" s="1"/>
  <c r="BE43" i="1"/>
  <c r="BU43" i="1"/>
  <c r="CB43" i="1" s="1"/>
  <c r="BW43" i="1"/>
  <c r="CD43" i="1"/>
  <c r="CF43" i="1"/>
  <c r="CG43" i="1"/>
  <c r="CL43" i="1"/>
  <c r="CM43" i="1"/>
  <c r="BC44" i="1"/>
  <c r="BQ9" i="2" s="1"/>
  <c r="BE44" i="1"/>
  <c r="BU44" i="1"/>
  <c r="BW44" i="1"/>
  <c r="CD44" i="1"/>
  <c r="CF44" i="1"/>
  <c r="CG44" i="1"/>
  <c r="CH44" i="1" s="1"/>
  <c r="CL44" i="1"/>
  <c r="CM44" i="1"/>
  <c r="BC94" i="1"/>
  <c r="BD94" i="1" s="1"/>
  <c r="BE94" i="1"/>
  <c r="BU94" i="1"/>
  <c r="BW94" i="1"/>
  <c r="CD94" i="1"/>
  <c r="CF94" i="1"/>
  <c r="CG94" i="1"/>
  <c r="CL94" i="1"/>
  <c r="CM94" i="1"/>
  <c r="BC95" i="1"/>
  <c r="BD95" i="1" s="1"/>
  <c r="BE95" i="1"/>
  <c r="BU95" i="1"/>
  <c r="BW95" i="1"/>
  <c r="CD95" i="1"/>
  <c r="CF95" i="1"/>
  <c r="CG95" i="1"/>
  <c r="CL95" i="1"/>
  <c r="CM95" i="1"/>
  <c r="BC96" i="1"/>
  <c r="BD96" i="1" s="1"/>
  <c r="BE96" i="1"/>
  <c r="BU96" i="1"/>
  <c r="BW96" i="1"/>
  <c r="CD96" i="1"/>
  <c r="CF96" i="1"/>
  <c r="CG96" i="1"/>
  <c r="CL96" i="1"/>
  <c r="CM96" i="1"/>
  <c r="BC97" i="1"/>
  <c r="BD97" i="1" s="1"/>
  <c r="BE97" i="1"/>
  <c r="BU97" i="1"/>
  <c r="BW97" i="1"/>
  <c r="CD97" i="1"/>
  <c r="CF97" i="1"/>
  <c r="CG97" i="1"/>
  <c r="CL97" i="1"/>
  <c r="CM97" i="1"/>
  <c r="BC98" i="1"/>
  <c r="BD98" i="1" s="1"/>
  <c r="BE98" i="1"/>
  <c r="BU98" i="1"/>
  <c r="BW98" i="1"/>
  <c r="CD98" i="1"/>
  <c r="CF98" i="1"/>
  <c r="CG98" i="1"/>
  <c r="CL98" i="1"/>
  <c r="CM98" i="1"/>
  <c r="BC99" i="1"/>
  <c r="BE99" i="1"/>
  <c r="BV99" i="1"/>
  <c r="BW99" i="1"/>
  <c r="CD99" i="1"/>
  <c r="CF99" i="1"/>
  <c r="CG99" i="1"/>
  <c r="CL99" i="1"/>
  <c r="CM99" i="1"/>
  <c r="BC101" i="1"/>
  <c r="BE101" i="1"/>
  <c r="BU101" i="1"/>
  <c r="BW101" i="1"/>
  <c r="CD101" i="1"/>
  <c r="CF101" i="1"/>
  <c r="CG101" i="1"/>
  <c r="CL101" i="1"/>
  <c r="CM101" i="1"/>
  <c r="BC100" i="1"/>
  <c r="BD100" i="1" s="1"/>
  <c r="BE100" i="1"/>
  <c r="BU100" i="1"/>
  <c r="BW100" i="1"/>
  <c r="CD100" i="1"/>
  <c r="CF100" i="1"/>
  <c r="CG100" i="1"/>
  <c r="CL100" i="1"/>
  <c r="CM100" i="1"/>
  <c r="BC45" i="1"/>
  <c r="BD45" i="1" s="1"/>
  <c r="BE45" i="1"/>
  <c r="BU45" i="1"/>
  <c r="BW45" i="1"/>
  <c r="CD45" i="1"/>
  <c r="CF45" i="1"/>
  <c r="CG45" i="1"/>
  <c r="CL45" i="1"/>
  <c r="CM45" i="1"/>
  <c r="BC46" i="1"/>
  <c r="BE46" i="1"/>
  <c r="BU46" i="1"/>
  <c r="CB46" i="1" s="1"/>
  <c r="BW46" i="1"/>
  <c r="CD46" i="1"/>
  <c r="CF46" i="1"/>
  <c r="CG46" i="1"/>
  <c r="CL46" i="1"/>
  <c r="CM46" i="1"/>
  <c r="BC102" i="1"/>
  <c r="BD102" i="1" s="1"/>
  <c r="BE102" i="1"/>
  <c r="BU102" i="1"/>
  <c r="BW102" i="1"/>
  <c r="CD102" i="1"/>
  <c r="CF102" i="1"/>
  <c r="CG102" i="1"/>
  <c r="CL102" i="1"/>
  <c r="CM102" i="1"/>
  <c r="BC47" i="1"/>
  <c r="BE47" i="1"/>
  <c r="BU47" i="1"/>
  <c r="BW47" i="1"/>
  <c r="CD47" i="1"/>
  <c r="CF47" i="1"/>
  <c r="CG47" i="1"/>
  <c r="CH47" i="1" s="1"/>
  <c r="CL47" i="1"/>
  <c r="CM47" i="1"/>
  <c r="BC49" i="1"/>
  <c r="BE49" i="1"/>
  <c r="BV49" i="1"/>
  <c r="BW49" i="1"/>
  <c r="CD49" i="1"/>
  <c r="CF49" i="1"/>
  <c r="CG49" i="1"/>
  <c r="CL49" i="1"/>
  <c r="CM49" i="1"/>
  <c r="BC48" i="1"/>
  <c r="BE48" i="1"/>
  <c r="BU48" i="1"/>
  <c r="CB48" i="1" s="1"/>
  <c r="BW48" i="1"/>
  <c r="CD48" i="1"/>
  <c r="CF48" i="1"/>
  <c r="CG48" i="1"/>
  <c r="CH48" i="1" s="1"/>
  <c r="CL48" i="1"/>
  <c r="CM48" i="1"/>
  <c r="BC103" i="1"/>
  <c r="BD103" i="1" s="1"/>
  <c r="BE103" i="1"/>
  <c r="BU103" i="1"/>
  <c r="BW103" i="1"/>
  <c r="CD103" i="1"/>
  <c r="CF103" i="1"/>
  <c r="CG103" i="1"/>
  <c r="CL103" i="1"/>
  <c r="CM103" i="1"/>
  <c r="BC50" i="1"/>
  <c r="BE50" i="1"/>
  <c r="BU50" i="1"/>
  <c r="BV50" i="1" s="1"/>
  <c r="BW50" i="1"/>
  <c r="CD50" i="1"/>
  <c r="CF50" i="1"/>
  <c r="CG50" i="1"/>
  <c r="CH50" i="1" s="1"/>
  <c r="CL50" i="1"/>
  <c r="CM50" i="1"/>
  <c r="BC52" i="1"/>
  <c r="BE52" i="1"/>
  <c r="BU52" i="1"/>
  <c r="CB52" i="1" s="1"/>
  <c r="BW52" i="1"/>
  <c r="CD52" i="1"/>
  <c r="CF52" i="1"/>
  <c r="CG52" i="1"/>
  <c r="CL52" i="1"/>
  <c r="CM52" i="1"/>
  <c r="BC51" i="1"/>
  <c r="BE51" i="1"/>
  <c r="BU51" i="1"/>
  <c r="CB51" i="1" s="1"/>
  <c r="BW51" i="1"/>
  <c r="CD51" i="1"/>
  <c r="CF51" i="1"/>
  <c r="CG51" i="1"/>
  <c r="CH51" i="1" s="1"/>
  <c r="CL51" i="1"/>
  <c r="CM51" i="1"/>
  <c r="BC104" i="1"/>
  <c r="BD104" i="1" s="1"/>
  <c r="BE104" i="1"/>
  <c r="BU104" i="1"/>
  <c r="BW104" i="1"/>
  <c r="CD104" i="1"/>
  <c r="CF104" i="1"/>
  <c r="CG104" i="1"/>
  <c r="CL104" i="1"/>
  <c r="CM104" i="1"/>
  <c r="BC105" i="1"/>
  <c r="BD105" i="1" s="1"/>
  <c r="BE105" i="1"/>
  <c r="BU105" i="1"/>
  <c r="BV105" i="1" s="1"/>
  <c r="BW105" i="1"/>
  <c r="CD105" i="1"/>
  <c r="CF105" i="1"/>
  <c r="CG105" i="1"/>
  <c r="CL105" i="1"/>
  <c r="CM105" i="1"/>
  <c r="BC53" i="1"/>
  <c r="BE53" i="1"/>
  <c r="BU53" i="1"/>
  <c r="BW53" i="1"/>
  <c r="CD53" i="1"/>
  <c r="CF53" i="1"/>
  <c r="CG53" i="1"/>
  <c r="CL53" i="1"/>
  <c r="CM53" i="1"/>
  <c r="BC106" i="1"/>
  <c r="BD106" i="1" s="1"/>
  <c r="BE106" i="1"/>
  <c r="BU106" i="1"/>
  <c r="BW106" i="1"/>
  <c r="CD106" i="1"/>
  <c r="CF106" i="1"/>
  <c r="CG106" i="1"/>
  <c r="CL106" i="1"/>
  <c r="CM106" i="1"/>
  <c r="BC107" i="1"/>
  <c r="BD107" i="1" s="1"/>
  <c r="BE107" i="1"/>
  <c r="BU107" i="1"/>
  <c r="BW107" i="1"/>
  <c r="CD107" i="1"/>
  <c r="CF107" i="1"/>
  <c r="CG107" i="1"/>
  <c r="CL107" i="1"/>
  <c r="CM107" i="1"/>
  <c r="BC108" i="1"/>
  <c r="BD108" i="1" s="1"/>
  <c r="BE108" i="1"/>
  <c r="BU108" i="1"/>
  <c r="BV108" i="1" s="1"/>
  <c r="BW108" i="1"/>
  <c r="CD108" i="1"/>
  <c r="CF108" i="1"/>
  <c r="CG108" i="1"/>
  <c r="CL108" i="1"/>
  <c r="CM108" i="1"/>
  <c r="BC109" i="1"/>
  <c r="BE109" i="1"/>
  <c r="BU109" i="1"/>
  <c r="BW109" i="1"/>
  <c r="CD109" i="1"/>
  <c r="CF109" i="1"/>
  <c r="CG109" i="1"/>
  <c r="CL109" i="1"/>
  <c r="CM109" i="1"/>
  <c r="BC54" i="1"/>
  <c r="BD54" i="1" s="1"/>
  <c r="BE54" i="1"/>
  <c r="BU54" i="1"/>
  <c r="BV54" i="1" s="1"/>
  <c r="BW54" i="1"/>
  <c r="CD54" i="1"/>
  <c r="CF54" i="1"/>
  <c r="CG54" i="1"/>
  <c r="CL54" i="1"/>
  <c r="CM54" i="1"/>
  <c r="BC55" i="1"/>
  <c r="BE55" i="1"/>
  <c r="BU55" i="1"/>
  <c r="BV55" i="1" s="1"/>
  <c r="BW55" i="1"/>
  <c r="CD55" i="1"/>
  <c r="CF55" i="1"/>
  <c r="CG55" i="1"/>
  <c r="CH55" i="1" s="1"/>
  <c r="CL55" i="1"/>
  <c r="CM55" i="1"/>
  <c r="BC56" i="1"/>
  <c r="BE56" i="1"/>
  <c r="BU56" i="1"/>
  <c r="CB56" i="1" s="1"/>
  <c r="BW56" i="1"/>
  <c r="CD56" i="1"/>
  <c r="CF56" i="1"/>
  <c r="CG56" i="1"/>
  <c r="CL56" i="1"/>
  <c r="CM56" i="1"/>
  <c r="BC57" i="1"/>
  <c r="BE57" i="1"/>
  <c r="BU57" i="1"/>
  <c r="CB57" i="1" s="1"/>
  <c r="BW57" i="1"/>
  <c r="CD57" i="1"/>
  <c r="CF57" i="1"/>
  <c r="CG57" i="1"/>
  <c r="CL57" i="1"/>
  <c r="CM57" i="1"/>
  <c r="BC58" i="1"/>
  <c r="BD58" i="1" s="1"/>
  <c r="BE58" i="1"/>
  <c r="BU58" i="1"/>
  <c r="BW58" i="1"/>
  <c r="CD58" i="1"/>
  <c r="CF58" i="1"/>
  <c r="CG58" i="1"/>
  <c r="CL58" i="1"/>
  <c r="CM58" i="1"/>
  <c r="BC59" i="1"/>
  <c r="BD59" i="1" s="1"/>
  <c r="BE59" i="1"/>
  <c r="BU59" i="1"/>
  <c r="BV59" i="1" s="1"/>
  <c r="BW59" i="1"/>
  <c r="CD59" i="1"/>
  <c r="CF59" i="1"/>
  <c r="CG59" i="1"/>
  <c r="CL59" i="1"/>
  <c r="CM59" i="1"/>
  <c r="BC110" i="1"/>
  <c r="BD110" i="1" s="1"/>
  <c r="BE110" i="1"/>
  <c r="BU110" i="1"/>
  <c r="BW110" i="1"/>
  <c r="CD110" i="1"/>
  <c r="CF110" i="1"/>
  <c r="CG110" i="1"/>
  <c r="CL110" i="1"/>
  <c r="CM110" i="1"/>
  <c r="BC60" i="1"/>
  <c r="BD60" i="1" s="1"/>
  <c r="BE60" i="1"/>
  <c r="BU60" i="1"/>
  <c r="BV60" i="1" s="1"/>
  <c r="BW60" i="1"/>
  <c r="CD60" i="1"/>
  <c r="CF60" i="1"/>
  <c r="CG60" i="1"/>
  <c r="CL60" i="1"/>
  <c r="CM60" i="1"/>
  <c r="BC61" i="1"/>
  <c r="BE61" i="1"/>
  <c r="BU61" i="1"/>
  <c r="BW61" i="1"/>
  <c r="CD61" i="1"/>
  <c r="CF61" i="1"/>
  <c r="CG61" i="1"/>
  <c r="CL61" i="1"/>
  <c r="CM61" i="1"/>
  <c r="BC63" i="1"/>
  <c r="BD63" i="1" s="1"/>
  <c r="BE63" i="1"/>
  <c r="BU63" i="1"/>
  <c r="BW63" i="1"/>
  <c r="CD63" i="1"/>
  <c r="CF63" i="1"/>
  <c r="CG63" i="1"/>
  <c r="CL63" i="1"/>
  <c r="CM63" i="1"/>
  <c r="BC62" i="1"/>
  <c r="BD62" i="1" s="1"/>
  <c r="BE62" i="1"/>
  <c r="BU62" i="1"/>
  <c r="BW62" i="1"/>
  <c r="CD62" i="1"/>
  <c r="CF62" i="1"/>
  <c r="CG62" i="1"/>
  <c r="CL62" i="1"/>
  <c r="CM62" i="1"/>
  <c r="BC64" i="1"/>
  <c r="BD64" i="1" s="1"/>
  <c r="BE64" i="1"/>
  <c r="BU64" i="1"/>
  <c r="BW64" i="1"/>
  <c r="CD64" i="1"/>
  <c r="CF64" i="1"/>
  <c r="CG64" i="1"/>
  <c r="CL64" i="1"/>
  <c r="CM64" i="1"/>
  <c r="BC65" i="1"/>
  <c r="BE65" i="1"/>
  <c r="BU65" i="1"/>
  <c r="CB65" i="1" s="1"/>
  <c r="BW65" i="1"/>
  <c r="CD65" i="1"/>
  <c r="CF65" i="1"/>
  <c r="CG65" i="1"/>
  <c r="CL65" i="1"/>
  <c r="CM65" i="1"/>
  <c r="BC66" i="1"/>
  <c r="CA66" i="1" s="1"/>
  <c r="BE66" i="1"/>
  <c r="BU66" i="1"/>
  <c r="CB66" i="1" s="1"/>
  <c r="BW66" i="1"/>
  <c r="CD66" i="1"/>
  <c r="CF66" i="1"/>
  <c r="CG66" i="1"/>
  <c r="CH66" i="1" s="1"/>
  <c r="CL66" i="1"/>
  <c r="CM66" i="1"/>
  <c r="BC111" i="1"/>
  <c r="BE111" i="1"/>
  <c r="BU111" i="1"/>
  <c r="BW111" i="1"/>
  <c r="CD111" i="1"/>
  <c r="CF111" i="1"/>
  <c r="CG111" i="1"/>
  <c r="CL111" i="1"/>
  <c r="CM111" i="1"/>
  <c r="BC112" i="1"/>
  <c r="BD112" i="1" s="1"/>
  <c r="BE112" i="1"/>
  <c r="BU112" i="1"/>
  <c r="BW112" i="1"/>
  <c r="CD112" i="1"/>
  <c r="CF112" i="1"/>
  <c r="CG112" i="1"/>
  <c r="CL112" i="1"/>
  <c r="CM112" i="1"/>
  <c r="BC113" i="1"/>
  <c r="BD113" i="1" s="1"/>
  <c r="BE113" i="1"/>
  <c r="BU113" i="1"/>
  <c r="BW113" i="1"/>
  <c r="CD113" i="1"/>
  <c r="CF113" i="1"/>
  <c r="CG113" i="1"/>
  <c r="CL113" i="1"/>
  <c r="CM113" i="1"/>
  <c r="BC67" i="1"/>
  <c r="BD67" i="1" s="1"/>
  <c r="BE67" i="1"/>
  <c r="BU67" i="1"/>
  <c r="BW67" i="1"/>
  <c r="CD67" i="1"/>
  <c r="CF67" i="1"/>
  <c r="CG67" i="1"/>
  <c r="CL67" i="1"/>
  <c r="CM67" i="1"/>
  <c r="BC114" i="1"/>
  <c r="BD114" i="1" s="1"/>
  <c r="BE114" i="1"/>
  <c r="BU114" i="1"/>
  <c r="BW114" i="1"/>
  <c r="CD114" i="1"/>
  <c r="CF114" i="1"/>
  <c r="CG114" i="1"/>
  <c r="CL114" i="1"/>
  <c r="CM114" i="1"/>
  <c r="BC68" i="1"/>
  <c r="BD68" i="1" s="1"/>
  <c r="BE68" i="1"/>
  <c r="BU68" i="1"/>
  <c r="BV68" i="1" s="1"/>
  <c r="BW68" i="1"/>
  <c r="CD68" i="1"/>
  <c r="CF68" i="1"/>
  <c r="CG68" i="1"/>
  <c r="CL68" i="1"/>
  <c r="CM68" i="1"/>
  <c r="BC69" i="1"/>
  <c r="BD69" i="1" s="1"/>
  <c r="BE69" i="1"/>
  <c r="BU69" i="1"/>
  <c r="BW69" i="1"/>
  <c r="CD69" i="1"/>
  <c r="CF69" i="1"/>
  <c r="CG69" i="1"/>
  <c r="CL69" i="1"/>
  <c r="CM69" i="1"/>
  <c r="BC70" i="1"/>
  <c r="BE70" i="1"/>
  <c r="BU70" i="1"/>
  <c r="BW70" i="1"/>
  <c r="CD70" i="1"/>
  <c r="CF70" i="1"/>
  <c r="CG70" i="1"/>
  <c r="CL70" i="1"/>
  <c r="CM70" i="1"/>
  <c r="BC115" i="1"/>
  <c r="BD115" i="1" s="1"/>
  <c r="BE115" i="1"/>
  <c r="BU115" i="1"/>
  <c r="BW115" i="1"/>
  <c r="CD115" i="1"/>
  <c r="CF115" i="1"/>
  <c r="CG115" i="1"/>
  <c r="CL115" i="1"/>
  <c r="CM115" i="1"/>
  <c r="BC71" i="1"/>
  <c r="BD71" i="1" s="1"/>
  <c r="BE71" i="1"/>
  <c r="BU71" i="1"/>
  <c r="BV71" i="1" s="1"/>
  <c r="BW71" i="1"/>
  <c r="CD71" i="1"/>
  <c r="CF71" i="1"/>
  <c r="CG71" i="1"/>
  <c r="CL71" i="1"/>
  <c r="CM71" i="1"/>
  <c r="BC72" i="1"/>
  <c r="BD72" i="1" s="1"/>
  <c r="BE72" i="1"/>
  <c r="BU72" i="1"/>
  <c r="BW72" i="1"/>
  <c r="CD72" i="1"/>
  <c r="CF72" i="1"/>
  <c r="CG72" i="1"/>
  <c r="CL72" i="1"/>
  <c r="CM72" i="1"/>
  <c r="BC73" i="1"/>
  <c r="BD73" i="1" s="1"/>
  <c r="BE73" i="1"/>
  <c r="BU73" i="1"/>
  <c r="BW73" i="1"/>
  <c r="CD73" i="1"/>
  <c r="CF73" i="1"/>
  <c r="CG73" i="1"/>
  <c r="CL73" i="1"/>
  <c r="CM73" i="1"/>
  <c r="BC74" i="1"/>
  <c r="BE74" i="1"/>
  <c r="BV74" i="1"/>
  <c r="BW74" i="1"/>
  <c r="CD74" i="1"/>
  <c r="CF74" i="1"/>
  <c r="CG74" i="1"/>
  <c r="CL74" i="1"/>
  <c r="CM74" i="1"/>
  <c r="BC75" i="1"/>
  <c r="BD75" i="1" s="1"/>
  <c r="BE75" i="1"/>
  <c r="BU75" i="1"/>
  <c r="BW75" i="1"/>
  <c r="CD75" i="1"/>
  <c r="CF75" i="1"/>
  <c r="CG75" i="1"/>
  <c r="CL75" i="1"/>
  <c r="CM75" i="1"/>
  <c r="BC76" i="1"/>
  <c r="BD76" i="1" s="1"/>
  <c r="BE76" i="1"/>
  <c r="BU76" i="1"/>
  <c r="BW76" i="1"/>
  <c r="CD76" i="1"/>
  <c r="CF76" i="1"/>
  <c r="CG76" i="1"/>
  <c r="CL76" i="1"/>
  <c r="CM76" i="1"/>
  <c r="BC116" i="1"/>
  <c r="BD116" i="1" s="1"/>
  <c r="BE116" i="1"/>
  <c r="BU116" i="1"/>
  <c r="BW116" i="1"/>
  <c r="CD116" i="1"/>
  <c r="CF116" i="1"/>
  <c r="CG116" i="1"/>
  <c r="CL116" i="1"/>
  <c r="CM116" i="1"/>
  <c r="BC77" i="1"/>
  <c r="BD77" i="1" s="1"/>
  <c r="BE77" i="1"/>
  <c r="BU77" i="1"/>
  <c r="BW77" i="1"/>
  <c r="CD77" i="1"/>
  <c r="CF77" i="1"/>
  <c r="CG77" i="1"/>
  <c r="CL77" i="1"/>
  <c r="CM77" i="1"/>
  <c r="BC117" i="1"/>
  <c r="BD117" i="1" s="1"/>
  <c r="BE117" i="1"/>
  <c r="BU117" i="1"/>
  <c r="BW117" i="1"/>
  <c r="CD117" i="1"/>
  <c r="CF117" i="1"/>
  <c r="CG117" i="1"/>
  <c r="CL117" i="1"/>
  <c r="CM117" i="1"/>
  <c r="BC118" i="1"/>
  <c r="BD118" i="1" s="1"/>
  <c r="BE118" i="1"/>
  <c r="BU118" i="1"/>
  <c r="BW118" i="1"/>
  <c r="CD118" i="1"/>
  <c r="CF118" i="1"/>
  <c r="CG118" i="1"/>
  <c r="CL118" i="1"/>
  <c r="CM118" i="1"/>
  <c r="BC78" i="1"/>
  <c r="BD78" i="1" s="1"/>
  <c r="BE78" i="1"/>
  <c r="BU78" i="1"/>
  <c r="BW78" i="1"/>
  <c r="CD78" i="1"/>
  <c r="CF78" i="1"/>
  <c r="CG78" i="1"/>
  <c r="CL78" i="1"/>
  <c r="CM78" i="1"/>
  <c r="BC79" i="1"/>
  <c r="BD79" i="1" s="1"/>
  <c r="BE79" i="1"/>
  <c r="BU79" i="1"/>
  <c r="BW79" i="1"/>
  <c r="CD79" i="1"/>
  <c r="CF79" i="1"/>
  <c r="CG79" i="1"/>
  <c r="CL79" i="1"/>
  <c r="CM79" i="1"/>
  <c r="BC119" i="1"/>
  <c r="BD119" i="1" s="1"/>
  <c r="BE119" i="1"/>
  <c r="BU119" i="1"/>
  <c r="BW119" i="1"/>
  <c r="CD119" i="1"/>
  <c r="CF119" i="1"/>
  <c r="CG119" i="1"/>
  <c r="CL119" i="1"/>
  <c r="CM119" i="1"/>
  <c r="BC80" i="1"/>
  <c r="CJ80" i="1" s="1"/>
  <c r="BE80" i="1"/>
  <c r="BV80" i="1"/>
  <c r="BW80" i="1"/>
  <c r="CD80" i="1"/>
  <c r="CF80" i="1"/>
  <c r="CG80" i="1"/>
  <c r="CL80" i="1"/>
  <c r="CM80" i="1"/>
  <c r="BC81" i="1"/>
  <c r="BE81" i="1"/>
  <c r="BV81" i="1"/>
  <c r="BW81" i="1"/>
  <c r="CD81" i="1"/>
  <c r="CF81" i="1"/>
  <c r="CG81" i="1"/>
  <c r="CL81" i="1"/>
  <c r="CM81" i="1"/>
  <c r="BE82" i="1"/>
  <c r="BV82" i="1"/>
  <c r="BW82" i="1"/>
  <c r="CD82" i="1"/>
  <c r="CF82" i="1"/>
  <c r="CG82" i="1"/>
  <c r="CL82" i="1"/>
  <c r="CM82" i="1"/>
  <c r="BC83" i="1"/>
  <c r="CE83" i="1" s="1"/>
  <c r="BE83" i="1"/>
  <c r="BV83" i="1"/>
  <c r="BW83" i="1"/>
  <c r="CD83" i="1"/>
  <c r="CF83" i="1"/>
  <c r="CG83" i="1"/>
  <c r="CL83" i="1"/>
  <c r="CM83" i="1"/>
  <c r="BE120" i="1"/>
  <c r="BV120" i="1"/>
  <c r="BW120" i="1"/>
  <c r="CD120" i="1"/>
  <c r="CE120" i="1"/>
  <c r="CF120" i="1"/>
  <c r="CG120" i="1"/>
  <c r="CL120" i="1"/>
  <c r="CM120" i="1"/>
  <c r="BC121" i="1"/>
  <c r="BD121" i="1" s="1"/>
  <c r="BE121" i="1"/>
  <c r="BU121" i="1"/>
  <c r="BW121" i="1"/>
  <c r="CD121" i="1"/>
  <c r="CF121" i="1"/>
  <c r="CG121" i="1"/>
  <c r="CL121" i="1"/>
  <c r="CM121" i="1"/>
  <c r="BC122" i="1"/>
  <c r="BD122" i="1" s="1"/>
  <c r="BE122" i="1"/>
  <c r="BU122" i="1"/>
  <c r="BW122" i="1"/>
  <c r="CD122" i="1"/>
  <c r="CF122" i="1"/>
  <c r="CG122" i="1"/>
  <c r="CL122" i="1"/>
  <c r="CM122" i="1"/>
  <c r="BE123" i="1"/>
  <c r="BV123" i="1"/>
  <c r="BW123" i="1"/>
  <c r="CD123" i="1"/>
  <c r="CE123" i="1"/>
  <c r="CF123" i="1"/>
  <c r="CG123" i="1"/>
  <c r="CL123" i="1"/>
  <c r="CM123" i="1"/>
  <c r="BC124" i="1"/>
  <c r="BD124" i="1" s="1"/>
  <c r="BE124" i="1"/>
  <c r="BU124" i="1"/>
  <c r="BW124" i="1"/>
  <c r="CD124" i="1"/>
  <c r="CF124" i="1"/>
  <c r="CG124" i="1"/>
  <c r="CL124" i="1"/>
  <c r="CM124" i="1"/>
  <c r="BE84" i="1"/>
  <c r="BV84" i="1"/>
  <c r="BW84" i="1"/>
  <c r="CD84" i="1"/>
  <c r="CE84" i="1"/>
  <c r="CF84" i="1"/>
  <c r="CG84" i="1"/>
  <c r="CL84" i="1"/>
  <c r="CM84" i="1"/>
  <c r="BC85" i="1"/>
  <c r="BE85" i="1"/>
  <c r="BV85" i="1"/>
  <c r="BW85" i="1"/>
  <c r="CD85" i="1"/>
  <c r="CF85" i="1"/>
  <c r="CG85" i="1"/>
  <c r="CL85" i="1"/>
  <c r="CM85" i="1"/>
  <c r="CG127" i="1"/>
  <c r="CG128" i="1"/>
  <c r="BV112" i="1"/>
  <c r="BD49" i="1"/>
  <c r="BV97" i="1"/>
  <c r="BD43" i="1"/>
  <c r="BV40" i="1"/>
  <c r="CH37" i="1"/>
  <c r="BV32" i="1"/>
  <c r="BD34" i="1"/>
  <c r="CE34" i="1"/>
  <c r="BV36" i="1"/>
  <c r="BD38" i="1"/>
  <c r="CE21" i="1"/>
  <c r="CE17" i="1"/>
  <c r="CE11" i="1"/>
  <c r="CE8" i="1"/>
  <c r="CE3" i="1"/>
  <c r="CE36" i="1"/>
  <c r="CE91" i="1"/>
  <c r="CE32" i="1"/>
  <c r="CE89" i="1"/>
  <c r="CE20" i="1"/>
  <c r="CE25" i="1"/>
  <c r="CE19" i="1"/>
  <c r="CE15" i="1"/>
  <c r="CE13" i="1"/>
  <c r="CE9" i="1"/>
  <c r="CE5" i="1"/>
  <c r="CE26" i="1" l="1"/>
  <c r="CE22" i="1"/>
  <c r="CE87" i="1"/>
  <c r="CE10" i="1"/>
  <c r="CE6" i="1"/>
  <c r="CE86" i="1"/>
  <c r="CE30" i="1"/>
  <c r="BD28" i="1"/>
  <c r="CA28" i="1"/>
  <c r="CJ12" i="2"/>
  <c r="CE90" i="1"/>
  <c r="CE16" i="1"/>
  <c r="BV46" i="1"/>
  <c r="BD52" i="1"/>
  <c r="CA52" i="1"/>
  <c r="BD46" i="1"/>
  <c r="CA46" i="1"/>
  <c r="BD65" i="1"/>
  <c r="CA65" i="1"/>
  <c r="BQ10" i="2"/>
  <c r="BR11" i="2"/>
  <c r="CB20" i="1"/>
  <c r="CA11" i="2"/>
  <c r="BS11" i="2"/>
  <c r="BD56" i="1"/>
  <c r="CA56" i="1"/>
  <c r="BD31" i="1"/>
  <c r="CA31" i="1"/>
  <c r="BD57" i="1"/>
  <c r="CA57" i="1"/>
  <c r="BD32" i="1"/>
  <c r="CA32" i="1"/>
  <c r="CB37" i="1"/>
  <c r="BZ10" i="2"/>
  <c r="BR10" i="2"/>
  <c r="BZ9" i="2"/>
  <c r="BR9" i="2"/>
  <c r="BP8" i="2"/>
  <c r="BD23" i="1"/>
  <c r="CA23" i="1"/>
  <c r="CE43" i="1"/>
  <c r="BQ3" i="2"/>
  <c r="BN3" i="2"/>
  <c r="CE111" i="1"/>
  <c r="BY8" i="2"/>
  <c r="BQ8" i="2"/>
  <c r="BT6" i="2"/>
  <c r="BU6" i="2" s="1"/>
  <c r="BN5" i="2"/>
  <c r="BQ5" i="2"/>
  <c r="BQ2" i="2"/>
  <c r="BT7" i="2"/>
  <c r="BU7" i="2" s="1"/>
  <c r="AT7" i="2"/>
  <c r="BQ4" i="2"/>
  <c r="BN4" i="2"/>
  <c r="AS3" i="2"/>
  <c r="BN2" i="2"/>
  <c r="BD47" i="1"/>
  <c r="CA47" i="1"/>
  <c r="BD36" i="1"/>
  <c r="CA36" i="1"/>
  <c r="BD35" i="1"/>
  <c r="CA35" i="1"/>
  <c r="BD33" i="1"/>
  <c r="CA33" i="1"/>
  <c r="BD27" i="1"/>
  <c r="CA27" i="1"/>
  <c r="BD25" i="1"/>
  <c r="CA25" i="1"/>
  <c r="BD19" i="1"/>
  <c r="CA19" i="1"/>
  <c r="BD15" i="1"/>
  <c r="CA15" i="1"/>
  <c r="BD13" i="1"/>
  <c r="CA13" i="1"/>
  <c r="BD11" i="1"/>
  <c r="CA11" i="1"/>
  <c r="BD8" i="1"/>
  <c r="CA8" i="1"/>
  <c r="BD5" i="1"/>
  <c r="CA5" i="1"/>
  <c r="BQ6" i="2"/>
  <c r="AS2" i="2"/>
  <c r="BD55" i="1"/>
  <c r="CA55" i="1"/>
  <c r="CJ53" i="1"/>
  <c r="CB53" i="1"/>
  <c r="BD51" i="1"/>
  <c r="CA51" i="1"/>
  <c r="BD50" i="1"/>
  <c r="CA50" i="1"/>
  <c r="BD48" i="1"/>
  <c r="CA48" i="1"/>
  <c r="CE44" i="1"/>
  <c r="CB44" i="1"/>
  <c r="BD40" i="1"/>
  <c r="CA40" i="1"/>
  <c r="CJ38" i="1"/>
  <c r="CB38" i="1"/>
  <c r="CJ47" i="1"/>
  <c r="CB47" i="1"/>
  <c r="BD37" i="1"/>
  <c r="CA37" i="1"/>
  <c r="CJ36" i="1"/>
  <c r="CI36" i="1" s="1"/>
  <c r="BZ36" i="1" s="1"/>
  <c r="CB36" i="1"/>
  <c r="CB27" i="1"/>
  <c r="BD26" i="1"/>
  <c r="CA26" i="1"/>
  <c r="BD20" i="1"/>
  <c r="CA20" i="1"/>
  <c r="BD16" i="1"/>
  <c r="CA16" i="1"/>
  <c r="CJ15" i="1"/>
  <c r="CB15" i="1"/>
  <c r="BD14" i="1"/>
  <c r="CA14" i="1"/>
  <c r="BD4" i="1"/>
  <c r="CA4" i="1"/>
  <c r="CE114" i="1"/>
  <c r="CE64" i="1"/>
  <c r="CE61" i="1"/>
  <c r="CJ60" i="1"/>
  <c r="CE59" i="1"/>
  <c r="CJ55" i="1"/>
  <c r="CK55" i="1" s="1"/>
  <c r="CN55" i="1" s="1"/>
  <c r="CB55" i="1"/>
  <c r="CJ108" i="1"/>
  <c r="BD53" i="1"/>
  <c r="CA53" i="1"/>
  <c r="CJ50" i="1"/>
  <c r="CB50" i="1"/>
  <c r="CE96" i="1"/>
  <c r="BD44" i="1"/>
  <c r="CA44" i="1"/>
  <c r="BD39" i="1"/>
  <c r="CA39" i="1"/>
  <c r="CJ40" i="1"/>
  <c r="CB40" i="1"/>
  <c r="CE38" i="1"/>
  <c r="BV41" i="1"/>
  <c r="CE54" i="1"/>
  <c r="CE58" i="1"/>
  <c r="BD61" i="1"/>
  <c r="CE40" i="1"/>
  <c r="BV38" i="1"/>
  <c r="CE103" i="1"/>
  <c r="CE107" i="1"/>
  <c r="CE42" i="1"/>
  <c r="CE104" i="1"/>
  <c r="CE108" i="1"/>
  <c r="CE55" i="1"/>
  <c r="CJ105" i="1"/>
  <c r="CK47" i="1"/>
  <c r="CN47" i="1" s="1"/>
  <c r="CK41" i="1"/>
  <c r="CN41" i="1" s="1"/>
  <c r="CI41" i="1"/>
  <c r="CK80" i="1"/>
  <c r="CN80" i="1" s="1"/>
  <c r="CI80" i="1"/>
  <c r="CK42" i="1"/>
  <c r="CN42" i="1" s="1"/>
  <c r="CI42" i="1"/>
  <c r="CJ46" i="1"/>
  <c r="CJ100" i="1"/>
  <c r="CJ28" i="1"/>
  <c r="CJ59" i="1"/>
  <c r="CJ119" i="1"/>
  <c r="CI119" i="1" s="1"/>
  <c r="CJ117" i="1"/>
  <c r="CI117" i="1" s="1"/>
  <c r="CJ75" i="1"/>
  <c r="CJ73" i="1"/>
  <c r="CJ71" i="1"/>
  <c r="CJ68" i="1"/>
  <c r="CJ67" i="1"/>
  <c r="BV122" i="1"/>
  <c r="CJ122" i="1"/>
  <c r="CI122" i="1" s="1"/>
  <c r="CE82" i="1"/>
  <c r="BV78" i="1"/>
  <c r="CJ78" i="1"/>
  <c r="BV116" i="1"/>
  <c r="CJ116" i="1"/>
  <c r="CI116" i="1" s="1"/>
  <c r="BD74" i="1"/>
  <c r="CJ74" i="1"/>
  <c r="BV70" i="1"/>
  <c r="CJ70" i="1"/>
  <c r="CJ112" i="1"/>
  <c r="BV66" i="1"/>
  <c r="CJ66" i="1"/>
  <c r="BV62" i="1"/>
  <c r="CJ62" i="1"/>
  <c r="BV61" i="1"/>
  <c r="CJ61" i="1"/>
  <c r="CJ110" i="1"/>
  <c r="BV58" i="1"/>
  <c r="CJ58" i="1"/>
  <c r="BV56" i="1"/>
  <c r="CJ56" i="1"/>
  <c r="CJ54" i="1"/>
  <c r="BV109" i="1"/>
  <c r="CJ109" i="1"/>
  <c r="BV107" i="1"/>
  <c r="CJ107" i="1"/>
  <c r="BV104" i="1"/>
  <c r="CJ104" i="1"/>
  <c r="CJ52" i="1"/>
  <c r="BV103" i="1"/>
  <c r="CJ103" i="1"/>
  <c r="CJ97" i="1"/>
  <c r="BV95" i="1"/>
  <c r="CJ95" i="1"/>
  <c r="BV43" i="1"/>
  <c r="CJ43" i="1"/>
  <c r="BV124" i="1"/>
  <c r="CJ124" i="1"/>
  <c r="CI124" i="1" s="1"/>
  <c r="CE49" i="1"/>
  <c r="CJ49" i="1"/>
  <c r="BV37" i="1"/>
  <c r="CJ37" i="1"/>
  <c r="BV34" i="1"/>
  <c r="CJ34" i="1"/>
  <c r="BV92" i="1"/>
  <c r="CJ92" i="1"/>
  <c r="BV90" i="1"/>
  <c r="CJ90" i="1"/>
  <c r="BV31" i="1"/>
  <c r="CJ31" i="1"/>
  <c r="BV30" i="1"/>
  <c r="CJ30" i="1"/>
  <c r="BD29" i="1"/>
  <c r="CJ29" i="1"/>
  <c r="BV26" i="1"/>
  <c r="CJ26" i="1"/>
  <c r="BV24" i="1"/>
  <c r="CJ24" i="1"/>
  <c r="BV89" i="1"/>
  <c r="CJ89" i="1"/>
  <c r="BV88" i="1"/>
  <c r="CJ88" i="1"/>
  <c r="BV20" i="1"/>
  <c r="CJ20" i="1"/>
  <c r="BV18" i="1"/>
  <c r="CJ18" i="1"/>
  <c r="BV16" i="1"/>
  <c r="CJ16" i="1"/>
  <c r="BV14" i="1"/>
  <c r="CJ14" i="1"/>
  <c r="BV12" i="1"/>
  <c r="CJ12" i="1"/>
  <c r="BV10" i="1"/>
  <c r="CJ10" i="1"/>
  <c r="BV7" i="1"/>
  <c r="CJ7" i="1"/>
  <c r="BV6" i="1"/>
  <c r="CJ6" i="1"/>
  <c r="BV4" i="1"/>
  <c r="CJ4" i="1"/>
  <c r="BV121" i="1"/>
  <c r="CJ121" i="1"/>
  <c r="CI121" i="1" s="1"/>
  <c r="BD81" i="1"/>
  <c r="CJ81" i="1"/>
  <c r="CJ79" i="1"/>
  <c r="CJ118" i="1"/>
  <c r="CI118" i="1" s="1"/>
  <c r="BV77" i="1"/>
  <c r="CJ77" i="1"/>
  <c r="BV76" i="1"/>
  <c r="CJ76" i="1"/>
  <c r="BV72" i="1"/>
  <c r="CJ72" i="1"/>
  <c r="CE115" i="1"/>
  <c r="CJ115" i="1"/>
  <c r="CI115" i="1" s="1"/>
  <c r="BV69" i="1"/>
  <c r="CJ69" i="1"/>
  <c r="CJ114" i="1"/>
  <c r="CI114" i="1" s="1"/>
  <c r="BV113" i="1"/>
  <c r="CJ113" i="1"/>
  <c r="CI113" i="1" s="1"/>
  <c r="BV111" i="1"/>
  <c r="CJ111" i="1"/>
  <c r="BV65" i="1"/>
  <c r="CJ65" i="1"/>
  <c r="BV64" i="1"/>
  <c r="CJ64" i="1"/>
  <c r="BV63" i="1"/>
  <c r="CJ63" i="1"/>
  <c r="BV57" i="1"/>
  <c r="CJ57" i="1"/>
  <c r="BV106" i="1"/>
  <c r="CJ106" i="1"/>
  <c r="BV51" i="1"/>
  <c r="CJ51" i="1"/>
  <c r="BV48" i="1"/>
  <c r="CJ48" i="1"/>
  <c r="CE99" i="1"/>
  <c r="CJ99" i="1"/>
  <c r="BV98" i="1"/>
  <c r="CJ98" i="1"/>
  <c r="BV96" i="1"/>
  <c r="CJ96" i="1"/>
  <c r="BV94" i="1"/>
  <c r="CJ94" i="1"/>
  <c r="BV44" i="1"/>
  <c r="CJ44" i="1"/>
  <c r="BV39" i="1"/>
  <c r="CJ39" i="1"/>
  <c r="BD3" i="1"/>
  <c r="CJ3" i="1"/>
  <c r="BV2" i="1"/>
  <c r="CJ2" i="1"/>
  <c r="CE85" i="1"/>
  <c r="CJ85" i="1"/>
  <c r="CJ83" i="1"/>
  <c r="BV102" i="1"/>
  <c r="CJ102" i="1"/>
  <c r="CJ45" i="1"/>
  <c r="BV101" i="1"/>
  <c r="CJ101" i="1"/>
  <c r="BV35" i="1"/>
  <c r="CJ35" i="1"/>
  <c r="CJ91" i="1"/>
  <c r="BV33" i="1"/>
  <c r="CJ33" i="1"/>
  <c r="CJ32" i="1"/>
  <c r="BV27" i="1"/>
  <c r="CJ27" i="1"/>
  <c r="BV25" i="1"/>
  <c r="CJ25" i="1"/>
  <c r="BV23" i="1"/>
  <c r="CJ23" i="1"/>
  <c r="BV22" i="1"/>
  <c r="CJ22" i="1"/>
  <c r="BV21" i="1"/>
  <c r="CJ21" i="1"/>
  <c r="BV19" i="1"/>
  <c r="CJ19" i="1"/>
  <c r="BV17" i="1"/>
  <c r="CJ17" i="1"/>
  <c r="BV87" i="1"/>
  <c r="CJ87" i="1"/>
  <c r="BV13" i="1"/>
  <c r="CJ13" i="1"/>
  <c r="BV11" i="1"/>
  <c r="CJ11" i="1"/>
  <c r="BV9" i="1"/>
  <c r="CJ9" i="1"/>
  <c r="BV8" i="1"/>
  <c r="CJ8" i="1"/>
  <c r="BV5" i="1"/>
  <c r="CJ5" i="1"/>
  <c r="BV86" i="1"/>
  <c r="CJ86" i="1"/>
  <c r="CE45" i="1"/>
  <c r="CH87" i="1"/>
  <c r="CE23" i="1"/>
  <c r="CE75" i="1"/>
  <c r="CE119" i="1"/>
  <c r="CE121" i="1"/>
  <c r="CE46" i="1"/>
  <c r="CE112" i="1"/>
  <c r="CH54" i="1"/>
  <c r="CH96" i="1"/>
  <c r="CE41" i="1"/>
  <c r="CH124" i="1"/>
  <c r="CH52" i="1"/>
  <c r="CH117" i="1"/>
  <c r="CH62" i="1"/>
  <c r="CE74" i="1"/>
  <c r="CH28" i="1"/>
  <c r="CH21" i="1"/>
  <c r="CH76" i="1"/>
  <c r="CH63" i="1"/>
  <c r="CH108" i="1"/>
  <c r="CE102" i="1"/>
  <c r="CH93" i="1"/>
  <c r="CH88" i="1"/>
  <c r="CH81" i="1"/>
  <c r="CE81" i="1"/>
  <c r="CH80" i="1"/>
  <c r="CH74" i="1"/>
  <c r="BV115" i="1"/>
  <c r="CE66" i="1"/>
  <c r="CH58" i="1"/>
  <c r="CH106" i="1"/>
  <c r="CE101" i="1"/>
  <c r="CH35" i="1"/>
  <c r="CE29" i="1"/>
  <c r="CE27" i="1"/>
  <c r="CH89" i="1"/>
  <c r="CH22" i="1"/>
  <c r="BV15" i="1"/>
  <c r="CH2" i="1"/>
  <c r="CE109" i="1"/>
  <c r="CH103" i="1"/>
  <c r="CH46" i="1"/>
  <c r="CH100" i="1"/>
  <c r="CH98" i="1"/>
  <c r="CH97" i="1"/>
  <c r="CE97" i="1"/>
  <c r="CE7" i="1"/>
  <c r="CH86" i="1"/>
  <c r="CE78" i="1"/>
  <c r="CE71" i="1"/>
  <c r="CH107" i="1"/>
  <c r="CH102" i="1"/>
  <c r="CH99" i="1"/>
  <c r="CH94" i="1"/>
  <c r="CH29" i="1"/>
  <c r="CH23" i="1"/>
  <c r="CH18" i="1"/>
  <c r="CH10" i="1"/>
  <c r="CH85" i="1"/>
  <c r="BD85" i="1"/>
  <c r="CH122" i="1"/>
  <c r="BD80" i="1"/>
  <c r="CH118" i="1"/>
  <c r="CH116" i="1"/>
  <c r="CH70" i="1"/>
  <c r="CH68" i="1"/>
  <c r="BD66" i="1"/>
  <c r="CH65" i="1"/>
  <c r="CH60" i="1"/>
  <c r="CH59" i="1"/>
  <c r="CH109" i="1"/>
  <c r="BD109" i="1"/>
  <c r="CH53" i="1"/>
  <c r="CH104" i="1"/>
  <c r="BV47" i="1"/>
  <c r="BV42" i="1"/>
  <c r="CH34" i="1"/>
  <c r="CH31" i="1"/>
  <c r="CH24" i="1"/>
  <c r="CE14" i="1"/>
  <c r="BD7" i="1"/>
  <c r="CH3" i="1"/>
  <c r="CE124" i="1"/>
  <c r="CH79" i="1"/>
  <c r="CH77" i="1"/>
  <c r="CH73" i="1"/>
  <c r="CH114" i="1"/>
  <c r="CE67" i="1"/>
  <c r="CH61" i="1"/>
  <c r="CH110" i="1"/>
  <c r="CH105" i="1"/>
  <c r="CH49" i="1"/>
  <c r="CH101" i="1"/>
  <c r="CH26" i="1"/>
  <c r="CE70" i="1"/>
  <c r="BV114" i="1"/>
  <c r="CH121" i="1"/>
  <c r="CH119" i="1"/>
  <c r="BV79" i="1"/>
  <c r="CE116" i="1"/>
  <c r="CH75" i="1"/>
  <c r="BV73" i="1"/>
  <c r="CE72" i="1"/>
  <c r="BD111" i="1"/>
  <c r="CH120" i="1"/>
  <c r="CE80" i="1"/>
  <c r="CH84" i="1"/>
  <c r="CH123" i="1"/>
  <c r="CH83" i="1"/>
  <c r="BD83" i="1"/>
  <c r="CH78" i="1"/>
  <c r="CE118" i="1"/>
  <c r="CH72" i="1"/>
  <c r="BD70" i="1"/>
  <c r="CH69" i="1"/>
  <c r="BV67" i="1"/>
  <c r="CH64" i="1"/>
  <c r="CH57" i="1"/>
  <c r="BV100" i="1"/>
  <c r="BD101" i="1"/>
  <c r="CH90" i="1"/>
  <c r="CH30" i="1"/>
  <c r="BV28" i="1"/>
  <c r="CH17" i="1"/>
  <c r="CE60" i="1"/>
  <c r="CH43" i="1"/>
  <c r="CH82" i="1"/>
  <c r="CE76" i="1"/>
  <c r="CH71" i="1"/>
  <c r="CH115" i="1"/>
  <c r="CE68" i="1"/>
  <c r="CH67" i="1"/>
  <c r="CH113" i="1"/>
  <c r="CH112" i="1"/>
  <c r="CH111" i="1"/>
  <c r="BV110" i="1"/>
  <c r="CH56" i="1"/>
  <c r="BV53" i="1"/>
  <c r="CE105" i="1"/>
  <c r="BV52" i="1"/>
  <c r="CE50" i="1"/>
  <c r="CH45" i="1"/>
  <c r="BD99" i="1"/>
  <c r="CH95" i="1"/>
  <c r="CH92" i="1"/>
  <c r="CH91" i="1"/>
  <c r="CH32" i="1"/>
  <c r="CH12" i="1"/>
  <c r="CE2" i="1"/>
  <c r="BV119" i="1"/>
  <c r="BV117" i="1"/>
  <c r="BV75" i="1"/>
  <c r="CE69" i="1"/>
  <c r="CE113" i="1"/>
  <c r="CE65" i="1"/>
  <c r="CE63" i="1"/>
  <c r="BV45" i="1"/>
  <c r="CE95" i="1"/>
  <c r="CE35" i="1"/>
  <c r="CE33" i="1"/>
  <c r="CE12" i="1"/>
  <c r="CE4" i="1"/>
  <c r="CE117" i="1"/>
  <c r="CE62" i="1"/>
  <c r="CE57" i="1"/>
  <c r="CE106" i="1"/>
  <c r="CE51" i="1"/>
  <c r="CE48" i="1"/>
  <c r="CE98" i="1"/>
  <c r="CE94" i="1"/>
  <c r="CE39" i="1"/>
  <c r="CE37" i="1"/>
  <c r="CE92" i="1"/>
  <c r="CE31" i="1"/>
  <c r="CE88" i="1"/>
  <c r="CE122" i="1"/>
  <c r="BV118" i="1"/>
  <c r="CE79" i="1"/>
  <c r="CE77" i="1"/>
  <c r="CE73" i="1"/>
  <c r="CE110" i="1"/>
  <c r="CE56" i="1"/>
  <c r="CE53" i="1"/>
  <c r="CE52" i="1"/>
  <c r="CE47" i="1"/>
  <c r="CE100" i="1"/>
  <c r="CE28" i="1"/>
  <c r="CE24" i="1"/>
  <c r="CE18" i="1"/>
  <c r="CK12" i="2" l="1"/>
  <c r="CI12" i="2"/>
  <c r="CK36" i="1"/>
  <c r="CN36" i="1" s="1"/>
  <c r="CI40" i="1"/>
  <c r="BZ40" i="1" s="1"/>
  <c r="CI108" i="1"/>
  <c r="CK60" i="1"/>
  <c r="CN60" i="1" s="1"/>
  <c r="CI38" i="1"/>
  <c r="BZ38" i="1" s="1"/>
  <c r="CI53" i="1"/>
  <c r="BZ53" i="1" s="1"/>
  <c r="CK15" i="1"/>
  <c r="CN15" i="1" s="1"/>
  <c r="CI15" i="1"/>
  <c r="BZ15" i="1" s="1"/>
  <c r="CI86" i="1"/>
  <c r="CI87" i="1"/>
  <c r="CN82" i="1"/>
  <c r="CK40" i="1"/>
  <c r="CN40" i="1" s="1"/>
  <c r="CK53" i="1"/>
  <c r="CN53" i="1" s="1"/>
  <c r="CK38" i="1"/>
  <c r="CN38" i="1" s="1"/>
  <c r="CK108" i="1"/>
  <c r="CN108" i="1" s="1"/>
  <c r="CI47" i="1"/>
  <c r="BZ47" i="1" s="1"/>
  <c r="CB11" i="2"/>
  <c r="BZ11" i="2"/>
  <c r="CI55" i="1"/>
  <c r="BZ55" i="1" s="1"/>
  <c r="CI103" i="1"/>
  <c r="CK122" i="1"/>
  <c r="CN122" i="1" s="1"/>
  <c r="CK119" i="1"/>
  <c r="CN119" i="1" s="1"/>
  <c r="CI60" i="1"/>
  <c r="CI105" i="1"/>
  <c r="CI91" i="1"/>
  <c r="CK121" i="1"/>
  <c r="CN121" i="1" s="1"/>
  <c r="CK124" i="1"/>
  <c r="CN124" i="1" s="1"/>
  <c r="CI107" i="1"/>
  <c r="CA10" i="2"/>
  <c r="BY10" i="2"/>
  <c r="CA9" i="2"/>
  <c r="BY9" i="2"/>
  <c r="CK50" i="1"/>
  <c r="CN50" i="1" s="1"/>
  <c r="CI76" i="1"/>
  <c r="CI9" i="1"/>
  <c r="CI39" i="1"/>
  <c r="BZ39" i="1" s="1"/>
  <c r="CI50" i="1"/>
  <c r="BZ50" i="1" s="1"/>
  <c r="BX8" i="2"/>
  <c r="BZ8" i="2"/>
  <c r="CK105" i="1"/>
  <c r="CN105" i="1" s="1"/>
  <c r="CK33" i="1"/>
  <c r="CN33" i="1" s="1"/>
  <c r="CI33" i="1"/>
  <c r="BZ33" i="1" s="1"/>
  <c r="CK102" i="1"/>
  <c r="CN102" i="1" s="1"/>
  <c r="CI102" i="1"/>
  <c r="CK115" i="1"/>
  <c r="CN115" i="1" s="1"/>
  <c r="CK118" i="1"/>
  <c r="CN118" i="1" s="1"/>
  <c r="CK6" i="1"/>
  <c r="CN6" i="1" s="1"/>
  <c r="CI6" i="1"/>
  <c r="CK10" i="1"/>
  <c r="CN10" i="1" s="1"/>
  <c r="CI10" i="1"/>
  <c r="CK16" i="1"/>
  <c r="CN16" i="1" s="1"/>
  <c r="CI16" i="1"/>
  <c r="BZ16" i="1" s="1"/>
  <c r="CK20" i="1"/>
  <c r="CI20" i="1"/>
  <c r="BZ20" i="1" s="1"/>
  <c r="CK89" i="1"/>
  <c r="CN89" i="1" s="1"/>
  <c r="CI89" i="1"/>
  <c r="CK26" i="1"/>
  <c r="CN26" i="1" s="1"/>
  <c r="CI26" i="1"/>
  <c r="BZ26" i="1" s="1"/>
  <c r="CK30" i="1"/>
  <c r="CN30" i="1" s="1"/>
  <c r="CI30" i="1"/>
  <c r="CK90" i="1"/>
  <c r="CN90" i="1" s="1"/>
  <c r="CI90" i="1"/>
  <c r="CK34" i="1"/>
  <c r="CN34" i="1" s="1"/>
  <c r="CI34" i="1"/>
  <c r="CK49" i="1"/>
  <c r="CN49" i="1" s="1"/>
  <c r="CI49" i="1"/>
  <c r="CK43" i="1"/>
  <c r="CN43" i="1" s="1"/>
  <c r="CI43" i="1"/>
  <c r="BZ43" i="1" s="1"/>
  <c r="CK97" i="1"/>
  <c r="CN97" i="1" s="1"/>
  <c r="CI97" i="1"/>
  <c r="CK104" i="1"/>
  <c r="CN104" i="1" s="1"/>
  <c r="CI104" i="1"/>
  <c r="CK109" i="1"/>
  <c r="CN109" i="1" s="1"/>
  <c r="CI109" i="1"/>
  <c r="CK61" i="1"/>
  <c r="CN61" i="1" s="1"/>
  <c r="CI61" i="1"/>
  <c r="CK70" i="1"/>
  <c r="CN70" i="1" s="1"/>
  <c r="CI70" i="1"/>
  <c r="CK116" i="1"/>
  <c r="CN116" i="1" s="1"/>
  <c r="CK67" i="1"/>
  <c r="CN67" i="1" s="1"/>
  <c r="CI67" i="1"/>
  <c r="CK75" i="1"/>
  <c r="CN75" i="1" s="1"/>
  <c r="CI75" i="1"/>
  <c r="CK46" i="1"/>
  <c r="CN46" i="1" s="1"/>
  <c r="CI46" i="1"/>
  <c r="BZ46" i="1" s="1"/>
  <c r="CK5" i="1"/>
  <c r="CN5" i="1" s="1"/>
  <c r="CI5" i="1"/>
  <c r="BZ5" i="1" s="1"/>
  <c r="CK13" i="1"/>
  <c r="CN13" i="1" s="1"/>
  <c r="CI13" i="1"/>
  <c r="BZ13" i="1" s="1"/>
  <c r="CK17" i="1"/>
  <c r="CN17" i="1" s="1"/>
  <c r="CI17" i="1"/>
  <c r="CK21" i="1"/>
  <c r="CN21" i="1" s="1"/>
  <c r="CI21" i="1"/>
  <c r="CK23" i="1"/>
  <c r="CN23" i="1" s="1"/>
  <c r="CI23" i="1"/>
  <c r="BZ23" i="1" s="1"/>
  <c r="CK27" i="1"/>
  <c r="CN27" i="1" s="1"/>
  <c r="CI27" i="1"/>
  <c r="CK101" i="1"/>
  <c r="CN101" i="1" s="1"/>
  <c r="CI101" i="1"/>
  <c r="CK2" i="1"/>
  <c r="CN2" i="1" s="1"/>
  <c r="CI2" i="1"/>
  <c r="CK94" i="1"/>
  <c r="CN94" i="1" s="1"/>
  <c r="CI94" i="1"/>
  <c r="CK98" i="1"/>
  <c r="CN98" i="1" s="1"/>
  <c r="CI98" i="1"/>
  <c r="CK48" i="1"/>
  <c r="CN48" i="1" s="1"/>
  <c r="CI48" i="1"/>
  <c r="BZ48" i="1" s="1"/>
  <c r="CK106" i="1"/>
  <c r="CN106" i="1" s="1"/>
  <c r="CI106" i="1"/>
  <c r="CK57" i="1"/>
  <c r="CN57" i="1" s="1"/>
  <c r="CI57" i="1"/>
  <c r="BZ57" i="1" s="1"/>
  <c r="CK64" i="1"/>
  <c r="CN64" i="1" s="1"/>
  <c r="CI64" i="1"/>
  <c r="CK111" i="1"/>
  <c r="CN111" i="1" s="1"/>
  <c r="CI111" i="1"/>
  <c r="CK114" i="1"/>
  <c r="CN114" i="1" s="1"/>
  <c r="CK79" i="1"/>
  <c r="CN79" i="1" s="1"/>
  <c r="CI79" i="1"/>
  <c r="CK58" i="1"/>
  <c r="CN58" i="1" s="1"/>
  <c r="CI58" i="1"/>
  <c r="CK66" i="1"/>
  <c r="CN66" i="1" s="1"/>
  <c r="CI66" i="1"/>
  <c r="BZ66" i="1" s="1"/>
  <c r="CK68" i="1"/>
  <c r="CN68" i="1" s="1"/>
  <c r="CI68" i="1"/>
  <c r="CK117" i="1"/>
  <c r="CN117" i="1" s="1"/>
  <c r="CK83" i="1"/>
  <c r="CN83" i="1" s="1"/>
  <c r="CI83" i="1"/>
  <c r="CK69" i="1"/>
  <c r="CN69" i="1" s="1"/>
  <c r="CI69" i="1"/>
  <c r="CK72" i="1"/>
  <c r="CN72" i="1" s="1"/>
  <c r="CI72" i="1"/>
  <c r="CK77" i="1"/>
  <c r="CN77" i="1" s="1"/>
  <c r="CI77" i="1"/>
  <c r="CK81" i="1"/>
  <c r="CN81" i="1" s="1"/>
  <c r="CI81" i="1"/>
  <c r="CK4" i="1"/>
  <c r="CN4" i="1" s="1"/>
  <c r="CI4" i="1"/>
  <c r="BZ4" i="1" s="1"/>
  <c r="CK7" i="1"/>
  <c r="CN7" i="1" s="1"/>
  <c r="CI7" i="1"/>
  <c r="BZ7" i="1" s="1"/>
  <c r="CK12" i="1"/>
  <c r="CI12" i="1"/>
  <c r="CK14" i="1"/>
  <c r="CN14" i="1" s="1"/>
  <c r="CI14" i="1"/>
  <c r="BZ14" i="1" s="1"/>
  <c r="CK18" i="1"/>
  <c r="CN18" i="1" s="1"/>
  <c r="CI18" i="1"/>
  <c r="CK88" i="1"/>
  <c r="CN88" i="1" s="1"/>
  <c r="CI88" i="1"/>
  <c r="CK24" i="1"/>
  <c r="CN24" i="1" s="1"/>
  <c r="CI24" i="1"/>
  <c r="CK29" i="1"/>
  <c r="CN29" i="1" s="1"/>
  <c r="CI29" i="1"/>
  <c r="CK31" i="1"/>
  <c r="CN31" i="1" s="1"/>
  <c r="CI31" i="1"/>
  <c r="BZ31" i="1" s="1"/>
  <c r="CK92" i="1"/>
  <c r="CN92" i="1" s="1"/>
  <c r="CI92" i="1"/>
  <c r="CK37" i="1"/>
  <c r="CI37" i="1"/>
  <c r="BZ37" i="1" s="1"/>
  <c r="CK95" i="1"/>
  <c r="CN95" i="1" s="1"/>
  <c r="CI95" i="1"/>
  <c r="CK54" i="1"/>
  <c r="CN54" i="1" s="1"/>
  <c r="CI54" i="1"/>
  <c r="CK62" i="1"/>
  <c r="CN62" i="1" s="1"/>
  <c r="CI62" i="1"/>
  <c r="CK74" i="1"/>
  <c r="CN74" i="1" s="1"/>
  <c r="CI74" i="1"/>
  <c r="CK78" i="1"/>
  <c r="CN78" i="1" s="1"/>
  <c r="CI78" i="1"/>
  <c r="CK71" i="1"/>
  <c r="CN71" i="1" s="1"/>
  <c r="CI71" i="1"/>
  <c r="CK28" i="1"/>
  <c r="CN28" i="1" s="1"/>
  <c r="CI28" i="1"/>
  <c r="BZ28" i="1" s="1"/>
  <c r="CK8" i="1"/>
  <c r="CN8" i="1" s="1"/>
  <c r="CI8" i="1"/>
  <c r="BZ8" i="1" s="1"/>
  <c r="CK11" i="1"/>
  <c r="CN11" i="1" s="1"/>
  <c r="CI11" i="1"/>
  <c r="BZ11" i="1" s="1"/>
  <c r="CK19" i="1"/>
  <c r="CN19" i="1" s="1"/>
  <c r="CI19" i="1"/>
  <c r="BZ19" i="1" s="1"/>
  <c r="CK22" i="1"/>
  <c r="CN22" i="1" s="1"/>
  <c r="CI22" i="1"/>
  <c r="CK25" i="1"/>
  <c r="CN25" i="1" s="1"/>
  <c r="CI25" i="1"/>
  <c r="BZ25" i="1" s="1"/>
  <c r="CK32" i="1"/>
  <c r="CN32" i="1" s="1"/>
  <c r="CI32" i="1"/>
  <c r="BZ32" i="1" s="1"/>
  <c r="CK35" i="1"/>
  <c r="CN35" i="1" s="1"/>
  <c r="CI35" i="1"/>
  <c r="BZ35" i="1" s="1"/>
  <c r="CK45" i="1"/>
  <c r="CN45" i="1" s="1"/>
  <c r="CI45" i="1"/>
  <c r="CK85" i="1"/>
  <c r="CN85" i="1" s="1"/>
  <c r="CI85" i="1"/>
  <c r="CK3" i="1"/>
  <c r="CN3" i="1" s="1"/>
  <c r="CI3" i="1"/>
  <c r="CK44" i="1"/>
  <c r="CI44" i="1"/>
  <c r="CK96" i="1"/>
  <c r="CN96" i="1" s="1"/>
  <c r="CI96" i="1"/>
  <c r="CK99" i="1"/>
  <c r="CN99" i="1" s="1"/>
  <c r="CI99" i="1"/>
  <c r="CK51" i="1"/>
  <c r="CN51" i="1" s="1"/>
  <c r="CI51" i="1"/>
  <c r="BZ51" i="1" s="1"/>
  <c r="CK63" i="1"/>
  <c r="CN63" i="1" s="1"/>
  <c r="CI63" i="1"/>
  <c r="CK65" i="1"/>
  <c r="CN65" i="1" s="1"/>
  <c r="CI65" i="1"/>
  <c r="BZ65" i="1" s="1"/>
  <c r="CK113" i="1"/>
  <c r="CN113" i="1" s="1"/>
  <c r="CK52" i="1"/>
  <c r="CN52" i="1" s="1"/>
  <c r="CI52" i="1"/>
  <c r="BZ52" i="1" s="1"/>
  <c r="CK56" i="1"/>
  <c r="CN56" i="1" s="1"/>
  <c r="CI56" i="1"/>
  <c r="BZ56" i="1" s="1"/>
  <c r="CK110" i="1"/>
  <c r="CN110" i="1" s="1"/>
  <c r="CI110" i="1"/>
  <c r="CK112" i="1"/>
  <c r="CN112" i="1" s="1"/>
  <c r="CI112" i="1"/>
  <c r="CK73" i="1"/>
  <c r="CN73" i="1" s="1"/>
  <c r="CI73" i="1"/>
  <c r="CK59" i="1"/>
  <c r="CN59" i="1" s="1"/>
  <c r="CI59" i="1"/>
  <c r="CK100" i="1"/>
  <c r="CN100" i="1" s="1"/>
  <c r="CI100" i="1"/>
  <c r="CK87" i="1"/>
  <c r="CN87" i="1" s="1"/>
  <c r="CK91" i="1"/>
  <c r="CN91" i="1" s="1"/>
  <c r="CK9" i="1"/>
  <c r="CN9" i="1" s="1"/>
  <c r="CK76" i="1"/>
  <c r="CN76" i="1" s="1"/>
  <c r="CK39" i="1"/>
  <c r="CN39" i="1" s="1"/>
  <c r="CK103" i="1"/>
  <c r="CN103" i="1" s="1"/>
  <c r="CK86" i="1"/>
  <c r="CN86" i="1" s="1"/>
  <c r="CK107" i="1"/>
  <c r="CN107" i="1" s="1"/>
  <c r="CN12" i="1" l="1"/>
  <c r="CN12" i="2"/>
  <c r="CN20" i="1"/>
  <c r="CE11" i="2"/>
  <c r="CN37" i="1"/>
  <c r="CD10" i="2"/>
  <c r="BZ44" i="1"/>
  <c r="BP9" i="2"/>
  <c r="BO8" i="2"/>
  <c r="CN44" i="1"/>
  <c r="CD9" i="2"/>
  <c r="BZ27" i="1"/>
</calcChain>
</file>

<file path=xl/sharedStrings.xml><?xml version="1.0" encoding="utf-8"?>
<sst xmlns="http://schemas.openxmlformats.org/spreadsheetml/2006/main" count="1841" uniqueCount="671">
  <si>
    <t>PreBCVA</t>
  </si>
  <si>
    <t>Benson</t>
  </si>
  <si>
    <t>Katiyar</t>
  </si>
  <si>
    <t>Hoffman</t>
  </si>
  <si>
    <t>Castelnovo</t>
  </si>
  <si>
    <t>Lenderman</t>
  </si>
  <si>
    <t>Matteson</t>
  </si>
  <si>
    <t>Nestor</t>
  </si>
  <si>
    <t>Rains</t>
  </si>
  <si>
    <t>Robel</t>
  </si>
  <si>
    <t>Jamison</t>
  </si>
  <si>
    <t>Rimstidt</t>
  </si>
  <si>
    <t>Nichols</t>
  </si>
  <si>
    <t xml:space="preserve">Demaggio </t>
  </si>
  <si>
    <t xml:space="preserve">Smith </t>
  </si>
  <si>
    <t>Dilley</t>
  </si>
  <si>
    <t xml:space="preserve">Ames </t>
  </si>
  <si>
    <t>Emilsson</t>
  </si>
  <si>
    <t>Harston</t>
  </si>
  <si>
    <t xml:space="preserve">Crupi </t>
  </si>
  <si>
    <t>Winkler</t>
  </si>
  <si>
    <t xml:space="preserve">Carroll </t>
  </si>
  <si>
    <t xml:space="preserve">Carlson </t>
  </si>
  <si>
    <t>Mirian</t>
  </si>
  <si>
    <t xml:space="preserve">Barrett </t>
  </si>
  <si>
    <t>Tanaka</t>
  </si>
  <si>
    <t xml:space="preserve">Noval </t>
  </si>
  <si>
    <t>Goolsby</t>
  </si>
  <si>
    <t>Davido</t>
  </si>
  <si>
    <t xml:space="preserve">Davanzo </t>
  </si>
  <si>
    <t>Demaree</t>
  </si>
  <si>
    <t>Dawn</t>
  </si>
  <si>
    <t>Traycoff</t>
  </si>
  <si>
    <t xml:space="preserve">Davido </t>
  </si>
  <si>
    <t>Matthews</t>
  </si>
  <si>
    <t xml:space="preserve">Schroen </t>
  </si>
  <si>
    <t>Homann</t>
  </si>
  <si>
    <t>Dittenber</t>
  </si>
  <si>
    <t>Beeny</t>
  </si>
  <si>
    <t>Frazier</t>
  </si>
  <si>
    <t>Callis</t>
  </si>
  <si>
    <t xml:space="preserve">Alexander </t>
  </si>
  <si>
    <t xml:space="preserve">Dowell </t>
  </si>
  <si>
    <t xml:space="preserve">Tharp </t>
  </si>
  <si>
    <t xml:space="preserve">Matteson </t>
  </si>
  <si>
    <t xml:space="preserve">Barber </t>
  </si>
  <si>
    <t>Bassett</t>
  </si>
  <si>
    <t xml:space="preserve">Robbins </t>
  </si>
  <si>
    <t xml:space="preserve">Day </t>
  </si>
  <si>
    <t>Chrisman</t>
  </si>
  <si>
    <t xml:space="preserve">Traycoff </t>
  </si>
  <si>
    <t xml:space="preserve">Salay </t>
  </si>
  <si>
    <t xml:space="preserve">Weissberg </t>
  </si>
  <si>
    <t xml:space="preserve">Schlater </t>
  </si>
  <si>
    <t>Lucius</t>
  </si>
  <si>
    <t xml:space="preserve">Gates </t>
  </si>
  <si>
    <t xml:space="preserve">Rich </t>
  </si>
  <si>
    <t xml:space="preserve">Woods </t>
  </si>
  <si>
    <t>Axial Length</t>
  </si>
  <si>
    <t>K1</t>
  </si>
  <si>
    <t>K1a</t>
  </si>
  <si>
    <t>K2</t>
  </si>
  <si>
    <t>K2a</t>
  </si>
  <si>
    <t>McIntosh</t>
  </si>
  <si>
    <t>preiop</t>
  </si>
  <si>
    <t>prepachy</t>
  </si>
  <si>
    <t>Phelps</t>
  </si>
  <si>
    <t>Owen</t>
  </si>
  <si>
    <t>MI #</t>
  </si>
  <si>
    <t>Preop</t>
  </si>
  <si>
    <t>IOP</t>
  </si>
  <si>
    <t>presph</t>
  </si>
  <si>
    <t>Pachy 1 year</t>
  </si>
  <si>
    <t>cyl6</t>
  </si>
  <si>
    <t>bcva6</t>
  </si>
  <si>
    <t>iop6</t>
  </si>
  <si>
    <t>pachy6</t>
  </si>
  <si>
    <t>ecd6</t>
  </si>
  <si>
    <t>missed</t>
  </si>
  <si>
    <t>Barnes</t>
  </si>
  <si>
    <t>ECD 1 year</t>
  </si>
  <si>
    <t>Krueger</t>
  </si>
  <si>
    <t>Not taken</t>
  </si>
  <si>
    <t>M cyl</t>
  </si>
  <si>
    <t>12 mo M sph</t>
  </si>
  <si>
    <t>sph6</t>
  </si>
  <si>
    <t>Pucher</t>
  </si>
  <si>
    <t>W</t>
  </si>
  <si>
    <t xml:space="preserve">Owen </t>
  </si>
  <si>
    <t>BCVA 12mo</t>
  </si>
  <si>
    <t>Andrews</t>
  </si>
  <si>
    <t>not taken</t>
  </si>
  <si>
    <t>precyl</t>
  </si>
  <si>
    <t>M axis</t>
  </si>
  <si>
    <t>Whitfield</t>
  </si>
  <si>
    <t>Carlson</t>
  </si>
  <si>
    <t>Moore</t>
  </si>
  <si>
    <t>Robbins</t>
  </si>
  <si>
    <t>Ball</t>
  </si>
  <si>
    <t>Eubanks</t>
  </si>
  <si>
    <t>Last Name</t>
  </si>
  <si>
    <t>First Name</t>
  </si>
  <si>
    <t>I</t>
  </si>
  <si>
    <t>DOB</t>
  </si>
  <si>
    <t>Sex</t>
  </si>
  <si>
    <t>Age</t>
  </si>
  <si>
    <t>Date of surgery</t>
  </si>
  <si>
    <t>Race</t>
  </si>
  <si>
    <t>F</t>
  </si>
  <si>
    <t>Eye</t>
  </si>
  <si>
    <t>OS</t>
  </si>
  <si>
    <t>OD</t>
  </si>
  <si>
    <t>M</t>
  </si>
  <si>
    <t>Smith</t>
  </si>
  <si>
    <t>Preston</t>
  </si>
  <si>
    <t>Swanson</t>
  </si>
  <si>
    <t xml:space="preserve">Janice  </t>
  </si>
  <si>
    <t>Georgia</t>
  </si>
  <si>
    <t>Douglass</t>
  </si>
  <si>
    <t>Webster</t>
  </si>
  <si>
    <t>Sean</t>
  </si>
  <si>
    <t>Richard J</t>
  </si>
  <si>
    <t>Michael</t>
  </si>
  <si>
    <t>Katia</t>
  </si>
  <si>
    <t>Goffin</t>
  </si>
  <si>
    <t>Vaughn</t>
  </si>
  <si>
    <t>Schurr</t>
  </si>
  <si>
    <t>Diana</t>
  </si>
  <si>
    <t>Machelle</t>
  </si>
  <si>
    <t>Joyce J</t>
  </si>
  <si>
    <t>Shelley</t>
  </si>
  <si>
    <t>Charles</t>
  </si>
  <si>
    <t>May</t>
  </si>
  <si>
    <t>Harold</t>
  </si>
  <si>
    <t>Nick</t>
  </si>
  <si>
    <t>Olmos Lau</t>
  </si>
  <si>
    <t>Dorothy M</t>
  </si>
  <si>
    <t>Kelly</t>
  </si>
  <si>
    <t>Thelma L</t>
  </si>
  <si>
    <t>Regina</t>
  </si>
  <si>
    <t>Carole</t>
  </si>
  <si>
    <t>Jean</t>
  </si>
  <si>
    <t xml:space="preserve">Mary </t>
  </si>
  <si>
    <t>Beverly</t>
  </si>
  <si>
    <t>William</t>
  </si>
  <si>
    <t>Ehresman</t>
  </si>
  <si>
    <t>Patricia</t>
  </si>
  <si>
    <t>Rosemary</t>
  </si>
  <si>
    <t>Richard</t>
  </si>
  <si>
    <t>Dan</t>
  </si>
  <si>
    <t>Nicole</t>
  </si>
  <si>
    <t>Barbara</t>
  </si>
  <si>
    <t>Kurtis</t>
  </si>
  <si>
    <t>Otis</t>
  </si>
  <si>
    <t>Harrison</t>
  </si>
  <si>
    <t>Antoinette</t>
  </si>
  <si>
    <t>Uma</t>
  </si>
  <si>
    <t>Mary</t>
  </si>
  <si>
    <t>Lauren</t>
  </si>
  <si>
    <t>Diane</t>
  </si>
  <si>
    <t>Gary R</t>
  </si>
  <si>
    <t xml:space="preserve">Loretta </t>
  </si>
  <si>
    <t>Jane</t>
  </si>
  <si>
    <t xml:space="preserve">Sue </t>
  </si>
  <si>
    <t xml:space="preserve">Michael </t>
  </si>
  <si>
    <t>Agee</t>
  </si>
  <si>
    <t>Dager (2)</t>
  </si>
  <si>
    <t>Dager (1)</t>
  </si>
  <si>
    <t>Sabine</t>
  </si>
  <si>
    <t>Oconnor</t>
  </si>
  <si>
    <t>Donna</t>
  </si>
  <si>
    <t>Johnson</t>
  </si>
  <si>
    <t xml:space="preserve">Theo </t>
  </si>
  <si>
    <t>Pykosz</t>
  </si>
  <si>
    <t>Gardner</t>
  </si>
  <si>
    <t>Larry</t>
  </si>
  <si>
    <t>Phillip</t>
  </si>
  <si>
    <t>Antionette</t>
  </si>
  <si>
    <t>Barry</t>
  </si>
  <si>
    <t>Leming</t>
  </si>
  <si>
    <t>Olga</t>
  </si>
  <si>
    <t xml:space="preserve">Judith  </t>
  </si>
  <si>
    <t>Thomas A.</t>
  </si>
  <si>
    <t>Vergene</t>
  </si>
  <si>
    <t>Norris</t>
  </si>
  <si>
    <t>Carol</t>
  </si>
  <si>
    <t xml:space="preserve">Theodore </t>
  </si>
  <si>
    <t>Joni</t>
  </si>
  <si>
    <t>Bonnie</t>
  </si>
  <si>
    <t>Lois</t>
  </si>
  <si>
    <t>Maripat</t>
  </si>
  <si>
    <t>Elsie</t>
  </si>
  <si>
    <t>Robertyne</t>
  </si>
  <si>
    <t>Bneta</t>
  </si>
  <si>
    <t>Brownfield</t>
  </si>
  <si>
    <t>Mary D</t>
  </si>
  <si>
    <t>David</t>
  </si>
  <si>
    <t>Jeanie</t>
  </si>
  <si>
    <t>Stephen R</t>
  </si>
  <si>
    <t>Paridokht</t>
  </si>
  <si>
    <t>Vincent</t>
  </si>
  <si>
    <t>Jill</t>
  </si>
  <si>
    <t>Lucas</t>
  </si>
  <si>
    <t>Ford</t>
  </si>
  <si>
    <t>Stephen</t>
  </si>
  <si>
    <t>Doris</t>
  </si>
  <si>
    <t xml:space="preserve">Don </t>
  </si>
  <si>
    <t>Decamp</t>
  </si>
  <si>
    <t>Annette</t>
  </si>
  <si>
    <t>Leota</t>
  </si>
  <si>
    <t>Frances</t>
  </si>
  <si>
    <t xml:space="preserve">Griffin </t>
  </si>
  <si>
    <t>Headley</t>
  </si>
  <si>
    <t>Janet</t>
  </si>
  <si>
    <t>Robert</t>
  </si>
  <si>
    <t>Blake</t>
  </si>
  <si>
    <t>Meess</t>
  </si>
  <si>
    <t>Robin</t>
  </si>
  <si>
    <t>Nancy</t>
  </si>
  <si>
    <t>Marilyn</t>
  </si>
  <si>
    <t>William H</t>
  </si>
  <si>
    <t>Rebecca</t>
  </si>
  <si>
    <t>Nurra</t>
  </si>
  <si>
    <t>Ronald</t>
  </si>
  <si>
    <t>Jeffrey K</t>
  </si>
  <si>
    <t>Suzanna</t>
  </si>
  <si>
    <t>Gibson</t>
  </si>
  <si>
    <t>Boulrece</t>
  </si>
  <si>
    <t>Elaine</t>
  </si>
  <si>
    <t>Schnick</t>
  </si>
  <si>
    <t>Worchuck</t>
  </si>
  <si>
    <t>Patricia A</t>
  </si>
  <si>
    <t>Bilicki</t>
  </si>
  <si>
    <t>Candace</t>
  </si>
  <si>
    <t>Kenneth</t>
  </si>
  <si>
    <t>Jones</t>
  </si>
  <si>
    <t>Catherine</t>
  </si>
  <si>
    <t>Shirley</t>
  </si>
  <si>
    <t>Jimmy</t>
  </si>
  <si>
    <r>
      <t xml:space="preserve">Esther </t>
    </r>
    <r>
      <rPr>
        <sz val="10"/>
        <rFont val="Arial"/>
        <family val="2"/>
      </rPr>
      <t>B</t>
    </r>
  </si>
  <si>
    <t>Miller</t>
  </si>
  <si>
    <t>Keesling</t>
  </si>
  <si>
    <t>Anterior Chamber Depth</t>
  </si>
  <si>
    <t>B</t>
  </si>
  <si>
    <t>H</t>
  </si>
  <si>
    <t>no appt</t>
  </si>
  <si>
    <t>9-14 mos</t>
  </si>
  <si>
    <t>6mo-8</t>
  </si>
  <si>
    <t>IOL Model</t>
  </si>
  <si>
    <t>SOFTEC HD</t>
  </si>
  <si>
    <t>Not Taken</t>
  </si>
  <si>
    <t>SN6AT6</t>
  </si>
  <si>
    <t>Documented Target Refraction</t>
  </si>
  <si>
    <t>Holladay II Target chosen</t>
  </si>
  <si>
    <t>[Calc] SE Error</t>
  </si>
  <si>
    <t>[Calc] Followup @ 6 or 12</t>
  </si>
  <si>
    <t>Ann</t>
  </si>
  <si>
    <t>Hubbard (2)</t>
  </si>
  <si>
    <t>Michael (2)</t>
  </si>
  <si>
    <t>Charles R</t>
  </si>
  <si>
    <t>Jackson</t>
  </si>
  <si>
    <t>Carleen</t>
  </si>
  <si>
    <t>Bartlett</t>
  </si>
  <si>
    <t>Dorothy</t>
  </si>
  <si>
    <t>Hyder</t>
  </si>
  <si>
    <t>Julie</t>
  </si>
  <si>
    <t>Soules</t>
  </si>
  <si>
    <t>Judy A</t>
  </si>
  <si>
    <t>Bell Jurak (2)</t>
  </si>
  <si>
    <t>Anna</t>
  </si>
  <si>
    <t>Brunswick</t>
  </si>
  <si>
    <t>Phakic Anterior Chamber Depth</t>
  </si>
  <si>
    <t>Phakic Lens Thickness</t>
  </si>
  <si>
    <t>Hor W-t-W</t>
  </si>
  <si>
    <t>Comments</t>
  </si>
  <si>
    <t>used old Ks</t>
  </si>
  <si>
    <t>SN6AT4</t>
  </si>
  <si>
    <t>EXCLUDE; PRIOR REFRACTIVE SURGERY</t>
  </si>
  <si>
    <t>uncorrected va (udva) 6</t>
  </si>
  <si>
    <t>uncorrected va (udva) 12</t>
  </si>
  <si>
    <t>[Calc] Length of Followup (days)</t>
  </si>
  <si>
    <t>[Calc] Length of followup (months)</t>
  </si>
  <si>
    <t>?</t>
  </si>
  <si>
    <t>[Calc] Difference 6 mo to 1 year Achieved SE</t>
  </si>
  <si>
    <t>[Calc] 6 month avg K - preop avg K</t>
  </si>
  <si>
    <t>[Calc] 12 month avg K - preop avg K</t>
  </si>
  <si>
    <t>posterior curvature</t>
  </si>
  <si>
    <t>?SK</t>
  </si>
  <si>
    <t>ELP - stnd ce/iol values</t>
  </si>
  <si>
    <t>dry eye measures -- q value from pentacam?</t>
  </si>
  <si>
    <t>[Calc] Achieved SE 6</t>
  </si>
  <si>
    <t>[Calc] Achieved SE 12</t>
  </si>
  <si>
    <t>[Calc] Last Achieved SE</t>
  </si>
  <si>
    <t>EXCLUDE: KCN</t>
  </si>
  <si>
    <t/>
  </si>
  <si>
    <t>ECC1 year</t>
  </si>
  <si>
    <t>EXCLUDE: LASIK</t>
  </si>
  <si>
    <t>9-14 mos (?=no appt)</t>
  </si>
  <si>
    <t>[Calc] Error in SE (last achieved vs target)</t>
  </si>
  <si>
    <t>*atypical fuch's - onset in 20s*</t>
  </si>
  <si>
    <t>no prepachy close to when Ks were done (cct 568  3 months prior)</t>
  </si>
  <si>
    <t>last pachy prior to sx 5 months earlier</t>
  </si>
  <si>
    <t>[Calc] Change in Pachy (Preop to 12)</t>
  </si>
  <si>
    <t>[Calc] Change in Pachy (Preop to 6)</t>
  </si>
  <si>
    <t>SK (0=no, 1=yes, 2=yes w MMC)</t>
  </si>
  <si>
    <t>s/p LASIK OU</t>
  </si>
  <si>
    <t>SN6AT5</t>
  </si>
  <si>
    <t>LRI</t>
  </si>
  <si>
    <t xml:space="preserve">*** IOL EXCHANGE 10/29/12 FOR MRx +3.50 (20/30); left for India after IOL exchange;  -1.00  +1.00  x 020 = 20/30 POW #1 s/p IOL exchange to Softec +23.75 </t>
  </si>
  <si>
    <t>Fuch's</t>
  </si>
  <si>
    <t>PBK</t>
  </si>
  <si>
    <t>also synechialysis</t>
  </si>
  <si>
    <t>EXCLUDE: post-LASIK ectasia</t>
  </si>
  <si>
    <t>PAST MEDICAL HISTORY</t>
  </si>
  <si>
    <t>PAST OCULAR SURGERY</t>
  </si>
  <si>
    <t>Current Eye Medications</t>
  </si>
  <si>
    <t>Current Systemic Medications</t>
  </si>
  <si>
    <t xml:space="preserve">[Calc] Last Change in Pachy </t>
  </si>
  <si>
    <t>[Calc] Last SE Error</t>
  </si>
  <si>
    <t>[Calc] Last  SE</t>
  </si>
  <si>
    <t>[Calc] Change in AL</t>
  </si>
  <si>
    <t>[Calc] Last avg K - preop avg K</t>
  </si>
  <si>
    <t>Preop Rh:</t>
  </si>
  <si>
    <t>Preop Rv:</t>
  </si>
  <si>
    <t>Preop Axis (flat):</t>
  </si>
  <si>
    <t>Preop Astig:</t>
  </si>
  <si>
    <t>Preop Ecc:</t>
  </si>
  <si>
    <t>Preop EccSph:</t>
  </si>
  <si>
    <t>Preop C.Height(Endo):</t>
  </si>
  <si>
    <t>Preop C.Height(Epi):</t>
  </si>
  <si>
    <t>Preop Pachy Apex:</t>
  </si>
  <si>
    <t>Preop Pachy Pupil:</t>
  </si>
  <si>
    <t>Preop Pachy Sup:</t>
  </si>
  <si>
    <t>Preop Pachy Inf:</t>
  </si>
  <si>
    <t>Preop Pachy Nas:</t>
  </si>
  <si>
    <t>Preop Pachy Tem:</t>
  </si>
  <si>
    <t>Preop Pachy Min:</t>
  </si>
  <si>
    <t>Preop PachyMinX:</t>
  </si>
  <si>
    <t>Preop PachyMinY:</t>
  </si>
  <si>
    <t>Preop Sag3mm:</t>
  </si>
  <si>
    <t>Preop Sag5mm:</t>
  </si>
  <si>
    <t>Preop Sag7mm:</t>
  </si>
  <si>
    <t>Preop Sag9mm:</t>
  </si>
  <si>
    <t>Preop Sag11mm:</t>
  </si>
  <si>
    <t>Preop Sag13mm:</t>
  </si>
  <si>
    <t>Preop Sag15mm:</t>
  </si>
  <si>
    <t>Preop KPD:</t>
  </si>
  <si>
    <t>Preop Post Sag3mm:</t>
  </si>
  <si>
    <t>Preop Post Sag5mm:</t>
  </si>
  <si>
    <t>Preop Post Sag7mm:</t>
  </si>
  <si>
    <t>Preop Post Sag9mm:</t>
  </si>
  <si>
    <t>Preop Post Sag11mm:</t>
  </si>
  <si>
    <t>Preop Post Sag13mm:</t>
  </si>
  <si>
    <t>Preop Post Sag15mm:</t>
  </si>
  <si>
    <t>Preop Post KPD:</t>
  </si>
  <si>
    <t>6mo Rh:</t>
  </si>
  <si>
    <t>6mo Rv:</t>
  </si>
  <si>
    <t>6mo Axis (flat):</t>
  </si>
  <si>
    <t>6mo Astig:</t>
  </si>
  <si>
    <t>6mo Ecc:</t>
  </si>
  <si>
    <t>6mo EccSph:</t>
  </si>
  <si>
    <t>6mo C.Height(Endo):</t>
  </si>
  <si>
    <t>6mo C.Height(Epi):</t>
  </si>
  <si>
    <t>6mo Pachy Apex:</t>
  </si>
  <si>
    <t>6mo Pachy Pupil:</t>
  </si>
  <si>
    <t>6mo Pachy Sup:</t>
  </si>
  <si>
    <t>6mo Pachy Inf:</t>
  </si>
  <si>
    <t>6mo Pachy Nas:</t>
  </si>
  <si>
    <t>6mo Pachy Tem:</t>
  </si>
  <si>
    <t>6mo Pachy Min:</t>
  </si>
  <si>
    <t>6mo PachyMinX:</t>
  </si>
  <si>
    <t>6mo PachyMinY:</t>
  </si>
  <si>
    <t>6mo Sag3mm:</t>
  </si>
  <si>
    <t>6mo Sag5mm:</t>
  </si>
  <si>
    <t>6mo Sag7mm:</t>
  </si>
  <si>
    <t>6mo Sag9mm:</t>
  </si>
  <si>
    <t>6mo Sag11mm:</t>
  </si>
  <si>
    <t>6mo Sag13mm:</t>
  </si>
  <si>
    <t>6mo Sag15mm:</t>
  </si>
  <si>
    <t>6mo KPD:</t>
  </si>
  <si>
    <t>6mo Post Sag3mm:</t>
  </si>
  <si>
    <t>6mo Post Sag5mm:</t>
  </si>
  <si>
    <t>6mo Post Sag7mm:</t>
  </si>
  <si>
    <t>6mo Post Sag9mm:</t>
  </si>
  <si>
    <t>6mo Post Sag11mm:</t>
  </si>
  <si>
    <t>6mo Post Sag13mm:</t>
  </si>
  <si>
    <t>6mo Post Sag15mm:</t>
  </si>
  <si>
    <t>6mo Post KPD:</t>
  </si>
  <si>
    <t>12mo Rh:</t>
  </si>
  <si>
    <t>12mo Rv:</t>
  </si>
  <si>
    <t>12mo Axis (flat):</t>
  </si>
  <si>
    <t>12mo Astig:</t>
  </si>
  <si>
    <t>12mo Ecc:</t>
  </si>
  <si>
    <t>12mo EccSph:</t>
  </si>
  <si>
    <t>12mo C.Height(Endo):</t>
  </si>
  <si>
    <t>12mo C.Height(Epi):</t>
  </si>
  <si>
    <t>12mo Pachy Apex:</t>
  </si>
  <si>
    <t>12mo Pachy Pupil:</t>
  </si>
  <si>
    <t>12mo Pachy Sup:</t>
  </si>
  <si>
    <t>12mo Pachy Inf:</t>
  </si>
  <si>
    <t>12mo Pachy Nas:</t>
  </si>
  <si>
    <t>12mo Pachy Tem:</t>
  </si>
  <si>
    <t>12mo Pachy Min:</t>
  </si>
  <si>
    <t>12mo PachyMinX:</t>
  </si>
  <si>
    <t>12mo PachyMinY:</t>
  </si>
  <si>
    <t>12mo Sag3mm:</t>
  </si>
  <si>
    <t>12mo Sag5mm:</t>
  </si>
  <si>
    <t>12mo Sag7mm:</t>
  </si>
  <si>
    <t>12mo Sag9mm:</t>
  </si>
  <si>
    <t>12mo Sag11mm:</t>
  </si>
  <si>
    <t>12mo Sag13mm:</t>
  </si>
  <si>
    <t>12mo Sag15mm:</t>
  </si>
  <si>
    <t>12mo KPD:</t>
  </si>
  <si>
    <t>12mo Post Sag3mm:</t>
  </si>
  <si>
    <t>12mo Post Sag5mm:</t>
  </si>
  <si>
    <t>12mo Post Sag7mm:</t>
  </si>
  <si>
    <t>12mo Post Sag9mm:</t>
  </si>
  <si>
    <t>12mo Post Sag11mm:</t>
  </si>
  <si>
    <t>12mo Post Sag13mm:</t>
  </si>
  <si>
    <t>12mo Post Sag15mm:</t>
  </si>
  <si>
    <t>12mo Post KPD:</t>
  </si>
  <si>
    <t>could look at CorneaDens.CSV for dens avg</t>
  </si>
  <si>
    <t>Uncorrected Visual Acuity</t>
  </si>
  <si>
    <t>25 -1</t>
  </si>
  <si>
    <t>20 -1</t>
  </si>
  <si>
    <t>30 -1</t>
  </si>
  <si>
    <t>40 -2</t>
  </si>
  <si>
    <t>100 +1</t>
  </si>
  <si>
    <t>40 -1</t>
  </si>
  <si>
    <t>50 -2</t>
  </si>
  <si>
    <t>40 +2</t>
  </si>
  <si>
    <t>30 -2</t>
  </si>
  <si>
    <t>"-LOG(20/snellen_acuity)"</t>
  </si>
  <si>
    <t>Convert snellen to logmar</t>
  </si>
  <si>
    <t>Convert logmar to snellen</t>
  </si>
  <si>
    <t>"20/10^(-logMar)</t>
  </si>
  <si>
    <t>Lines of acuity difference</t>
  </si>
  <si>
    <t>"-LOG(20/snellen_acuity_1) - -LOG(20/snellen_acuity_2)"</t>
  </si>
  <si>
    <t>[Calc] Change in Last CDVA</t>
  </si>
  <si>
    <t>Not blank in COUNTIF</t>
  </si>
  <si>
    <t>""&lt;&gt;"&amp;"*""</t>
  </si>
  <si>
    <t>Preop K1 F (D):</t>
  </si>
  <si>
    <t>Preop K2 F (D):</t>
  </si>
  <si>
    <t>Preop Km F (mm):</t>
  </si>
  <si>
    <t>Preop Axis F (flat):</t>
  </si>
  <si>
    <t>Preop Astig F (D):</t>
  </si>
  <si>
    <t>Preop K1 B (D):</t>
  </si>
  <si>
    <t>Preop K2 B (D):</t>
  </si>
  <si>
    <t>Preop Km B (mm):</t>
  </si>
  <si>
    <t>Preop Axis B (flat):</t>
  </si>
  <si>
    <t>Preop Astig B (D):</t>
  </si>
  <si>
    <t>Preop C.Vol D 3mm:</t>
  </si>
  <si>
    <t>Preop C.Vol D 5mm:</t>
  </si>
  <si>
    <t>Preop C.Vol D 7mm:</t>
  </si>
  <si>
    <t>Preop C.Vol D 10mm:</t>
  </si>
  <si>
    <t>Preop ISV (Index Surface Variance)</t>
  </si>
  <si>
    <t>6 mo K1 F (D):</t>
  </si>
  <si>
    <t>6 mo K2 F (D):</t>
  </si>
  <si>
    <t>6 mo Axis F (flat):</t>
  </si>
  <si>
    <t>6 mo Astig F (D):</t>
  </si>
  <si>
    <t>6 mo K1 B (D):</t>
  </si>
  <si>
    <t>6 mo K2 B (D):</t>
  </si>
  <si>
    <t>6 mo Km B (mm):</t>
  </si>
  <si>
    <t>6 mo Axis B (flat):</t>
  </si>
  <si>
    <t>6 mo Astig B (D):</t>
  </si>
  <si>
    <t>6 mo C.Vol D 3mm:</t>
  </si>
  <si>
    <t>6 mo C.Vol D 5mm:</t>
  </si>
  <si>
    <t>6 mo C.Vol D 7mm:</t>
  </si>
  <si>
    <t>6 mo C.Vol D 10mm:</t>
  </si>
  <si>
    <t>6 mo ISV (Index Surface Variance)</t>
  </si>
  <si>
    <t>12 mo K1 F (D):</t>
  </si>
  <si>
    <t>12 mo K2 F (D):</t>
  </si>
  <si>
    <t>12 mo Km F (mm):</t>
  </si>
  <si>
    <t>12 mo Axis F (flat):</t>
  </si>
  <si>
    <t>12 mo Astig F (D):</t>
  </si>
  <si>
    <t>12 mo K1 B (D):</t>
  </si>
  <si>
    <t>12 mo K2 B (D):</t>
  </si>
  <si>
    <t>12 mo Km B (mm):</t>
  </si>
  <si>
    <t>12 mo Axis B (flat):</t>
  </si>
  <si>
    <t>12 mo Astig B (D):</t>
  </si>
  <si>
    <t>12 mo C.Vol D 3mm:</t>
  </si>
  <si>
    <t>12 mo C.Vol D 5mm:</t>
  </si>
  <si>
    <t>12 mo C.Vol D 7mm:</t>
  </si>
  <si>
    <t>12 mo C.Vol D 10mm:</t>
  </si>
  <si>
    <t>12 mo ISV (Index Surface Variance)</t>
  </si>
  <si>
    <t>[Calc] Last Cyl</t>
  </si>
  <si>
    <t>[Calc] Change in Cyl</t>
  </si>
  <si>
    <t>[Calc] Last UDVA - Distance Eyes Only</t>
  </si>
  <si>
    <t>[Calc] SE Error 12</t>
  </si>
  <si>
    <t>[Calc] Preop SE</t>
  </si>
  <si>
    <t>[Calc] Followup @ 6 and 12</t>
  </si>
  <si>
    <t>[Calc] Preop SE if f/u @ 6 &amp; 12</t>
  </si>
  <si>
    <t>[Calc] 6 mo SE if f/u @ 6 &amp; 12</t>
  </si>
  <si>
    <t>[Calc] 12 mo SE if f/u @ 6 &amp; 12</t>
  </si>
  <si>
    <t>EXCLUDE: prior phakic IOL** PBK (phakic IOL 2012, removal OS 2010) -- EXCLUDE?</t>
  </si>
  <si>
    <t>[Calc] Last CDVA</t>
  </si>
  <si>
    <t>[Calc] Target Refraction if SE Error known</t>
  </si>
  <si>
    <t>Astigmatism management</t>
  </si>
  <si>
    <t>irregular Ks and synechialysis</t>
  </si>
  <si>
    <t>5mo-8 (?=no scheduled)</t>
  </si>
  <si>
    <t>[Calc] Any SK</t>
  </si>
  <si>
    <t>? As of 2/6/14</t>
  </si>
  <si>
    <t>[Calc] Preop CDVA if Last CDVA Known</t>
  </si>
  <si>
    <t>[Calc]  Last Rh:</t>
  </si>
  <si>
    <t>[Calc]  Last Rv:</t>
  </si>
  <si>
    <t>[Calc]  Last Axis (flat):</t>
  </si>
  <si>
    <t>[Calc]  Last Astig:</t>
  </si>
  <si>
    <t>[Calc]  Last Ecc:</t>
  </si>
  <si>
    <t>[Calc]  Last EccSph:</t>
  </si>
  <si>
    <t>[Calc]  Last C.Height(Endo):</t>
  </si>
  <si>
    <t>[Calc]  Last C.Height(Epi):</t>
  </si>
  <si>
    <t>[Calc]  Last Pachy Apex:</t>
  </si>
  <si>
    <t>[Calc]  Last Pachy Pupil:</t>
  </si>
  <si>
    <t>[Calc]  Last Pachy Sup:</t>
  </si>
  <si>
    <t>[Calc]  Last Pachy Inf:</t>
  </si>
  <si>
    <t>[Calc]  Last Pachy Nas:</t>
  </si>
  <si>
    <t>[Calc]  Last Pachy Tem:</t>
  </si>
  <si>
    <t>[Calc]  Last Pachy Min:</t>
  </si>
  <si>
    <t>[Calc]  Last PachyMinX:</t>
  </si>
  <si>
    <t>[Calc]  Last PachyMinY:</t>
  </si>
  <si>
    <t>[Calc]  Last Sag3mm:</t>
  </si>
  <si>
    <t>[Calc]  Last Sag5mm:</t>
  </si>
  <si>
    <t>[Calc]  Last Sag7mm:</t>
  </si>
  <si>
    <t>[Calc]  Last Sag9mm:</t>
  </si>
  <si>
    <t>[Calc]  Last Sag11mm:</t>
  </si>
  <si>
    <t>[Calc]  Last Sag13mm:</t>
  </si>
  <si>
    <t>[Calc]  Last Sag15mm:</t>
  </si>
  <si>
    <t>[Calc]  Last KPD:</t>
  </si>
  <si>
    <t>[Calc]  Last Post Sag3mm:</t>
  </si>
  <si>
    <t>[Calc]  Last Post Sag5mm:</t>
  </si>
  <si>
    <t>[Calc]  Last Post Sag7mm:</t>
  </si>
  <si>
    <t>[Calc]  Last Post Sag9mm:</t>
  </si>
  <si>
    <t>[Calc]  Last Post Sag11mm:</t>
  </si>
  <si>
    <t>[Calc]  Last Post Sag13mm:</t>
  </si>
  <si>
    <t>[Calc]  Last Post Sag15mm:</t>
  </si>
  <si>
    <t>[Calc]  Last Post KPD:</t>
  </si>
  <si>
    <t>[Calc]  Last K1 F (D):</t>
  </si>
  <si>
    <t>[Calc]  Last K2 F (D):</t>
  </si>
  <si>
    <t>[Calc]  Last Km F (mm):</t>
  </si>
  <si>
    <t>[Calc]  Last Axis F (flat):</t>
  </si>
  <si>
    <t>[Calc]  Last Astig F (D):</t>
  </si>
  <si>
    <t>[Calc]  Last K1 B (D):</t>
  </si>
  <si>
    <t>[Calc]  Last K2 B (D):</t>
  </si>
  <si>
    <t>[Calc]  Last Km B (mm):</t>
  </si>
  <si>
    <t>[Calc]  Last Axis B (flat):</t>
  </si>
  <si>
    <t>[Calc]  Last Astig B (D):</t>
  </si>
  <si>
    <t>[Calc]  Last C.Vol D 3mm:</t>
  </si>
  <si>
    <t>[Calc]  Last C.Vol D 5mm:</t>
  </si>
  <si>
    <t>[Calc]  Last C.Vol D 7mm:</t>
  </si>
  <si>
    <t>[Calc]  Last C.Vol D 10mm:</t>
  </si>
  <si>
    <t>[Calc]  Last ISV (Index Surface Variance)</t>
  </si>
  <si>
    <t>[Calc]  Delta Last Rh:</t>
  </si>
  <si>
    <t>[Calc]  Delta Last Rv:</t>
  </si>
  <si>
    <t>[Calc]  Delta Last Axis (flat):</t>
  </si>
  <si>
    <t>[Calc]  Delta Last Astig:</t>
  </si>
  <si>
    <t>[Calc]  Delta Last Ecc:</t>
  </si>
  <si>
    <t>[Calc]  Delta Last EccSph:</t>
  </si>
  <si>
    <t>[Calc]  Delta Last C.Height(Endo):</t>
  </si>
  <si>
    <t>[Calc]  Delta Last C.Height(Epi):</t>
  </si>
  <si>
    <t>[Calc]  Delta Last Pachy Apex:</t>
  </si>
  <si>
    <t>[Calc]  Delta Last Pachy Pupil:</t>
  </si>
  <si>
    <t>[Calc]  Delta Last Pachy Sup:</t>
  </si>
  <si>
    <t>[Calc]  Delta Last Pachy Inf:</t>
  </si>
  <si>
    <t>[Calc]  Delta Last Pachy Nas:</t>
  </si>
  <si>
    <t>[Calc]  Delta Last Pachy Tem:</t>
  </si>
  <si>
    <t>[Calc]  Delta Last Pachy Min:</t>
  </si>
  <si>
    <t>[Calc]  Delta Last PachyMinX:</t>
  </si>
  <si>
    <t>[Calc]  Delta Last PachyMinY:</t>
  </si>
  <si>
    <t>[Calc]  Delta Last Sag3mm:</t>
  </si>
  <si>
    <t>[Calc]  Delta Last Sag5mm:</t>
  </si>
  <si>
    <t>[Calc]  Delta Last Sag7mm:</t>
  </si>
  <si>
    <t>[Calc]  Delta Last Sag9mm:</t>
  </si>
  <si>
    <t>[Calc]  Delta Last Sag11mm:</t>
  </si>
  <si>
    <t>[Calc]  Delta Last Sag13mm:</t>
  </si>
  <si>
    <t>[Calc]  Delta Last Sag15mm:</t>
  </si>
  <si>
    <t>[Calc]  Delta Last KPD:</t>
  </si>
  <si>
    <t>[Calc]  Delta Last Post Sag3mm:</t>
  </si>
  <si>
    <t>[Calc]  Delta Last Post Sag5mm:</t>
  </si>
  <si>
    <t>[Calc]  Delta Last Post Sag7mm:</t>
  </si>
  <si>
    <t>[Calc]  Delta Last Post Sag9mm:</t>
  </si>
  <si>
    <t>[Calc]  Delta Last Post Sag11mm:</t>
  </si>
  <si>
    <t>[Calc]  Delta Last Post Sag13mm:</t>
  </si>
  <si>
    <t>[Calc]  Delta Last Post Sag15mm:</t>
  </si>
  <si>
    <t>[Calc]  Delta Last Post KPD:</t>
  </si>
  <si>
    <t>[Calc]  Delta K1 F (D):</t>
  </si>
  <si>
    <t>[Calc]  Delta K2 F (D):</t>
  </si>
  <si>
    <t>[Calc]  Delta Km F (mm):</t>
  </si>
  <si>
    <t>[Calc]  Delta Axis F (flat):</t>
  </si>
  <si>
    <t>[Calc]  Delta Astig F (D):</t>
  </si>
  <si>
    <t>[Calc]  Delta K1 B (D):</t>
  </si>
  <si>
    <t>[Calc]  Delta K2 B (D):</t>
  </si>
  <si>
    <t>[Calc]  Delta Km B (mm):</t>
  </si>
  <si>
    <t>[Calc]  Delta Axis B (flat):</t>
  </si>
  <si>
    <t>[Calc]  Delta Astig B (D):</t>
  </si>
  <si>
    <t>[Calc]  Delta C.Vol D 3mm:</t>
  </si>
  <si>
    <t>[Calc]  Delta C.Vol D 5mm:</t>
  </si>
  <si>
    <t>[Calc]  Delta C.Vol D 7mm:</t>
  </si>
  <si>
    <t>[Calc]  Delta C.Vol D 10mm:</t>
  </si>
  <si>
    <t>[Calc]  Delta ISV (Index Surface Variance)</t>
  </si>
  <si>
    <t>[Calc]  6 vs 12 m K1 F</t>
  </si>
  <si>
    <t>[Calc]  6 vs 12 m K2 F</t>
  </si>
  <si>
    <t>[Calc]  6 vs 12 m K1 B</t>
  </si>
  <si>
    <t>[Calc]  6 vs 12 m K2 B</t>
  </si>
  <si>
    <t>Preop Date</t>
  </si>
  <si>
    <t>[Calc] MISSING PENTACAM 6 mo DATA?</t>
  </si>
  <si>
    <t>[Calc] MISSING PENTACAM 12 mo DATA?</t>
  </si>
  <si>
    <t>[Calc] Missing all followup pentacam with known preop</t>
  </si>
  <si>
    <t>6 mo Km F (D):</t>
  </si>
  <si>
    <t>IOL Power</t>
  </si>
  <si>
    <t>Astigmatism management - nasal RI</t>
  </si>
  <si>
    <t>allergies
diverticulosis
high cholesterol
hernia, childhood diseases, venereal disease
Low blood pressure
Cold sores
Diabetes
Chicken pox
Lymphoma/leukemia
Blood Clots
Use of Prednisone
Gastric Ulcers</t>
  </si>
  <si>
    <t>Sinus Medication
Acyclovir
Ambien CR
Kombiglyza XR
4% Lidocaine cream
Midodrine HCL
Multi Vitamin
Nasonex Spray 17gm
Osteo Bi-Flex
Pravastatin
Testosterone Cypionate
Venlaxine ER
aspirin, buffered 81 mg tablet
capsaicin 0.1 % Cream</t>
  </si>
  <si>
    <t>No significant systemic illnesses</t>
  </si>
  <si>
    <t>Diagnosis (Bold = Verified)</t>
  </si>
  <si>
    <t>YAG OS</t>
  </si>
  <si>
    <t>allergies, HTN, diet controlled diabetes, thyroid, tinnitis</t>
  </si>
  <si>
    <t>timoptic</t>
  </si>
  <si>
    <t>POHx: Other</t>
  </si>
  <si>
    <t>POHx: Dry Eye (Using Ats or reported)</t>
  </si>
  <si>
    <t>yag cap?</t>
  </si>
  <si>
    <t>AMBLOPYIA</t>
  </si>
  <si>
    <t>retinal detachment s/p retinopexy, ERM, lattice degeneration</t>
  </si>
  <si>
    <t>lattice degeneration</t>
  </si>
  <si>
    <t>Asthma (controlled),Thyroid disease</t>
  </si>
  <si>
    <t>thyroid dysfunction</t>
  </si>
  <si>
    <t>yap cag 2/19/2013 (POM #4)</t>
  </si>
  <si>
    <t>yag cap</t>
  </si>
  <si>
    <t>allergies
thyroid dz, h/o basal cell, diverticulosis</t>
  </si>
  <si>
    <t>high cholesterol</t>
  </si>
  <si>
    <t>Membranous Proliferative Glomerulonepohritis
asthma
high cholesterol
high blood pressure
Sinus problems
Cold sores
Kidney disease
Chicken pox
Bronchitis
Gastric Reflux
Anemia
Organ transplant
Eczema</t>
  </si>
  <si>
    <t>Astigmatism Manangement</t>
  </si>
  <si>
    <t>High blood pressure
High cholesterol
Gastric Reflux
Migraine headache</t>
  </si>
  <si>
    <t>retinal tear?</t>
  </si>
  <si>
    <t>High blood pressure
High cholesterol
Eczema</t>
  </si>
  <si>
    <t>broder line cholesterol
hypertension
Osteoporosis, Heart murmur</t>
  </si>
  <si>
    <t>HTN, HLD, CAD</t>
  </si>
  <si>
    <t>ABMD</t>
  </si>
  <si>
    <t>High blood pressure
High cholesterol
Osteoporosis
Skin cancer
Intestinal / Bowel Disease</t>
  </si>
  <si>
    <t>early dry ARMD</t>
  </si>
  <si>
    <r>
      <t xml:space="preserve">ABMD, </t>
    </r>
    <r>
      <rPr>
        <b/>
        <sz val="10"/>
        <rFont val="Arial"/>
        <family val="2"/>
      </rPr>
      <t>amblyopia</t>
    </r>
  </si>
  <si>
    <t>POHx: OAG or steroid response</t>
  </si>
  <si>
    <t>High blood pressure
Overactive thyroid / Graves
Eczema
car accident 2008-knee damage</t>
  </si>
  <si>
    <t>HTN, HLD</t>
  </si>
  <si>
    <t>acute postoperative endophthalmitis POD #5 w/ viteous tap &amp; inject (0.1 cc vancomycin, 0.1 cc ceftazidime) - culture negative; air injection pod #12; yag PI POD #15 for iris bombe, repeat yag PI POD #29</t>
  </si>
  <si>
    <t>hypertension
hemorrhoids, diabetes</t>
  </si>
  <si>
    <t>Thyroid Dysfunction
Diabetes</t>
  </si>
  <si>
    <t>Asthma
Chronic autoimmune Hepatitis
High blood pressure
Liver disease
Diabetes
Depression
High cholesterol
Use of Prednisone</t>
  </si>
  <si>
    <t>Asthma
Chicken pox
Bronchitis
Pneumonia</t>
  </si>
  <si>
    <t>High blood pressure
Kidney disease
High cholesterol</t>
  </si>
  <si>
    <t>Chicken pox
Overactive thyroid / Graves
Underactive thyroid
Eczema
Psoriasis</t>
  </si>
  <si>
    <t>HTN, allergies</t>
  </si>
  <si>
    <t>High cholesterol
Osteoporosis
Chicken pox
Underactive thyroid
Other condition not listed</t>
  </si>
  <si>
    <t>High cholesterolHigh cholesterol
Chicken pox
Bleeding Disorder
Underactive thyroid</t>
  </si>
  <si>
    <t>rheumatoid arthritis</t>
  </si>
  <si>
    <t>Sinus problems
High blood pressure
Depression
High cholesterol
Breast cancer
Bronchitis
Pneumonia
COPD
osteopenia
mild aortic valve inefficiancy</t>
  </si>
  <si>
    <t>chronic angle closure glaucoma, h/o iridectomy, dry ARMD</t>
  </si>
  <si>
    <t>HTN, NIDM, thyroid Ds</t>
  </si>
  <si>
    <t>yag cap 10/22/13 (POY 1) - prior to last visit</t>
  </si>
  <si>
    <t>yag cap 10/15/13 (POM 6) -prior to last visit</t>
  </si>
  <si>
    <t>High blood pressure
Diabetes
High cholesterol
Chicken pox</t>
  </si>
  <si>
    <t>thyroid dysfunction
Breast Cancer remission 10 yrs
essential tremors
cancer of intestense</t>
  </si>
  <si>
    <t>yag cap OD 8/13/13 (POM 3)</t>
  </si>
  <si>
    <t>yag cap OS 2/26/13 (POM 4)</t>
  </si>
  <si>
    <t>Lupus, Anemia</t>
  </si>
  <si>
    <t>mild ERM developed POM #4</t>
  </si>
  <si>
    <t>Asthma
Osteoporosis
Colon cancer
COPD</t>
  </si>
  <si>
    <t>astigmatism management (nasal LRI)</t>
  </si>
  <si>
    <t>secondary corneal edema after NewColorIris</t>
  </si>
  <si>
    <t>h/o NewColorIris, subsequently removed</t>
  </si>
  <si>
    <t>Vogt-Koyanagi-Harada Disease</t>
  </si>
  <si>
    <t>KCN?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</si>
</sst>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"/>
    <numFmt numFmtId="165" formatCode="0.0"/>
    <numFmt numFmtId="166" formatCode="\+#0.00;\-#0.00;0;@"/>
  </numFmts>
  <fonts count="33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2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7030A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/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/>
      <bottom style="medium">
        <color indexed="22"/>
      </bottom>
      <diagonal/>
    </border>
    <border>
      <left/>
      <right style="medium">
        <color indexed="22"/>
      </right>
      <top/>
      <bottom style="medium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Dashed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ashed">
        <color auto="1"/>
      </right>
      <top/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Dashed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Dashed">
        <color indexed="64"/>
      </bottom>
      <diagonal/>
    </border>
    <border>
      <left/>
      <right style="medium">
        <color indexed="22"/>
      </right>
      <top style="medium">
        <color indexed="22"/>
      </top>
      <bottom style="medium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Dashed">
        <color indexed="64"/>
      </bottom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double">
        <color auto="1"/>
      </left>
      <right/>
      <top/>
      <bottom style="mediumDashed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thin">
        <color indexed="64"/>
      </top>
      <bottom style="mediumDashed">
        <color indexed="64"/>
      </bottom>
      <diagonal/>
    </border>
    <border>
      <left/>
      <right style="dashed">
        <color auto="1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/>
      <right style="mediumDashed">
        <color auto="1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</borders>
  <cellStyleXfs count="86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2" fillId="0" borderId="0"/>
    <xf numFmtId="0" fontId="20" fillId="0" borderId="0"/>
    <xf numFmtId="0" fontId="1" fillId="23" borderId="7" applyNumberFormat="0" applyFont="0" applyAlignment="0" applyProtection="0"/>
    <xf numFmtId="0" fontId="20" fillId="23" borderId="7" applyNumberFormat="0" applyFont="0" applyAlignment="0" applyProtection="0"/>
    <xf numFmtId="0" fontId="15" fillId="20" borderId="8" applyNumberFormat="0" applyAlignment="0" applyProtection="0"/>
    <xf numFmtId="0" fontId="15" fillId="20" borderId="8" applyNumberFormat="0" applyAlignment="0" applyProtection="0"/>
    <xf numFmtId="9" fontId="20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283">
    <xf numFmtId="0" fontId="0" fillId="0" borderId="0" xfId="0"/>
    <xf numFmtId="14" fontId="19" fillId="0" borderId="10" xfId="0" applyNumberFormat="1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21" fillId="24" borderId="10" xfId="0" applyFont="1" applyFill="1" applyBorder="1" applyAlignment="1">
      <alignment horizontal="center" wrapText="1"/>
    </xf>
    <xf numFmtId="1" fontId="19" fillId="0" borderId="10" xfId="0" applyNumberFormat="1" applyFont="1" applyBorder="1" applyAlignment="1">
      <alignment horizontal="center"/>
    </xf>
    <xf numFmtId="0" fontId="19" fillId="25" borderId="10" xfId="0" applyNumberFormat="1" applyFont="1" applyFill="1" applyBorder="1" applyAlignment="1">
      <alignment horizontal="center" wrapText="1"/>
    </xf>
    <xf numFmtId="14" fontId="24" fillId="25" borderId="10" xfId="0" applyNumberFormat="1" applyFont="1" applyFill="1" applyBorder="1" applyAlignment="1">
      <alignment horizontal="center"/>
    </xf>
    <xf numFmtId="2" fontId="19" fillId="25" borderId="10" xfId="0" applyNumberFormat="1" applyFont="1" applyFill="1" applyBorder="1" applyAlignment="1">
      <alignment horizontal="center" wrapText="1"/>
    </xf>
    <xf numFmtId="2" fontId="19" fillId="25" borderId="10" xfId="0" applyNumberFormat="1" applyFont="1" applyFill="1" applyBorder="1" applyAlignment="1">
      <alignment horizontal="center"/>
    </xf>
    <xf numFmtId="164" fontId="19" fillId="25" borderId="10" xfId="0" applyNumberFormat="1" applyFont="1" applyFill="1" applyBorder="1" applyAlignment="1">
      <alignment horizontal="center"/>
    </xf>
    <xf numFmtId="0" fontId="19" fillId="25" borderId="10" xfId="0" applyFont="1" applyFill="1" applyBorder="1" applyAlignment="1">
      <alignment horizontal="center"/>
    </xf>
    <xf numFmtId="1" fontId="19" fillId="25" borderId="10" xfId="0" applyNumberFormat="1" applyFont="1" applyFill="1" applyBorder="1" applyAlignment="1">
      <alignment horizontal="center"/>
    </xf>
    <xf numFmtId="1" fontId="19" fillId="25" borderId="10" xfId="0" applyNumberFormat="1" applyFont="1" applyFill="1" applyBorder="1" applyAlignment="1">
      <alignment horizontal="center" wrapText="1"/>
    </xf>
    <xf numFmtId="14" fontId="24" fillId="26" borderId="10" xfId="0" applyNumberFormat="1" applyFont="1" applyFill="1" applyBorder="1" applyAlignment="1">
      <alignment horizontal="center"/>
    </xf>
    <xf numFmtId="2" fontId="19" fillId="26" borderId="10" xfId="0" applyNumberFormat="1" applyFont="1" applyFill="1" applyBorder="1" applyAlignment="1">
      <alignment horizontal="center" wrapText="1"/>
    </xf>
    <xf numFmtId="2" fontId="19" fillId="26" borderId="10" xfId="0" applyNumberFormat="1" applyFont="1" applyFill="1" applyBorder="1" applyAlignment="1">
      <alignment horizontal="center"/>
    </xf>
    <xf numFmtId="164" fontId="19" fillId="26" borderId="10" xfId="0" applyNumberFormat="1" applyFont="1" applyFill="1" applyBorder="1" applyAlignment="1">
      <alignment horizontal="center"/>
    </xf>
    <xf numFmtId="0" fontId="19" fillId="26" borderId="10" xfId="0" applyFont="1" applyFill="1" applyBorder="1" applyAlignment="1">
      <alignment horizontal="center"/>
    </xf>
    <xf numFmtId="0" fontId="19" fillId="26" borderId="10" xfId="0" applyFont="1" applyFill="1" applyBorder="1" applyAlignment="1">
      <alignment horizontal="center" wrapText="1"/>
    </xf>
    <xf numFmtId="1" fontId="19" fillId="26" borderId="10" xfId="0" applyNumberFormat="1" applyFont="1" applyFill="1" applyBorder="1" applyAlignment="1">
      <alignment horizontal="center" wrapText="1"/>
    </xf>
    <xf numFmtId="1" fontId="19" fillId="26" borderId="10" xfId="0" applyNumberFormat="1" applyFont="1" applyFill="1" applyBorder="1" applyAlignment="1">
      <alignment horizontal="center"/>
    </xf>
    <xf numFmtId="14" fontId="24" fillId="27" borderId="10" xfId="0" applyNumberFormat="1" applyFont="1" applyFill="1" applyBorder="1" applyAlignment="1">
      <alignment horizontal="center"/>
    </xf>
    <xf numFmtId="2" fontId="19" fillId="27" borderId="10" xfId="0" applyNumberFormat="1" applyFont="1" applyFill="1" applyBorder="1" applyAlignment="1">
      <alignment horizontal="center" wrapText="1"/>
    </xf>
    <xf numFmtId="2" fontId="19" fillId="27" borderId="10" xfId="0" applyNumberFormat="1" applyFont="1" applyFill="1" applyBorder="1" applyAlignment="1">
      <alignment horizontal="center"/>
    </xf>
    <xf numFmtId="164" fontId="19" fillId="27" borderId="10" xfId="0" applyNumberFormat="1" applyFont="1" applyFill="1" applyBorder="1" applyAlignment="1">
      <alignment horizontal="center"/>
    </xf>
    <xf numFmtId="0" fontId="19" fillId="27" borderId="10" xfId="0" applyFont="1" applyFill="1" applyBorder="1" applyAlignment="1">
      <alignment horizontal="center"/>
    </xf>
    <xf numFmtId="0" fontId="19" fillId="27" borderId="10" xfId="0" applyFont="1" applyFill="1" applyBorder="1" applyAlignment="1">
      <alignment horizontal="center" wrapText="1"/>
    </xf>
    <xf numFmtId="1" fontId="19" fillId="27" borderId="10" xfId="0" applyNumberFormat="1" applyFont="1" applyFill="1" applyBorder="1" applyAlignment="1">
      <alignment horizontal="center"/>
    </xf>
    <xf numFmtId="1" fontId="19" fillId="27" borderId="10" xfId="0" applyNumberFormat="1" applyFont="1" applyFill="1" applyBorder="1" applyAlignment="1">
      <alignment horizontal="center" wrapText="1"/>
    </xf>
    <xf numFmtId="0" fontId="21" fillId="24" borderId="10" xfId="0" applyFont="1" applyFill="1" applyBorder="1" applyAlignment="1">
      <alignment horizontal="center"/>
    </xf>
    <xf numFmtId="14" fontId="20" fillId="0" borderId="10" xfId="0" applyNumberFormat="1" applyFon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2" fillId="24" borderId="10" xfId="0" applyFont="1" applyFill="1" applyBorder="1" applyAlignment="1">
      <alignment horizontal="center"/>
    </xf>
    <xf numFmtId="14" fontId="0" fillId="0" borderId="10" xfId="0" applyNumberForma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4" fontId="1" fillId="0" borderId="10" xfId="0" applyNumberFormat="1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0" fillId="0" borderId="10" xfId="0" applyNumberFormat="1" applyFill="1" applyBorder="1" applyAlignment="1">
      <alignment horizontal="center"/>
    </xf>
    <xf numFmtId="14" fontId="26" fillId="0" borderId="10" xfId="0" applyNumberFormat="1" applyFont="1" applyBorder="1" applyAlignment="1">
      <alignment horizontal="center"/>
    </xf>
    <xf numFmtId="0" fontId="19" fillId="0" borderId="10" xfId="0" applyFont="1" applyFill="1" applyBorder="1" applyAlignment="1">
      <alignment horizontal="center" wrapText="1"/>
    </xf>
    <xf numFmtId="14" fontId="20" fillId="0" borderId="10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14" fontId="0" fillId="0" borderId="10" xfId="0" applyNumberFormat="1" applyBorder="1" applyAlignment="1">
      <alignment horizontal="left"/>
    </xf>
    <xf numFmtId="0" fontId="0" fillId="0" borderId="10" xfId="0" applyBorder="1" applyAlignment="1">
      <alignment horizontal="left"/>
    </xf>
    <xf numFmtId="14" fontId="0" fillId="0" borderId="10" xfId="0" applyNumberFormat="1" applyBorder="1"/>
    <xf numFmtId="14" fontId="20" fillId="28" borderId="10" xfId="0" applyNumberFormat="1" applyFont="1" applyFill="1" applyBorder="1" applyAlignment="1">
      <alignment horizontal="center"/>
    </xf>
    <xf numFmtId="0" fontId="20" fillId="28" borderId="10" xfId="0" applyFont="1" applyFill="1" applyBorder="1" applyAlignment="1">
      <alignment horizontal="center"/>
    </xf>
    <xf numFmtId="0" fontId="19" fillId="28" borderId="10" xfId="0" applyFont="1" applyFill="1" applyBorder="1" applyAlignment="1">
      <alignment horizontal="center"/>
    </xf>
    <xf numFmtId="0" fontId="20" fillId="28" borderId="10" xfId="0" applyFont="1" applyFill="1" applyBorder="1" applyAlignment="1">
      <alignment horizontal="center" wrapText="1"/>
    </xf>
    <xf numFmtId="0" fontId="1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wrapText="1"/>
    </xf>
    <xf numFmtId="2" fontId="0" fillId="0" borderId="10" xfId="0" applyNumberForma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165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20" fillId="28" borderId="10" xfId="0" applyNumberFormat="1" applyFont="1" applyFill="1" applyBorder="1" applyAlignment="1">
      <alignment horizontal="center"/>
    </xf>
    <xf numFmtId="1" fontId="26" fillId="0" borderId="10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1" fontId="20" fillId="0" borderId="10" xfId="0" applyNumberFormat="1" applyFont="1" applyBorder="1" applyAlignment="1">
      <alignment horizontal="center"/>
    </xf>
    <xf numFmtId="1" fontId="25" fillId="0" borderId="10" xfId="0" applyNumberFormat="1" applyFont="1" applyBorder="1" applyAlignment="1">
      <alignment horizontal="center"/>
    </xf>
    <xf numFmtId="1" fontId="20" fillId="0" borderId="10" xfId="0" applyNumberFormat="1" applyFont="1" applyFill="1" applyBorder="1" applyAlignment="1">
      <alignment horizontal="center"/>
    </xf>
    <xf numFmtId="0" fontId="1" fillId="0" borderId="0" xfId="0" applyFont="1"/>
    <xf numFmtId="0" fontId="19" fillId="29" borderId="10" xfId="0" applyFont="1" applyFill="1" applyBorder="1" applyAlignment="1">
      <alignment horizontal="center"/>
    </xf>
    <xf numFmtId="14" fontId="24" fillId="27" borderId="10" xfId="0" applyNumberFormat="1" applyFont="1" applyFill="1" applyBorder="1" applyAlignment="1">
      <alignment horizontal="center" wrapText="1"/>
    </xf>
    <xf numFmtId="166" fontId="19" fillId="27" borderId="10" xfId="0" applyNumberFormat="1" applyFont="1" applyFill="1" applyBorder="1" applyAlignment="1">
      <alignment horizontal="center" wrapText="1"/>
    </xf>
    <xf numFmtId="166" fontId="0" fillId="0" borderId="10" xfId="0" applyNumberFormat="1" applyBorder="1" applyAlignment="1">
      <alignment horizontal="center"/>
    </xf>
    <xf numFmtId="166" fontId="19" fillId="26" borderId="10" xfId="0" applyNumberFormat="1" applyFont="1" applyFill="1" applyBorder="1" applyAlignment="1">
      <alignment horizontal="center" wrapText="1"/>
    </xf>
    <xf numFmtId="166" fontId="19" fillId="29" borderId="10" xfId="0" applyNumberFormat="1" applyFont="1" applyFill="1" applyBorder="1" applyAlignment="1">
      <alignment horizontal="center"/>
    </xf>
    <xf numFmtId="166" fontId="0" fillId="0" borderId="10" xfId="0" applyNumberFormat="1" applyFill="1" applyBorder="1" applyAlignment="1">
      <alignment horizontal="center"/>
    </xf>
    <xf numFmtId="166" fontId="19" fillId="25" borderId="10" xfId="0" applyNumberFormat="1" applyFont="1" applyFill="1" applyBorder="1" applyAlignment="1">
      <alignment horizontal="center" wrapText="1"/>
    </xf>
    <xf numFmtId="0" fontId="24" fillId="27" borderId="10" xfId="0" applyFont="1" applyFill="1" applyBorder="1" applyAlignment="1">
      <alignment horizontal="center" wrapText="1"/>
    </xf>
    <xf numFmtId="0" fontId="26" fillId="0" borderId="10" xfId="0" applyFont="1" applyBorder="1" applyAlignment="1">
      <alignment horizontal="center"/>
    </xf>
    <xf numFmtId="14" fontId="24" fillId="26" borderId="10" xfId="0" applyNumberFormat="1" applyFont="1" applyFill="1" applyBorder="1" applyAlignment="1">
      <alignment horizontal="center" wrapText="1"/>
    </xf>
    <xf numFmtId="14" fontId="1" fillId="30" borderId="10" xfId="0" applyNumberFormat="1" applyFont="1" applyFill="1" applyBorder="1" applyAlignment="1">
      <alignment horizontal="center"/>
    </xf>
    <xf numFmtId="14" fontId="19" fillId="0" borderId="10" xfId="0" applyNumberFormat="1" applyFont="1" applyBorder="1" applyAlignment="1">
      <alignment horizontal="center" wrapText="1"/>
    </xf>
    <xf numFmtId="1" fontId="19" fillId="0" borderId="10" xfId="0" applyNumberFormat="1" applyFont="1" applyBorder="1" applyAlignment="1">
      <alignment horizontal="center" wrapText="1"/>
    </xf>
    <xf numFmtId="164" fontId="19" fillId="25" borderId="10" xfId="0" applyNumberFormat="1" applyFont="1" applyFill="1" applyBorder="1" applyAlignment="1">
      <alignment horizontal="center" wrapText="1"/>
    </xf>
    <xf numFmtId="0" fontId="19" fillId="25" borderId="10" xfId="0" applyFont="1" applyFill="1" applyBorder="1" applyAlignment="1">
      <alignment horizontal="center" wrapText="1"/>
    </xf>
    <xf numFmtId="164" fontId="19" fillId="26" borderId="10" xfId="0" applyNumberFormat="1" applyFont="1" applyFill="1" applyBorder="1" applyAlignment="1">
      <alignment horizontal="center" wrapText="1"/>
    </xf>
    <xf numFmtId="164" fontId="19" fillId="27" borderId="10" xfId="0" applyNumberFormat="1" applyFont="1" applyFill="1" applyBorder="1" applyAlignment="1">
      <alignment horizontal="center" wrapText="1"/>
    </xf>
    <xf numFmtId="0" fontId="28" fillId="0" borderId="0" xfId="0" applyFont="1" applyAlignment="1">
      <alignment wrapText="1"/>
    </xf>
    <xf numFmtId="0" fontId="0" fillId="0" borderId="15" xfId="0" applyBorder="1" applyAlignment="1">
      <alignment horizontal="center"/>
    </xf>
    <xf numFmtId="0" fontId="20" fillId="28" borderId="15" xfId="0" applyFont="1" applyFill="1" applyBorder="1" applyAlignment="1">
      <alignment horizontal="center"/>
    </xf>
    <xf numFmtId="0" fontId="28" fillId="0" borderId="16" xfId="0" applyFont="1" applyBorder="1" applyAlignment="1">
      <alignment wrapText="1"/>
    </xf>
    <xf numFmtId="0" fontId="0" fillId="0" borderId="17" xfId="0" applyBorder="1" applyAlignment="1">
      <alignment horizontal="center"/>
    </xf>
    <xf numFmtId="0" fontId="20" fillId="28" borderId="17" xfId="0" applyFont="1" applyFill="1" applyBorder="1" applyAlignment="1">
      <alignment horizontal="center"/>
    </xf>
    <xf numFmtId="0" fontId="28" fillId="0" borderId="18" xfId="0" applyFont="1" applyBorder="1" applyAlignment="1">
      <alignment wrapText="1"/>
    </xf>
    <xf numFmtId="0" fontId="0" fillId="0" borderId="19" xfId="0" applyBorder="1" applyAlignment="1">
      <alignment horizontal="center"/>
    </xf>
    <xf numFmtId="0" fontId="20" fillId="28" borderId="19" xfId="0" applyFont="1" applyFill="1" applyBorder="1" applyAlignment="1">
      <alignment horizontal="center"/>
    </xf>
    <xf numFmtId="0" fontId="19" fillId="0" borderId="15" xfId="0" applyFont="1" applyBorder="1" applyAlignment="1">
      <alignment horizontal="center" wrapText="1"/>
    </xf>
    <xf numFmtId="0" fontId="19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28" fillId="0" borderId="21" xfId="0" applyFont="1" applyBorder="1" applyAlignment="1">
      <alignment wrapText="1"/>
    </xf>
    <xf numFmtId="0" fontId="20" fillId="28" borderId="2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/>
    <xf numFmtId="0" fontId="29" fillId="0" borderId="22" xfId="0" applyFont="1" applyBorder="1" applyAlignment="1">
      <alignment horizontal="left" wrapText="1" readingOrder="1"/>
    </xf>
    <xf numFmtId="0" fontId="29" fillId="0" borderId="23" xfId="0" applyFont="1" applyBorder="1" applyAlignment="1">
      <alignment horizontal="left" wrapText="1" readingOrder="1"/>
    </xf>
    <xf numFmtId="0" fontId="29" fillId="0" borderId="24" xfId="0" applyFont="1" applyBorder="1" applyAlignment="1">
      <alignment horizontal="right" wrapText="1"/>
    </xf>
    <xf numFmtId="14" fontId="29" fillId="0" borderId="25" xfId="0" applyNumberFormat="1" applyFont="1" applyBorder="1" applyAlignment="1">
      <alignment horizontal="right" wrapText="1"/>
    </xf>
    <xf numFmtId="0" fontId="29" fillId="0" borderId="25" xfId="0" applyFont="1" applyBorder="1" applyAlignment="1">
      <alignment horizontal="left" wrapText="1" readingOrder="1"/>
    </xf>
    <xf numFmtId="0" fontId="1" fillId="0" borderId="25" xfId="0" applyFont="1" applyBorder="1" applyAlignment="1">
      <alignment wrapText="1"/>
    </xf>
    <xf numFmtId="0" fontId="29" fillId="0" borderId="22" xfId="0" applyFont="1" applyBorder="1" applyAlignment="1">
      <alignment horizontal="right" wrapText="1"/>
    </xf>
    <xf numFmtId="14" fontId="29" fillId="0" borderId="23" xfId="0" applyNumberFormat="1" applyFont="1" applyBorder="1" applyAlignment="1">
      <alignment horizontal="right" wrapText="1"/>
    </xf>
    <xf numFmtId="0" fontId="1" fillId="0" borderId="23" xfId="0" applyFont="1" applyBorder="1" applyAlignment="1">
      <alignment wrapText="1"/>
    </xf>
    <xf numFmtId="0" fontId="19" fillId="0" borderId="0" xfId="0" applyFont="1" applyBorder="1" applyAlignment="1">
      <alignment horizontal="center" wrapText="1"/>
    </xf>
    <xf numFmtId="0" fontId="0" fillId="0" borderId="0" xfId="0" applyBorder="1"/>
    <xf numFmtId="0" fontId="28" fillId="0" borderId="0" xfId="0" applyFont="1" applyBorder="1" applyAlignment="1">
      <alignment wrapText="1"/>
    </xf>
    <xf numFmtId="0" fontId="0" fillId="0" borderId="26" xfId="0" applyBorder="1" applyAlignment="1">
      <alignment horizontal="center"/>
    </xf>
    <xf numFmtId="0" fontId="20" fillId="28" borderId="26" xfId="0" applyFont="1" applyFill="1" applyBorder="1" applyAlignment="1">
      <alignment horizontal="center"/>
    </xf>
    <xf numFmtId="0" fontId="0" fillId="0" borderId="26" xfId="0" applyBorder="1"/>
    <xf numFmtId="0" fontId="28" fillId="0" borderId="27" xfId="0" applyFont="1" applyBorder="1" applyAlignment="1">
      <alignment wrapText="1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20" fillId="28" borderId="28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28" fillId="0" borderId="30" xfId="0" applyFont="1" applyBorder="1" applyAlignment="1">
      <alignment wrapText="1"/>
    </xf>
    <xf numFmtId="0" fontId="0" fillId="0" borderId="31" xfId="0" applyBorder="1" applyAlignment="1">
      <alignment horizontal="center"/>
    </xf>
    <xf numFmtId="0" fontId="20" fillId="28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0" fillId="28" borderId="32" xfId="0" applyFont="1" applyFill="1" applyBorder="1" applyAlignment="1">
      <alignment horizontal="center"/>
    </xf>
    <xf numFmtId="14" fontId="24" fillId="31" borderId="10" xfId="0" applyNumberFormat="1" applyFont="1" applyFill="1" applyBorder="1" applyAlignment="1">
      <alignment horizontal="center" wrapText="1"/>
    </xf>
    <xf numFmtId="14" fontId="0" fillId="31" borderId="10" xfId="0" applyNumberFormat="1" applyFill="1" applyBorder="1" applyAlignment="1">
      <alignment horizontal="center"/>
    </xf>
    <xf numFmtId="14" fontId="0" fillId="31" borderId="10" xfId="0" applyNumberFormat="1" applyFill="1" applyBorder="1"/>
    <xf numFmtId="0" fontId="0" fillId="31" borderId="10" xfId="0" applyFill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19" fillId="0" borderId="0" xfId="0" applyNumberFormat="1" applyFont="1" applyBorder="1" applyAlignment="1">
      <alignment horizontal="center" wrapText="1"/>
    </xf>
    <xf numFmtId="0" fontId="20" fillId="28" borderId="0" xfId="0" applyFont="1" applyFill="1" applyBorder="1" applyAlignment="1">
      <alignment horizontal="center"/>
    </xf>
    <xf numFmtId="0" fontId="0" fillId="0" borderId="10" xfId="0" applyBorder="1"/>
    <xf numFmtId="0" fontId="0" fillId="0" borderId="19" xfId="0" applyBorder="1"/>
    <xf numFmtId="0" fontId="0" fillId="0" borderId="28" xfId="0" applyBorder="1"/>
    <xf numFmtId="1" fontId="1" fillId="0" borderId="10" xfId="0" applyNumberFormat="1" applyFont="1" applyBorder="1" applyAlignment="1">
      <alignment horizontal="center" wrapText="1"/>
    </xf>
    <xf numFmtId="1" fontId="19" fillId="0" borderId="0" xfId="0" applyNumberFormat="1" applyFont="1" applyBorder="1" applyAlignment="1">
      <alignment horizontal="center" wrapText="1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4" fontId="30" fillId="0" borderId="10" xfId="0" applyNumberFormat="1" applyFont="1" applyBorder="1" applyAlignment="1">
      <alignment horizontal="center"/>
    </xf>
    <xf numFmtId="0" fontId="19" fillId="0" borderId="33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9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7" xfId="0" applyBorder="1"/>
    <xf numFmtId="0" fontId="0" fillId="0" borderId="31" xfId="0" applyBorder="1"/>
    <xf numFmtId="14" fontId="0" fillId="0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21" fillId="24" borderId="34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66" fontId="0" fillId="0" borderId="34" xfId="0" applyNumberFormat="1" applyBorder="1" applyAlignment="1">
      <alignment horizontal="center"/>
    </xf>
    <xf numFmtId="14" fontId="0" fillId="31" borderId="34" xfId="0" applyNumberFormat="1" applyFill="1" applyBorder="1" applyAlignment="1">
      <alignment horizontal="center"/>
    </xf>
    <xf numFmtId="0" fontId="0" fillId="0" borderId="34" xfId="0" applyBorder="1" applyAlignment="1">
      <alignment horizontal="center" wrapText="1"/>
    </xf>
    <xf numFmtId="1" fontId="0" fillId="0" borderId="34" xfId="0" applyNumberForma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14" fontId="0" fillId="0" borderId="44" xfId="0" applyNumberFormat="1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21" fillId="24" borderId="44" xfId="0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14" fontId="0" fillId="0" borderId="44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14" fontId="0" fillId="31" borderId="44" xfId="0" applyNumberFormat="1" applyFill="1" applyBorder="1" applyAlignment="1">
      <alignment horizontal="center"/>
    </xf>
    <xf numFmtId="0" fontId="0" fillId="0" borderId="44" xfId="0" applyBorder="1" applyAlignment="1">
      <alignment horizontal="center" wrapText="1"/>
    </xf>
    <xf numFmtId="1" fontId="1" fillId="0" borderId="44" xfId="0" applyNumberFormat="1" applyFont="1" applyBorder="1" applyAlignment="1">
      <alignment horizontal="center"/>
    </xf>
    <xf numFmtId="1" fontId="0" fillId="0" borderId="44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166" fontId="0" fillId="0" borderId="49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1" fontId="1" fillId="0" borderId="49" xfId="0" applyNumberFormat="1" applyFont="1" applyBorder="1" applyAlignment="1">
      <alignment horizontal="center"/>
    </xf>
    <xf numFmtId="0" fontId="0" fillId="0" borderId="50" xfId="0" applyBorder="1" applyAlignment="1">
      <alignment horizontal="center"/>
    </xf>
    <xf numFmtId="0" fontId="1" fillId="0" borderId="49" xfId="0" applyNumberFormat="1" applyFont="1" applyBorder="1" applyAlignment="1">
      <alignment horizontal="center"/>
    </xf>
    <xf numFmtId="0" fontId="0" fillId="0" borderId="49" xfId="0" applyBorder="1"/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14" fontId="0" fillId="32" borderId="10" xfId="0" applyNumberFormat="1" applyFill="1" applyBorder="1" applyAlignment="1">
      <alignment horizontal="center"/>
    </xf>
    <xf numFmtId="0" fontId="0" fillId="32" borderId="10" xfId="0" applyFill="1" applyBorder="1" applyAlignment="1">
      <alignment horizontal="center"/>
    </xf>
    <xf numFmtId="0" fontId="21" fillId="32" borderId="10" xfId="0" applyFont="1" applyFill="1" applyBorder="1" applyAlignment="1">
      <alignment horizontal="center"/>
    </xf>
    <xf numFmtId="0" fontId="0" fillId="32" borderId="10" xfId="0" applyNumberFormat="1" applyFill="1" applyBorder="1" applyAlignment="1">
      <alignment horizontal="center"/>
    </xf>
    <xf numFmtId="166" fontId="0" fillId="32" borderId="10" xfId="0" applyNumberFormat="1" applyFill="1" applyBorder="1" applyAlignment="1">
      <alignment horizontal="center"/>
    </xf>
    <xf numFmtId="0" fontId="1" fillId="32" borderId="10" xfId="0" applyFont="1" applyFill="1" applyBorder="1" applyAlignment="1">
      <alignment horizontal="center" wrapText="1"/>
    </xf>
    <xf numFmtId="14" fontId="20" fillId="32" borderId="10" xfId="0" applyNumberFormat="1" applyFont="1" applyFill="1" applyBorder="1" applyAlignment="1">
      <alignment horizontal="center"/>
    </xf>
    <xf numFmtId="1" fontId="20" fillId="32" borderId="10" xfId="0" applyNumberFormat="1" applyFont="1" applyFill="1" applyBorder="1" applyAlignment="1">
      <alignment horizontal="center"/>
    </xf>
    <xf numFmtId="14" fontId="30" fillId="32" borderId="10" xfId="0" applyNumberFormat="1" applyFont="1" applyFill="1" applyBorder="1" applyAlignment="1">
      <alignment horizontal="center"/>
    </xf>
    <xf numFmtId="1" fontId="1" fillId="32" borderId="10" xfId="0" applyNumberFormat="1" applyFont="1" applyFill="1" applyBorder="1" applyAlignment="1">
      <alignment horizontal="center"/>
    </xf>
    <xf numFmtId="2" fontId="0" fillId="32" borderId="10" xfId="0" applyNumberFormat="1" applyFill="1" applyBorder="1" applyAlignment="1">
      <alignment horizontal="center"/>
    </xf>
    <xf numFmtId="165" fontId="0" fillId="32" borderId="10" xfId="0" applyNumberFormat="1" applyFill="1" applyBorder="1" applyAlignment="1">
      <alignment horizontal="center"/>
    </xf>
    <xf numFmtId="0" fontId="0" fillId="32" borderId="20" xfId="0" applyFill="1" applyBorder="1" applyAlignment="1">
      <alignment horizontal="center"/>
    </xf>
    <xf numFmtId="0" fontId="0" fillId="32" borderId="15" xfId="0" applyFill="1" applyBorder="1" applyAlignment="1">
      <alignment horizontal="center"/>
    </xf>
    <xf numFmtId="0" fontId="0" fillId="32" borderId="0" xfId="0" applyFill="1" applyBorder="1" applyAlignment="1">
      <alignment horizontal="center"/>
    </xf>
    <xf numFmtId="166" fontId="0" fillId="32" borderId="0" xfId="0" applyNumberFormat="1" applyFill="1" applyBorder="1" applyAlignment="1">
      <alignment horizontal="center"/>
    </xf>
    <xf numFmtId="1" fontId="0" fillId="32" borderId="0" xfId="0" applyNumberFormat="1" applyFill="1" applyBorder="1" applyAlignment="1">
      <alignment horizontal="center"/>
    </xf>
    <xf numFmtId="1" fontId="1" fillId="32" borderId="0" xfId="0" applyNumberFormat="1" applyFont="1" applyFill="1" applyBorder="1" applyAlignment="1">
      <alignment horizontal="center"/>
    </xf>
    <xf numFmtId="0" fontId="0" fillId="32" borderId="33" xfId="0" applyFill="1" applyBorder="1" applyAlignment="1">
      <alignment horizontal="center"/>
    </xf>
    <xf numFmtId="0" fontId="1" fillId="32" borderId="0" xfId="0" applyNumberFormat="1" applyFont="1" applyFill="1" applyBorder="1" applyAlignment="1">
      <alignment horizontal="center"/>
    </xf>
    <xf numFmtId="0" fontId="0" fillId="32" borderId="0" xfId="0" applyFill="1"/>
    <xf numFmtId="0" fontId="0" fillId="32" borderId="19" xfId="0" applyFill="1" applyBorder="1" applyAlignment="1">
      <alignment horizontal="center"/>
    </xf>
    <xf numFmtId="0" fontId="0" fillId="32" borderId="26" xfId="0" applyFill="1" applyBorder="1" applyAlignment="1">
      <alignment horizontal="center"/>
    </xf>
    <xf numFmtId="0" fontId="0" fillId="32" borderId="28" xfId="0" applyFill="1" applyBorder="1" applyAlignment="1">
      <alignment horizontal="center"/>
    </xf>
    <xf numFmtId="0" fontId="0" fillId="32" borderId="17" xfId="0" applyFill="1" applyBorder="1" applyAlignment="1">
      <alignment horizontal="center"/>
    </xf>
    <xf numFmtId="0" fontId="0" fillId="32" borderId="31" xfId="0" applyFill="1" applyBorder="1" applyAlignment="1">
      <alignment horizontal="center"/>
    </xf>
    <xf numFmtId="0" fontId="0" fillId="32" borderId="32" xfId="0" applyFill="1" applyBorder="1" applyAlignment="1">
      <alignment horizontal="center"/>
    </xf>
    <xf numFmtId="0" fontId="0" fillId="32" borderId="29" xfId="0" applyFill="1" applyBorder="1" applyAlignment="1">
      <alignment horizontal="center"/>
    </xf>
    <xf numFmtId="0" fontId="0" fillId="32" borderId="10" xfId="0" applyFill="1" applyBorder="1" applyAlignment="1">
      <alignment horizontal="center" wrapText="1"/>
    </xf>
    <xf numFmtId="1" fontId="0" fillId="32" borderId="10" xfId="0" applyNumberFormat="1" applyFill="1" applyBorder="1" applyAlignment="1">
      <alignment horizontal="center"/>
    </xf>
    <xf numFmtId="14" fontId="1" fillId="32" borderId="10" xfId="0" applyNumberFormat="1" applyFont="1" applyFill="1" applyBorder="1" applyAlignment="1">
      <alignment horizontal="center"/>
    </xf>
    <xf numFmtId="0" fontId="29" fillId="0" borderId="22" xfId="0" applyFont="1" applyBorder="1" applyAlignment="1">
      <alignment horizontal="left"/>
    </xf>
    <xf numFmtId="0" fontId="29" fillId="0" borderId="22" xfId="0" applyFont="1" applyBorder="1" applyAlignment="1">
      <alignment horizontal="left" wrapText="1"/>
    </xf>
    <xf numFmtId="0" fontId="31" fillId="0" borderId="11" xfId="0" applyFont="1" applyBorder="1" applyAlignment="1">
      <alignment horizontal="left" wrapText="1"/>
    </xf>
    <xf numFmtId="0" fontId="31" fillId="0" borderId="12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/>
    </xf>
    <xf numFmtId="0" fontId="1" fillId="32" borderId="11" xfId="0" applyFont="1" applyFill="1" applyBorder="1" applyAlignment="1">
      <alignment wrapText="1"/>
    </xf>
    <xf numFmtId="0" fontId="1" fillId="32" borderId="12" xfId="0" applyFont="1" applyFill="1" applyBorder="1" applyAlignment="1"/>
    <xf numFmtId="0" fontId="31" fillId="32" borderId="12" xfId="0" applyFont="1" applyFill="1" applyBorder="1" applyAlignment="1">
      <alignment horizontal="left"/>
    </xf>
    <xf numFmtId="0" fontId="31" fillId="0" borderId="10" xfId="0" applyFont="1" applyBorder="1" applyAlignment="1">
      <alignment horizontal="left" wrapText="1"/>
    </xf>
    <xf numFmtId="0" fontId="31" fillId="0" borderId="10" xfId="0" applyFont="1" applyBorder="1" applyAlignment="1">
      <alignment horizontal="left"/>
    </xf>
    <xf numFmtId="0" fontId="1" fillId="32" borderId="11" xfId="0" applyFont="1" applyFill="1" applyBorder="1" applyAlignment="1">
      <alignment horizontal="center" wrapText="1"/>
    </xf>
    <xf numFmtId="0" fontId="1" fillId="32" borderId="12" xfId="0" applyFont="1" applyFill="1" applyBorder="1" applyAlignment="1">
      <alignment horizontal="center"/>
    </xf>
    <xf numFmtId="0" fontId="1" fillId="0" borderId="10" xfId="0" applyFont="1" applyBorder="1" applyAlignment="1"/>
    <xf numFmtId="0" fontId="1" fillId="0" borderId="12" xfId="0" applyFont="1" applyBorder="1" applyAlignment="1"/>
    <xf numFmtId="0" fontId="31" fillId="0" borderId="13" xfId="0" applyFont="1" applyBorder="1" applyAlignment="1">
      <alignment horizontal="left" wrapText="1"/>
    </xf>
    <xf numFmtId="0" fontId="31" fillId="0" borderId="14" xfId="0" applyFont="1" applyBorder="1" applyAlignment="1">
      <alignment horizontal="left"/>
    </xf>
    <xf numFmtId="0" fontId="1" fillId="0" borderId="14" xfId="0" applyFont="1" applyBorder="1" applyAlignment="1"/>
    <xf numFmtId="0" fontId="1" fillId="0" borderId="10" xfId="0" applyFont="1" applyFill="1" applyBorder="1" applyAlignment="1">
      <alignment horizontal="center" wrapText="1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 wrapText="1"/>
    </xf>
    <xf numFmtId="0" fontId="1" fillId="0" borderId="1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0" fontId="31" fillId="32" borderId="10" xfId="0" applyFont="1" applyFill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10" xfId="0" applyFont="1" applyBorder="1" applyAlignment="1">
      <alignment horizontal="left"/>
    </xf>
    <xf numFmtId="0" fontId="1" fillId="0" borderId="45" xfId="0" applyFont="1" applyBorder="1" applyAlignment="1">
      <alignment horizontal="center" wrapText="1"/>
    </xf>
    <xf numFmtId="0" fontId="1" fillId="0" borderId="46" xfId="0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0" fontId="19" fillId="32" borderId="10" xfId="0" applyFont="1" applyFill="1" applyBorder="1" applyAlignment="1">
      <alignment horizontal="center"/>
    </xf>
    <xf numFmtId="0" fontId="31" fillId="0" borderId="12" xfId="0" applyFont="1" applyBorder="1" applyAlignment="1">
      <alignment horizontal="left" wrapText="1"/>
    </xf>
    <xf numFmtId="0" fontId="32" fillId="0" borderId="11" xfId="0" applyFont="1" applyBorder="1" applyAlignment="1">
      <alignment horizontal="left" wrapText="1"/>
    </xf>
    <xf numFmtId="0" fontId="29" fillId="0" borderId="0" xfId="0" applyFont="1" applyBorder="1" applyAlignment="1">
      <alignment horizontal="left" wrapText="1" readingOrder="1"/>
    </xf>
    <xf numFmtId="0" fontId="1" fillId="0" borderId="12" xfId="0" applyFont="1" applyBorder="1" applyAlignment="1">
      <alignment horizontal="center" wrapText="1"/>
    </xf>
    <xf numFmtId="0" fontId="31" fillId="32" borderId="12" xfId="0" applyFont="1" applyFill="1" applyBorder="1" applyAlignment="1">
      <alignment horizontal="left" wrapText="1"/>
    </xf>
    <xf numFmtId="0" fontId="31" fillId="0" borderId="14" xfId="0" applyFont="1" applyBorder="1" applyAlignment="1">
      <alignment horizontal="left" wrapText="1"/>
    </xf>
    <xf numFmtId="0" fontId="1" fillId="0" borderId="12" xfId="0" applyFont="1" applyFill="1" applyBorder="1" applyAlignment="1">
      <alignment horizontal="center" wrapText="1"/>
    </xf>
    <xf numFmtId="0" fontId="1" fillId="32" borderId="12" xfId="0" applyFont="1" applyFill="1" applyBorder="1" applyAlignment="1">
      <alignment horizontal="center" wrapText="1"/>
    </xf>
    <xf numFmtId="0" fontId="1" fillId="0" borderId="46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1" fontId="0" fillId="33" borderId="10" xfId="0" applyNumberFormat="1" applyFill="1" applyBorder="1" applyAlignment="1">
      <alignment horizontal="center"/>
    </xf>
    <xf numFmtId="166" fontId="0" fillId="33" borderId="10" xfId="0" applyNumberForma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1" fillId="0" borderId="11" xfId="0" applyFont="1" applyBorder="1" applyAlignment="1">
      <alignment horizontal="left" wrapText="1"/>
    </xf>
    <xf numFmtId="0" fontId="31" fillId="32" borderId="10" xfId="0" applyFont="1" applyFill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29" fillId="0" borderId="12" xfId="0" applyFont="1" applyBorder="1" applyAlignment="1">
      <alignment horizontal="left" wrapText="1" readingOrder="1"/>
    </xf>
    <xf numFmtId="0" fontId="29" fillId="0" borderId="10" xfId="0" applyFont="1" applyBorder="1" applyAlignment="1">
      <alignment horizontal="left" wrapText="1" readingOrder="1"/>
    </xf>
    <xf numFmtId="0" fontId="1" fillId="0" borderId="0" xfId="0" applyFont="1" applyFill="1" applyBorder="1" applyAlignment="1">
      <alignment horizontal="center"/>
    </xf>
    <xf numFmtId="0" fontId="1" fillId="0" borderId="12" xfId="0" applyFont="1" applyBorder="1" applyAlignment="1">
      <alignment horizontal="left" wrapText="1"/>
    </xf>
    <xf numFmtId="14" fontId="1" fillId="34" borderId="10" xfId="0" applyNumberFormat="1" applyFont="1" applyFill="1" applyBorder="1" applyAlignment="1">
      <alignment horizontal="center"/>
    </xf>
    <xf numFmtId="0" fontId="0" fillId="0" borderId="44" xfId="0" applyNumberFormat="1" applyBorder="1" applyAlignment="1">
      <alignment horizontal="center"/>
    </xf>
    <xf numFmtId="14" fontId="1" fillId="0" borderId="44" xfId="0" applyNumberFormat="1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14" fontId="30" fillId="0" borderId="44" xfId="0" applyNumberFormat="1" applyFont="1" applyBorder="1" applyAlignment="1">
      <alignment horizontal="center"/>
    </xf>
  </cellXfs>
  <cellStyles count="86">
    <cellStyle name="20% - Accent1" xfId="1" builtinId="30" customBuiltin="1"/>
    <cellStyle name="20% - Accent1 2" xfId="2"/>
    <cellStyle name="20% - Accent2" xfId="3" builtinId="34" customBuiltin="1"/>
    <cellStyle name="20% - Accent2 2" xfId="4"/>
    <cellStyle name="20% - Accent3" xfId="5" builtinId="38" customBuiltin="1"/>
    <cellStyle name="20% - Accent3 2" xfId="6"/>
    <cellStyle name="20% - Accent4" xfId="7" builtinId="42" customBuiltin="1"/>
    <cellStyle name="20% - Accent4 2" xfId="8"/>
    <cellStyle name="20% - Accent5" xfId="9" builtinId="46" customBuiltin="1"/>
    <cellStyle name="20% - Accent5 2" xfId="10"/>
    <cellStyle name="20% - Accent6" xfId="11" builtinId="50" customBuiltin="1"/>
    <cellStyle name="20% - Accent6 2" xfId="12"/>
    <cellStyle name="40% - Accent1" xfId="13" builtinId="31" customBuiltin="1"/>
    <cellStyle name="40% - Accent1 2" xfId="14"/>
    <cellStyle name="40% - Accent2" xfId="15" builtinId="35" customBuiltin="1"/>
    <cellStyle name="40% - Accent2 2" xfId="16"/>
    <cellStyle name="40% - Accent3" xfId="17" builtinId="39" customBuiltin="1"/>
    <cellStyle name="40% - Accent3 2" xfId="18"/>
    <cellStyle name="40% - Accent4" xfId="19" builtinId="43" customBuiltin="1"/>
    <cellStyle name="40% - Accent4 2" xfId="20"/>
    <cellStyle name="40% - Accent5" xfId="21" builtinId="47" customBuiltin="1"/>
    <cellStyle name="40% - Accent5 2" xfId="22"/>
    <cellStyle name="40% - Accent6" xfId="23" builtinId="51" customBuiltin="1"/>
    <cellStyle name="40% - Accent6 2" xfId="24"/>
    <cellStyle name="60% - Accent1" xfId="25" builtinId="32" customBuiltin="1"/>
    <cellStyle name="60% - Accent1 2" xfId="26"/>
    <cellStyle name="60% - Accent2" xfId="27" builtinId="36" customBuiltin="1"/>
    <cellStyle name="60% - Accent2 2" xfId="28"/>
    <cellStyle name="60% - Accent3" xfId="29" builtinId="40" customBuiltin="1"/>
    <cellStyle name="60% - Accent3 2" xfId="30"/>
    <cellStyle name="60% - Accent4" xfId="31" builtinId="44" customBuiltin="1"/>
    <cellStyle name="60% - Accent4 2" xfId="32"/>
    <cellStyle name="60% - Accent5" xfId="33" builtinId="48" customBuiltin="1"/>
    <cellStyle name="60% - Accent5 2" xfId="34"/>
    <cellStyle name="60% - Accent6" xfId="35" builtinId="52" customBuiltin="1"/>
    <cellStyle name="60% - Accent6 2" xfId="36"/>
    <cellStyle name="Accent1" xfId="37" builtinId="29" customBuiltin="1"/>
    <cellStyle name="Accent1 2" xfId="38"/>
    <cellStyle name="Accent2" xfId="39" builtinId="33" customBuiltin="1"/>
    <cellStyle name="Accent2 2" xfId="40"/>
    <cellStyle name="Accent3" xfId="41" builtinId="37" customBuiltin="1"/>
    <cellStyle name="Accent3 2" xfId="42"/>
    <cellStyle name="Accent4" xfId="43" builtinId="41" customBuiltin="1"/>
    <cellStyle name="Accent4 2" xfId="44"/>
    <cellStyle name="Accent5" xfId="45" builtinId="45" customBuiltin="1"/>
    <cellStyle name="Accent5 2" xfId="46"/>
    <cellStyle name="Accent6" xfId="47" builtinId="49" customBuiltin="1"/>
    <cellStyle name="Accent6 2" xfId="48"/>
    <cellStyle name="Bad" xfId="49" builtinId="27" customBuiltin="1"/>
    <cellStyle name="Bad 2" xfId="50"/>
    <cellStyle name="Calculation" xfId="51" builtinId="22" customBuiltin="1"/>
    <cellStyle name="Calculation 2" xfId="52"/>
    <cellStyle name="Check Cell" xfId="53" builtinId="23" customBuiltin="1"/>
    <cellStyle name="Check Cell 2" xfId="54"/>
    <cellStyle name="Explanatory Text" xfId="55" builtinId="53" customBuiltin="1"/>
    <cellStyle name="Explanatory Text 2" xfId="56"/>
    <cellStyle name="Good" xfId="57" builtinId="26" customBuiltin="1"/>
    <cellStyle name="Good 2" xfId="58"/>
    <cellStyle name="Heading 1" xfId="59" builtinId="16" customBuiltin="1"/>
    <cellStyle name="Heading 1 2" xfId="60"/>
    <cellStyle name="Heading 2" xfId="61" builtinId="17" customBuiltin="1"/>
    <cellStyle name="Heading 2 2" xfId="62"/>
    <cellStyle name="Heading 3" xfId="63" builtinId="18" customBuiltin="1"/>
    <cellStyle name="Heading 3 2" xfId="64"/>
    <cellStyle name="Heading 4" xfId="65" builtinId="19" customBuiltin="1"/>
    <cellStyle name="Heading 4 2" xfId="66"/>
    <cellStyle name="Input" xfId="67" builtinId="20" customBuiltin="1"/>
    <cellStyle name="Input 2" xfId="68"/>
    <cellStyle name="Linked Cell" xfId="69" builtinId="24" customBuiltin="1"/>
    <cellStyle name="Linked Cell 2" xfId="70"/>
    <cellStyle name="Neutral" xfId="71" builtinId="28" customBuiltin="1"/>
    <cellStyle name="Neutral 2" xfId="72"/>
    <cellStyle name="Normal" xfId="0" builtinId="0"/>
    <cellStyle name="Normal 2" xfId="73"/>
    <cellStyle name="Normal 3" xfId="74"/>
    <cellStyle name="Note" xfId="75" builtinId="10" customBuiltin="1"/>
    <cellStyle name="Note 2" xfId="76"/>
    <cellStyle name="Output" xfId="77" builtinId="21" customBuiltin="1"/>
    <cellStyle name="Output 2" xfId="78"/>
    <cellStyle name="Percent 2" xfId="79"/>
    <cellStyle name="Title" xfId="80" builtinId="15" customBuiltin="1"/>
    <cellStyle name="Title 2" xfId="81"/>
    <cellStyle name="Total" xfId="82" builtinId="25" customBuiltin="1"/>
    <cellStyle name="Total 2" xfId="83"/>
    <cellStyle name="Warning Text" xfId="84" builtinId="11" customBuiltin="1"/>
    <cellStyle name="Warning Text 2" xfId="85"/>
  </cellStyles>
  <dxfs count="41">
    <dxf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ill>
        <patternFill>
          <bgColor theme="5" tint="0.59996337778862885"/>
        </patternFill>
      </fill>
    </dxf>
    <dxf>
      <fill>
        <patternFill>
          <bgColor theme="7"/>
        </patternFill>
      </fill>
    </dxf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usernames" Target="revisions/userNam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Data!$CK$2:$CK$79</c:f>
              <c:numCache>
                <c:formatCode>General</c:formatCode>
                <c:ptCount val="78"/>
                <c:pt idx="0">
                  <c:v>6.9999999999999951E-2</c:v>
                </c:pt>
                <c:pt idx="1">
                  <c:v>0.73</c:v>
                </c:pt>
                <c:pt idx="2">
                  <c:v>0.67500000000000004</c:v>
                </c:pt>
                <c:pt idx="3">
                  <c:v>0.39500000000000002</c:v>
                </c:pt>
                <c:pt idx="4">
                  <c:v>0.72</c:v>
                </c:pt>
                <c:pt idx="5">
                  <c:v>0.37</c:v>
                </c:pt>
                <c:pt idx="6">
                  <c:v>1.06</c:v>
                </c:pt>
                <c:pt idx="7">
                  <c:v>-1.595</c:v>
                </c:pt>
                <c:pt idx="8">
                  <c:v>-0.16000000000000003</c:v>
                </c:pt>
                <c:pt idx="9">
                  <c:v>-2.23</c:v>
                </c:pt>
                <c:pt idx="10">
                  <c:v>0.48</c:v>
                </c:pt>
                <c:pt idx="11">
                  <c:v>1.06</c:v>
                </c:pt>
                <c:pt idx="12">
                  <c:v>0.88500000000000001</c:v>
                </c:pt>
                <c:pt idx="13">
                  <c:v>1.03</c:v>
                </c:pt>
                <c:pt idx="14">
                  <c:v>5.0000000000000044E-2</c:v>
                </c:pt>
                <c:pt idx="15">
                  <c:v>-6.4999999999999947E-2</c:v>
                </c:pt>
                <c:pt idx="16">
                  <c:v>1.8</c:v>
                </c:pt>
                <c:pt idx="17">
                  <c:v>0.79</c:v>
                </c:pt>
                <c:pt idx="18">
                  <c:v>1.075</c:v>
                </c:pt>
                <c:pt idx="19">
                  <c:v>-0.33</c:v>
                </c:pt>
                <c:pt idx="20">
                  <c:v>1.5249999999999999</c:v>
                </c:pt>
                <c:pt idx="21">
                  <c:v>2.6349999999999998</c:v>
                </c:pt>
                <c:pt idx="22">
                  <c:v>0.73</c:v>
                </c:pt>
                <c:pt idx="23">
                  <c:v>-5.5000000000000049E-2</c:v>
                </c:pt>
                <c:pt idx="24">
                  <c:v>-2.0000000000000018E-2</c:v>
                </c:pt>
                <c:pt idx="25">
                  <c:v>-0.34499999999999997</c:v>
                </c:pt>
                <c:pt idx="26">
                  <c:v>2.02</c:v>
                </c:pt>
                <c:pt idx="27">
                  <c:v>0.68500000000000005</c:v>
                </c:pt>
                <c:pt idx="28">
                  <c:v>1.23</c:v>
                </c:pt>
                <c:pt idx="29">
                  <c:v>-1.2450000000000001</c:v>
                </c:pt>
                <c:pt idx="30">
                  <c:v>-0.30000000000000004</c:v>
                </c:pt>
                <c:pt idx="31">
                  <c:v>1.925</c:v>
                </c:pt>
                <c:pt idx="32">
                  <c:v>-1.74</c:v>
                </c:pt>
                <c:pt idx="33">
                  <c:v>-1.04</c:v>
                </c:pt>
                <c:pt idx="34">
                  <c:v>0.39</c:v>
                </c:pt>
                <c:pt idx="35">
                  <c:v>1.29</c:v>
                </c:pt>
                <c:pt idx="36">
                  <c:v>1.625</c:v>
                </c:pt>
                <c:pt idx="37">
                  <c:v>1.0449999999999999</c:v>
                </c:pt>
                <c:pt idx="38">
                  <c:v>1.8199999999999998</c:v>
                </c:pt>
                <c:pt idx="39">
                  <c:v>-2.855</c:v>
                </c:pt>
                <c:pt idx="40">
                  <c:v>-2.44</c:v>
                </c:pt>
                <c:pt idx="41">
                  <c:v>0.97499999999999998</c:v>
                </c:pt>
                <c:pt idx="42">
                  <c:v>2.5000000000000022E-2</c:v>
                </c:pt>
                <c:pt idx="43">
                  <c:v>-0.48</c:v>
                </c:pt>
                <c:pt idx="44">
                  <c:v>2.0000000000000018E-2</c:v>
                </c:pt>
                <c:pt idx="45">
                  <c:v>-0.5</c:v>
                </c:pt>
                <c:pt idx="46">
                  <c:v>1.905</c:v>
                </c:pt>
                <c:pt idx="47">
                  <c:v>2.0249999999999999</c:v>
                </c:pt>
                <c:pt idx="48">
                  <c:v>-0.19999999999999996</c:v>
                </c:pt>
                <c:pt idx="49">
                  <c:v>1.4449999999999998</c:v>
                </c:pt>
                <c:pt idx="50">
                  <c:v>6.9999999999999951E-2</c:v>
                </c:pt>
                <c:pt idx="51">
                  <c:v>0.15000000000000002</c:v>
                </c:pt>
                <c:pt idx="52">
                  <c:v>0.90500000000000003</c:v>
                </c:pt>
                <c:pt idx="53">
                  <c:v>-2.4</c:v>
                </c:pt>
                <c:pt idx="54">
                  <c:v>0.72</c:v>
                </c:pt>
                <c:pt idx="55">
                  <c:v>1.6400000000000001</c:v>
                </c:pt>
                <c:pt idx="56">
                  <c:v>-1.99</c:v>
                </c:pt>
                <c:pt idx="57">
                  <c:v>-1.845</c:v>
                </c:pt>
                <c:pt idx="58">
                  <c:v>-2.4300000000000002</c:v>
                </c:pt>
                <c:pt idx="59">
                  <c:v>1.0449999999999999</c:v>
                </c:pt>
                <c:pt idx="60">
                  <c:v>0.21499999999999997</c:v>
                </c:pt>
                <c:pt idx="61">
                  <c:v>0.8</c:v>
                </c:pt>
                <c:pt idx="62">
                  <c:v>-1.915</c:v>
                </c:pt>
                <c:pt idx="63">
                  <c:v>0.69</c:v>
                </c:pt>
                <c:pt idx="64">
                  <c:v>1.3050000000000002</c:v>
                </c:pt>
                <c:pt idx="65">
                  <c:v>-0.24</c:v>
                </c:pt>
                <c:pt idx="66">
                  <c:v>-1.135</c:v>
                </c:pt>
                <c:pt idx="67">
                  <c:v>-3.5000000000000031E-2</c:v>
                </c:pt>
                <c:pt idx="68">
                  <c:v>1.08</c:v>
                </c:pt>
                <c:pt idx="69">
                  <c:v>0.57999999999999996</c:v>
                </c:pt>
                <c:pt idx="70">
                  <c:v>-0.45999999999999996</c:v>
                </c:pt>
                <c:pt idx="71">
                  <c:v>2.335</c:v>
                </c:pt>
                <c:pt idx="72">
                  <c:v>0.41500000000000004</c:v>
                </c:pt>
                <c:pt idx="73">
                  <c:v>-0.89</c:v>
                </c:pt>
                <c:pt idx="74">
                  <c:v>-0.55000000000000004</c:v>
                </c:pt>
                <c:pt idx="75">
                  <c:v>1.1099999999999999</c:v>
                </c:pt>
                <c:pt idx="76">
                  <c:v>6.0000000000000053E-2</c:v>
                </c:pt>
                <c:pt idx="77">
                  <c:v>2.395</c:v>
                </c:pt>
              </c:numCache>
            </c:numRef>
          </c:xVal>
          <c:yVal>
            <c:numRef>
              <c:f>Data!$CL$2:$CL$79</c:f>
              <c:numCache>
                <c:formatCode>General</c:formatCode>
                <c:ptCount val="78"/>
                <c:pt idx="0">
                  <c:v>-66</c:v>
                </c:pt>
                <c:pt idx="1">
                  <c:v>-146</c:v>
                </c:pt>
                <c:pt idx="2">
                  <c:v>-36</c:v>
                </c:pt>
                <c:pt idx="3">
                  <c:v>-129</c:v>
                </c:pt>
                <c:pt idx="4">
                  <c:v>-136</c:v>
                </c:pt>
                <c:pt idx="5">
                  <c:v>-177</c:v>
                </c:pt>
                <c:pt idx="6">
                  <c:v>-150</c:v>
                </c:pt>
                <c:pt idx="7">
                  <c:v>-42</c:v>
                </c:pt>
                <c:pt idx="8">
                  <c:v>-117</c:v>
                </c:pt>
                <c:pt idx="9">
                  <c:v>-170</c:v>
                </c:pt>
                <c:pt idx="10">
                  <c:v>-16</c:v>
                </c:pt>
                <c:pt idx="11">
                  <c:v>0</c:v>
                </c:pt>
                <c:pt idx="12">
                  <c:v>-102</c:v>
                </c:pt>
                <c:pt idx="13">
                  <c:v>-35</c:v>
                </c:pt>
                <c:pt idx="14">
                  <c:v>-75</c:v>
                </c:pt>
                <c:pt idx="15">
                  <c:v>-28</c:v>
                </c:pt>
                <c:pt idx="16">
                  <c:v>0</c:v>
                </c:pt>
                <c:pt idx="17">
                  <c:v>-65</c:v>
                </c:pt>
                <c:pt idx="18">
                  <c:v>-64</c:v>
                </c:pt>
                <c:pt idx="19">
                  <c:v>-130</c:v>
                </c:pt>
                <c:pt idx="20">
                  <c:v>-77</c:v>
                </c:pt>
                <c:pt idx="21">
                  <c:v>-45</c:v>
                </c:pt>
                <c:pt idx="22">
                  <c:v>-118</c:v>
                </c:pt>
                <c:pt idx="23">
                  <c:v>-115</c:v>
                </c:pt>
                <c:pt idx="24">
                  <c:v>-59</c:v>
                </c:pt>
                <c:pt idx="25">
                  <c:v>-25</c:v>
                </c:pt>
                <c:pt idx="26">
                  <c:v>-100</c:v>
                </c:pt>
                <c:pt idx="27">
                  <c:v>-80</c:v>
                </c:pt>
                <c:pt idx="28">
                  <c:v>-112</c:v>
                </c:pt>
                <c:pt idx="29">
                  <c:v>-51</c:v>
                </c:pt>
                <c:pt idx="30">
                  <c:v>-85</c:v>
                </c:pt>
                <c:pt idx="31">
                  <c:v>-205</c:v>
                </c:pt>
                <c:pt idx="32">
                  <c:v>7</c:v>
                </c:pt>
                <c:pt idx="33">
                  <c:v>-16</c:v>
                </c:pt>
                <c:pt idx="34">
                  <c:v>-86</c:v>
                </c:pt>
                <c:pt idx="35">
                  <c:v>-78</c:v>
                </c:pt>
                <c:pt idx="36">
                  <c:v>-124</c:v>
                </c:pt>
                <c:pt idx="37">
                  <c:v>-61</c:v>
                </c:pt>
                <c:pt idx="38">
                  <c:v>-116</c:v>
                </c:pt>
                <c:pt idx="39">
                  <c:v>-61</c:v>
                </c:pt>
                <c:pt idx="40">
                  <c:v>-70</c:v>
                </c:pt>
                <c:pt idx="41">
                  <c:v>-74</c:v>
                </c:pt>
                <c:pt idx="42">
                  <c:v>4</c:v>
                </c:pt>
                <c:pt idx="43">
                  <c:v>-183</c:v>
                </c:pt>
                <c:pt idx="44">
                  <c:v>-32</c:v>
                </c:pt>
                <c:pt idx="45">
                  <c:v>-301</c:v>
                </c:pt>
                <c:pt idx="46">
                  <c:v>-80</c:v>
                </c:pt>
                <c:pt idx="47">
                  <c:v>-82</c:v>
                </c:pt>
                <c:pt idx="48">
                  <c:v>-55</c:v>
                </c:pt>
                <c:pt idx="49">
                  <c:v>-124</c:v>
                </c:pt>
                <c:pt idx="50">
                  <c:v>-128</c:v>
                </c:pt>
                <c:pt idx="51">
                  <c:v>-43</c:v>
                </c:pt>
                <c:pt idx="52">
                  <c:v>-166</c:v>
                </c:pt>
                <c:pt idx="53">
                  <c:v>-45</c:v>
                </c:pt>
                <c:pt idx="54">
                  <c:v>-104</c:v>
                </c:pt>
                <c:pt idx="55">
                  <c:v>-57</c:v>
                </c:pt>
                <c:pt idx="56">
                  <c:v>0</c:v>
                </c:pt>
                <c:pt idx="57">
                  <c:v>-108</c:v>
                </c:pt>
                <c:pt idx="58">
                  <c:v>-417</c:v>
                </c:pt>
                <c:pt idx="59">
                  <c:v>-532</c:v>
                </c:pt>
                <c:pt idx="60">
                  <c:v>-69</c:v>
                </c:pt>
                <c:pt idx="61">
                  <c:v>-65</c:v>
                </c:pt>
                <c:pt idx="62">
                  <c:v>-42</c:v>
                </c:pt>
                <c:pt idx="63">
                  <c:v>-132</c:v>
                </c:pt>
                <c:pt idx="64">
                  <c:v>-57</c:v>
                </c:pt>
                <c:pt idx="65">
                  <c:v>-129</c:v>
                </c:pt>
                <c:pt idx="66">
                  <c:v>-86</c:v>
                </c:pt>
                <c:pt idx="67">
                  <c:v>-106</c:v>
                </c:pt>
                <c:pt idx="68">
                  <c:v>-83</c:v>
                </c:pt>
                <c:pt idx="69">
                  <c:v>-83</c:v>
                </c:pt>
                <c:pt idx="70">
                  <c:v>-21</c:v>
                </c:pt>
                <c:pt idx="71">
                  <c:v>-83</c:v>
                </c:pt>
                <c:pt idx="72">
                  <c:v>-82</c:v>
                </c:pt>
                <c:pt idx="73">
                  <c:v>-56</c:v>
                </c:pt>
                <c:pt idx="74">
                  <c:v>-131</c:v>
                </c:pt>
                <c:pt idx="75">
                  <c:v>-73</c:v>
                </c:pt>
                <c:pt idx="76">
                  <c:v>-132</c:v>
                </c:pt>
                <c:pt idx="77">
                  <c:v>-101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492800"/>
        <c:axId val="164494336"/>
      </c:scatterChart>
      <c:valAx>
        <c:axId val="16449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4494336"/>
        <c:crosses val="autoZero"/>
        <c:crossBetween val="midCat"/>
      </c:valAx>
      <c:valAx>
        <c:axId val="16449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492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16</xdr:row>
      <xdr:rowOff>28575</xdr:rowOff>
    </xdr:from>
    <xdr:to>
      <xdr:col>14</xdr:col>
      <xdr:colOff>371475</xdr:colOff>
      <xdr:row>33</xdr:row>
      <xdr:rowOff>19050</xdr:rowOff>
    </xdr:to>
    <xdr:graphicFrame macro="">
      <xdr:nvGraphicFramePr>
        <xdr:cNvPr id="10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109" Type="http://schemas.openxmlformats.org/officeDocument/2006/relationships/revisionLog" Target="revisionLog109.xml"/><Relationship Id="rId117" Type="http://schemas.openxmlformats.org/officeDocument/2006/relationships/revisionLog" Target="revisionLog117.xml"/><Relationship Id="rId121" Type="http://schemas.openxmlformats.org/officeDocument/2006/relationships/revisionLog" Target="revisionLog2.xml"/><Relationship Id="rId104" Type="http://schemas.openxmlformats.org/officeDocument/2006/relationships/revisionLog" Target="revisionLog104.xml"/><Relationship Id="rId125" Type="http://schemas.openxmlformats.org/officeDocument/2006/relationships/revisionLog" Target="revisionLog6.xml"/><Relationship Id="rId120" Type="http://schemas.openxmlformats.org/officeDocument/2006/relationships/revisionLog" Target="revisionLog1.xml"/><Relationship Id="rId112" Type="http://schemas.openxmlformats.org/officeDocument/2006/relationships/revisionLog" Target="revisionLog112.xml"/><Relationship Id="rId129" Type="http://schemas.openxmlformats.org/officeDocument/2006/relationships/revisionLog" Target="revisionLog10.xml"/><Relationship Id="rId124" Type="http://schemas.openxmlformats.org/officeDocument/2006/relationships/revisionLog" Target="revisionLog5.xml"/><Relationship Id="rId116" Type="http://schemas.openxmlformats.org/officeDocument/2006/relationships/revisionLog" Target="revisionLog116.xml"/><Relationship Id="rId108" Type="http://schemas.openxmlformats.org/officeDocument/2006/relationships/revisionLog" Target="revisionLog108.xml"/><Relationship Id="rId103" Type="http://schemas.openxmlformats.org/officeDocument/2006/relationships/revisionLog" Target="revisionLog103.xml"/><Relationship Id="rId107" Type="http://schemas.openxmlformats.org/officeDocument/2006/relationships/revisionLog" Target="revisionLog107.xml"/><Relationship Id="rId111" Type="http://schemas.openxmlformats.org/officeDocument/2006/relationships/revisionLog" Target="revisionLog111.xml"/><Relationship Id="rId132" Type="http://schemas.openxmlformats.org/officeDocument/2006/relationships/revisionLog" Target="revisionLog13.xml"/><Relationship Id="rId115" Type="http://schemas.openxmlformats.org/officeDocument/2006/relationships/revisionLog" Target="revisionLog115.xml"/><Relationship Id="rId110" Type="http://schemas.openxmlformats.org/officeDocument/2006/relationships/revisionLog" Target="revisionLog110.xml"/><Relationship Id="rId128" Type="http://schemas.openxmlformats.org/officeDocument/2006/relationships/revisionLog" Target="revisionLog9.xml"/><Relationship Id="rId131" Type="http://schemas.openxmlformats.org/officeDocument/2006/relationships/revisionLog" Target="revisionLog12.xml"/><Relationship Id="rId123" Type="http://schemas.openxmlformats.org/officeDocument/2006/relationships/revisionLog" Target="revisionLog4.xml"/><Relationship Id="rId119" Type="http://schemas.openxmlformats.org/officeDocument/2006/relationships/revisionLog" Target="revisionLog119.xml"/><Relationship Id="rId127" Type="http://schemas.openxmlformats.org/officeDocument/2006/relationships/revisionLog" Target="revisionLog8.xml"/><Relationship Id="rId106" Type="http://schemas.openxmlformats.org/officeDocument/2006/relationships/revisionLog" Target="revisionLog106.xml"/><Relationship Id="rId114" Type="http://schemas.openxmlformats.org/officeDocument/2006/relationships/revisionLog" Target="revisionLog114.xml"/><Relationship Id="rId122" Type="http://schemas.openxmlformats.org/officeDocument/2006/relationships/revisionLog" Target="revisionLog3.xml"/><Relationship Id="rId130" Type="http://schemas.openxmlformats.org/officeDocument/2006/relationships/revisionLog" Target="revisionLog11.xml"/><Relationship Id="rId118" Type="http://schemas.openxmlformats.org/officeDocument/2006/relationships/revisionLog" Target="revisionLog118.xml"/><Relationship Id="rId113" Type="http://schemas.openxmlformats.org/officeDocument/2006/relationships/revisionLog" Target="revisionLog113.xml"/><Relationship Id="rId105" Type="http://schemas.openxmlformats.org/officeDocument/2006/relationships/revisionLog" Target="revisionLog105.xml"/><Relationship Id="rId126" Type="http://schemas.openxmlformats.org/officeDocument/2006/relationships/revisionLog" Target="revisionLog7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8FFF3CEE-5A3B-40C3-85BD-591EE68E3C59}" diskRevisions="1" revisionId="3790" version="2">
  <header guid="{584C5B89-C16C-4F09-8F4B-7ACB7613F86A}" dateTime="2014-03-03T08:19:21" maxSheetId="7" userName="Evan D. Schoenberg, M.D." r:id="rId103">
    <sheetIdMap count="6">
      <sheetId val="1"/>
      <sheetId val="2"/>
      <sheetId val="3"/>
      <sheetId val="4"/>
      <sheetId val="5"/>
      <sheetId val="6"/>
    </sheetIdMap>
  </header>
  <header guid="{00371335-D67B-44E5-BF9B-DEDFCFEC062C}" dateTime="2014-03-04T09:02:11" maxSheetId="7" userName="Evan D. Schoenberg, M.D." r:id="rId104">
    <sheetIdMap count="6">
      <sheetId val="1"/>
      <sheetId val="2"/>
      <sheetId val="3"/>
      <sheetId val="4"/>
      <sheetId val="5"/>
      <sheetId val="6"/>
    </sheetIdMap>
  </header>
  <header guid="{EDDCAD34-7FF1-4151-9165-CB7C57B57DFA}" dateTime="2014-03-04T09:43:17" maxSheetId="7" userName="Evan D. Schoenberg, M.D." r:id="rId105" minRId="3266" maxRId="3329">
    <sheetIdMap count="6">
      <sheetId val="1"/>
      <sheetId val="2"/>
      <sheetId val="3"/>
      <sheetId val="4"/>
      <sheetId val="5"/>
      <sheetId val="6"/>
    </sheetIdMap>
  </header>
  <header guid="{3AFE5453-6378-42C6-AFA1-310C58A94453}" dateTime="2014-03-04T10:00:45" maxSheetId="7" userName="Evan D. Schoenberg, M.D." r:id="rId106" minRId="3331" maxRId="3380">
    <sheetIdMap count="6">
      <sheetId val="1"/>
      <sheetId val="2"/>
      <sheetId val="3"/>
      <sheetId val="4"/>
      <sheetId val="5"/>
      <sheetId val="6"/>
    </sheetIdMap>
  </header>
  <header guid="{2D9974BE-C3D9-4794-B52D-B014B00FDC10}" dateTime="2014-03-04T10:06:02" maxSheetId="7" userName="Evan D. Schoenberg, M.D." r:id="rId107" minRId="3381" maxRId="3393">
    <sheetIdMap count="6">
      <sheetId val="1"/>
      <sheetId val="2"/>
      <sheetId val="3"/>
      <sheetId val="4"/>
      <sheetId val="5"/>
      <sheetId val="6"/>
    </sheetIdMap>
  </header>
  <header guid="{99D68C9F-D2CF-4243-BA1C-8761866315AA}" dateTime="2014-03-04T10:11:09" maxSheetId="7" userName="Evan D. Schoenberg, M.D." r:id="rId108" minRId="3394" maxRId="3401">
    <sheetIdMap count="6">
      <sheetId val="1"/>
      <sheetId val="2"/>
      <sheetId val="3"/>
      <sheetId val="4"/>
      <sheetId val="5"/>
      <sheetId val="6"/>
    </sheetIdMap>
  </header>
  <header guid="{586674CB-B23B-4663-815B-EE2E854391DF}" dateTime="2014-03-04T13:48:05" maxSheetId="7" userName="Jalee Miller" r:id="rId109" minRId="3403" maxRId="3429">
    <sheetIdMap count="6">
      <sheetId val="1"/>
      <sheetId val="2"/>
      <sheetId val="3"/>
      <sheetId val="4"/>
      <sheetId val="5"/>
      <sheetId val="6"/>
    </sheetIdMap>
  </header>
  <header guid="{8533D1ED-3E0D-4A11-A8DA-52EBE0B3062E}" dateTime="2014-03-04T13:50:03" maxSheetId="7" userName="Jalee Miller" r:id="rId110" minRId="3430" maxRId="3437">
    <sheetIdMap count="6">
      <sheetId val="1"/>
      <sheetId val="2"/>
      <sheetId val="3"/>
      <sheetId val="4"/>
      <sheetId val="5"/>
      <sheetId val="6"/>
    </sheetIdMap>
  </header>
  <header guid="{ACEB3D27-FEAE-4764-8635-A372FEA327BE}" dateTime="2014-03-04T14:06:39" maxSheetId="7" userName="Jalee Miller" r:id="rId111" minRId="3438" maxRId="3467">
    <sheetIdMap count="6">
      <sheetId val="1"/>
      <sheetId val="2"/>
      <sheetId val="3"/>
      <sheetId val="4"/>
      <sheetId val="5"/>
      <sheetId val="6"/>
    </sheetIdMap>
  </header>
  <header guid="{796FE6A6-401A-46B2-A0E8-6D5B8B2C3217}" dateTime="2014-03-04T14:32:06" maxSheetId="7" userName="Jalee Miller" r:id="rId112" minRId="3468" maxRId="3473">
    <sheetIdMap count="6">
      <sheetId val="1"/>
      <sheetId val="2"/>
      <sheetId val="3"/>
      <sheetId val="4"/>
      <sheetId val="5"/>
      <sheetId val="6"/>
    </sheetIdMap>
  </header>
  <header guid="{7E4D8C80-46FC-4628-959E-E97AADE78EEF}" dateTime="2014-03-04T14:34:45" maxSheetId="7" userName="Jalee Miller" r:id="rId113" minRId="3474" maxRId="3478">
    <sheetIdMap count="6">
      <sheetId val="1"/>
      <sheetId val="2"/>
      <sheetId val="3"/>
      <sheetId val="4"/>
      <sheetId val="5"/>
      <sheetId val="6"/>
    </sheetIdMap>
  </header>
  <header guid="{134DAD62-4B09-4022-A9D8-AB48C39BA6FA}" dateTime="2014-03-04T14:38:31" maxSheetId="7" userName="Jalee Miller" r:id="rId114" minRId="3479" maxRId="3497">
    <sheetIdMap count="6">
      <sheetId val="1"/>
      <sheetId val="2"/>
      <sheetId val="3"/>
      <sheetId val="4"/>
      <sheetId val="5"/>
      <sheetId val="6"/>
    </sheetIdMap>
  </header>
  <header guid="{66F03FD8-7685-4168-AC4B-BEC2E0A8C2CB}" dateTime="2014-03-04T14:39:51" maxSheetId="7" userName="Jalee Miller" r:id="rId115" minRId="3498" maxRId="3499">
    <sheetIdMap count="6">
      <sheetId val="1"/>
      <sheetId val="2"/>
      <sheetId val="3"/>
      <sheetId val="4"/>
      <sheetId val="5"/>
      <sheetId val="6"/>
    </sheetIdMap>
  </header>
  <header guid="{667FAFB3-F2B6-4653-9736-807B1AE689C3}" dateTime="2014-03-04T17:05:23" maxSheetId="7" userName="Evan D. Schoenberg, M.D." r:id="rId116" minRId="3500" maxRId="3502">
    <sheetIdMap count="6">
      <sheetId val="1"/>
      <sheetId val="2"/>
      <sheetId val="3"/>
      <sheetId val="4"/>
      <sheetId val="5"/>
      <sheetId val="6"/>
    </sheetIdMap>
  </header>
  <header guid="{9D50A695-2133-4D26-812A-8B1C1097DBBC}" dateTime="2014-03-10T18:09:21" maxSheetId="7" userName="Evan D. Schoenberg, M.D." r:id="rId117" minRId="3504">
    <sheetIdMap count="6">
      <sheetId val="1"/>
      <sheetId val="2"/>
      <sheetId val="3"/>
      <sheetId val="4"/>
      <sheetId val="5"/>
      <sheetId val="6"/>
    </sheetIdMap>
  </header>
  <header guid="{899D59CA-C2DC-42B1-9A66-F2B90FBE5C86}" dateTime="2014-03-14T17:17:52" maxSheetId="7" userName="Evan D. Schoenberg, M.D." r:id="rId118">
    <sheetIdMap count="6">
      <sheetId val="1"/>
      <sheetId val="2"/>
      <sheetId val="3"/>
      <sheetId val="4"/>
      <sheetId val="5"/>
      <sheetId val="6"/>
    </sheetIdMap>
  </header>
  <header guid="{DDDC0C2D-FFD2-4941-9DE8-651C9FF3CAD8}" dateTime="2014-03-14T17:34:14" maxSheetId="7" userName="Evan D. Schoenberg, M.D." r:id="rId119" minRId="3506" maxRId="3518">
    <sheetIdMap count="6">
      <sheetId val="1"/>
      <sheetId val="2"/>
      <sheetId val="3"/>
      <sheetId val="4"/>
      <sheetId val="5"/>
      <sheetId val="6"/>
    </sheetIdMap>
  </header>
  <header guid="{686EE490-6FCE-4487-AB26-EE3E0E9B80CB}" dateTime="2014-03-14T17:34:46" maxSheetId="7" userName="Evan D. Schoenberg, M.D." r:id="rId120">
    <sheetIdMap count="6">
      <sheetId val="1"/>
      <sheetId val="2"/>
      <sheetId val="3"/>
      <sheetId val="4"/>
      <sheetId val="5"/>
      <sheetId val="6"/>
    </sheetIdMap>
  </header>
  <header guid="{73138B20-CD33-424E-A443-FDCA01594BFD}" dateTime="2014-03-17T14:27:28" maxSheetId="7" userName="Jalee Miller" r:id="rId121" minRId="3521" maxRId="3734">
    <sheetIdMap count="6">
      <sheetId val="1"/>
      <sheetId val="2"/>
      <sheetId val="3"/>
      <sheetId val="4"/>
      <sheetId val="5"/>
      <sheetId val="6"/>
    </sheetIdMap>
  </header>
  <header guid="{E3A25CF9-4984-4F06-93E3-295FEBE74A08}" dateTime="2014-03-17T14:39:12" maxSheetId="7" userName="Jalee Miller" r:id="rId122" minRId="3735" maxRId="3748">
    <sheetIdMap count="6">
      <sheetId val="1"/>
      <sheetId val="2"/>
      <sheetId val="3"/>
      <sheetId val="4"/>
      <sheetId val="5"/>
      <sheetId val="6"/>
    </sheetIdMap>
  </header>
  <header guid="{6836C108-1F74-4B09-B723-9F97BA206D8A}" dateTime="2014-03-17T14:43:21" maxSheetId="7" userName="Jalee Miller" r:id="rId123" minRId="3749">
    <sheetIdMap count="6">
      <sheetId val="1"/>
      <sheetId val="2"/>
      <sheetId val="3"/>
      <sheetId val="4"/>
      <sheetId val="5"/>
      <sheetId val="6"/>
    </sheetIdMap>
  </header>
  <header guid="{9F08753E-2F47-4CF2-9CDF-D5DE2137C46F}" dateTime="2014-03-17T14:50:21" maxSheetId="7" userName="Jalee Miller" r:id="rId124" minRId="3750" maxRId="3751">
    <sheetIdMap count="6">
      <sheetId val="1"/>
      <sheetId val="2"/>
      <sheetId val="3"/>
      <sheetId val="4"/>
      <sheetId val="5"/>
      <sheetId val="6"/>
    </sheetIdMap>
  </header>
  <header guid="{E35E0A06-2D03-4C0D-BABC-09C3765B8477}" dateTime="2014-03-17T14:54:15" maxSheetId="7" userName="Jalee Miller" r:id="rId125" minRId="3752" maxRId="3768">
    <sheetIdMap count="6">
      <sheetId val="1"/>
      <sheetId val="2"/>
      <sheetId val="3"/>
      <sheetId val="4"/>
      <sheetId val="5"/>
      <sheetId val="6"/>
    </sheetIdMap>
  </header>
  <header guid="{9BCC2566-7FFA-4B67-A30A-1AE1B7D703DB}" dateTime="2014-03-17T14:57:06" maxSheetId="7" userName="Jalee Miller" r:id="rId126" minRId="3769">
    <sheetIdMap count="6">
      <sheetId val="1"/>
      <sheetId val="2"/>
      <sheetId val="3"/>
      <sheetId val="4"/>
      <sheetId val="5"/>
      <sheetId val="6"/>
    </sheetIdMap>
  </header>
  <header guid="{513C6A9E-6C39-4B64-B335-BDF88535E7BA}" dateTime="2014-03-17T14:58:20" maxSheetId="7" userName="Jalee Miller" r:id="rId127" minRId="3770" maxRId="3771">
    <sheetIdMap count="6">
      <sheetId val="1"/>
      <sheetId val="2"/>
      <sheetId val="3"/>
      <sheetId val="4"/>
      <sheetId val="5"/>
      <sheetId val="6"/>
    </sheetIdMap>
  </header>
  <header guid="{535A00C9-BA91-4BDD-A682-E02474FEF0F9}" dateTime="2014-03-17T14:59:24" maxSheetId="7" userName="Jalee Miller" r:id="rId128" minRId="3772">
    <sheetIdMap count="6">
      <sheetId val="1"/>
      <sheetId val="2"/>
      <sheetId val="3"/>
      <sheetId val="4"/>
      <sheetId val="5"/>
      <sheetId val="6"/>
    </sheetIdMap>
  </header>
  <header guid="{4C6BA369-A8BB-4714-8572-214200541DA8}" dateTime="2014-03-17T16:58:48" maxSheetId="7" userName="Jalee Miller" r:id="rId129">
    <sheetIdMap count="6">
      <sheetId val="1"/>
      <sheetId val="2"/>
      <sheetId val="3"/>
      <sheetId val="4"/>
      <sheetId val="5"/>
      <sheetId val="6"/>
    </sheetIdMap>
  </header>
  <header guid="{CF9E00F5-C937-4611-9761-2D539C40C0CB}" dateTime="2014-03-21T08:29:51" maxSheetId="7" userName="Evan D. Schoenberg, M.D." r:id="rId130" minRId="3774" maxRId="3787">
    <sheetIdMap count="6">
      <sheetId val="1"/>
      <sheetId val="2"/>
      <sheetId val="3"/>
      <sheetId val="4"/>
      <sheetId val="5"/>
      <sheetId val="6"/>
    </sheetIdMap>
  </header>
  <header guid="{970612C1-08B9-4C3F-8D8C-5B58D261D8EF}" dateTime="2014-03-31T13:47:59" maxSheetId="7" userName="Evan D. Schoenberg, M.D." r:id="rId131">
    <sheetIdMap count="6">
      <sheetId val="1"/>
      <sheetId val="2"/>
      <sheetId val="3"/>
      <sheetId val="4"/>
      <sheetId val="5"/>
      <sheetId val="6"/>
    </sheetIdMap>
  </header>
  <header guid="{8FFF3CEE-5A3B-40C3-85BD-591EE68E3C59}" dateTime="2014-03-31T13:48:37" maxSheetId="7" userName="Evan D. Schoenberg, M.D." r:id="rId132">
    <sheetIdMap count="6">
      <sheetId val="1"/>
      <sheetId val="2"/>
      <sheetId val="3"/>
      <sheetId val="4"/>
      <sheetId val="5"/>
      <sheetId val="6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21" sId="2" ref="A12:XFD12" action="insertRow"/>
  <rcc rId="3522" sId="2" odxf="1" dxf="1" numFmtId="19">
    <nc r="A12">
      <v>41437</v>
    </nc>
    <odxf>
      <alignment horizontal="center" readingOrder="0"/>
      <border outline="0">
        <left/>
        <right/>
        <top/>
        <bottom/>
      </border>
    </odxf>
    <ndxf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23" sId="2" odxf="1" dxf="1">
    <nc r="B12" t="inlineStr">
      <is>
        <t>Dorothy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24" sId="2" odxf="1" dxf="1">
    <nc r="C12" t="inlineStr">
      <is>
        <t>Krueger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25" sId="2" odxf="1" dxf="1">
    <nc r="D12" t="inlineStr">
      <is>
        <t>OS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26" sId="2" odxf="1" dxf="1">
    <nc r="E12">
      <v>69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27" sId="2" odxf="1" dxf="1" numFmtId="19">
    <nc r="F12">
      <v>16070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28" sId="2" odxf="1" dxf="1">
    <nc r="G12" t="inlineStr">
      <is>
        <t>W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29" sId="2" odxf="1" dxf="1">
    <nc r="H12" t="inlineStr">
      <is>
        <t>F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0" sId="2" odxf="1" dxf="1">
    <nc r="I12">
      <v>1836983</v>
    </nc>
    <odxf>
      <alignment horizontal="center" readingOrder="0"/>
      <border outline="0">
        <left/>
        <right/>
        <top/>
        <bottom/>
      </border>
    </odxf>
    <ndxf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2" sqref="J12" start="0" length="0">
    <dxf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12" start="0" length="0">
    <dxf>
      <font>
        <sz val="10"/>
        <color auto="1"/>
        <name val="Arial"/>
        <scheme val="none"/>
      </font>
      <alignment horizontal="left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12" start="0" length="0">
    <dxf>
      <font>
        <sz val="10"/>
        <color auto="1"/>
        <name val="Arial"/>
        <scheme val="none"/>
      </font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12" start="0" length="0">
    <dxf>
      <font>
        <sz val="10"/>
        <color auto="1"/>
        <name val="Arial"/>
        <scheme val="none"/>
      </font>
      <numFmt numFmtId="0" formatCode="General"/>
      <fill>
        <patternFill patternType="none">
          <bgColor indexed="65"/>
        </patternFill>
      </fill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12" start="0" length="0">
    <dxf>
      <font>
        <sz val="10"/>
        <color auto="1"/>
        <name val="Arial"/>
        <scheme val="none"/>
      </font>
      <numFmt numFmtId="0" formatCode="General"/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12" start="0" length="0">
    <dxf>
      <font>
        <sz val="10"/>
        <color auto="1"/>
        <name val="Arial"/>
        <scheme val="none"/>
      </font>
      <numFmt numFmtId="0" formatCode="General"/>
      <alignment horizontal="left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12" start="0" length="0">
    <dxf>
      <font>
        <sz val="10"/>
        <color auto="1"/>
        <name val="Arial"/>
        <scheme val="none"/>
      </font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12" start="0" length="0">
    <dxf>
      <font>
        <sz val="10"/>
        <color auto="1"/>
        <name val="Arial"/>
        <scheme val="none"/>
      </font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531" sId="2" odxf="1" dxf="1">
    <nc r="R12">
      <v>-0.5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2" sId="2" odxf="1" dxf="1">
    <nc r="S12">
      <v>-0.67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3" sId="2" odxf="1" dxf="1">
    <nc r="T12" t="inlineStr">
      <is>
        <t>SOFTEC HD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4" sId="2" odxf="1" dxf="1" numFmtId="4">
    <nc r="U12">
      <v>15.5</v>
    </nc>
    <odxf>
      <numFmt numFmtId="0" formatCode="General"/>
      <border outline="0">
        <left/>
        <right/>
        <top/>
        <bottom/>
      </border>
    </odxf>
    <ndxf>
      <numFmt numFmtId="166" formatCode="\+#0.00;\-#0.00;0;@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5" sId="2" odxf="1" dxf="1" numFmtId="19">
    <nc r="V12">
      <v>41428</v>
    </nc>
    <odxf>
      <numFmt numFmtId="0" formatCode="General"/>
      <fill>
        <patternFill patternType="none">
          <bgColor indexed="65"/>
        </patternFill>
      </fill>
      <alignment horizontal="center" vertical="top" readingOrder="0"/>
      <border outline="0">
        <left/>
        <right/>
        <top/>
        <bottom/>
      </border>
    </odxf>
    <ndxf>
      <numFmt numFmtId="19" formatCode="mm/dd/yyyy"/>
      <fill>
        <patternFill patternType="solid">
          <bgColor theme="5" tint="0.39994506668294322"/>
        </patternFill>
      </fill>
      <alignment horizontal="general" vertical="bottom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6" sId="2" odxf="1" dxf="1" numFmtId="4">
    <nc r="W12">
      <v>-5</v>
    </nc>
    <odxf>
      <numFmt numFmtId="0" formatCode="General"/>
      <border outline="0">
        <left/>
        <right/>
        <top/>
        <bottom/>
      </border>
    </odxf>
    <ndxf>
      <numFmt numFmtId="166" formatCode="\+#0.00;\-#0.00;0;@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7" sId="2" odxf="1" dxf="1" numFmtId="4">
    <nc r="X12">
      <v>2</v>
    </nc>
    <odxf>
      <numFmt numFmtId="0" formatCode="General"/>
      <border outline="0">
        <left/>
        <right/>
        <top/>
        <bottom/>
      </border>
    </odxf>
    <ndxf>
      <numFmt numFmtId="166" formatCode="\+#0.00;\-#0.00;0;@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8" sId="2" odxf="1" dxf="1">
    <nc r="Y12">
      <v>100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39" sId="2" odxf="1" dxf="1">
    <nc r="Z12">
      <v>40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0" sId="2" odxf="1" dxf="1">
    <nc r="AA12">
      <v>15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1" sId="2" odxf="1" dxf="1">
    <nc r="AB12">
      <v>582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2" sId="2" odxf="1" dxf="1">
    <nc r="AC12">
      <v>25.51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3" sId="2" odxf="1" dxf="1">
    <nc r="AD12">
      <v>11.9</v>
    </nc>
    <odxf>
      <font/>
      <alignment wrapText="1" readingOrder="0"/>
      <border outline="0">
        <left/>
        <right/>
        <top/>
        <bottom/>
      </border>
    </odxf>
    <ndxf>
      <font>
        <sz val="10"/>
        <color auto="1"/>
        <name val="Arial"/>
        <scheme val="none"/>
      </font>
      <alignment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4" sId="2" odxf="1" dxf="1">
    <nc r="AE12">
      <v>4.87</v>
    </nc>
    <odxf>
      <font/>
      <numFmt numFmtId="19" formatCode="mm/dd/yyyy"/>
      <border outline="0">
        <left/>
        <right/>
        <top/>
        <bottom/>
      </border>
    </odxf>
    <ndxf>
      <font>
        <sz val="10"/>
        <color auto="1"/>
        <name val="Arial"/>
        <scheme val="none"/>
      </font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5" sId="2" odxf="1" dxf="1">
    <nc r="AF12">
      <v>3.57</v>
    </nc>
    <odxf>
      <font/>
      <numFmt numFmtId="1" formatCode="0"/>
      <border outline="0">
        <left/>
        <right/>
        <top/>
        <bottom/>
      </border>
    </odxf>
    <ndxf>
      <font>
        <sz val="10"/>
        <color auto="1"/>
        <name val="Arial"/>
        <scheme val="none"/>
      </font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6" sId="2" odxf="1" dxf="1">
    <nc r="AG12">
      <v>42.51</v>
    </nc>
    <odxf>
      <numFmt numFmtId="166" formatCode="\+#0.00;\-#0.00;0;@"/>
      <border outline="0">
        <left/>
        <right/>
        <top/>
        <bottom/>
      </border>
    </odxf>
    <n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7" sId="2" odxf="1" dxf="1">
    <nc r="AH12">
      <v>178</v>
    </nc>
    <odxf>
      <numFmt numFmtId="166" formatCode="\+#0.00;\-#0.00;0;@"/>
      <border outline="0">
        <left/>
        <right/>
        <top/>
        <bottom/>
      </border>
    </odxf>
    <n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8" sId="2" odxf="1" dxf="1">
    <nc r="AI12">
      <v>44.53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9" sId="2" odxf="1" dxf="1">
    <nc r="AJ12">
      <v>88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0" sId="2" odxf="1" dxf="1">
    <nc r="AK12">
      <v>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1" sId="2" odxf="1" dxf="1">
    <nc r="AL12">
      <f>IF(AND(ISNUMBER(SK),SK&gt;0),TRUE,FALSE)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2" sqref="AM12" start="0" length="0">
    <dxf>
      <alignment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552" sId="2" odxf="1" dxf="1" numFmtId="19">
    <nc r="AN12">
      <v>41648</v>
    </nc>
    <odxf>
      <numFmt numFmtId="0" formatCode="General"/>
      <border outline="0">
        <left/>
        <right/>
        <top/>
        <bottom/>
      </border>
    </odxf>
    <ndxf>
      <numFmt numFmtId="19" formatCode="mm/dd/yyyy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3" sId="2" odxf="1" dxf="1" numFmtId="4">
    <nc r="AO12">
      <v>50</v>
    </nc>
    <odxf>
      <numFmt numFmtId="0" formatCode="General"/>
      <border outline="0">
        <left/>
        <right/>
        <top/>
        <bottom/>
      </border>
    </odxf>
    <ndxf>
      <numFmt numFmtId="1" formatCode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4" sId="2" odxf="1" dxf="1" numFmtId="4">
    <nc r="AP12">
      <v>-1.5</v>
    </nc>
    <odxf>
      <numFmt numFmtId="0" formatCode="General"/>
      <border outline="0">
        <left/>
        <right/>
        <top/>
        <bottom/>
      </border>
    </odxf>
    <ndxf>
      <numFmt numFmtId="166" formatCode="\+#0.00;\-#0.00;0;@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5" sId="2" odxf="1" dxf="1" numFmtId="4">
    <nc r="AQ12">
      <v>1.25</v>
    </nc>
    <odxf>
      <numFmt numFmtId="0" formatCode="General"/>
      <border outline="0">
        <left/>
        <right/>
        <top/>
        <bottom/>
      </border>
    </odxf>
    <ndxf>
      <numFmt numFmtId="166" formatCode="\+#0.00;\-#0.00;0;@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6" sId="2" odxf="1" dxf="1">
    <nc r="AR12">
      <v>75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7" sId="2" odxf="1" dxf="1">
    <nc r="AS12">
      <v>20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8" sId="2" odxf="1" dxf="1">
    <nc r="AT12">
      <v>11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59" sId="2" odxf="1" dxf="1">
    <nc r="AU12">
      <v>564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2" sqref="AV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W12" start="0" length="0">
    <dxf>
      <font>
        <sz val="10"/>
        <color auto="1"/>
        <name val="Arial"/>
        <scheme val="none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X12" start="0" length="0">
    <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Y12" start="0" length="0">
    <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Z12" start="0" length="0">
    <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A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B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560" sId="2" odxf="1" dxf="1">
    <nc r="BC12">
      <f>IF(ISNUMBER(AP12),AP12+0.5*AQ12,"")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1" sId="2" odxf="1" dxf="1">
    <nc r="BD12">
      <f>IF(ISNUMBER(BC12),IF(ISNUMBER(S12),BC12-S12,"MISSING"),"")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2" sId="2" odxf="1" dxf="1">
    <nc r="BE12">
      <f>IF(AND(ISNUMBER(AU12),ISNUMBER(AB12)),AU12-AB12,IF(ISNUMBER(AU12),"MISSING",""))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3" sId="2" odxf="1" dxf="1" numFmtId="19">
    <nc r="BF12">
      <v>41709</v>
    </nc>
    <odxf>
      <font>
        <sz val="10"/>
        <color auto="1"/>
        <name val="Arial"/>
        <scheme val="none"/>
      </font>
      <numFmt numFmtId="0" formatCode="General"/>
      <border outline="0">
        <left/>
        <right/>
        <top/>
        <bottom/>
      </border>
    </odxf>
    <ndxf>
      <font>
        <sz val="10"/>
        <color rgb="FF7030A0"/>
        <name val="Arial"/>
        <scheme val="none"/>
      </font>
      <numFmt numFmtId="19" formatCode="mm/dd/yyyy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2" sqref="BG12" start="0" length="0">
    <dxf>
      <numFmt numFmtId="1" formatCode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H12" start="0" length="0">
    <dxf>
      <numFmt numFmtId="166" formatCode="\+#0.00;\-#0.00;0;@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I12" start="0" length="0">
    <dxf>
      <numFmt numFmtId="166" formatCode="\+#0.00;\-#0.00;0;@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J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K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L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M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N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O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P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Q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R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S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T12" start="0" length="0">
    <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U12" start="0" length="0">
    <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564" sId="2" odxf="1" dxf="1">
    <nc r="BV12">
      <f>IF(ISNUMBER(BU12),IF(ISNUMBER($S12),BU12-$S12,"MISSING"),"")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5" sId="2" odxf="1" dxf="1">
    <nc r="BW12">
      <f>IF(AND(ISNUMBER(BM12),ISNUMBER($AB12)),BM12-$AB12,IF(ISNUMBER(BM12),"MISSING",""))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6" sId="2" odxf="1" dxf="1">
    <nc r="BX12">
      <f>IF(AND(ISBLANK(SPH_6),ISBLANK(SPH_12)),0,1)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7" sId="2" odxf="1" dxf="1">
    <nc r="BY12">
      <f>IF(AND(ISNUMBER($AP12),ISNUMBER($BH12)),1,0)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8" sId="2" odxf="1" dxf="1">
    <nc r="BZ12">
      <f>IF(BY12,SE_PREOP,"")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69" sId="2" odxf="1" dxf="1">
    <nc r="CA12">
      <f>IF(FU_6_AND_12,SE_6,"")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0" sId="2" odxf="1" dxf="1">
    <nc r="CB12">
      <f>IF(FU_6_AND_12,SE_12,"")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1" sId="2" odxf="1" dxf="1">
    <nc r="CC12">
      <f>IF(AND(ISNUMBER(BF12),ISNUMBER(BH12)),BF12-A12,IF(ISNUMBER(AN12),AN12-A12,0))</f>
    </nc>
    <odxf>
      <numFmt numFmtId="0" formatCode="General"/>
      <border outline="0">
        <left/>
        <right/>
        <top/>
        <bottom/>
      </border>
    </odxf>
    <ndxf>
      <numFmt numFmtId="2" formatCode="0.0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2" sId="2" odxf="1" dxf="1">
    <nc r="CD12">
      <f>IF(CC12&gt;0,CC12/30,"")</f>
    </nc>
    <odxf>
      <numFmt numFmtId="0" formatCode="General"/>
      <border outline="0">
        <left/>
        <right/>
        <top/>
        <bottom/>
      </border>
    </odxf>
    <ndxf>
      <numFmt numFmtId="165" formatCode="0.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3" sId="2" odxf="1" dxf="1">
    <nc r="CE12">
      <f>IF(AND(ISNUMBER(BC12),ISNUMBER(BU12)),(BU12-BC12),"")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4" sId="2" odxf="1" dxf="1">
    <nc r="CF12">
      <f>IF(AND(ISNUMBER(BA12), ISNUMBER(AG12)), AVERAGE(BA12,AY12)-AVERAGE(AG12,AI12),"")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5" sId="2" odxf="1" dxf="1">
    <nc r="CG12">
      <f>IF(AND(ISNUMBER(BQ12), ISNUMBER(AG12)), AVERAGE(BQ12,BS12)-AVERAGE(AG12,AI12),"")</f>
    </nc>
    <odxf>
      <numFmt numFmtId="166" formatCode="\+#0.00;\-#0.00;0;@"/>
      <border outline="0">
        <left/>
        <right/>
        <top/>
        <bottom/>
      </border>
    </odxf>
    <n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6" sId="2" odxf="1" dxf="1">
    <nc r="CH12">
      <f>IF(ISNUMBER(CG12),CG12,IF(ISNUMBER(CF12),CF12,""))</f>
    </nc>
    <odxf>
      <numFmt numFmtId="166" formatCode="\+#0.00;\-#0.00;0;@"/>
      <border outline="0">
        <left/>
        <right/>
        <top/>
        <bottom/>
      </border>
    </odxf>
    <n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7" sId="2" odxf="1" dxf="1">
    <nc r="CI12">
      <f>IF(AND(ISNUMBER(SPH_PREOP),ISNUMBER(SE_LAST_)),SPH_PREOP+CYL_PREOP/2,"")</f>
    </nc>
    <odxf>
      <numFmt numFmtId="1" formatCode="0"/>
      <border outline="0">
        <left/>
        <right/>
        <top/>
        <bottom/>
      </border>
    </odxf>
    <n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8" sId="2" odxf="1" dxf="1">
    <nc r="CJ12">
      <f>IF(ISNUMBER(SE_12),SE_12,IF(ISNUMBER(SE_6),SE_6,""))</f>
    </nc>
    <odxf>
      <numFmt numFmtId="1" formatCode="0"/>
      <border outline="0">
        <left/>
        <right/>
        <top/>
        <bottom/>
      </border>
    </odxf>
    <ndxf>
      <numFmt numFmtId="0" formatCode="General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79" sId="2" odxf="1" dxf="1">
    <nc r="CK12">
      <f>IF(AND(ISNUMBER(SE_LAST_),ISNUMBER(REF_TARGET)),SE_LAST_-REF_TARGET,"")</f>
    </nc>
    <odxf>
      <font/>
      <numFmt numFmtId="1" formatCode="0"/>
      <border outline="0">
        <left/>
        <right/>
        <top/>
        <bottom/>
      </border>
    </odxf>
    <ndxf>
      <font>
        <sz val="10"/>
        <color auto="1"/>
        <name val="Arial"/>
        <scheme val="none"/>
      </font>
      <numFmt numFmtId="0" formatCode="General"/>
      <border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ndxf>
  </rcc>
  <rcc rId="3580" sId="2" odxf="1" dxf="1">
    <nc r="CL12">
      <f>IF(ISNUMBER(AB12),IF(ISNUMBER(BM12),BM12-AB12,IF(ISNUMBER(AU12),AU12-AB12,"")),"")</f>
    </nc>
    <odxf>
      <border outline="0">
        <right/>
        <top/>
        <bottom/>
      </border>
    </odxf>
    <n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81" sId="2" odxf="1" dxf="1">
    <nc r="CM12">
      <f>IF(ISNUMBER(AC12),IF(ISNUMBER(AW12),AW12-AC12,IF(ISNUMBER(BO12),BO12-AC12,"")),"")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82" sId="2">
    <nc r="CN12">
      <f>IF(ISNUMBER(LAST_SE_ERROR),REF_TARGET,"")</f>
    </nc>
  </rcc>
  <rcc rId="3583" sId="2" odxf="1" dxf="1">
    <nc r="CO12">
      <f>IF(AND(OR(ISNUMBER(BK12),ISNUMBER(AS12)),ISNUMBER(Z12)),-LOG(20/Z12)--LOG(20/IF(ISNUMBER(BK12),BK12,AS12)),"")</f>
    </nc>
    <odxf>
      <alignment horizontal="general" vertical="bottom" readingOrder="0"/>
    </odxf>
    <ndxf>
      <alignment horizontal="center" vertical="top" readingOrder="0"/>
    </ndxf>
  </rcc>
  <rcc rId="3584" sId="2" odxf="1" dxf="1">
    <nc r="CP12">
      <f>IF(ISNUMBER(BI12),BI12,IF(ISNUMBER(AQ12),AQ12,""))</f>
    </nc>
    <odxf>
      <numFmt numFmtId="0" formatCode="General"/>
    </odxf>
    <ndxf>
      <numFmt numFmtId="166" formatCode="\+#0.00;\-#0.00;0;@"/>
    </ndxf>
  </rcc>
  <rcc rId="3585" sId="2" odxf="1" dxf="1">
    <nc r="CQ12">
      <f>IF(AND(ISNUMBER(CP12),ISNUMBER(X12)),CP12-X12,"")</f>
    </nc>
    <odxf>
      <numFmt numFmtId="0" formatCode="General"/>
    </odxf>
    <ndxf>
      <numFmt numFmtId="166" formatCode="\+#0.00;\-#0.00;0;@"/>
    </ndxf>
  </rcc>
  <rcc rId="3586" sId="2" odxf="1" dxf="1">
    <nc r="CR12">
      <f>IF(ISNUMBER(BCVA_12),BCVA_12,IF(ISNUMBER(BCVA_6),BCVA_6,""))</f>
    </nc>
    <odxf>
      <numFmt numFmtId="0" formatCode="General"/>
    </odxf>
    <ndxf>
      <numFmt numFmtId="1" formatCode="0"/>
    </ndxf>
  </rcc>
  <rcc rId="3587" sId="2" odxf="1" dxf="1">
    <nc r="CS12">
      <f>IF(ISNUMBER(CR12),PREOP_BCVA,"")</f>
    </nc>
    <odxf>
      <numFmt numFmtId="0" formatCode="General"/>
    </odxf>
    <ndxf>
      <numFmt numFmtId="1" formatCode="0"/>
    </ndxf>
  </rcc>
  <rcc rId="3588" sId="2" odxf="1" dxf="1">
    <nc r="CT12">
      <f>IF(AND(REF_TARGET&lt;=0,REF_TARGET&gt;-1),IF(ISNUMBER(UDVA_12),UDVA_12,IF(ISNUMBER(UDVA_6),UDVA_6,"")),"")</f>
    </nc>
    <odxf>
      <font>
        <sz val="10"/>
        <color auto="1"/>
        <name val="Arial"/>
        <scheme val="none"/>
      </font>
      <numFmt numFmtId="0" formatCode="General"/>
    </odxf>
    <ndxf>
      <font>
        <sz val="10"/>
        <color auto="1"/>
        <name val="Arial"/>
        <scheme val="none"/>
      </font>
      <numFmt numFmtId="1" formatCode="0"/>
    </ndxf>
  </rcc>
  <rcc rId="3589" sId="2" odxf="1" dxf="1">
    <nc r="CU12">
      <f>IF(ISNUMBER(PREOP_PENTACAM_RV),IF(ISNUMBER(SPH_6),IF(ISNUMBER($ET12),0,1),""),"")</f>
    </nc>
    <odxf>
      <border outline="0">
        <left/>
      </border>
    </odxf>
    <ndxf>
      <border outline="0">
        <left style="double">
          <color auto="1"/>
        </left>
      </border>
    </ndxf>
  </rcc>
  <rcc rId="3590" sId="2">
    <nc r="CV12">
      <f>IF(ISNUMBER(PREOP_PENTACAM_RV),IF(ISNUMBER(SPH_12),IF(ISNUMBER($GP12),0,1),""),"")</f>
    </nc>
  </rcc>
  <rcc rId="3591" sId="2" odxf="1" dxf="1">
    <nc r="CW12">
      <f>IF(OR(ISNUMBER(MISSING_PENT_6),ISNUMBER(MISSING_PENT_12)),IF(AND(ISNUMBER(MISSING_PENT_6),ISNUMBER(MISSING_PENT_12)),AND(MISSING_PENT_6,MISSING_PENT_12),IF(ISNUMBER(MISSING_PENT_6),INT(MISSING_PENT_6)&gt;0,INT(MISSING_PENT_12)&gt;0)),"")</f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3592" sId="2" odxf="1" dxf="1">
    <nc r="CX12">
      <v>8</v>
    </nc>
    <odxf>
      <alignment horizontal="center" vertical="top" readingOrder="0"/>
    </odxf>
    <ndxf>
      <alignment horizontal="general" vertical="bottom" readingOrder="0"/>
    </ndxf>
  </rcc>
  <rcc rId="3593" sId="2" odxf="1" dxf="1">
    <nc r="CY12">
      <v>7.62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94" sId="2" odxf="1" dxf="1">
    <nc r="CZ12">
      <v>5.0999999999999996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95" sId="2" odxf="1" dxf="1">
    <nc r="DA12">
      <v>-2.1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96" sId="2" odxf="1" dxf="1">
    <nc r="DB12">
      <v>0.5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97" sId="2" odxf="1" dxf="1">
    <nc r="DC12">
      <v>0.57999999999999996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98" sId="2" odxf="1" dxf="1">
    <nc r="DD12">
      <v>2.66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99" sId="2" odxf="1" dxf="1">
    <nc r="DE12">
      <v>3.25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0" sId="2" odxf="1" dxf="1">
    <nc r="DF12">
      <v>588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1" sId="2" odxf="1" dxf="1">
    <nc r="DG12">
      <v>585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2" sId="2" odxf="1" dxf="1">
    <nc r="DH12">
      <v>667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3" sId="2" odxf="1" dxf="1">
    <nc r="DI12">
      <v>672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4" sId="2" odxf="1" dxf="1">
    <nc r="DJ12">
      <v>648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5" sId="2" odxf="1" dxf="1">
    <nc r="DK12">
      <v>656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6" sId="2" odxf="1" dxf="1">
    <nc r="DL12">
      <v>584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7" sId="2" odxf="1" dxf="1">
    <nc r="DM12">
      <v>0.74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8" sId="2" odxf="1" dxf="1">
    <nc r="DN12">
      <v>-0.14000000000000001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09" sId="2" odxf="1" dxf="1">
    <nc r="DO12">
      <v>7.81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0" sId="2" odxf="1" dxf="1">
    <nc r="DP12">
      <v>7.77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1" sId="2" odxf="1" dxf="1">
    <nc r="DQ12">
      <v>7.79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2" sId="2" odxf="1" dxf="1">
    <nc r="DR12">
      <v>7.98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3" sId="2" odxf="1" dxf="1">
    <nc r="DS12">
      <v>8.19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4" sId="2" odxf="1" dxf="1">
    <nc r="DT12">
      <v>8.41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5" sId="2" odxf="1" dxf="1">
    <nc r="DU12">
      <v>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6" sId="2" odxf="1" dxf="1">
    <nc r="DV12">
      <v>1.4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7" sId="2" odxf="1" dxf="1">
    <nc r="DW12">
      <v>6.39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8" sId="2" odxf="1" dxf="1">
    <nc r="DX12">
      <v>6.42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19" sId="2" odxf="1" dxf="1">
    <nc r="DY12">
      <v>6.52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0" sId="2" odxf="1" dxf="1">
    <nc r="DZ12">
      <v>6.54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1" sId="2" odxf="1" dxf="1">
    <nc r="EA12">
      <v>6.69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2" sId="2" odxf="1" dxf="1">
    <nc r="EB12">
      <v>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3" sId="2" odxf="1" dxf="1">
    <nc r="EC12">
      <v>0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4" sId="2" odxf="1" dxf="1">
    <nc r="ED12">
      <v>1.4</v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mediumDashDot">
          <color indexed="64"/>
        </right>
        <top style="thin">
          <color indexed="64"/>
        </top>
        <bottom style="thin">
          <color indexed="64"/>
        </bottom>
      </border>
    </ndxf>
  </rcc>
  <rfmt sheetId="2" sqref="EE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F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G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H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I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J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K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L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M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N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O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P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Q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R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ES12" start="0" length="0">
    <dxf>
      <border outline="0">
        <right style="dashed">
          <color auto="1"/>
        </right>
        <top style="thin">
          <color indexed="64"/>
        </top>
        <bottom style="thin">
          <color indexed="64"/>
        </bottom>
      </border>
    </dxf>
  </rfmt>
  <rfmt sheetId="2" sqref="ET12" start="0" length="0"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U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V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W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X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Y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Z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A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B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C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D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E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F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G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H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I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J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K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L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M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N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O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P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Q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R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S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T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U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V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W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X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Y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Z12" start="0" length="0">
    <dxf>
      <border outline="0">
        <left style="thin">
          <color indexed="64"/>
        </left>
        <right style="mediumDashed">
          <color indexed="64"/>
        </right>
        <top style="thin">
          <color indexed="64"/>
        </top>
        <bottom style="thin">
          <color indexed="64"/>
        </bottom>
      </border>
    </dxf>
  </rfmt>
  <rfmt sheetId="2" sqref="GA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B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C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D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E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F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G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H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I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J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K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L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M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N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GO12" start="0" length="0">
    <dxf>
      <border outline="0">
        <right style="medium">
          <color auto="1"/>
        </right>
        <top style="thin">
          <color indexed="64"/>
        </top>
        <bottom style="thin">
          <color indexed="64"/>
        </bottom>
      </border>
    </dxf>
  </rfmt>
  <rfmt sheetId="2" sqref="GP12" start="0" length="0"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Q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R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S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T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U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V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W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X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Y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Z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A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B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C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D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E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F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G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H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I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J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K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L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M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N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O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P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Q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R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S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T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U1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V12" start="0" length="0">
    <dxf>
      <border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HW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HX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HY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HZ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A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B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C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D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E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F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G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H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I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J12" start="0" length="0">
    <dxf>
      <border outline="0">
        <top style="thin">
          <color indexed="64"/>
        </top>
        <bottom style="thin">
          <color indexed="64"/>
        </bottom>
      </border>
    </dxf>
  </rfmt>
  <rfmt sheetId="2" sqref="IK12" start="0" length="0">
    <dxf>
      <border outline="0">
        <right style="mediumDashed">
          <color auto="1"/>
        </right>
        <top style="thin">
          <color indexed="64"/>
        </top>
        <bottom style="thin">
          <color indexed="64"/>
        </bottom>
      </border>
    </dxf>
  </rfmt>
  <rcc rId="3625" sId="2" odxf="1" dxf="1">
    <nc r="IL12">
      <f>IF(ISNUMBER(GP12),GP12,IF(ISNUMBER(ET12),ET12,""))</f>
    </nc>
    <odxf>
      <border outline="0">
        <right/>
        <top/>
        <bottom/>
      </border>
    </odxf>
    <n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6" sId="2" odxf="1" dxf="1">
    <nc r="IM12">
      <f>IF(ISNUMBER(GQ12),GQ12,IF(ISNUMBER(EU12),EU12,""))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7" sId="2" odxf="1" dxf="1">
    <nc r="IN12">
      <f>IF(ISNUMBER(GR12),GR12,IF(ISNUMBER(EV12),EV12,""))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8" sId="2" odxf="1" dxf="1">
    <nc r="IO12">
      <f>IF(ISNUMBER(GS12),GS12,IF(ISNUMBER(EW12),EW12,""))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29" sId="2" odxf="1" dxf="1">
    <nc r="IP12">
      <f>IF(ISNUMBER(GT12),GT12,IF(ISNUMBER(EX12),EX12,""))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0" sId="2" odxf="1" dxf="1">
    <nc r="IQ12">
      <f>IF(ISNUMBER(GU12),GU12,IF(ISNUMBER(EY12),EY12,""))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1" sId="2" odxf="1" dxf="1">
    <nc r="IR12">
      <f>IF(ISNUMBER(GV12),GV12,IF(ISNUMBER(EZ12),EZ12,""))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2" sId="2" odxf="1" dxf="1">
    <nc r="IS12">
      <f>IF(ISNUMBER(GW12),GW12,IF(ISNUMBER(FA12),FA12,""))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3" sId="2" odxf="1" dxf="1">
    <nc r="IT12">
      <f>IF(ISNUMBER(GX12),GX12,IF(ISNUMBER(FB12),FB12,""))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4" sId="2" odxf="1" dxf="1">
    <nc r="IU12">
      <f>IF(ISNUMBER(GY12),GY12,IF(ISNUMBER(FC12),FC12,""))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5" sId="2" odxf="1" dxf="1">
    <nc r="IV12">
      <f>IF(ISNUMBER(GZ12),GZ12,IF(ISNUMBER(FD12),FD12,""))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6" sId="2" odxf="1" dxf="1">
    <nc r="IW12">
      <f>IF(ISNUMBER(HA12),HA12,IF(ISNUMBER(FE12),FE12,""))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7" sId="2" odxf="1" dxf="1">
    <nc r="IX12">
      <f>IF(ISNUMBER(HB12),HB12,IF(ISNUMBER(FF12),FF12,""))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8" sId="2" odxf="1" dxf="1">
    <nc r="IY12">
      <f>IF(ISNUMBER(HC12),HC12,IF(ISNUMBER(FG12),FG12,""))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39" sId="2" odxf="1" dxf="1">
    <nc r="IZ12">
      <f>IF(ISNUMBER(HD12),HD12,IF(ISNUMBER(FH12),FH12,""))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0" sId="2" odxf="1" dxf="1">
    <nc r="JA12">
      <f>IF(ISNUMBER(HE12),HE12,IF(ISNUMBER(FI12),FI12,""))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1" sId="2" odxf="1" dxf="1">
    <nc r="JB12">
      <f>IF(ISNUMBER(HF12),HF12,IF(ISNUMBER(FJ12),FJ12,""))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2" sId="2" odxf="1" dxf="1">
    <nc r="JC12">
      <f>IF(ISNUMBER(HG12),HG12,IF(ISNUMBER(FK12),FK12,""))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3" sId="2" odxf="1" dxf="1">
    <nc r="JD12">
      <f>IF(ISNUMBER(HH12),HH12,IF(ISNUMBER(FL12),FL12,""))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4" sId="2" odxf="1" dxf="1">
    <nc r="JE12">
      <f>IF(ISNUMBER(HI12),HI12,IF(ISNUMBER(FM12),FM12,""))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5" sId="2" odxf="1" dxf="1">
    <nc r="JF12">
      <f>IF(ISNUMBER(HJ12),HJ12,IF(ISNUMBER(FN12),FN12,""))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6" sId="2" odxf="1" dxf="1">
    <nc r="JG12">
      <f>IF(ISNUMBER(HK12),HK12,IF(ISNUMBER(FO12),FO12,""))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7" sId="2" odxf="1" dxf="1">
    <nc r="JH12">
      <f>IF(ISNUMBER(HL12),HL12,IF(ISNUMBER(FP12),FP12,""))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8" sId="2" odxf="1" dxf="1">
    <nc r="JI12">
      <f>IF(ISNUMBER(HM12),HM12,IF(ISNUMBER(FQ12),FQ12,""))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9" sId="2" odxf="1" dxf="1">
    <nc r="JJ12">
      <f>IF(ISNUMBER(HN12),HN12,IF(ISNUMBER(FR12),FR12,""))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0" sId="2" odxf="1" dxf="1">
    <nc r="JK12">
      <f>IF(ISNUMBER(HO12),HO12,IF(ISNUMBER(FS12),FS12,""))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1" sId="2" odxf="1" dxf="1">
    <nc r="JL12">
      <f>IF(ISNUMBER(HP12),HP12,IF(ISNUMBER(FT12),FT12,""))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2" sId="2" odxf="1" dxf="1">
    <nc r="JM12">
      <f>IF(ISNUMBER(HQ12),HQ12,IF(ISNUMBER(FU12),FU12,""))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3" sId="2" odxf="1" dxf="1">
    <nc r="JN12">
      <f>IF(ISNUMBER(HR12),HR12,IF(ISNUMBER(FV12),FV12,""))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4" sId="2" odxf="1" dxf="1">
    <nc r="JO12">
      <f>IF(ISNUMBER(HS12),HS12,IF(ISNUMBER(FW12),FW12,""))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5" sId="2" odxf="1" dxf="1">
    <nc r="JP12">
      <f>IF(ISNUMBER(HT12),HT12,IF(ISNUMBER(FX12),FX12,""))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6" sId="2" odxf="1" dxf="1">
    <nc r="JQ12">
      <f>IF(ISNUMBER(HU12),HU12,IF(ISNUMBER(FY12),FY12,""))</f>
    </nc>
    <odxf>
      <border outline="0">
        <left/>
        <top/>
        <bottom/>
      </border>
    </odxf>
    <n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ndxf>
  </rcc>
  <rcc rId="3657" sId="2" odxf="1" dxf="1">
    <nc r="JR12">
      <f>IF(ISNUMBER(HV12),HV12,IF(ISNUMBER(FZ12),FZ12,""))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58" sId="2" odxf="1" dxf="1">
    <nc r="JS12">
      <f>IF(ISNUMBER(HW12),HW12,IF(ISNUMBER(GA12),GA12,""))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59" sId="2" odxf="1" dxf="1">
    <nc r="JT12">
      <f>IF(ISNUMBER(HX12),HX12,IF(ISNUMBER(GB12),GB12,""))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0" sId="2" odxf="1" dxf="1">
    <nc r="JU12">
      <f>IF(ISNUMBER(HY12),HY12,IF(ISNUMBER(GC12),GC12,""))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1" sId="2" odxf="1" dxf="1">
    <nc r="JV12">
      <f>IF(ISNUMBER(HZ12),HZ12,IF(ISNUMBER(GD12),GD12,""))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2" sId="2" odxf="1" dxf="1">
    <nc r="JW12">
      <f>IF(ISNUMBER(IA12),IA12,IF(ISNUMBER(GE12),GE12,""))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3" sId="2" odxf="1" dxf="1">
    <nc r="JX12">
      <f>IF(ISNUMBER(IB12),IB12,IF(ISNUMBER(GF12),GF12,""))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4" sId="2" odxf="1" dxf="1">
    <nc r="JY12">
      <f>IF(ISNUMBER(IC12),IC12,IF(ISNUMBER(GG12),GG12,""))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5" sId="2" odxf="1" dxf="1">
    <nc r="JZ12">
      <f>IF(ISNUMBER(ID12),ID12,IF(ISNUMBER(GH12),GH12,""))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6" sId="2" odxf="1" dxf="1">
    <nc r="KA12">
      <f>IF(ISNUMBER(IE12),IE12,IF(ISNUMBER(GI12),GI12,""))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7" sId="2" odxf="1" dxf="1">
    <nc r="KB12">
      <f>IF(ISNUMBER(IF12),IF12,IF(ISNUMBER(GJ12),GJ12,""))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8" sId="2" odxf="1" dxf="1">
    <nc r="KC12">
      <f>IF(ISNUMBER(IG12),IG12,IF(ISNUMBER(GK12),GK12,""))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69" sId="2" odxf="1" dxf="1">
    <nc r="KD12">
      <f>IF(ISNUMBER(IH12),IH12,IF(ISNUMBER(GL12),GL12,""))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70" sId="2" odxf="1" dxf="1">
    <nc r="KE12">
      <f>IF(ISNUMBER(II12),II12,IF(ISNUMBER(GM12),GM12,""))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71" sId="2" odxf="1" dxf="1">
    <nc r="KF12">
      <f>IF(ISNUMBER(IJ12),IJ12,IF(ISNUMBER(GN12),GN12,""))</f>
    </nc>
    <odxf>
      <border outline="0">
        <top/>
        <bottom/>
      </border>
    </odxf>
    <ndxf>
      <border outline="0">
        <top style="thin">
          <color indexed="64"/>
        </top>
        <bottom style="thin">
          <color indexed="64"/>
        </bottom>
      </border>
    </ndxf>
  </rcc>
  <rcc rId="3672" sId="2" odxf="1" dxf="1">
    <nc r="KG12">
      <f>IF(ISNUMBER(IK12),IK12,IF(ISNUMBER(GO12),GO12,""))</f>
    </nc>
    <odxf>
      <border outline="0">
        <right/>
        <top/>
        <bottom/>
      </border>
    </odxf>
    <ndxf>
      <border outline="0">
        <right style="mediumDashed">
          <color auto="1"/>
        </right>
        <top style="thin">
          <color indexed="64"/>
        </top>
        <bottom style="thin">
          <color indexed="64"/>
        </bottom>
      </border>
    </ndxf>
  </rcc>
  <rcc rId="3673" sId="2" odxf="1" dxf="1">
    <nc r="KH12">
      <f>IF(AND(ISNUMBER(IL12),ISNUMBER(CX12)),IL12-CX12,"")</f>
    </nc>
    <odxf>
      <border outline="0">
        <right/>
        <top/>
        <bottom/>
      </border>
    </odxf>
    <n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74" sId="2" odxf="1" dxf="1">
    <nc r="KI12">
      <f>IF(AND(ISNUMBER(IM12),ISNUMBER(CY12)),IM12-CY12,"")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75" sId="2" odxf="1" dxf="1">
    <nc r="KJ12">
      <f>IF(AND(ISNUMBER(IN12),ISNUMBER(CZ12)),IN12-CZ12,"")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76" sId="2" odxf="1" dxf="1">
    <nc r="KK12">
      <f>IF(AND(ISNUMBER(IO12),ISNUMBER(DA12)),IO12-DA12,"")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77" sId="2" odxf="1" dxf="1">
    <nc r="KL12">
      <f>IF(AND(ISNUMBER(IP12),ISNUMBER(DB12)),IP12-DB12,"")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78" sId="2" odxf="1" dxf="1">
    <nc r="KM12">
      <f>IF(AND(ISNUMBER(IQ12),ISNUMBER(DC12)),IQ12-DC12,"")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79" sId="2" odxf="1" dxf="1">
    <nc r="KN12">
      <f>IF(AND(ISNUMBER(IR12),ISNUMBER(DD12)),IR12-DD12,"")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0" sId="2" odxf="1" dxf="1">
    <nc r="KO12">
      <f>IF(AND(ISNUMBER(IS12),ISNUMBER(DE12)),IS12-DE12,"")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1" sId="2" odxf="1" dxf="1">
    <nc r="KP12">
      <f>IF(AND(ISNUMBER(IT12),ISNUMBER(DF12)),IT12-DF12,"")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2" sId="2" odxf="1" dxf="1">
    <nc r="KQ12">
      <f>IF(AND(ISNUMBER(IU12),ISNUMBER(DG12)),IU12-DG12,"")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3" sId="2" odxf="1" dxf="1">
    <nc r="KR12">
      <f>IF(AND(ISNUMBER(IV12),ISNUMBER(DH12)),IV12-DH12,"")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4" sId="2" odxf="1" dxf="1">
    <nc r="KS12">
      <f>IF(AND(ISNUMBER(IW12),ISNUMBER(DI12)),IW12-DI12,"")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5" sId="2" odxf="1" dxf="1">
    <nc r="KT12">
      <f>IF(AND(ISNUMBER(IX12),ISNUMBER(DJ12)),IX12-DJ12,"")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6" sId="2" odxf="1" dxf="1">
    <nc r="KU12">
      <f>IF(AND(ISNUMBER(IY12),ISNUMBER(DK12)),IY12-DK12,"")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7" sId="2" odxf="1" dxf="1">
    <nc r="KV12">
      <f>IF(AND(ISNUMBER(IZ12),ISNUMBER(DL12)),IZ12-DL12,"")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8" sId="2" odxf="1" dxf="1">
    <nc r="KW12">
      <f>IF(AND(ISNUMBER(JA12),ISNUMBER(DM12)),JA12-DM12,"")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9" sId="2" odxf="1" dxf="1">
    <nc r="KX12">
      <f>IF(AND(ISNUMBER(JB12),ISNUMBER(DN12)),JB12-DN12,"")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0" sId="2" odxf="1" dxf="1">
    <nc r="KY12">
      <f>IF(AND(ISNUMBER(JC12),ISNUMBER(DO12)),JC12-DO12,"")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1" sId="2" odxf="1" dxf="1">
    <nc r="KZ12">
      <f>IF(AND(ISNUMBER(JD12),ISNUMBER(DP12)),JD12-DP12,"")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2" sId="2" odxf="1" dxf="1">
    <nc r="LA12">
      <f>IF(AND(ISNUMBER(JE12),ISNUMBER(DQ12)),JE12-DQ12,"")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3" sId="2" odxf="1" dxf="1">
    <nc r="LB12">
      <f>IF(AND(ISNUMBER(JF12),ISNUMBER(DR12)),JF12-DR12,"")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4" sId="2" odxf="1" dxf="1">
    <nc r="LC12">
      <f>IF(AND(ISNUMBER(JG12),ISNUMBER(DS12)),JG12-DS12,"")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5" sId="2" odxf="1" dxf="1">
    <nc r="LD12">
      <f>IF(AND(ISNUMBER(JH12),ISNUMBER(DT12)),JH12-DT12,"")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6" sId="2" odxf="1" dxf="1">
    <nc r="LE12">
      <f>IF(AND(ISNUMBER(JI12),ISNUMBER(DU12)),JI12-DU12,"")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7" sId="2" odxf="1" dxf="1">
    <nc r="LF12">
      <f>IF(AND(ISNUMBER(JJ12),ISNUMBER(DV12)),JJ12-DV12,"")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8" sId="2" odxf="1" dxf="1">
    <nc r="LG12">
      <f>IF(AND(ISNUMBER(JK12),ISNUMBER(DW12)),JK12-DW12,"")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9" sId="2" odxf="1" dxf="1">
    <nc r="LH12">
      <f>IF(AND(ISNUMBER(JL12),ISNUMBER(DX12)),JL12-DX12,"")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0" sId="2" odxf="1" dxf="1">
    <nc r="LI12">
      <f>IF(AND(ISNUMBER(JM12),ISNUMBER(DY12)),JM12-DY12,"")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1" sId="2" odxf="1" dxf="1">
    <nc r="LJ12">
      <f>IF(AND(ISNUMBER(JN12),ISNUMBER(DZ12)),JN12-DZ12,"")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2" sId="2" odxf="1" dxf="1">
    <nc r="LK12">
      <f>IF(AND(ISNUMBER(JO12),ISNUMBER(EA12)),JO12-EA12,"")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3" sId="2" odxf="1" dxf="1">
    <nc r="LL12">
      <f>IF(AND(ISNUMBER(JP12),ISNUMBER(EB12)),JP12-EB12,"")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4" sId="2" odxf="1" dxf="1">
    <nc r="LM12">
      <f>IF(AND(ISNUMBER(JQ12),ISNUMBER(EC12)),JQ12-EC12,"")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5" sId="2" odxf="1" dxf="1">
    <nc r="LN12">
      <f>IF(AND(ISNUMBER(JR12),ISNUMBER(ED12)),JR12-ED12,"")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6" sId="2" odxf="1" dxf="1">
    <nc r="LO12">
      <f>IF(AND(ISNUMBER(JS12),ISNUMBER(EE12)),JS12-EE12,"")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7" sId="2" odxf="1" dxf="1">
    <nc r="LP12">
      <f>IF(AND(ISNUMBER(JT12),ISNUMBER(EF12)),JT12-EF12,"")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8" sId="2" odxf="1" dxf="1">
    <nc r="LQ12">
      <f>IF(AND(ISNUMBER(JU12),ISNUMBER(EG12)),JU12-EG12,"")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9" sId="2" odxf="1" dxf="1">
    <nc r="LR12">
      <f>IF(AND(ISNUMBER(JV12),ISNUMBER(EH12)),JV12-EH12,"")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0" sId="2" odxf="1" dxf="1">
    <nc r="LS12">
      <f>IF(AND(ISNUMBER(JW12),ISNUMBER(EI12)),JW12-EI12,"")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1" sId="2" odxf="1" dxf="1">
    <nc r="LT12">
      <f>IF(AND(ISNUMBER(JX12),ISNUMBER(EJ12)),JX12-EJ12,"")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2" sId="2" odxf="1" dxf="1">
    <nc r="LU12">
      <f>IF(AND(ISNUMBER(JY12),ISNUMBER(EK12)),JY12-EK12,"")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3" sId="2" odxf="1" dxf="1">
    <nc r="LV12">
      <f>IF(AND(ISNUMBER(JZ12),ISNUMBER(EL12)),JZ12-EL12,"")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4" sId="2" odxf="1" dxf="1">
    <nc r="LW12">
      <f>IF(AND(ISNUMBER(KA12),ISNUMBER(EM12)),KA12-EM12,"")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5" sId="2" odxf="1" dxf="1">
    <nc r="LX12">
      <f>IF(AND(ISNUMBER(KB12),ISNUMBER(EN12)),KB12-EN12,"")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6" sId="2" odxf="1" dxf="1">
    <nc r="LY12">
      <f>IF(AND(ISNUMBER(KC12),ISNUMBER(EO12)),KC12-EO12,"")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7" sId="2" odxf="1" dxf="1">
    <nc r="LZ12">
      <f>IF(AND(ISNUMBER(KD12),ISNUMBER(EP12)),KD12-EP12,"")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8" sId="2" odxf="1" dxf="1">
    <nc r="MA12">
      <f>IF(AND(ISNUMBER(KE12),ISNUMBER(EQ12)),KE12-EQ12,"")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9" sId="2" odxf="1" dxf="1">
    <nc r="MB12">
      <f>IF(AND(ISNUMBER(KF12),ISNUMBER(ER12)),KF12-ER12,"")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20" sId="2" odxf="1" dxf="1">
    <nc r="MC12">
      <f>IF(AND(ISNUMBER(KG12),ISNUMBER(ES12)),KG12-ES12,"")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21" sId="2" odxf="1" dxf="1">
    <nc r="MD12">
      <f>IF(AND(ISNUMBER(HW12),ISNUMBER(GA12)),HW12-GA12,"")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22" sId="2" odxf="1" dxf="1">
    <nc r="ME12">
      <f>IF(AND(ISNUMBER(HX12),ISNUMBER(GB12)),HX12-GB12,"")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23" sId="2" odxf="1" dxf="1">
    <nc r="MF12">
      <f>IF(AND(ISNUMBER(IB12),ISNUMBER(GF12)),IB12-GF12,"")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24" sId="2" odxf="1" dxf="1">
    <nc r="MG12">
      <f>IC12-GG12</f>
    </nc>
    <odxf>
      <font/>
      <fill>
        <patternFill patternType="solid">
          <bgColor indexed="22"/>
        </patternFill>
      </fill>
      <border outline="0">
        <left/>
        <right/>
        <top/>
        <bottom/>
      </border>
    </odxf>
    <n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2" sqref="A12:XFD12" start="0" length="0">
    <dxf>
      <font>
        <sz val="10"/>
        <color auto="1"/>
        <name val="Arial"/>
        <scheme val="none"/>
      </font>
      <fill>
        <patternFill patternType="none">
          <bgColor indexed="65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rc rId="3725" sId="1" ref="A126:XFD126" action="deleteRow">
    <undo index="0" exp="area" ref3D="1" dr="$BK$1:$BK$1048576" dn="BCVA_12"/>
    <undo index="0" exp="area" ref3D="1" dr="$AS$1:$AS$1048576" dn="BCVA_6"/>
    <undo index="2" exp="area" ref3D="1" dr="$ET$1:$HV$1048576" dn="Z_9D4EC4DC_E305_42C0_86D3_802895C39393_.wvu.Cols" sId="1"/>
    <undo index="1" exp="area" ref3D="1" dr="$CL$1:$CM$1048576" dn="Z_9D4EC4DC_E305_42C0_86D3_802895C39393_.wvu.Cols" sId="1"/>
    <undo index="2" exp="area" ref3D="1" dr="$V$1:$V$1048576" dn="Z_54C114DD_C157_4E30_91DC_9B94C55E8054_.wvu.Cols" sId="1"/>
    <undo index="1" exp="area" ref3D="1" dr="$E$1:$H$1048576" dn="Z_54C114DD_C157_4E30_91DC_9B94C55E8054_.wvu.Cols" sId="1"/>
    <undo index="0" exp="area" ref3D="1" dr="$AO$1:$AO$1048576" dn="UDVA_6"/>
    <undo index="0" exp="area" ref3D="1" dr="$BG$1:$BG$1048576" dn="UDVA_12"/>
    <undo index="0" exp="area" ref3D="1" dr="$W$1:$W$1048576" dn="SPH_PREOP"/>
    <undo index="0" exp="area" ref3D="1" dr="$AP$1:$AP$1048576" dn="SPH_6"/>
    <undo index="0" exp="area" ref3D="1" dr="$BH$1:$BH$1048576" dn="SPH_12"/>
    <undo index="0" exp="area" ref3D="1" dr="$AK$1:$AK$1048576" dn="SK"/>
    <undo index="0" exp="area" ref3D="1" dr="$BZ$1:$BZ$1048576" dn="SE_preop_IF_6_12"/>
    <undo index="0" exp="area" ref3D="1" dr="$CI$1:$CI$1048576" dn="SE_PREOP"/>
    <undo index="0" exp="area" ref3D="1" dr="$CJ$1:$CJ$1048576" dn="SE_LAST_"/>
    <undo index="0" exp="area" ref3D="1" dr="$BV$1:$BV$1048576" dn="SE_ERROR_12"/>
    <undo index="0" exp="area" ref3D="1" dr="$CA$1:$CA$1048576" dn="SE_6_IF_6_12"/>
    <undo index="0" exp="area" ref3D="1" dr="$BC$1:$BC$1048576" dn="SE_6"/>
    <undo index="0" exp="area" ref3D="1" dr="$CB$1:$CB$1048576" dn="SE_12_IF_6_12"/>
    <undo index="0" exp="area" ref3D="1" dr="$BU$1:$BU$1048576" dn="SE_12"/>
    <undo index="0" exp="area" ref3D="1" dr="$CN$1:$CN$1048576" dn="REF_TARGET_IF_SE_KNOWN"/>
    <undo index="0" exp="area" ref3D="1" dr="$S$1:$S$1048576" dn="REF_TARGET"/>
    <undo index="0" exp="area" ref3D="1" dr="$CY$1:$CY$1048576" dn="PREOP_PENTACAM_RV"/>
    <undo index="0" exp="area" ref3D="1" dr="$CS$1:$CS$1048576" dn="PREOP_CDVA_IF_LAST_KNOWN"/>
    <undo index="0" exp="area" ref3D="1" dr="$Z$1:$Z$1048576" dn="PREOP_BCVA"/>
    <undo index="0" exp="area" ref3D="1" dr="$V$1:$V$1048576" dn="PREOP"/>
    <undo index="0" exp="area" ref3D="1" dr="$CU$1:$CU$1048576" dn="MISSING_PENT_6"/>
    <undo index="0" exp="area" ref3D="1" dr="$CV$1:$CV$1048576" dn="MISSING_PENT_12"/>
    <undo index="0" exp="area" ref3D="1" dr="$CT$1:$CT$1048576" dn="LAST_UDVA_DIST"/>
    <undo index="0" exp="area" ref3D="1" dr="$CK$1:$CK$1048576" dn="LAST_SE_ERROR"/>
    <undo index="0" exp="area" ref3D="1" dr="$CO$1:$CO$1048576" dn="LAST_CHANGE_CDVA"/>
    <undo index="0" exp="area" ref3D="1" dr="$CR$1:$CR$1048576" dn="LAST_CDVA"/>
    <undo index="0" exp="area" ref3D="1" dr="$BQ$1:$BQ$1048576" dn="K1_12"/>
    <undo index="0" exp="area" ref3D="1" dr="$BY$1:$BY$1048576" dn="FU_6_AND_12"/>
    <undo index="0" exp="area" ref3D="1" dr="$CD$1:$CD$1048576" dn="FOLLOWUP_MONTHS"/>
    <undo index="0" exp="area" ref3D="1" dr="$X$1:$X$1048576" dn="CYL_PREOP"/>
    <undo index="0" exp="area" ref3D="1" dr="$CP$1:$CP$1048576" dn="CYL_LAST"/>
    <undo index="0" exp="area" ref3D="1" dr="$Z$1:$Z$1048576" dn="BCVA_PREOP"/>
    <rfmt sheetId="1" xfDxf="1" sqref="A126:XFD126" start="0" length="0">
      <dxf>
        <alignment horizont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 numFmtId="19">
      <nc r="A126">
        <v>41437</v>
      </nc>
      <ndxf>
        <numFmt numFmtId="19" formatCode="mm/dd/yyyy"/>
        <alignment horizontal="left" readingOrder="0"/>
      </ndxf>
    </rcc>
    <rcc rId="0" sId="1" dxf="1">
      <nc r="B126" t="inlineStr">
        <is>
          <t>Dorothy</t>
        </is>
      </nc>
      <ndxf/>
    </rcc>
    <rcc rId="0" sId="1" dxf="1">
      <nc r="C126" t="inlineStr">
        <is>
          <t>Krueger</t>
        </is>
      </nc>
      <ndxf/>
    </rcc>
    <rcc rId="0" sId="1" dxf="1">
      <nc r="D126" t="inlineStr">
        <is>
          <t>OS</t>
        </is>
      </nc>
      <ndxf>
        <font>
          <b/>
          <sz val="10"/>
          <color indexed="63"/>
          <name val="Arial"/>
          <scheme val="none"/>
        </font>
        <fill>
          <patternFill patternType="solid">
            <bgColor indexed="9"/>
          </patternFill>
        </fill>
      </ndxf>
    </rcc>
    <rcc rId="0" sId="1">
      <nc r="E126">
        <v>69</v>
      </nc>
    </rcc>
    <rcc rId="0" sId="1" dxf="1" numFmtId="19">
      <nc r="F126">
        <v>16070</v>
      </nc>
      <ndxf>
        <numFmt numFmtId="19" formatCode="mm/dd/yyyy"/>
      </ndxf>
    </rcc>
    <rcc rId="0" sId="1">
      <nc r="G126" t="inlineStr">
        <is>
          <t>W</t>
        </is>
      </nc>
    </rcc>
    <rcc rId="0" sId="1">
      <nc r="H126" t="inlineStr">
        <is>
          <t>F</t>
        </is>
      </nc>
    </rcc>
    <rcc rId="0" sId="1" dxf="1">
      <nc r="I126">
        <v>1836983</v>
      </nc>
      <ndxf>
        <alignment horizontal="left" readingOrder="0"/>
      </ndxf>
    </rcc>
    <rfmt sheetId="1" sqref="J126" start="0" length="0">
      <dxf>
        <alignment horizontal="left" readingOrder="0"/>
      </dxf>
    </rfmt>
    <rfmt sheetId="1" sqref="K126" start="0" length="0">
      <dxf>
        <font>
          <sz val="10"/>
          <color auto="1"/>
          <name val="Arial"/>
          <scheme val="none"/>
        </font>
        <alignment horizontal="left" wrapText="1" readingOrder="0"/>
      </dxf>
    </rfmt>
    <rfmt sheetId="1" sqref="L126" start="0" length="0">
      <dxf>
        <font>
          <sz val="10"/>
          <color auto="1"/>
          <name val="Arial"/>
          <scheme val="none"/>
        </font>
        <alignment horizontal="left" readingOrder="0"/>
      </dxf>
    </rfmt>
    <rfmt sheetId="1" sqref="M126" start="0" length="0">
      <dxf>
        <font>
          <sz val="10"/>
          <color auto="1"/>
          <name val="Arial"/>
          <scheme val="none"/>
        </font>
        <alignment horizontal="left" readingOrder="0"/>
      </dxf>
    </rfmt>
    <rfmt sheetId="1" sqref="N126" start="0" length="0">
      <dxf>
        <font>
          <sz val="10"/>
          <color auto="1"/>
          <name val="Arial"/>
          <scheme val="none"/>
        </font>
        <alignment horizontal="left" readingOrder="0"/>
      </dxf>
    </rfmt>
    <rfmt sheetId="1" sqref="O126" start="0" length="0">
      <dxf>
        <font>
          <sz val="10"/>
          <color auto="1"/>
          <name val="Arial"/>
          <scheme val="none"/>
        </font>
        <alignment horizontal="left" wrapText="1" readingOrder="0"/>
      </dxf>
    </rfmt>
    <rfmt sheetId="1" sqref="P126" start="0" length="0">
      <dxf>
        <font>
          <sz val="10"/>
          <color auto="1"/>
          <name val="Arial"/>
          <scheme val="none"/>
        </font>
        <alignment horizontal="left" readingOrder="0"/>
      </dxf>
    </rfmt>
    <rfmt sheetId="1" sqref="Q126" start="0" length="0">
      <dxf>
        <font>
          <sz val="10"/>
          <color auto="1"/>
          <name val="Arial"/>
          <scheme val="none"/>
        </font>
        <alignment horizontal="left" readingOrder="0"/>
      </dxf>
    </rfmt>
    <rcc rId="0" sId="1" dxf="1">
      <nc r="R126">
        <v>-0.5</v>
      </nc>
      <ndxf/>
    </rcc>
    <rcc rId="0" sId="1" dxf="1">
      <nc r="S126">
        <v>-0.67</v>
      </nc>
      <ndxf/>
    </rcc>
    <rcc rId="0" sId="1">
      <nc r="T126" t="inlineStr">
        <is>
          <t>SOFTEC HD</t>
        </is>
      </nc>
    </rcc>
    <rcc rId="0" sId="1" dxf="1" numFmtId="4">
      <nc r="U126">
        <v>15.5</v>
      </nc>
      <ndxf>
        <numFmt numFmtId="166" formatCode="\+#0.00;\-#0.00;0;@"/>
      </ndxf>
    </rcc>
    <rcc rId="0" sId="1" dxf="1" numFmtId="19">
      <nc r="V126">
        <v>41428</v>
      </nc>
      <ndxf>
        <numFmt numFmtId="19" formatCode="mm/dd/yyyy"/>
        <fill>
          <patternFill patternType="solid">
            <bgColor theme="5" tint="0.39994506668294322"/>
          </patternFill>
        </fill>
        <alignment horizontal="general" vertical="bottom" readingOrder="0"/>
      </ndxf>
    </rcc>
    <rcc rId="0" sId="1" dxf="1" numFmtId="4">
      <nc r="W126">
        <v>-5</v>
      </nc>
      <ndxf>
        <numFmt numFmtId="166" formatCode="\+#0.00;\-#0.00;0;@"/>
      </ndxf>
    </rcc>
    <rcc rId="0" sId="1" dxf="1" numFmtId="4">
      <nc r="X126">
        <v>2</v>
      </nc>
      <ndxf>
        <numFmt numFmtId="166" formatCode="\+#0.00;\-#0.00;0;@"/>
      </ndxf>
    </rcc>
    <rcc rId="0" sId="1">
      <nc r="Y126">
        <v>100</v>
      </nc>
    </rcc>
    <rcc rId="0" sId="1">
      <nc r="Z126">
        <v>40</v>
      </nc>
    </rcc>
    <rcc rId="0" sId="1">
      <nc r="AA126">
        <v>15</v>
      </nc>
    </rcc>
    <rcc rId="0" sId="1">
      <nc r="AB126">
        <v>582</v>
      </nc>
    </rcc>
    <rcc rId="0" sId="1">
      <nc r="AC126">
        <v>25.51</v>
      </nc>
    </rcc>
    <rcc rId="0" sId="1">
      <nc r="AD126">
        <v>11.9</v>
      </nc>
    </rcc>
    <rcc rId="0" sId="1">
      <nc r="AE126">
        <v>4.87</v>
      </nc>
    </rcc>
    <rcc rId="0" sId="1">
      <nc r="AF126">
        <v>3.57</v>
      </nc>
    </rcc>
    <rcc rId="0" sId="1">
      <nc r="AG126">
        <v>42.51</v>
      </nc>
    </rcc>
    <rcc rId="0" sId="1">
      <nc r="AH126">
        <v>178</v>
      </nc>
    </rcc>
    <rcc rId="0" sId="1">
      <nc r="AI126">
        <v>44.53</v>
      </nc>
    </rcc>
    <rcc rId="0" sId="1">
      <nc r="AJ126">
        <v>88</v>
      </nc>
    </rcc>
    <rcc rId="0" sId="1">
      <nc r="AK126">
        <v>0</v>
      </nc>
    </rcc>
    <rcc rId="0" sId="1">
      <nc r="AL126">
        <f>IF(AND(ISNUMBER(SK),SK&gt;0),TRUE,FALSE)</f>
      </nc>
    </rcc>
    <rfmt sheetId="1" sqref="AM126" start="0" length="0">
      <dxf>
        <alignment wrapText="1" readingOrder="0"/>
      </dxf>
    </rfmt>
    <rcc rId="0" sId="1" dxf="1" numFmtId="19">
      <nc r="AN126">
        <v>41648</v>
      </nc>
      <ndxf>
        <numFmt numFmtId="19" formatCode="mm/dd/yyyy"/>
      </ndxf>
    </rcc>
    <rcc rId="0" sId="1" dxf="1" numFmtId="4">
      <nc r="AO126">
        <v>50</v>
      </nc>
      <ndxf>
        <numFmt numFmtId="1" formatCode="0"/>
      </ndxf>
    </rcc>
    <rcc rId="0" sId="1" dxf="1" numFmtId="4">
      <nc r="AP126">
        <v>-1.5</v>
      </nc>
      <ndxf>
        <numFmt numFmtId="166" formatCode="\+#0.00;\-#0.00;0;@"/>
      </ndxf>
    </rcc>
    <rcc rId="0" sId="1" dxf="1" numFmtId="4">
      <nc r="AQ126">
        <v>1.25</v>
      </nc>
      <ndxf>
        <numFmt numFmtId="166" formatCode="\+#0.00;\-#0.00;0;@"/>
      </ndxf>
    </rcc>
    <rcc rId="0" sId="1">
      <nc r="AR126">
        <v>75</v>
      </nc>
    </rcc>
    <rcc rId="0" sId="1">
      <nc r="AS126">
        <v>20</v>
      </nc>
    </rcc>
    <rcc rId="0" sId="1">
      <nc r="AT126">
        <v>11</v>
      </nc>
    </rcc>
    <rcc rId="0" sId="1">
      <nc r="AU126">
        <v>564</v>
      </nc>
    </rcc>
    <rcc rId="0" sId="1">
      <nc r="BC126">
        <f>IF(ISNUMBER(AP126),AP126+0.5*AQ126,"")</f>
      </nc>
    </rcc>
    <rcc rId="0" sId="1">
      <nc r="BD126">
        <f>IF(ISNUMBER(BC126),IF(ISNUMBER(S126),BC126-S126,"MISSING"),"")</f>
      </nc>
    </rcc>
    <rcc rId="0" sId="1">
      <nc r="BE126">
        <f>IF(AND(ISNUMBER(AU126),ISNUMBER(AB126)),AU126-AB126,IF(ISNUMBER(AU126),"MISSING",""))</f>
      </nc>
    </rcc>
    <rcc rId="0" sId="1" dxf="1" numFmtId="19">
      <nc r="BF126">
        <v>41709</v>
      </nc>
      <ndxf>
        <font>
          <sz val="10"/>
          <color rgb="FF7030A0"/>
          <name val="Arial"/>
          <scheme val="none"/>
        </font>
        <numFmt numFmtId="19" formatCode="mm/dd/yyyy"/>
      </ndxf>
    </rcc>
    <rfmt sheetId="1" sqref="BG126" start="0" length="0">
      <dxf>
        <numFmt numFmtId="1" formatCode="0"/>
      </dxf>
    </rfmt>
    <rfmt sheetId="1" sqref="BH126" start="0" length="0">
      <dxf>
        <numFmt numFmtId="166" formatCode="\+#0.00;\-#0.00;0;@"/>
      </dxf>
    </rfmt>
    <rfmt sheetId="1" sqref="BI126" start="0" length="0">
      <dxf>
        <numFmt numFmtId="166" formatCode="\+#0.00;\-#0.00;0;@"/>
      </dxf>
    </rfmt>
    <rcc rId="0" sId="1">
      <nc r="BV126">
        <f>IF(ISNUMBER(BU126),IF(ISNUMBER($S126),BU126-$S126,"MISSING"),"")</f>
      </nc>
    </rcc>
    <rcc rId="0" sId="1">
      <nc r="BW126">
        <f>IF(AND(ISNUMBER(BM126),ISNUMBER($AB126)),BM126-$AB126,IF(ISNUMBER(BM126),"MISSING",""))</f>
      </nc>
    </rcc>
    <rcc rId="0" sId="1">
      <nc r="BX126">
        <f>IF(AND(ISBLANK(SPH_6),ISBLANK(SPH_12)),0,1)</f>
      </nc>
    </rcc>
    <rcc rId="0" sId="1">
      <nc r="BY126">
        <f>IF(AND(ISNUMBER($AP126),ISNUMBER($BH126)),1,0)</f>
      </nc>
    </rcc>
    <rcc rId="0" sId="1">
      <nc r="BZ126">
        <f>IF(BY126,SE_PREOP,"")</f>
      </nc>
    </rcc>
    <rcc rId="0" sId="1">
      <nc r="CA126">
        <f>IF(FU_6_AND_12,SE_6,"")</f>
      </nc>
    </rcc>
    <rcc rId="0" sId="1">
      <nc r="CB126">
        <f>IF(FU_6_AND_12,SE_12,"")</f>
      </nc>
    </rcc>
    <rcc rId="0" sId="1" dxf="1">
      <nc r="CC126">
        <f>IF(AND(ISNUMBER(BF126),ISNUMBER(BH126)),BF126-A126,IF(ISNUMBER(AN126),AN126-A126,0))</f>
      </nc>
      <ndxf>
        <numFmt numFmtId="2" formatCode="0.00"/>
      </ndxf>
    </rcc>
    <rcc rId="0" sId="1" dxf="1">
      <nc r="CD126">
        <f>IF(CC126&gt;0,CC126/30,"")</f>
      </nc>
      <ndxf>
        <numFmt numFmtId="165" formatCode="0.0"/>
      </ndxf>
    </rcc>
    <rcc rId="0" sId="1">
      <nc r="CE126">
        <f>IF(AND(ISNUMBER(BC126),ISNUMBER(BU126)),(BU126-BC126),"")</f>
      </nc>
    </rcc>
    <rcc rId="0" sId="1">
      <nc r="CF126">
        <f>IF(AND(ISNUMBER(BA126), ISNUMBER(AG126)), AVERAGE(BA126,AY126)-AVERAGE(AG126,AI126),"")</f>
      </nc>
    </rcc>
    <rcc rId="0" sId="1">
      <nc r="CG126">
        <f>IF(AND(ISNUMBER(BQ126), ISNUMBER(AG126)), AVERAGE(BQ126,BS126)-AVERAGE(AG126,AI126),"")</f>
      </nc>
    </rcc>
    <rcc rId="0" sId="1">
      <nc r="CH126">
        <f>IF(ISNUMBER(CG126),CG126,IF(ISNUMBER(CF126),CF126,""))</f>
      </nc>
    </rcc>
    <rcc rId="0" sId="1">
      <nc r="CI126">
        <f>IF(AND(ISNUMBER(SPH_PREOP),ISNUMBER(SE_LAST_)),SPH_PREOP+CYL_PREOP/2,"")</f>
      </nc>
    </rcc>
    <rcc rId="0" sId="1">
      <nc r="CJ126">
        <f>IF(ISNUMBER(SE_12),SE_12,IF(ISNUMBER(SE_6),SE_6,""))</f>
      </nc>
    </rcc>
    <rcc rId="0" sId="1" dxf="1">
      <nc r="CK126">
        <f>IF(AND(ISNUMBER(SE_LAST_),ISNUMBER(REF_TARGET)),SE_LAST_-REF_TARGET,"")</f>
      </nc>
      <ndxf>
        <border outline="0">
          <right style="double">
            <color indexed="64"/>
          </right>
        </border>
      </ndxf>
    </rcc>
    <rcc rId="0" sId="1" dxf="1">
      <nc r="CL126">
        <f>IF(ISNUMBER(AB126),IF(ISNUMBER(BM126),BM126-AB126,IF(ISNUMBER(AU126),AU126-AB126,"")),"")</f>
      </nc>
      <ndxf>
        <border outline="0">
          <left/>
        </border>
      </ndxf>
    </rcc>
    <rcc rId="0" sId="1">
      <nc r="CM126">
        <f>IF(ISNUMBER(AC126),IF(ISNUMBER(AW126),AW126-AC126,IF(ISNUMBER(BO126),BO126-AC126,"")),"")</f>
      </nc>
    </rcc>
    <rcc rId="0" sId="1" dxf="1">
      <nc r="CN126">
        <f>IF(ISNUMBER(LAST_SE_ERROR),REF_TARGET,"")</f>
      </nc>
      <ndxf>
        <border outline="0">
          <left/>
          <right/>
          <top/>
          <bottom/>
        </border>
      </ndxf>
    </rcc>
    <rcc rId="0" sId="1" dxf="1">
      <nc r="CO126">
        <f>IF(AND(OR(ISNUMBER(BK126),ISNUMBER(AS126)),ISNUMBER(Z126)),-LOG(20/Z126)--LOG(20/IF(ISNUMBER(BK126),BK126,AS126)),"")</f>
      </nc>
      <ndxf>
        <border outline="0">
          <left/>
          <right/>
          <top/>
          <bottom/>
        </border>
      </ndxf>
    </rcc>
    <rcc rId="0" sId="1" dxf="1">
      <nc r="CP126">
        <f>IF(ISNUMBER(BI126),BI126,IF(ISNUMBER(AQ126),AQ126,""))</f>
      </nc>
      <ndxf>
        <numFmt numFmtId="166" formatCode="\+#0.00;\-#0.00;0;@"/>
        <border outline="0">
          <left/>
          <right/>
          <top/>
          <bottom/>
        </border>
      </ndxf>
    </rcc>
    <rcc rId="0" sId="1" dxf="1">
      <nc r="CQ126">
        <f>IF(AND(ISNUMBER(CP126),ISNUMBER(X126)),CP126-X126,"")</f>
      </nc>
      <ndxf>
        <numFmt numFmtId="166" formatCode="\+#0.00;\-#0.00;0;@"/>
        <border outline="0">
          <left/>
          <right/>
          <top/>
          <bottom/>
        </border>
      </ndxf>
    </rcc>
    <rcc rId="0" sId="1" dxf="1">
      <nc r="CR126">
        <f>IF(ISNUMBER(BCVA_12),BCVA_12,IF(ISNUMBER(BCVA_6),BCVA_6,""))</f>
      </nc>
      <ndxf>
        <numFmt numFmtId="1" formatCode="0"/>
        <border outline="0">
          <left/>
          <right/>
          <top/>
          <bottom/>
        </border>
      </ndxf>
    </rcc>
    <rcc rId="0" sId="1" dxf="1">
      <nc r="CS126">
        <f>IF(ISNUMBER(CR126),PREOP_BCVA,"")</f>
      </nc>
      <ndxf>
        <numFmt numFmtId="1" formatCode="0"/>
        <border outline="0">
          <left/>
          <right/>
          <top/>
          <bottom/>
        </border>
      </ndxf>
    </rcc>
    <rcc rId="0" sId="1" dxf="1">
      <nc r="CT126">
        <f>IF(AND(REF_TARGET&lt;=0,REF_TARGET&gt;-1),IF(ISNUMBER(UDVA_12),UDVA_12,IF(ISNUMBER(UDVA_6),UDVA_6,"")),"")</f>
      </nc>
      <ndxf>
        <font>
          <sz val="10"/>
          <color auto="1"/>
          <name val="Arial"/>
          <scheme val="none"/>
        </font>
        <numFmt numFmtId="1" formatCode="0"/>
        <border outline="0">
          <left/>
          <right/>
          <top/>
          <bottom/>
        </border>
      </ndxf>
    </rcc>
    <rcc rId="0" sId="1" dxf="1">
      <nc r="CU126">
        <f>IF(ISNUMBER(PREOP_PENTACAM_RV),IF(ISNUMBER(SPH_6),IF(ISNUMBER($ET126),0,1),""),"")</f>
      </nc>
      <ndxf>
        <border outline="0">
          <left style="double">
            <color auto="1"/>
          </left>
          <right/>
          <top/>
          <bottom/>
        </border>
      </ndxf>
    </rcc>
    <rcc rId="0" sId="1" dxf="1">
      <nc r="CV126">
        <f>IF(ISNUMBER(PREOP_PENTACAM_RV),IF(ISNUMBER(SPH_12),IF(ISNUMBER($GP126),0,1),""),"")</f>
      </nc>
      <ndxf>
        <border outline="0">
          <left/>
          <right/>
          <top/>
          <bottom/>
        </border>
      </ndxf>
    </rcc>
    <rcc rId="0" sId="1" dxf="1">
      <nc r="CW126">
        <f>IF(OR(ISNUMBER(MISSING_PENT_6),ISNUMBER(MISSING_PENT_12)),IF(AND(ISNUMBER(MISSING_PENT_6),ISNUMBER(MISSING_PENT_12)),AND(MISSING_PENT_6,MISSING_PENT_12),IF(ISNUMBER(MISSING_PENT_6),INT(MISSING_PENT_6)&gt;0,INT(MISSING_PENT_12)&gt;0)),"")</f>
      </nc>
      <ndxf>
        <font>
          <sz val="10"/>
          <color auto="1"/>
          <name val="Arial"/>
          <scheme val="none"/>
        </font>
        <border outline="0">
          <left/>
          <right/>
          <top/>
          <bottom/>
        </border>
      </ndxf>
    </rcc>
    <rcc rId="0" sId="1" dxf="1">
      <nc r="CX126">
        <v>8</v>
      </nc>
      <ndxf>
        <alignment horizontal="general" vertical="bottom" readingOrder="0"/>
        <border outline="0">
          <left/>
          <right/>
          <top/>
          <bottom/>
        </border>
      </ndxf>
    </rcc>
    <rcc rId="0" sId="1">
      <nc r="CY126">
        <v>7.62</v>
      </nc>
    </rcc>
    <rcc rId="0" sId="1">
      <nc r="CZ126">
        <v>5.0999999999999996</v>
      </nc>
    </rcc>
    <rcc rId="0" sId="1">
      <nc r="DA126">
        <v>-2.1</v>
      </nc>
    </rcc>
    <rcc rId="0" sId="1">
      <nc r="DB126">
        <v>0.5</v>
      </nc>
    </rcc>
    <rcc rId="0" sId="1">
      <nc r="DC126">
        <v>0.57999999999999996</v>
      </nc>
    </rcc>
    <rcc rId="0" sId="1">
      <nc r="DD126">
        <v>2.66</v>
      </nc>
    </rcc>
    <rcc rId="0" sId="1">
      <nc r="DE126">
        <v>3.25</v>
      </nc>
    </rcc>
    <rcc rId="0" sId="1">
      <nc r="DF126">
        <v>588</v>
      </nc>
    </rcc>
    <rcc rId="0" sId="1">
      <nc r="DG126">
        <v>585</v>
      </nc>
    </rcc>
    <rcc rId="0" sId="1">
      <nc r="DH126">
        <v>667</v>
      </nc>
    </rcc>
    <rcc rId="0" sId="1">
      <nc r="DI126">
        <v>672</v>
      </nc>
    </rcc>
    <rcc rId="0" sId="1">
      <nc r="DJ126">
        <v>648</v>
      </nc>
    </rcc>
    <rcc rId="0" sId="1">
      <nc r="DK126">
        <v>656</v>
      </nc>
    </rcc>
    <rcc rId="0" sId="1">
      <nc r="DL126">
        <v>584</v>
      </nc>
    </rcc>
    <rcc rId="0" sId="1">
      <nc r="DM126">
        <v>0.74</v>
      </nc>
    </rcc>
    <rcc rId="0" sId="1">
      <nc r="DN126">
        <v>-0.14000000000000001</v>
      </nc>
    </rcc>
    <rcc rId="0" sId="1">
      <nc r="DO126">
        <v>7.81</v>
      </nc>
    </rcc>
    <rcc rId="0" sId="1">
      <nc r="DP126">
        <v>7.77</v>
      </nc>
    </rcc>
    <rcc rId="0" sId="1">
      <nc r="DQ126">
        <v>7.79</v>
      </nc>
    </rcc>
    <rcc rId="0" sId="1">
      <nc r="DR126">
        <v>7.98</v>
      </nc>
    </rcc>
    <rcc rId="0" sId="1">
      <nc r="DS126">
        <v>8.19</v>
      </nc>
    </rcc>
    <rcc rId="0" sId="1">
      <nc r="DT126">
        <v>8.41</v>
      </nc>
    </rcc>
    <rcc rId="0" sId="1">
      <nc r="DU126">
        <v>0</v>
      </nc>
    </rcc>
    <rcc rId="0" sId="1">
      <nc r="DV126">
        <v>1.4</v>
      </nc>
    </rcc>
    <rcc rId="0" sId="1">
      <nc r="DW126">
        <v>6.39</v>
      </nc>
    </rcc>
    <rcc rId="0" sId="1">
      <nc r="DX126">
        <v>6.42</v>
      </nc>
    </rcc>
    <rcc rId="0" sId="1">
      <nc r="DY126">
        <v>6.52</v>
      </nc>
    </rcc>
    <rcc rId="0" sId="1">
      <nc r="DZ126">
        <v>6.54</v>
      </nc>
    </rcc>
    <rcc rId="0" sId="1">
      <nc r="EA126">
        <v>6.69</v>
      </nc>
    </rcc>
    <rcc rId="0" sId="1">
      <nc r="EB126">
        <v>0</v>
      </nc>
    </rcc>
    <rcc rId="0" sId="1">
      <nc r="EC126">
        <v>0</v>
      </nc>
    </rcc>
    <rcc rId="0" sId="1" dxf="1">
      <nc r="ED126">
        <v>1.4</v>
      </nc>
      <ndxf>
        <border outline="0">
          <right style="mediumDashDot">
            <color indexed="64"/>
          </right>
        </border>
      </ndxf>
    </rcc>
    <rfmt sheetId="1" sqref="EE126" start="0" length="0">
      <dxf>
        <border outline="0">
          <left/>
          <right/>
        </border>
      </dxf>
    </rfmt>
    <rfmt sheetId="1" sqref="EF126" start="0" length="0">
      <dxf>
        <border outline="0">
          <left/>
          <right/>
        </border>
      </dxf>
    </rfmt>
    <rfmt sheetId="1" sqref="EG126" start="0" length="0">
      <dxf>
        <border outline="0">
          <left/>
          <right/>
        </border>
      </dxf>
    </rfmt>
    <rfmt sheetId="1" sqref="EH126" start="0" length="0">
      <dxf>
        <border outline="0">
          <left/>
          <right/>
        </border>
      </dxf>
    </rfmt>
    <rfmt sheetId="1" sqref="EI126" start="0" length="0">
      <dxf>
        <border outline="0">
          <left/>
          <right/>
        </border>
      </dxf>
    </rfmt>
    <rfmt sheetId="1" sqref="EJ126" start="0" length="0">
      <dxf>
        <border outline="0">
          <left/>
          <right/>
        </border>
      </dxf>
    </rfmt>
    <rfmt sheetId="1" sqref="EK126" start="0" length="0">
      <dxf>
        <border outline="0">
          <left/>
          <right/>
        </border>
      </dxf>
    </rfmt>
    <rfmt sheetId="1" sqref="EL126" start="0" length="0">
      <dxf>
        <border outline="0">
          <left/>
          <right/>
        </border>
      </dxf>
    </rfmt>
    <rfmt sheetId="1" sqref="EM126" start="0" length="0">
      <dxf>
        <border outline="0">
          <left/>
          <right/>
        </border>
      </dxf>
    </rfmt>
    <rfmt sheetId="1" sqref="EN126" start="0" length="0">
      <dxf>
        <border outline="0">
          <left/>
          <right/>
        </border>
      </dxf>
    </rfmt>
    <rfmt sheetId="1" sqref="EO126" start="0" length="0">
      <dxf>
        <border outline="0">
          <left/>
          <right/>
        </border>
      </dxf>
    </rfmt>
    <rfmt sheetId="1" sqref="EP126" start="0" length="0">
      <dxf>
        <border outline="0">
          <left/>
          <right/>
        </border>
      </dxf>
    </rfmt>
    <rfmt sheetId="1" sqref="EQ126" start="0" length="0">
      <dxf>
        <border outline="0">
          <left/>
          <right/>
        </border>
      </dxf>
    </rfmt>
    <rfmt sheetId="1" sqref="ER126" start="0" length="0">
      <dxf>
        <border outline="0">
          <left/>
          <right/>
        </border>
      </dxf>
    </rfmt>
    <rfmt sheetId="1" sqref="ES126" start="0" length="0">
      <dxf>
        <border outline="0">
          <left/>
          <right style="dashed">
            <color auto="1"/>
          </right>
        </border>
      </dxf>
    </rfmt>
    <rfmt sheetId="1" sqref="ET126" start="0" length="0">
      <dxf>
        <border outline="0">
          <left/>
        </border>
      </dxf>
    </rfmt>
    <rfmt sheetId="1" sqref="FZ126" start="0" length="0">
      <dxf>
        <border outline="0">
          <right style="mediumDashed">
            <color indexed="64"/>
          </right>
        </border>
      </dxf>
    </rfmt>
    <rfmt sheetId="1" sqref="GA126" start="0" length="0">
      <dxf>
        <border outline="0">
          <left/>
          <right/>
        </border>
      </dxf>
    </rfmt>
    <rfmt sheetId="1" sqref="GB126" start="0" length="0">
      <dxf>
        <border outline="0">
          <left/>
          <right/>
        </border>
      </dxf>
    </rfmt>
    <rfmt sheetId="1" sqref="GC126" start="0" length="0">
      <dxf>
        <border outline="0">
          <left/>
          <right/>
        </border>
      </dxf>
    </rfmt>
    <rfmt sheetId="1" sqref="GD126" start="0" length="0">
      <dxf>
        <border outline="0">
          <left/>
          <right/>
        </border>
      </dxf>
    </rfmt>
    <rfmt sheetId="1" sqref="GE126" start="0" length="0">
      <dxf>
        <border outline="0">
          <left/>
          <right/>
        </border>
      </dxf>
    </rfmt>
    <rfmt sheetId="1" sqref="GF126" start="0" length="0">
      <dxf>
        <border outline="0">
          <left/>
          <right/>
        </border>
      </dxf>
    </rfmt>
    <rfmt sheetId="1" sqref="GG126" start="0" length="0">
      <dxf>
        <border outline="0">
          <left/>
          <right/>
        </border>
      </dxf>
    </rfmt>
    <rfmt sheetId="1" sqref="GH126" start="0" length="0">
      <dxf>
        <border outline="0">
          <left/>
          <right/>
        </border>
      </dxf>
    </rfmt>
    <rfmt sheetId="1" sqref="GI126" start="0" length="0">
      <dxf>
        <border outline="0">
          <left/>
          <right/>
        </border>
      </dxf>
    </rfmt>
    <rfmt sheetId="1" sqref="GJ126" start="0" length="0">
      <dxf>
        <border outline="0">
          <left/>
          <right/>
        </border>
      </dxf>
    </rfmt>
    <rfmt sheetId="1" sqref="GK126" start="0" length="0">
      <dxf>
        <border outline="0">
          <left/>
          <right/>
        </border>
      </dxf>
    </rfmt>
    <rfmt sheetId="1" sqref="GL126" start="0" length="0">
      <dxf>
        <border outline="0">
          <left/>
          <right/>
        </border>
      </dxf>
    </rfmt>
    <rfmt sheetId="1" sqref="GM126" start="0" length="0">
      <dxf>
        <border outline="0">
          <left/>
          <right/>
        </border>
      </dxf>
    </rfmt>
    <rfmt sheetId="1" sqref="GN126" start="0" length="0">
      <dxf>
        <border outline="0">
          <left/>
          <right/>
        </border>
      </dxf>
    </rfmt>
    <rfmt sheetId="1" sqref="GO126" start="0" length="0">
      <dxf>
        <border outline="0">
          <left/>
          <right style="medium">
            <color auto="1"/>
          </right>
        </border>
      </dxf>
    </rfmt>
    <rfmt sheetId="1" sqref="GP126" start="0" length="0">
      <dxf>
        <border outline="0">
          <left/>
        </border>
      </dxf>
    </rfmt>
    <rfmt sheetId="1" sqref="HV126" start="0" length="0">
      <dxf>
        <border outline="0">
          <right style="double">
            <color indexed="64"/>
          </right>
        </border>
      </dxf>
    </rfmt>
    <rfmt sheetId="1" sqref="HW126" start="0" length="0">
      <dxf>
        <border outline="0">
          <left/>
          <right/>
        </border>
      </dxf>
    </rfmt>
    <rfmt sheetId="1" sqref="HX126" start="0" length="0">
      <dxf>
        <border outline="0">
          <left/>
          <right/>
        </border>
      </dxf>
    </rfmt>
    <rfmt sheetId="1" sqref="HY126" start="0" length="0">
      <dxf>
        <border outline="0">
          <left/>
          <right/>
        </border>
      </dxf>
    </rfmt>
    <rfmt sheetId="1" sqref="HZ126" start="0" length="0">
      <dxf>
        <border outline="0">
          <left/>
          <right/>
        </border>
      </dxf>
    </rfmt>
    <rfmt sheetId="1" sqref="IA126" start="0" length="0">
      <dxf>
        <border outline="0">
          <left/>
          <right/>
        </border>
      </dxf>
    </rfmt>
    <rfmt sheetId="1" sqref="IB126" start="0" length="0">
      <dxf>
        <border outline="0">
          <left/>
          <right/>
        </border>
      </dxf>
    </rfmt>
    <rfmt sheetId="1" sqref="IC126" start="0" length="0">
      <dxf>
        <border outline="0">
          <left/>
          <right/>
        </border>
      </dxf>
    </rfmt>
    <rfmt sheetId="1" sqref="ID126" start="0" length="0">
      <dxf>
        <border outline="0">
          <left/>
          <right/>
        </border>
      </dxf>
    </rfmt>
    <rfmt sheetId="1" sqref="IE126" start="0" length="0">
      <dxf>
        <border outline="0">
          <left/>
          <right/>
        </border>
      </dxf>
    </rfmt>
    <rfmt sheetId="1" sqref="IF126" start="0" length="0">
      <dxf>
        <border outline="0">
          <left/>
          <right/>
        </border>
      </dxf>
    </rfmt>
    <rfmt sheetId="1" sqref="IG126" start="0" length="0">
      <dxf>
        <border outline="0">
          <left/>
          <right/>
        </border>
      </dxf>
    </rfmt>
    <rfmt sheetId="1" sqref="IH126" start="0" length="0">
      <dxf>
        <border outline="0">
          <left/>
          <right/>
        </border>
      </dxf>
    </rfmt>
    <rfmt sheetId="1" sqref="II126" start="0" length="0">
      <dxf>
        <border outline="0">
          <left/>
          <right/>
        </border>
      </dxf>
    </rfmt>
    <rfmt sheetId="1" sqref="IJ126" start="0" length="0">
      <dxf>
        <border outline="0">
          <left/>
          <right/>
        </border>
      </dxf>
    </rfmt>
    <rfmt sheetId="1" sqref="IK126" start="0" length="0">
      <dxf>
        <border outline="0">
          <left/>
          <right style="mediumDashed">
            <color auto="1"/>
          </right>
        </border>
      </dxf>
    </rfmt>
    <rcc rId="0" sId="1" dxf="1">
      <nc r="IL126">
        <f>IF(ISNUMBER(GP126),GP126,IF(ISNUMBER(ET126),ET126,""))</f>
      </nc>
      <ndxf>
        <border outline="0">
          <left/>
        </border>
      </ndxf>
    </rcc>
    <rcc rId="0" sId="1">
      <nc r="IM126">
        <f>IF(ISNUMBER(GQ126),GQ126,IF(ISNUMBER(EU126),EU126,""))</f>
      </nc>
    </rcc>
    <rcc rId="0" sId="1">
      <nc r="IN126">
        <f>IF(ISNUMBER(GR126),GR126,IF(ISNUMBER(EV126),EV126,""))</f>
      </nc>
    </rcc>
    <rcc rId="0" sId="1">
      <nc r="IO126">
        <f>IF(ISNUMBER(GS126),GS126,IF(ISNUMBER(EW126),EW126,""))</f>
      </nc>
    </rcc>
    <rcc rId="0" sId="1">
      <nc r="IP126">
        <f>IF(ISNUMBER(GT126),GT126,IF(ISNUMBER(EX126),EX126,""))</f>
      </nc>
    </rcc>
    <rcc rId="0" sId="1">
      <nc r="IQ126">
        <f>IF(ISNUMBER(GU126),GU126,IF(ISNUMBER(EY126),EY126,""))</f>
      </nc>
    </rcc>
    <rcc rId="0" sId="1">
      <nc r="IR126">
        <f>IF(ISNUMBER(GV126),GV126,IF(ISNUMBER(EZ126),EZ126,""))</f>
      </nc>
    </rcc>
    <rcc rId="0" sId="1">
      <nc r="IS126">
        <f>IF(ISNUMBER(GW126),GW126,IF(ISNUMBER(FA126),FA126,""))</f>
      </nc>
    </rcc>
    <rcc rId="0" sId="1">
      <nc r="IT126">
        <f>IF(ISNUMBER(GX126),GX126,IF(ISNUMBER(FB126),FB126,""))</f>
      </nc>
    </rcc>
    <rcc rId="0" sId="1">
      <nc r="IU126">
        <f>IF(ISNUMBER(GY126),GY126,IF(ISNUMBER(FC126),FC126,""))</f>
      </nc>
    </rcc>
    <rcc rId="0" sId="1">
      <nc r="IV126">
        <f>IF(ISNUMBER(GZ126),GZ126,IF(ISNUMBER(FD126),FD126,""))</f>
      </nc>
    </rcc>
    <rcc rId="0" sId="1">
      <nc r="IW126">
        <f>IF(ISNUMBER(HA126),HA126,IF(ISNUMBER(FE126),FE126,""))</f>
      </nc>
    </rcc>
    <rcc rId="0" sId="1">
      <nc r="IX126">
        <f>IF(ISNUMBER(HB126),HB126,IF(ISNUMBER(FF126),FF126,""))</f>
      </nc>
    </rcc>
    <rcc rId="0" sId="1">
      <nc r="IY126">
        <f>IF(ISNUMBER(HC126),HC126,IF(ISNUMBER(FG126),FG126,""))</f>
      </nc>
    </rcc>
    <rcc rId="0" sId="1">
      <nc r="IZ126">
        <f>IF(ISNUMBER(HD126),HD126,IF(ISNUMBER(FH126),FH126,""))</f>
      </nc>
    </rcc>
    <rcc rId="0" sId="1">
      <nc r="JA126">
        <f>IF(ISNUMBER(HE126),HE126,IF(ISNUMBER(FI126),FI126,""))</f>
      </nc>
    </rcc>
    <rcc rId="0" sId="1">
      <nc r="JB126">
        <f>IF(ISNUMBER(HF126),HF126,IF(ISNUMBER(FJ126),FJ126,""))</f>
      </nc>
    </rcc>
    <rcc rId="0" sId="1">
      <nc r="JC126">
        <f>IF(ISNUMBER(HG126),HG126,IF(ISNUMBER(FK126),FK126,""))</f>
      </nc>
    </rcc>
    <rcc rId="0" sId="1">
      <nc r="JD126">
        <f>IF(ISNUMBER(HH126),HH126,IF(ISNUMBER(FL126),FL126,""))</f>
      </nc>
    </rcc>
    <rcc rId="0" sId="1">
      <nc r="JE126">
        <f>IF(ISNUMBER(HI126),HI126,IF(ISNUMBER(FM126),FM126,""))</f>
      </nc>
    </rcc>
    <rcc rId="0" sId="1">
      <nc r="JF126">
        <f>IF(ISNUMBER(HJ126),HJ126,IF(ISNUMBER(FN126),FN126,""))</f>
      </nc>
    </rcc>
    <rcc rId="0" sId="1">
      <nc r="JG126">
        <f>IF(ISNUMBER(HK126),HK126,IF(ISNUMBER(FO126),FO126,""))</f>
      </nc>
    </rcc>
    <rcc rId="0" sId="1">
      <nc r="JH126">
        <f>IF(ISNUMBER(HL126),HL126,IF(ISNUMBER(FP126),FP126,""))</f>
      </nc>
    </rcc>
    <rcc rId="0" sId="1">
      <nc r="JI126">
        <f>IF(ISNUMBER(HM126),HM126,IF(ISNUMBER(FQ126),FQ126,""))</f>
      </nc>
    </rcc>
    <rcc rId="0" sId="1">
      <nc r="JJ126">
        <f>IF(ISNUMBER(HN126),HN126,IF(ISNUMBER(FR126),FR126,""))</f>
      </nc>
    </rcc>
    <rcc rId="0" sId="1">
      <nc r="JK126">
        <f>IF(ISNUMBER(HO126),HO126,IF(ISNUMBER(FS126),FS126,""))</f>
      </nc>
    </rcc>
    <rcc rId="0" sId="1">
      <nc r="JL126">
        <f>IF(ISNUMBER(HP126),HP126,IF(ISNUMBER(FT126),FT126,""))</f>
      </nc>
    </rcc>
    <rcc rId="0" sId="1">
      <nc r="JM126">
        <f>IF(ISNUMBER(HQ126),HQ126,IF(ISNUMBER(FU126),FU126,""))</f>
      </nc>
    </rcc>
    <rcc rId="0" sId="1">
      <nc r="JN126">
        <f>IF(ISNUMBER(HR126),HR126,IF(ISNUMBER(FV126),FV126,""))</f>
      </nc>
    </rcc>
    <rcc rId="0" sId="1">
      <nc r="JO126">
        <f>IF(ISNUMBER(HS126),HS126,IF(ISNUMBER(FW126),FW126,""))</f>
      </nc>
    </rcc>
    <rcc rId="0" sId="1">
      <nc r="JP126">
        <f>IF(ISNUMBER(HT126),HT126,IF(ISNUMBER(FX126),FX126,""))</f>
      </nc>
    </rcc>
    <rcc rId="0" sId="1" dxf="1">
      <nc r="JQ126">
        <f>IF(ISNUMBER(HU126),HU126,IF(ISNUMBER(FY126),FY126,""))</f>
      </nc>
      <ndxf>
        <border outline="0">
          <right/>
        </border>
      </ndxf>
    </rcc>
    <rcc rId="0" sId="1" dxf="1">
      <nc r="JR126">
        <f>IF(ISNUMBER(HV126),HV126,IF(ISNUMBER(FZ126),FZ126,""))</f>
      </nc>
      <ndxf>
        <border outline="0">
          <left/>
          <right/>
        </border>
      </ndxf>
    </rcc>
    <rcc rId="0" sId="1" dxf="1">
      <nc r="JS126">
        <f>IF(ISNUMBER(HW126),HW126,IF(ISNUMBER(GA126),GA126,""))</f>
      </nc>
      <ndxf>
        <border outline="0">
          <left/>
          <right/>
        </border>
      </ndxf>
    </rcc>
    <rcc rId="0" sId="1" dxf="1">
      <nc r="JT126">
        <f>IF(ISNUMBER(HX126),HX126,IF(ISNUMBER(GB126),GB126,""))</f>
      </nc>
      <ndxf>
        <border outline="0">
          <left/>
          <right/>
        </border>
      </ndxf>
    </rcc>
    <rcc rId="0" sId="1" dxf="1">
      <nc r="JU126">
        <f>IF(ISNUMBER(HY126),HY126,IF(ISNUMBER(GC126),GC126,""))</f>
      </nc>
      <ndxf>
        <border outline="0">
          <left/>
          <right/>
        </border>
      </ndxf>
    </rcc>
    <rcc rId="0" sId="1" dxf="1">
      <nc r="JV126">
        <f>IF(ISNUMBER(HZ126),HZ126,IF(ISNUMBER(GD126),GD126,""))</f>
      </nc>
      <ndxf>
        <border outline="0">
          <left/>
          <right/>
        </border>
      </ndxf>
    </rcc>
    <rcc rId="0" sId="1" dxf="1">
      <nc r="JW126">
        <f>IF(ISNUMBER(IA126),IA126,IF(ISNUMBER(GE126),GE126,""))</f>
      </nc>
      <ndxf>
        <border outline="0">
          <left/>
          <right/>
        </border>
      </ndxf>
    </rcc>
    <rcc rId="0" sId="1" dxf="1">
      <nc r="JX126">
        <f>IF(ISNUMBER(IB126),IB126,IF(ISNUMBER(GF126),GF126,""))</f>
      </nc>
      <ndxf>
        <border outline="0">
          <left/>
          <right/>
        </border>
      </ndxf>
    </rcc>
    <rcc rId="0" sId="1" dxf="1">
      <nc r="JY126">
        <f>IF(ISNUMBER(IC126),IC126,IF(ISNUMBER(GG126),GG126,""))</f>
      </nc>
      <ndxf>
        <border outline="0">
          <left/>
          <right/>
        </border>
      </ndxf>
    </rcc>
    <rcc rId="0" sId="1" dxf="1">
      <nc r="JZ126">
        <f>IF(ISNUMBER(ID126),ID126,IF(ISNUMBER(GH126),GH126,""))</f>
      </nc>
      <ndxf>
        <border outline="0">
          <left/>
          <right/>
        </border>
      </ndxf>
    </rcc>
    <rcc rId="0" sId="1" dxf="1">
      <nc r="KA126">
        <f>IF(ISNUMBER(IE126),IE126,IF(ISNUMBER(GI126),GI126,""))</f>
      </nc>
      <ndxf>
        <border outline="0">
          <left/>
          <right/>
        </border>
      </ndxf>
    </rcc>
    <rcc rId="0" sId="1" dxf="1">
      <nc r="KB126">
        <f>IF(ISNUMBER(IF126),IF126,IF(ISNUMBER(GJ126),GJ126,""))</f>
      </nc>
      <ndxf>
        <border outline="0">
          <left/>
          <right/>
        </border>
      </ndxf>
    </rcc>
    <rcc rId="0" sId="1" dxf="1">
      <nc r="KC126">
        <f>IF(ISNUMBER(IG126),IG126,IF(ISNUMBER(GK126),GK126,""))</f>
      </nc>
      <ndxf>
        <border outline="0">
          <left/>
          <right/>
        </border>
      </ndxf>
    </rcc>
    <rcc rId="0" sId="1" dxf="1">
      <nc r="KD126">
        <f>IF(ISNUMBER(IH126),IH126,IF(ISNUMBER(GL126),GL126,""))</f>
      </nc>
      <ndxf>
        <border outline="0">
          <left/>
          <right/>
        </border>
      </ndxf>
    </rcc>
    <rcc rId="0" sId="1" dxf="1">
      <nc r="KE126">
        <f>IF(ISNUMBER(II126),II126,IF(ISNUMBER(GM126),GM126,""))</f>
      </nc>
      <ndxf>
        <border outline="0">
          <left/>
          <right/>
        </border>
      </ndxf>
    </rcc>
    <rcc rId="0" sId="1" dxf="1">
      <nc r="KF126">
        <f>IF(ISNUMBER(IJ126),IJ126,IF(ISNUMBER(GN126),GN126,""))</f>
      </nc>
      <ndxf>
        <border outline="0">
          <left/>
          <right/>
        </border>
      </ndxf>
    </rcc>
    <rcc rId="0" sId="1" dxf="1">
      <nc r="KG126">
        <f>IF(ISNUMBER(IK126),IK126,IF(ISNUMBER(GO126),GO126,""))</f>
      </nc>
      <ndxf>
        <border outline="0">
          <left/>
          <right style="mediumDashed">
            <color auto="1"/>
          </right>
        </border>
      </ndxf>
    </rcc>
    <rcc rId="0" sId="1" dxf="1">
      <nc r="KH126">
        <f>IF(AND(ISNUMBER(IL126),ISNUMBER(CX126)),IL126-CX126,"")</f>
      </nc>
      <ndxf>
        <border outline="0">
          <left/>
        </border>
      </ndxf>
    </rcc>
    <rcc rId="0" sId="1">
      <nc r="KI126">
        <f>IF(AND(ISNUMBER(IM126),ISNUMBER(CY126)),IM126-CY126,"")</f>
      </nc>
    </rcc>
    <rcc rId="0" sId="1">
      <nc r="KJ126">
        <f>IF(AND(ISNUMBER(IN126),ISNUMBER(CZ126)),IN126-CZ126,"")</f>
      </nc>
    </rcc>
    <rcc rId="0" sId="1">
      <nc r="KK126">
        <f>IF(AND(ISNUMBER(IO126),ISNUMBER(DA126)),IO126-DA126,"")</f>
      </nc>
    </rcc>
    <rcc rId="0" sId="1">
      <nc r="KL126">
        <f>IF(AND(ISNUMBER(IP126),ISNUMBER(DB126)),IP126-DB126,"")</f>
      </nc>
    </rcc>
    <rcc rId="0" sId="1">
      <nc r="KM126">
        <f>IF(AND(ISNUMBER(IQ126),ISNUMBER(DC126)),IQ126-DC126,"")</f>
      </nc>
    </rcc>
    <rcc rId="0" sId="1">
      <nc r="KN126">
        <f>IF(AND(ISNUMBER(IR126),ISNUMBER(DD126)),IR126-DD126,"")</f>
      </nc>
    </rcc>
    <rcc rId="0" sId="1">
      <nc r="KO126">
        <f>IF(AND(ISNUMBER(IS126),ISNUMBER(DE126)),IS126-DE126,"")</f>
      </nc>
    </rcc>
    <rcc rId="0" sId="1">
      <nc r="KP126">
        <f>IF(AND(ISNUMBER(IT126),ISNUMBER(DF126)),IT126-DF126,"")</f>
      </nc>
    </rcc>
    <rcc rId="0" sId="1">
      <nc r="KQ126">
        <f>IF(AND(ISNUMBER(IU126),ISNUMBER(DG126)),IU126-DG126,"")</f>
      </nc>
    </rcc>
    <rcc rId="0" sId="1">
      <nc r="KR126">
        <f>IF(AND(ISNUMBER(IV126),ISNUMBER(DH126)),IV126-DH126,"")</f>
      </nc>
    </rcc>
    <rcc rId="0" sId="1">
      <nc r="KS126">
        <f>IF(AND(ISNUMBER(IW126),ISNUMBER(DI126)),IW126-DI126,"")</f>
      </nc>
    </rcc>
    <rcc rId="0" sId="1">
      <nc r="KT126">
        <f>IF(AND(ISNUMBER(IX126),ISNUMBER(DJ126)),IX126-DJ126,"")</f>
      </nc>
    </rcc>
    <rcc rId="0" sId="1">
      <nc r="KU126">
        <f>IF(AND(ISNUMBER(IY126),ISNUMBER(DK126)),IY126-DK126,"")</f>
      </nc>
    </rcc>
    <rcc rId="0" sId="1">
      <nc r="KV126">
        <f>IF(AND(ISNUMBER(IZ126),ISNUMBER(DL126)),IZ126-DL126,"")</f>
      </nc>
    </rcc>
    <rcc rId="0" sId="1">
      <nc r="KW126">
        <f>IF(AND(ISNUMBER(JA126),ISNUMBER(DM126)),JA126-DM126,"")</f>
      </nc>
    </rcc>
    <rcc rId="0" sId="1">
      <nc r="KX126">
        <f>IF(AND(ISNUMBER(JB126),ISNUMBER(DN126)),JB126-DN126,"")</f>
      </nc>
    </rcc>
    <rcc rId="0" sId="1">
      <nc r="KY126">
        <f>IF(AND(ISNUMBER(JC126),ISNUMBER(DO126)),JC126-DO126,"")</f>
      </nc>
    </rcc>
    <rcc rId="0" sId="1">
      <nc r="KZ126">
        <f>IF(AND(ISNUMBER(JD126),ISNUMBER(DP126)),JD126-DP126,"")</f>
      </nc>
    </rcc>
    <rcc rId="0" sId="1">
      <nc r="LA126">
        <f>IF(AND(ISNUMBER(JE126),ISNUMBER(DQ126)),JE126-DQ126,"")</f>
      </nc>
    </rcc>
    <rcc rId="0" sId="1">
      <nc r="LB126">
        <f>IF(AND(ISNUMBER(JF126),ISNUMBER(DR126)),JF126-DR126,"")</f>
      </nc>
    </rcc>
    <rcc rId="0" sId="1">
      <nc r="LC126">
        <f>IF(AND(ISNUMBER(JG126),ISNUMBER(DS126)),JG126-DS126,"")</f>
      </nc>
    </rcc>
    <rcc rId="0" sId="1">
      <nc r="LD126">
        <f>IF(AND(ISNUMBER(JH126),ISNUMBER(DT126)),JH126-DT126,"")</f>
      </nc>
    </rcc>
    <rcc rId="0" sId="1">
      <nc r="LE126">
        <f>IF(AND(ISNUMBER(JI126),ISNUMBER(DU126)),JI126-DU126,"")</f>
      </nc>
    </rcc>
    <rcc rId="0" sId="1">
      <nc r="LF126">
        <f>IF(AND(ISNUMBER(JJ126),ISNUMBER(DV126)),JJ126-DV126,"")</f>
      </nc>
    </rcc>
    <rcc rId="0" sId="1">
      <nc r="LG126">
        <f>IF(AND(ISNUMBER(JK126),ISNUMBER(DW126)),JK126-DW126,"")</f>
      </nc>
    </rcc>
    <rcc rId="0" sId="1">
      <nc r="LH126">
        <f>IF(AND(ISNUMBER(JL126),ISNUMBER(DX126)),JL126-DX126,"")</f>
      </nc>
    </rcc>
    <rcc rId="0" sId="1">
      <nc r="LI126">
        <f>IF(AND(ISNUMBER(JM126),ISNUMBER(DY126)),JM126-DY126,"")</f>
      </nc>
    </rcc>
    <rcc rId="0" sId="1">
      <nc r="LJ126">
        <f>IF(AND(ISNUMBER(JN126),ISNUMBER(DZ126)),JN126-DZ126,"")</f>
      </nc>
    </rcc>
    <rcc rId="0" sId="1">
      <nc r="LK126">
        <f>IF(AND(ISNUMBER(JO126),ISNUMBER(EA126)),JO126-EA126,"")</f>
      </nc>
    </rcc>
    <rcc rId="0" sId="1">
      <nc r="LL126">
        <f>IF(AND(ISNUMBER(JP126),ISNUMBER(EB126)),JP126-EB126,"")</f>
      </nc>
    </rcc>
    <rcc rId="0" sId="1">
      <nc r="LM126">
        <f>IF(AND(ISNUMBER(JQ126),ISNUMBER(EC126)),JQ126-EC126,"")</f>
      </nc>
    </rcc>
    <rcc rId="0" sId="1">
      <nc r="LN126">
        <f>IF(AND(ISNUMBER(JR126),ISNUMBER(ED126)),JR126-ED126,"")</f>
      </nc>
    </rcc>
    <rcc rId="0" sId="1">
      <nc r="LO126">
        <f>IF(AND(ISNUMBER(JS126),ISNUMBER(EE126)),JS126-EE126,"")</f>
      </nc>
    </rcc>
    <rcc rId="0" sId="1">
      <nc r="LP126">
        <f>IF(AND(ISNUMBER(JT126),ISNUMBER(EF126)),JT126-EF126,"")</f>
      </nc>
    </rcc>
    <rcc rId="0" sId="1">
      <nc r="LQ126">
        <f>IF(AND(ISNUMBER(JU126),ISNUMBER(EG126)),JU126-EG126,"")</f>
      </nc>
    </rcc>
    <rcc rId="0" sId="1">
      <nc r="LR126">
        <f>IF(AND(ISNUMBER(JV126),ISNUMBER(EH126)),JV126-EH126,"")</f>
      </nc>
    </rcc>
    <rcc rId="0" sId="1">
      <nc r="LS126">
        <f>IF(AND(ISNUMBER(JW126),ISNUMBER(EI126)),JW126-EI126,"")</f>
      </nc>
    </rcc>
    <rcc rId="0" sId="1">
      <nc r="LT126">
        <f>IF(AND(ISNUMBER(JX126),ISNUMBER(EJ126)),JX126-EJ126,"")</f>
      </nc>
    </rcc>
    <rcc rId="0" sId="1">
      <nc r="LU126">
        <f>IF(AND(ISNUMBER(JY126),ISNUMBER(EK126)),JY126-EK126,"")</f>
      </nc>
    </rcc>
    <rcc rId="0" sId="1">
      <nc r="LV126">
        <f>IF(AND(ISNUMBER(JZ126),ISNUMBER(EL126)),JZ126-EL126,"")</f>
      </nc>
    </rcc>
    <rcc rId="0" sId="1">
      <nc r="LW126">
        <f>IF(AND(ISNUMBER(KA126),ISNUMBER(EM126)),KA126-EM126,"")</f>
      </nc>
    </rcc>
    <rcc rId="0" sId="1">
      <nc r="LX126">
        <f>IF(AND(ISNUMBER(KB126),ISNUMBER(EN126)),KB126-EN126,"")</f>
      </nc>
    </rcc>
    <rcc rId="0" sId="1">
      <nc r="LY126">
        <f>IF(AND(ISNUMBER(KC126),ISNUMBER(EO126)),KC126-EO126,"")</f>
      </nc>
    </rcc>
    <rcc rId="0" sId="1">
      <nc r="LZ126">
        <f>IF(AND(ISNUMBER(KD126),ISNUMBER(EP126)),KD126-EP126,"")</f>
      </nc>
    </rcc>
    <rcc rId="0" sId="1">
      <nc r="MA126">
        <f>IF(AND(ISNUMBER(KE126),ISNUMBER(EQ126)),KE126-EQ126,"")</f>
      </nc>
    </rcc>
    <rcc rId="0" sId="1">
      <nc r="MB126">
        <f>IF(AND(ISNUMBER(KF126),ISNUMBER(ER126)),KF126-ER126,"")</f>
      </nc>
    </rcc>
    <rcc rId="0" sId="1">
      <nc r="MC126">
        <f>IF(AND(ISNUMBER(KG126),ISNUMBER(ES126)),KG126-ES126,"")</f>
      </nc>
    </rcc>
    <rcc rId="0" sId="1">
      <nc r="MD126">
        <f>IF(AND(ISNUMBER(HW126),ISNUMBER(GA126)),HW126-GA126,"")</f>
      </nc>
    </rcc>
    <rcc rId="0" sId="1">
      <nc r="ME126">
        <f>IF(AND(ISNUMBER(HX126),ISNUMBER(GB126)),HX126-GB126,"")</f>
      </nc>
    </rcc>
    <rcc rId="0" sId="1">
      <nc r="MF126">
        <f>IF(AND(ISNUMBER(IB126),ISNUMBER(GF126)),IB126-GF126,"")</f>
      </nc>
    </rcc>
    <rcc rId="0" sId="1">
      <nc r="MG126">
        <f>IC126-GG126</f>
      </nc>
    </rcc>
  </rrc>
  <rfmt sheetId="1" sqref="BF125">
    <dxf>
      <fill>
        <patternFill patternType="solid">
          <bgColor theme="1"/>
        </patternFill>
      </fill>
    </dxf>
  </rfmt>
  <rfmt sheetId="1" sqref="BF125" start="0" length="2147483647">
    <dxf>
      <font>
        <color auto="1"/>
      </font>
    </dxf>
  </rfmt>
  <rcc rId="3726" sId="1" numFmtId="4">
    <nc r="BG125">
      <v>50</v>
    </nc>
  </rcc>
  <rcc rId="3727" sId="1" numFmtId="4">
    <nc r="BH125">
      <v>-1.25</v>
    </nc>
  </rcc>
  <rcc rId="3728" sId="1" numFmtId="4">
    <nc r="BI125">
      <v>-1</v>
    </nc>
  </rcc>
  <rcc rId="3729" sId="1">
    <nc r="BJ125">
      <v>150</v>
    </nc>
  </rcc>
  <rcc rId="3730" sId="1">
    <nc r="BK125">
      <v>30</v>
    </nc>
  </rcc>
  <rcc rId="3731" sId="1">
    <nc r="BL125">
      <v>24</v>
    </nc>
  </rcc>
  <rcc rId="3732" sId="1">
    <nc r="BM125">
      <v>617</v>
    </nc>
  </rcc>
  <rcc rId="3733" sId="1">
    <nc r="BN125">
      <v>2206</v>
    </nc>
  </rcc>
  <rcc rId="3734" sId="1" numFmtId="19">
    <oc r="BF56">
      <v>41704</v>
    </oc>
    <nc r="BF56">
      <v>41830</v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F52" start="0" length="2147483647">
    <dxf>
      <font>
        <color auto="1"/>
      </font>
    </dxf>
  </rfmt>
  <rcc rId="3735" sId="1" numFmtId="4">
    <nc r="BG52">
      <v>200</v>
    </nc>
  </rcc>
  <rcc rId="3736" sId="1" numFmtId="4">
    <nc r="BH52">
      <v>0</v>
    </nc>
  </rcc>
  <rcc rId="3737" sId="1" numFmtId="4">
    <nc r="BI52">
      <v>0</v>
    </nc>
  </rcc>
  <rcc rId="3738" sId="1">
    <nc r="BJ52">
      <v>0</v>
    </nc>
  </rcc>
  <rcc rId="3739" sId="1">
    <nc r="BK52">
      <v>200</v>
    </nc>
  </rcc>
  <rcc rId="3740" sId="1">
    <nc r="BL52">
      <v>12</v>
    </nc>
  </rcc>
  <rcc rId="3741" sId="1">
    <nc r="BM52">
      <v>596</v>
    </nc>
  </rcc>
  <rcc rId="3742" sId="1">
    <nc r="BN52">
      <v>2564</v>
    </nc>
  </rcc>
  <rcc rId="3743" sId="1">
    <nc r="BO52">
      <v>23.04</v>
    </nc>
  </rcc>
  <rcc rId="3744" sId="1">
    <nc r="BP52">
      <v>2.84</v>
    </nc>
  </rcc>
  <rcc rId="3745" sId="1">
    <nc r="BQ52">
      <v>38.479999999999997</v>
    </nc>
  </rcc>
  <rcc rId="3746" sId="1">
    <nc r="BR52">
      <v>8</v>
    </nc>
  </rcc>
  <rcc rId="3747" sId="1">
    <nc r="BS52">
      <v>41.01</v>
    </nc>
  </rcc>
  <rcc rId="3748" sId="1">
    <nc r="BT52">
      <v>98</v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9" sId="1" odxf="1" dxf="1" numFmtId="19">
    <oc r="BF72">
      <v>41674</v>
    </oc>
    <nc r="BF72" t="inlineStr">
      <is>
        <t>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0" sId="1">
    <nc r="AD12">
      <v>12.2</v>
    </nc>
  </rcc>
  <rcc rId="3751" sId="1">
    <nc r="AE12">
      <v>4.3600000000000003</v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2" sId="1">
    <nc r="AD6">
      <v>11.9</v>
    </nc>
  </rcc>
  <rcc rId="3753" sId="1">
    <nc r="AE6">
      <v>4.74</v>
    </nc>
  </rcc>
  <rcc rId="3754" sId="1">
    <nc r="AD53">
      <v>11.8</v>
    </nc>
  </rcc>
  <rcc rId="3755" sId="1">
    <nc r="AE53">
      <v>5.08</v>
    </nc>
  </rcc>
  <rfmt sheetId="1" sqref="BF53" start="0" length="2147483647">
    <dxf>
      <font>
        <color auto="1"/>
      </font>
    </dxf>
  </rfmt>
  <rcc rId="3756" sId="1" numFmtId="4">
    <nc r="BG53">
      <v>50</v>
    </nc>
  </rcc>
  <rcc rId="3757" sId="1" numFmtId="4">
    <nc r="BH53">
      <v>-1.25</v>
    </nc>
  </rcc>
  <rcc rId="3758" sId="1" numFmtId="4">
    <nc r="BI53">
      <v>1</v>
    </nc>
  </rcc>
  <rcc rId="3759" sId="1">
    <nc r="BJ53">
      <v>30</v>
    </nc>
  </rcc>
  <rcc rId="3760" sId="1">
    <nc r="BK53">
      <v>40</v>
    </nc>
  </rcc>
  <rcc rId="3761" sId="1">
    <nc r="BL53">
      <v>13</v>
    </nc>
  </rcc>
  <rcc rId="3762" sId="1">
    <nc r="BN53">
      <v>2278</v>
    </nc>
  </rcc>
  <rcc rId="3763" sId="1">
    <nc r="BM53">
      <v>531</v>
    </nc>
  </rcc>
  <rcc rId="3764" sId="1">
    <nc r="BO53">
      <v>22.7</v>
    </nc>
  </rcc>
  <rcc rId="3765" sId="1">
    <nc r="BQ53">
      <v>42.19</v>
    </nc>
  </rcc>
  <rcc rId="3766" sId="1">
    <nc r="BR53">
      <v>136</v>
    </nc>
  </rcc>
  <rcc rId="3767" sId="1">
    <nc r="BS53">
      <v>43.27</v>
    </nc>
  </rcc>
  <rcc rId="3768" sId="1">
    <nc r="BT53">
      <v>46</v>
    </nc>
  </rcc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9" sId="1">
    <nc r="AD114">
      <v>12.1</v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0" sId="1">
    <nc r="AE46">
      <v>4.5599999999999996</v>
    </nc>
  </rcc>
  <rcc rId="3771" sId="1">
    <nc r="AD46">
      <v>12.5</v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2" sId="1">
    <nc r="AD47">
      <v>12</v>
    </nc>
  </rcc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D4EC4DC-E305-42C0-86D3-802895C39393}" action="delete"/>
  <rdn rId="0" localSheetId="1" customView="1" name="Z_9D4EC4DC_E305_42C0_86D3_802895C39393_.wvu.Cols" hidden="1" oldHidden="1">
    <formula>Data!$CL:$CM,Data!$ET:$HV</formula>
    <oldFormula>Data!$CL:$CM,Data!$ET:$HV</oldFormula>
  </rdn>
  <rcv guid="{9D4EC4DC-E305-42C0-86D3-802895C39393}" action="add"/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4" sId="1">
    <nc r="BU125">
      <f>IF(ISNUMBER(BH125),BH125+0.5*BI125,"")</f>
    </nc>
  </rcc>
  <rcc rId="3775" sId="1">
    <oc r="CI110">
      <f>IF(AND(ISNUMBER(SPH_PREOP),ISNUMBER(SE_LAST_)),SPH_PREOP+CYL_PREOP/2,"")</f>
    </oc>
    <nc r="CI110">
      <f>IF(AND(ISNUMBER(SPH_PREOP),ISNUMBER(SE_LAST_)),SPH_PREOP+CYL_PREOP/2,"")</f>
    </nc>
  </rcc>
  <rcc rId="3776" sId="1">
    <oc r="CI111">
      <f>IF(AND(ISNUMBER(SPH_PREOP),ISNUMBER(SE_LAST_)),SPH_PREOP+CYL_PREOP/2,"")</f>
    </oc>
    <nc r="CI111">
      <f>IF(AND(ISNUMBER(SPH_PREOP),ISNUMBER(SE_LAST_)),SPH_PREOP+CYL_PREOP/2,"")</f>
    </nc>
  </rcc>
  <rcc rId="3777" sId="1">
    <oc r="CI112">
      <f>IF(AND(ISNUMBER(SPH_PREOP),ISNUMBER(SE_LAST_)),SPH_PREOP+CYL_PREOP/2,"")</f>
    </oc>
    <nc r="CI112">
      <f>IF(AND(ISNUMBER(SPH_PREOP),ISNUMBER(SE_LAST_)),SPH_PREOP+CYL_PREOP/2,"")</f>
    </nc>
  </rcc>
  <rcc rId="3778" sId="1">
    <oc r="CI113">
      <f>IF(AND(ISNUMBER(SPH_PREOP),ISNUMBER(SE_LAST_)),SPH_PREOP+CYL_PREOP/2,"")</f>
    </oc>
    <nc r="CI113">
      <f>IF(AND(ISNUMBER(SPH_PREOP),ISNUMBER(SE_LAST_)),SPH_PREOP+CYL_PREOP/2,"")</f>
    </nc>
  </rcc>
  <rcc rId="3779" sId="1">
    <oc r="CI115">
      <f>IF(AND(ISNUMBER(SPH_PREOP),ISNUMBER(SE_LAST_)),SPH_PREOP+CYL_PREOP/2,"")</f>
    </oc>
    <nc r="CI115">
      <f>IF(AND(ISNUMBER(SPH_PREOP),ISNUMBER(SE_LAST_)),SPH_PREOP+CYL_PREOP/2,"")</f>
    </nc>
  </rcc>
  <rcc rId="3780" sId="1">
    <oc r="CI116">
      <f>IF(AND(ISNUMBER(SPH_PREOP),ISNUMBER(SE_LAST_)),SPH_PREOP+CYL_PREOP/2,"")</f>
    </oc>
    <nc r="CI116">
      <f>IF(AND(ISNUMBER(SPH_PREOP),ISNUMBER(SE_LAST_)),SPH_PREOP+CYL_PREOP/2,"")</f>
    </nc>
  </rcc>
  <rcc rId="3781" sId="1">
    <nc r="CI118">
      <f>IF(AND(ISNUMBER(SPH_PREOP),ISNUMBER(SE_LAST_)),SPH_PREOP+CYL_PREOP/2,"")</f>
    </nc>
  </rcc>
  <rcc rId="3782" sId="1">
    <nc r="CI120">
      <f>IF(AND(ISNUMBER(SPH_PREOP),ISNUMBER(SE_LAST_)),SPH_PREOP+CYL_PREOP/2,"")</f>
    </nc>
  </rcc>
  <rcc rId="3783" sId="1">
    <nc r="CI121">
      <f>IF(AND(ISNUMBER(SPH_PREOP),ISNUMBER(SE_LAST_)),SPH_PREOP+CYL_PREOP/2,"")</f>
    </nc>
  </rcc>
  <rcc rId="3784" sId="1">
    <nc r="CI122">
      <f>IF(AND(ISNUMBER(SPH_PREOP),ISNUMBER(SE_LAST_)),SPH_PREOP+CYL_PREOP/2,"")</f>
    </nc>
  </rcc>
  <rcc rId="3785" sId="1">
    <nc r="CI123">
      <f>IF(AND(ISNUMBER(SPH_PREOP),ISNUMBER(SE_LAST_)),SPH_PREOP+CYL_PREOP/2,"")</f>
    </nc>
  </rcc>
  <rcc rId="3786" sId="1">
    <nc r="CI124">
      <f>IF(AND(ISNUMBER(SPH_PREOP),ISNUMBER(SE_LAST_)),SPH_PREOP+CYL_PREOP/2,"")</f>
    </nc>
  </rcc>
  <rcc rId="3787" sId="1">
    <nc r="CI125">
      <f>IF(AND(ISNUMBER(SPH_PREOP),ISNUMBER(SE_LAST_)),SPH_PREOP+CYL_PREOP/2,"")</f>
    </nc>
  </rcc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4C114DD-C157-4E30-91DC-9B94C55E8054}" action="delete"/>
  <rdn rId="0" localSheetId="1" customView="1" name="Z_54C114DD_C157_4E30_91DC_9B94C55E8054_.wvu.Cols" hidden="1" oldHidden="1">
    <formula>Data!$E:$H,Data!$J:$P,Data!$T:$T</formula>
    <oldFormula>Data!$E:$H,Data!$J:$P,Data!$T:$T</oldFormula>
  </rdn>
  <rcv guid="{54C114DD-C157-4E30-91DC-9B94C55E8054}" action="add"/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64:XFD64" start="0" length="0">
    <dxf>
      <border>
        <bottom style="mediumDashed">
          <color indexed="64"/>
        </bottom>
      </border>
    </dxf>
  </rfmt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52:XFD52">
    <dxf>
      <fill>
        <patternFill>
          <bgColor theme="8" tint="0.79998168889431442"/>
        </patternFill>
      </fill>
    </dxf>
  </rfmt>
  <rfmt sheetId="1" sqref="A114:XFD114">
    <dxf>
      <fill>
        <patternFill>
          <bgColor theme="8" tint="0.79998168889431442"/>
        </patternFill>
      </fill>
    </dxf>
  </rfmt>
  <rfmt sheetId="1" sqref="A31:XFD31">
    <dxf>
      <fill>
        <patternFill>
          <bgColor theme="8" tint="0.79998168889431442"/>
        </patternFill>
      </fill>
    </dxf>
  </rfmt>
  <rfmt sheetId="1" sqref="A60:XFD60">
    <dxf>
      <fill>
        <patternFill>
          <bgColor theme="8" tint="0.79998168889431442"/>
        </patternFill>
      </fill>
    </dxf>
  </rfmt>
  <rfmt sheetId="1" sqref="K77" start="0" length="0">
    <dxf>
      <font>
        <sz val="10"/>
        <color auto="1"/>
        <name val="Arial"/>
        <scheme val="none"/>
      </font>
      <alignment horizontal="general" vertical="bottom" readingOrder="0"/>
      <border outline="0">
        <left/>
        <right/>
        <top/>
        <bottom/>
      </border>
    </dxf>
  </rfmt>
  <rfmt sheetId="1" sqref="L77" start="0" length="0">
    <dxf>
      <font>
        <sz val="10"/>
        <color auto="1"/>
        <name val="Arial"/>
        <scheme val="none"/>
      </font>
      <alignment horizontal="general" vertical="bottom" readingOrder="0"/>
      <border outline="0">
        <right/>
        <top/>
        <bottom/>
      </border>
    </dxf>
  </rfmt>
  <rfmt sheetId="1" sqref="M77" start="0" length="0">
    <dxf>
      <font>
        <sz val="10"/>
        <color auto="1"/>
        <name val="Arial"/>
        <scheme val="none"/>
      </font>
      <alignment horizontal="general" vertical="bottom" readingOrder="0"/>
      <border outline="0">
        <right/>
        <top/>
        <bottom/>
      </border>
    </dxf>
  </rfmt>
  <rfmt sheetId="1" sqref="N77" start="0" length="0">
    <dxf>
      <font>
        <sz val="10"/>
        <color auto="1"/>
        <name val="Arial"/>
        <scheme val="none"/>
      </font>
      <alignment horizontal="general" vertical="bottom" readingOrder="0"/>
      <border outline="0">
        <right/>
        <top/>
        <bottom/>
      </border>
    </dxf>
  </rfmt>
  <rfmt sheetId="1" sqref="O77" start="0" length="0">
    <dxf>
      <font>
        <sz val="10"/>
        <color auto="1"/>
        <name val="Arial"/>
        <scheme val="none"/>
      </font>
      <alignment horizontal="general" vertical="bottom" readingOrder="0"/>
      <border outline="0">
        <right/>
        <top/>
        <bottom/>
      </border>
    </dxf>
  </rfmt>
  <rfmt sheetId="1" sqref="K77" start="0" length="0">
    <dxf>
      <alignment vertical="top" wrapText="1" readingOrder="0"/>
    </dxf>
  </rfmt>
  <rfmt sheetId="1" sqref="L77" start="0" length="0">
    <dxf>
      <alignment vertical="top" wrapText="1" readingOrder="0"/>
    </dxf>
  </rfmt>
  <rfmt sheetId="1" sqref="M77" start="0" length="0">
    <dxf>
      <alignment vertical="top" wrapText="1" readingOrder="0"/>
    </dxf>
  </rfmt>
  <rfmt sheetId="1" sqref="N77" start="0" length="0">
    <dxf>
      <alignment vertical="top" wrapText="1" readingOrder="0"/>
    </dxf>
  </rfmt>
  <rfmt sheetId="1" sqref="O77" start="0" length="0">
    <dxf>
      <alignment vertical="top" wrapText="1" readingOrder="0"/>
    </dxf>
  </rfmt>
  <rfmt sheetId="1" xfDxf="1" sqref="K77" start="0" length="0">
    <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</rfmt>
  <rcc rId="3266" sId="1" xfDxf="1" dxf="1">
    <nc r="L77" t="inlineStr">
      <is>
        <t>allergies
diverticulosis
high cholesterol
hernia, childhood diseases, venereal disease
Low blood pressure
Cold sores
Diabetes
Chicken pox
Lymphoma/leukemia
Blood Clots
Use of Prednisone
Gastric Ulcers</t>
      </is>
    </nc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fmt sheetId="1" xfDxf="1" sqref="M77" start="0" length="0">
    <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</rfmt>
  <rfmt sheetId="1" xfDxf="1" sqref="N77" start="0" length="0">
    <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</rfmt>
  <rcc rId="3267" sId="1" xfDxf="1" dxf="1">
    <nc r="O77" t="inlineStr">
      <is>
        <t>Sinus Medication
Acyclovir
Ambien CR
Kombiglyza XR
4% Lidocaine cream
Midodrine HCL
Multi Vitamin
Nasonex Spray 17gm
Osteo Bi-Flex
Pravastatin
Testosterone Cypionate
Venlaxine ER
aspirin, buffered 81 mg tablet
capsaicin 0.1 % Cream</t>
      </is>
    </nc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fmt sheetId="1" sqref="L54" start="0" length="0">
    <dxf>
      <font>
        <sz val="10"/>
        <color auto="1"/>
        <name val="Arial"/>
        <scheme val="none"/>
      </font>
      <alignment horizontal="general" vertical="bottom" readingOrder="0"/>
      <border outline="0">
        <left/>
        <right/>
        <top/>
        <bottom/>
      </border>
    </dxf>
  </rfmt>
  <rfmt sheetId="1" xfDxf="1" sqref="L54" start="0" length="0">
    <dxf>
      <font>
        <color rgb="FF000000"/>
      </font>
    </dxf>
  </rfmt>
  <rcc rId="3268" sId="1">
    <oc r="J1" t="inlineStr">
      <is>
        <t>Diagnosis</t>
      </is>
    </oc>
    <nc r="J1" t="inlineStr">
      <is>
        <t>Diagnosis (Bold = Verified)</t>
      </is>
    </nc>
  </rcc>
  <rfmt sheetId="1" sqref="J77" start="0" length="2147483647">
    <dxf>
      <font>
        <b/>
      </font>
    </dxf>
  </rfmt>
  <rfmt sheetId="1" sqref="M54" start="0" length="2147483647">
    <dxf>
      <font>
        <b/>
      </font>
    </dxf>
  </rfmt>
  <rfmt sheetId="1" sqref="M54" start="0" length="2147483647">
    <dxf>
      <font>
        <b val="0"/>
      </font>
    </dxf>
  </rfmt>
  <rcc rId="3269" sId="1">
    <nc r="M54" t="inlineStr">
      <is>
        <t>YAG OS</t>
      </is>
    </nc>
  </rcc>
  <rfmt sheetId="1" sqref="M54" start="0" length="2147483647">
    <dxf>
      <font>
        <b/>
      </font>
    </dxf>
  </rfmt>
  <rcc rId="3270" sId="1" odxf="1" dxf="1">
    <nc r="L54" t="inlineStr">
      <is>
        <t>allergies, HTN, diet controlled diabetes, thyroid, tinnitis</t>
      </is>
    </nc>
    <ndxf>
      <alignment horizontal="left" vertical="top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fmt sheetId="1" sqref="J4" start="0" length="2147483647">
    <dxf>
      <font>
        <i/>
      </font>
    </dxf>
  </rfmt>
  <rfmt sheetId="1" sqref="J18" start="0" length="2147483647">
    <dxf>
      <font>
        <i/>
      </font>
    </dxf>
  </rfmt>
  <rfmt sheetId="1" sqref="J18" start="0" length="2147483647">
    <dxf>
      <font>
        <i val="0"/>
      </font>
    </dxf>
  </rfmt>
  <rfmt sheetId="1" sqref="J4" start="0" length="2147483647">
    <dxf>
      <font>
        <i val="0"/>
      </font>
    </dxf>
  </rfmt>
  <rfmt sheetId="1" sqref="J4" start="0" length="2147483647">
    <dxf>
      <font>
        <b/>
      </font>
    </dxf>
  </rfmt>
  <rfmt sheetId="1" sqref="J54" start="0" length="2147483647">
    <dxf>
      <font>
        <b/>
      </font>
    </dxf>
  </rfmt>
  <rcc rId="3271" sId="1">
    <nc r="N54" t="inlineStr">
      <is>
        <t>timoptic</t>
      </is>
    </nc>
  </rcc>
  <rrc rId="3272" sId="1" ref="L1:L1048576" action="insertCol" edge="1">
    <undo index="0" exp="area" ref3D="1" dr="$BI$1:$BI$1048576" dn="BCVA_12"/>
    <undo index="0" exp="area" ref3D="1" dr="$AQ$1:$AQ$1048576" dn="BCVA_6"/>
    <undo index="0" exp="area" ref3D="1" dr="$X$1:$X$1048576" dn="BCVA_PREOP"/>
    <undo index="0" exp="area" ref3D="1" dr="$CN$1:$CN$1048576" dn="CYL_LAST"/>
    <undo index="0" exp="area" ref3D="1" dr="$V$1:$V$1048576" dn="CYL_PREOP"/>
    <undo index="0" exp="area" ref3D="1" dr="$CB$1:$CB$1048576" dn="FOLLOWUP_MONTHS"/>
    <undo index="0" exp="area" ref3D="1" dr="$BW$1:$BW$1048576" dn="FU_6_AND_12"/>
    <undo index="0" exp="area" ref3D="1" dr="$BO$1:$BO$1048576" dn="K1_12"/>
    <undo index="0" exp="area" ref3D="1" dr="$CP$1:$CP$1048576" dn="LAST_CDVA"/>
    <undo index="0" exp="area" ref3D="1" dr="$CM$1:$CM$1048576" dn="LAST_CHANGE_CDVA"/>
    <undo index="0" exp="area" ref3D="1" dr="$CI$1:$CI$1048576" dn="LAST_SE_ERROR"/>
    <undo index="0" exp="area" ref3D="1" dr="$CR$1:$CR$1048576" dn="LAST_UDVA_DIST"/>
    <undo index="0" exp="area" ref3D="1" dr="$CT$1:$CT$1048576" dn="MISSING_PENT_12"/>
    <undo index="0" exp="area" ref3D="1" dr="$CS$1:$CS$1048576" dn="MISSING_PENT_6"/>
    <undo index="0" exp="area" ref3D="1" dr="$T$1:$T$1048576" dn="PREOP"/>
    <undo index="0" exp="area" ref3D="1" dr="$X$1:$X$1048576" dn="PREOP_BCVA"/>
    <undo index="0" exp="area" ref3D="1" dr="$CQ$1:$CQ$1048576" dn="PREOP_CDVA_IF_LAST_KNOWN"/>
    <undo index="0" exp="area" ref3D="1" dr="$CW$1:$CW$1048576" dn="PREOP_PENTACAM_RV"/>
    <undo index="0" exp="area" ref3D="1" dr="$Q$1:$Q$1048576" dn="REF_TARGET"/>
    <undo index="0" exp="area" ref3D="1" dr="$CL$1:$CL$1048576" dn="REF_TARGET_IF_SE_KNOWN"/>
    <undo index="0" exp="area" ref3D="1" dr="$BS$1:$BS$1048576" dn="SE_12"/>
    <undo index="0" exp="area" ref3D="1" dr="$BZ$1:$BZ$1048576" dn="SE_12_IF_6_12"/>
    <undo index="0" exp="area" ref3D="1" dr="$BA$1:$BA$1048576" dn="SE_6"/>
    <undo index="0" exp="area" ref3D="1" dr="$BY$1:$BY$1048576" dn="SE_6_IF_6_12"/>
    <undo index="0" exp="area" ref3D="1" dr="$BT$1:$BT$1048576" dn="SE_ERROR_12"/>
    <undo index="0" exp="area" ref3D="1" dr="$CG$1:$CG$1048576" dn="SE_PREOP"/>
    <undo index="0" exp="area" ref3D="1" dr="$CH$1:$CH$1048576" dn="SE_LAST_"/>
    <undo index="0" exp="area" ref3D="1" dr="$BX$1:$BX$1048576" dn="SE_preop_IF_6_12"/>
    <undo index="0" exp="area" ref3D="1" dr="$AI$1:$AI$1048576" dn="SK"/>
    <undo index="0" exp="area" ref3D="1" dr="$AN$1:$AN$1048576" dn="SPH_6"/>
    <undo index="0" exp="area" ref3D="1" dr="$BF$1:$BF$1048576" dn="SPH_12"/>
    <undo index="0" exp="area" ref3D="1" dr="$U$1:$U$1048576" dn="SPH_PREOP"/>
    <undo index="0" exp="area" ref3D="1" dr="$BE$1:$BE$1048576" dn="UDVA_12"/>
    <undo index="0" exp="area" ref3D="1" dr="$AM$1:$AM$1048576" dn="UDVA_6"/>
    <undo index="4" exp="area" ref3D="1" dr="$T$1:$T$1048576" dn="Z_54C114DD_C157_4E30_91DC_9B94C55E8054_.wvu.Cols" sId="1"/>
    <undo index="2" exp="area" ref3D="1" dr="$J$1:$P$1048576" dn="Z_54C114DD_C157_4E30_91DC_9B94C55E8054_.wvu.Cols" sId="1"/>
    <undo index="2" exp="area" ref3D="1" dr="$ER$1:$HT$1048576" dn="Z_9D4EC4DC_E305_42C0_86D3_802895C39393_.wvu.Cols" sId="1"/>
    <undo index="1" exp="area" ref3D="1" dr="$CJ$1:$CK$1048576" dn="Z_9D4EC4DC_E305_42C0_86D3_802895C39393_.wvu.Cols" sId="1"/>
  </rrc>
  <rrc rId="3273" sId="1" ref="L1:L1048576" action="insertCol" edge="1">
    <undo index="0" exp="area" ref3D="1" dr="$BJ$1:$BJ$1048576" dn="BCVA_12"/>
    <undo index="0" exp="area" ref3D="1" dr="$AR$1:$AR$1048576" dn="BCVA_6"/>
    <undo index="0" exp="area" ref3D="1" dr="$Y$1:$Y$1048576" dn="BCVA_PREOP"/>
    <undo index="0" exp="area" ref3D="1" dr="$CO$1:$CO$1048576" dn="CYL_LAST"/>
    <undo index="0" exp="area" ref3D="1" dr="$W$1:$W$1048576" dn="CYL_PREOP"/>
    <undo index="0" exp="area" ref3D="1" dr="$CC$1:$CC$1048576" dn="FOLLOWUP_MONTHS"/>
    <undo index="0" exp="area" ref3D="1" dr="$BX$1:$BX$1048576" dn="FU_6_AND_12"/>
    <undo index="0" exp="area" ref3D="1" dr="$BP$1:$BP$1048576" dn="K1_12"/>
    <undo index="0" exp="area" ref3D="1" dr="$CQ$1:$CQ$1048576" dn="LAST_CDVA"/>
    <undo index="0" exp="area" ref3D="1" dr="$CN$1:$CN$1048576" dn="LAST_CHANGE_CDVA"/>
    <undo index="0" exp="area" ref3D="1" dr="$CJ$1:$CJ$1048576" dn="LAST_SE_ERROR"/>
    <undo index="0" exp="area" ref3D="1" dr="$CS$1:$CS$1048576" dn="LAST_UDVA_DIST"/>
    <undo index="0" exp="area" ref3D="1" dr="$CU$1:$CU$1048576" dn="MISSING_PENT_12"/>
    <undo index="0" exp="area" ref3D="1" dr="$CT$1:$CT$1048576" dn="MISSING_PENT_6"/>
    <undo index="0" exp="area" ref3D="1" dr="$U$1:$U$1048576" dn="PREOP"/>
    <undo index="0" exp="area" ref3D="1" dr="$Y$1:$Y$1048576" dn="PREOP_BCVA"/>
    <undo index="0" exp="area" ref3D="1" dr="$CR$1:$CR$1048576" dn="PREOP_CDVA_IF_LAST_KNOWN"/>
    <undo index="0" exp="area" ref3D="1" dr="$CX$1:$CX$1048576" dn="PREOP_PENTACAM_RV"/>
    <undo index="0" exp="area" ref3D="1" dr="$R$1:$R$1048576" dn="REF_TARGET"/>
    <undo index="0" exp="area" ref3D="1" dr="$CM$1:$CM$1048576" dn="REF_TARGET_IF_SE_KNOWN"/>
    <undo index="0" exp="area" ref3D="1" dr="$BT$1:$BT$1048576" dn="SE_12"/>
    <undo index="0" exp="area" ref3D="1" dr="$CA$1:$CA$1048576" dn="SE_12_IF_6_12"/>
    <undo index="0" exp="area" ref3D="1" dr="$BB$1:$BB$1048576" dn="SE_6"/>
    <undo index="0" exp="area" ref3D="1" dr="$BZ$1:$BZ$1048576" dn="SE_6_IF_6_12"/>
    <undo index="0" exp="area" ref3D="1" dr="$BU$1:$BU$1048576" dn="SE_ERROR_12"/>
    <undo index="0" exp="area" ref3D="1" dr="$CH$1:$CH$1048576" dn="SE_PREOP"/>
    <undo index="0" exp="area" ref3D="1" dr="$CI$1:$CI$1048576" dn="SE_LAST_"/>
    <undo index="0" exp="area" ref3D="1" dr="$BY$1:$BY$1048576" dn="SE_preop_IF_6_12"/>
    <undo index="0" exp="area" ref3D="1" dr="$AJ$1:$AJ$1048576" dn="SK"/>
    <undo index="0" exp="area" ref3D="1" dr="$AO$1:$AO$1048576" dn="SPH_6"/>
    <undo index="0" exp="area" ref3D="1" dr="$BG$1:$BG$1048576" dn="SPH_12"/>
    <undo index="0" exp="area" ref3D="1" dr="$V$1:$V$1048576" dn="SPH_PREOP"/>
    <undo index="0" exp="area" ref3D="1" dr="$BF$1:$BF$1048576" dn="UDVA_12"/>
    <undo index="0" exp="area" ref3D="1" dr="$AN$1:$AN$1048576" dn="UDVA_6"/>
    <undo index="4" exp="area" ref3D="1" dr="$U$1:$U$1048576" dn="Z_54C114DD_C157_4E30_91DC_9B94C55E8054_.wvu.Cols" sId="1"/>
    <undo index="2" exp="area" ref3D="1" dr="$J$1:$Q$1048576" dn="Z_54C114DD_C157_4E30_91DC_9B94C55E8054_.wvu.Cols" sId="1"/>
    <undo index="2" exp="area" ref3D="1" dr="$ES$1:$HU$1048576" dn="Z_9D4EC4DC_E305_42C0_86D3_802895C39393_.wvu.Cols" sId="1"/>
    <undo index="1" exp="area" ref3D="1" dr="$CK$1:$CL$1048576" dn="Z_9D4EC4DC_E305_42C0_86D3_802895C39393_.wvu.Cols" sId="1"/>
  </rrc>
  <rcc rId="3274" sId="1">
    <oc r="K1" t="inlineStr">
      <is>
        <t>PAST OCULAR MEDICAL HISTORY</t>
      </is>
    </oc>
    <nc r="K1" t="inlineStr">
      <is>
        <t>POHx: Other</t>
      </is>
    </nc>
  </rcc>
  <rcc rId="3275" sId="1">
    <nc r="L77">
      <v>1</v>
    </nc>
  </rcc>
  <rcc rId="3276" sId="1">
    <nc r="L54">
      <v>1</v>
    </nc>
  </rcc>
  <rcc rId="3277" sId="1">
    <nc r="M54">
      <v>1</v>
    </nc>
  </rcc>
  <rcc rId="3278" sId="1">
    <nc r="L4">
      <v>1</v>
    </nc>
  </rcc>
  <rcc rId="3279" sId="1">
    <nc r="L18">
      <v>1</v>
    </nc>
  </rcc>
  <rcc rId="3280" sId="1">
    <nc r="L38">
      <v>1</v>
    </nc>
  </rcc>
  <rcc rId="3281" sId="1">
    <nc r="L1" t="inlineStr">
      <is>
        <t>POHx: Dry Eye (Using Ats or reported)</t>
      </is>
    </nc>
  </rcc>
  <rfmt sheetId="1" sqref="J18" start="0" length="2147483647">
    <dxf>
      <font>
        <b/>
      </font>
    </dxf>
  </rfmt>
  <rfmt sheetId="1" sqref="J38" start="0" length="2147483647">
    <dxf>
      <font>
        <b/>
      </font>
    </dxf>
  </rfmt>
  <rfmt sheetId="1" sqref="J24" start="0" length="2147483647">
    <dxf>
      <font>
        <b/>
      </font>
    </dxf>
  </rfmt>
  <rcc rId="3282" sId="1">
    <nc r="L24">
      <v>1</v>
    </nc>
  </rcc>
  <rcc rId="3283" sId="1">
    <nc r="L19">
      <v>1</v>
    </nc>
  </rcc>
  <rfmt sheetId="1" sqref="J19" start="0" length="2147483647">
    <dxf>
      <font>
        <b/>
      </font>
    </dxf>
  </rfmt>
  <rcc rId="3284" sId="1">
    <nc r="O60" t="inlineStr">
      <is>
        <t>yag cap?</t>
      </is>
    </nc>
  </rcc>
  <rcc rId="3285" sId="1">
    <nc r="K60" t="inlineStr">
      <is>
        <t>AMBLOPYIA</t>
      </is>
    </nc>
  </rcc>
  <rcc rId="3286" sId="1">
    <nc r="L60">
      <v>1</v>
    </nc>
  </rcc>
  <rcc rId="3287" sId="1">
    <nc r="K61" t="inlineStr">
      <is>
        <t>retinal detachment s/p retinopexy, ERM, lattice degeneration</t>
      </is>
    </nc>
  </rcc>
  <rfmt sheetId="1" sqref="K1:Q1048576">
    <dxf>
      <alignment wrapText="0" readingOrder="0"/>
    </dxf>
  </rfmt>
  <rfmt sheetId="1" sqref="K61">
    <dxf>
      <alignment wrapText="1" readingOrder="0"/>
    </dxf>
  </rfmt>
  <rfmt sheetId="1" sqref="K1:K1048576">
    <dxf>
      <alignment wrapText="1" readingOrder="0"/>
    </dxf>
  </rfmt>
  <rfmt sheetId="1" sqref="K1:Q1048576" start="0" length="2147483647">
    <dxf>
      <font>
        <sz val="10"/>
      </font>
    </dxf>
  </rfmt>
  <rcc rId="3288" sId="1">
    <nc r="K22" t="inlineStr">
      <is>
        <t>lattice degeneration</t>
      </is>
    </nc>
  </rcc>
  <rfmt sheetId="1" sqref="J61" start="0" length="2147483647">
    <dxf>
      <font>
        <i/>
      </font>
    </dxf>
  </rfmt>
  <rfmt sheetId="1" sqref="J61" start="0" length="2147483647">
    <dxf>
      <font>
        <i val="0"/>
      </font>
    </dxf>
  </rfmt>
  <rcc rId="3289" sId="1">
    <nc r="L39">
      <v>1</v>
    </nc>
  </rcc>
  <rfmt sheetId="1" sqref="J39" start="0" length="2147483647">
    <dxf>
      <font>
        <b/>
      </font>
    </dxf>
  </rfmt>
  <rfmt sheetId="1" sqref="J22" start="0" length="2147483647">
    <dxf>
      <font>
        <b/>
      </font>
    </dxf>
  </rfmt>
  <rfmt sheetId="1" sqref="J61" start="0" length="2147483647">
    <dxf>
      <font>
        <b/>
      </font>
    </dxf>
  </rfmt>
  <rfmt sheetId="1" sqref="J30" start="0" length="2147483647">
    <dxf>
      <font>
        <b/>
      </font>
    </dxf>
  </rfmt>
  <rcc rId="3290" sId="1" odxf="1" dxf="1">
    <nc r="N30" t="inlineStr">
      <is>
        <t>Asthma (controlled),Thyroid disease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291" sId="1" odxf="1" dxf="1">
    <nc r="O30" t="inlineStr">
      <is>
        <t>yag cap?</t>
      </is>
    </nc>
    <odxf>
      <font/>
      <fill>
        <patternFill patternType="none">
          <bgColor indexed="65"/>
        </patternFill>
      </fill>
      <alignment horizontal="center" readingOrder="0"/>
    </odxf>
    <ndxf>
      <font>
        <color indexed="8"/>
      </font>
      <fill>
        <patternFill patternType="solid">
          <bgColor theme="8" tint="0.79998168889431442"/>
        </patternFill>
      </fill>
      <alignment horizontal="left" readingOrder="0"/>
    </ndxf>
  </rcc>
  <rcc rId="3292" sId="1">
    <nc r="L30">
      <v>1</v>
    </nc>
  </rcc>
  <rfmt sheetId="1" sqref="J27" start="0" length="2147483647">
    <dxf>
      <font>
        <b/>
      </font>
    </dxf>
  </rfmt>
  <rcc rId="3293" sId="1" odxf="1" dxf="1">
    <nc r="N27" t="inlineStr">
      <is>
        <t>thyroid dysfunction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294" sId="1">
    <nc r="O27" t="inlineStr">
      <is>
        <t>yap cag 2/19/2013 (POM #4)</t>
      </is>
    </nc>
  </rcc>
  <rcc rId="3295" sId="1">
    <nc r="L27">
      <v>1</v>
    </nc>
  </rcc>
  <rcc rId="3296" sId="1">
    <nc r="O3" t="inlineStr">
      <is>
        <t>yag cap</t>
      </is>
    </nc>
  </rcc>
  <rcc rId="3297" sId="1" odxf="1" dxf="1">
    <nc r="N16" t="inlineStr">
      <is>
        <t>allergies
thyroid dz, h/o basal cell, diverticulosis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298" sId="1" odxf="1" dxf="1">
    <nc r="N3" t="inlineStr">
      <is>
        <t>high cholesterol</t>
      </is>
    </nc>
    <odxf>
      <font/>
      <alignment horizontal="center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299" sId="1">
    <nc r="L16">
      <v>1</v>
    </nc>
  </rcc>
  <rcc rId="3300" sId="1" odxf="1" dxf="1">
    <nc r="N49" t="inlineStr">
      <is>
        <t>Membranous Proliferative Glomerulonepohritis
asthma
high cholesterol
high blood pressure
Sinus problems
Cold sores
Kidney disease
Chicken pox
Bronchitis
Gastric Reflux
Anemia
Organ transplant
Eczema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01" sId="1" odxf="1" dxf="1">
    <nc r="AM49" t="inlineStr">
      <is>
        <t>Astigmatism Manangement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3302" sId="1">
    <nc r="M49">
      <v>1</v>
    </nc>
  </rcc>
  <rcc rId="3303" sId="1">
    <nc r="L49">
      <v>1</v>
    </nc>
  </rcc>
  <rcc rId="3304" sId="1" odxf="1" dxf="1">
    <nc r="N56" t="inlineStr">
      <is>
        <t>High blood pressure
High cholesterol
Gastric Reflux
Migraine headache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05" sId="1">
    <nc r="K56" t="inlineStr">
      <is>
        <t>retinal tear?</t>
      </is>
    </nc>
  </rcc>
  <rcc rId="3306" sId="1" odxf="1" dxf="1">
    <nc r="N23" t="inlineStr">
      <is>
        <t>High blood pressure
High cholesterol
Eczema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fmt sheetId="1" sqref="J23" start="0" length="2147483647">
    <dxf>
      <font>
        <b/>
      </font>
    </dxf>
  </rfmt>
  <rfmt sheetId="1" sqref="J56" start="0" length="2147483647">
    <dxf>
      <font>
        <b/>
      </font>
    </dxf>
  </rfmt>
  <rfmt sheetId="1" sqref="J3" start="0" length="2147483647">
    <dxf>
      <font>
        <b/>
      </font>
    </dxf>
  </rfmt>
  <rfmt sheetId="1" sqref="J16" start="0" length="2147483647">
    <dxf>
      <font>
        <b/>
      </font>
    </dxf>
  </rfmt>
  <rfmt sheetId="1" sqref="J49" start="0" length="2147483647">
    <dxf>
      <font>
        <b/>
      </font>
    </dxf>
  </rfmt>
  <rfmt sheetId="1" sqref="J11" start="0" length="2147483647">
    <dxf>
      <font>
        <b/>
      </font>
    </dxf>
  </rfmt>
  <rcc rId="3307" sId="1">
    <nc r="AM11" t="inlineStr">
      <is>
        <t>Astigmatism management</t>
      </is>
    </nc>
  </rcc>
  <rfmt sheetId="1" sqref="J48" start="0" length="2147483647">
    <dxf>
      <font>
        <b/>
      </font>
    </dxf>
  </rfmt>
  <rcc rId="3308" sId="1">
    <nc r="L48">
      <v>1</v>
    </nc>
  </rcc>
  <rcc rId="3309" sId="1" odxf="1" dxf="1">
    <nc r="N68" t="inlineStr">
      <is>
        <t>No significant systemic illnesses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10" sId="1" odxf="1" dxf="1">
    <oc r="J68" t="inlineStr">
      <is>
        <t>Fuch's, VKH, posterior synechiae,h/o K ulcer</t>
      </is>
    </oc>
    <nc r="J68" t="inlineStr">
      <is>
        <t>Fuch's</t>
      </is>
    </nc>
    <odxf>
      <font>
        <b val="0"/>
        <sz val="10"/>
        <color auto="1"/>
        <name val="Arial"/>
        <scheme val="none"/>
      </font>
      <alignment wrapText="1" readingOrder="0"/>
    </odxf>
    <ndxf>
      <font>
        <b/>
        <sz val="10"/>
        <color auto="1"/>
        <name val="Arial"/>
        <scheme val="none"/>
      </font>
      <alignment wrapText="0" readingOrder="0"/>
    </ndxf>
  </rcc>
  <rfmt sheetId="1" sqref="J43" start="0" length="2147483647">
    <dxf>
      <font>
        <b/>
      </font>
    </dxf>
  </rfmt>
  <rcc rId="3311" sId="1" odxf="1" dxf="1">
    <nc r="N43" t="inlineStr">
      <is>
        <t>broder line cholesterol
hypertension
Osteoporosis, Heart murmur</t>
      </is>
    </nc>
    <odxf>
      <font/>
      <alignment horizontal="center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12" sId="1">
    <nc r="N69" t="inlineStr">
      <is>
        <t>HTN, HLD, CAD</t>
      </is>
    </nc>
  </rcc>
  <rcc rId="3313" sId="1">
    <nc r="L69">
      <v>1</v>
    </nc>
  </rcc>
  <rcc rId="3314" sId="1">
    <nc r="L43">
      <v>1</v>
    </nc>
  </rcc>
  <rcc rId="3315" sId="1" odxf="1" dxf="1">
    <nc r="J29" t="inlineStr">
      <is>
        <t>Fuch's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1" sqref="K69" start="0" length="2147483647">
    <dxf>
      <font>
        <i/>
      </font>
    </dxf>
  </rfmt>
  <rcc rId="3316" sId="1">
    <nc r="K29" t="inlineStr">
      <is>
        <t>ABMD</t>
      </is>
    </nc>
  </rcc>
  <rcc rId="3317" sId="1">
    <nc r="L29">
      <v>1</v>
    </nc>
  </rcc>
  <rcc rId="3318" sId="1" odxf="1" dxf="1">
    <nc r="N29" t="inlineStr">
      <is>
        <t>High blood pressure
High cholesterol
Osteoporosis
Skin cancer
Intestinal / Bowel Disease</t>
      </is>
    </nc>
    <odxf>
      <font>
        <color indexed="8"/>
      </font>
      <alignment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fmt sheetId="1" sqref="J29" start="0" length="2147483647">
    <dxf>
      <font>
        <b/>
      </font>
    </dxf>
  </rfmt>
  <rfmt sheetId="1" sqref="J69" start="0" length="2147483647">
    <dxf>
      <font>
        <b/>
      </font>
    </dxf>
  </rfmt>
  <rcc rId="3319" sId="1" odxf="1" dxf="1">
    <nc r="J13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20" sId="1">
    <nc r="M13">
      <v>1</v>
    </nc>
  </rcc>
  <rcc rId="3321" sId="1">
    <nc r="K69" t="inlineStr">
      <is>
        <t>early dry ARMD</t>
      </is>
    </nc>
  </rcc>
  <rfmt sheetId="1" sqref="K69" start="0" length="2147483647">
    <dxf>
      <font>
        <i val="0"/>
      </font>
    </dxf>
  </rfmt>
  <rcc rId="3322" sId="1">
    <oc r="J52" t="inlineStr">
      <is>
        <t>Fuch's, ABMD, amblyopia</t>
      </is>
    </oc>
    <nc r="J52" t="inlineStr">
      <is>
        <t>Fuch's</t>
      </is>
    </nc>
  </rcc>
  <rfmt sheetId="1" xfDxf="1" sqref="K52" start="0" length="0">
    <dxf>
      <font/>
      <fill>
        <patternFill patternType="solid">
          <bgColor theme="8" tint="0.79998168889431442"/>
        </patternFill>
      </fill>
      <alignment horizontal="center" wrapText="1" readingOrder="0"/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medium">
          <color indexed="22"/>
        </bottom>
      </border>
    </dxf>
  </rfmt>
  <rcc rId="3323" sId="1">
    <nc r="K52" t="inlineStr">
      <is>
        <r>
          <t xml:space="preserve">ABMD, </t>
        </r>
        <r>
          <rPr>
            <b/>
            <sz val="10"/>
            <rFont val="Arial"/>
            <family val="2"/>
          </rPr>
          <t>amblyopia</t>
        </r>
      </is>
    </nc>
  </rcc>
  <rcc rId="3324" sId="1">
    <nc r="L13">
      <v>1</v>
    </nc>
  </rcc>
  <rcc rId="3325" sId="1">
    <nc r="L7">
      <v>1</v>
    </nc>
  </rcc>
  <rcc rId="3326" sId="1" odxf="1" dxf="1">
    <nc r="J7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27" sId="1" odxf="1" dxf="1">
    <nc r="J71" t="inlineStr">
      <is>
        <t>Fuch's</t>
      </is>
    </nc>
    <odxf>
      <font>
        <sz val="10"/>
        <color auto="1"/>
        <name val="Arial"/>
        <scheme val="none"/>
      </font>
      <fill>
        <patternFill patternType="none">
          <bgColor indexed="65"/>
        </patternFill>
      </fill>
    </odxf>
    <ndxf>
      <font>
        <sz val="10"/>
        <color auto="1"/>
        <name val="Arial"/>
        <scheme val="none"/>
      </font>
      <fill>
        <patternFill patternType="solid">
          <bgColor theme="8" tint="0.79998168889431442"/>
        </patternFill>
      </fill>
    </ndxf>
  </rcc>
  <rfmt sheetId="1" sqref="J52" start="0" length="2147483647">
    <dxf>
      <font>
        <b/>
      </font>
    </dxf>
  </rfmt>
  <rfmt sheetId="1" sqref="J71" start="0" length="2147483647">
    <dxf>
      <font>
        <b/>
      </font>
    </dxf>
  </rfmt>
  <rcc rId="3328" sId="1">
    <nc r="M71">
      <v>1</v>
    </nc>
  </rcc>
  <rcc rId="3329" sId="1">
    <nc r="M1" t="inlineStr">
      <is>
        <t>POHx: OAG or steroid response</t>
      </is>
    </nc>
  </rcc>
  <rfmt sheetId="1" sqref="M1">
    <dxf>
      <alignment wrapText="1" readingOrder="0"/>
    </dxf>
  </rfmt>
  <rfmt sheetId="1" sqref="L1">
    <dxf>
      <alignment wrapText="1" readingOrder="0"/>
    </dxf>
  </rfmt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Data!$E:$H,Data!$J:$R,Data!$V:$V</oldFormula>
  </rdn>
  <rcv guid="{54C114DD-C157-4E30-91DC-9B94C55E8054}" action="add"/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J62" start="0" length="0">
    <dxf>
      <font>
        <b/>
        <sz val="10"/>
        <color auto="1"/>
        <name val="Arial"/>
        <scheme val="none"/>
      </font>
      <fill>
        <patternFill patternType="solid">
          <bgColor theme="8" tint="0.79998168889431442"/>
        </patternFill>
      </fill>
    </dxf>
  </rfmt>
  <rcc rId="3331" sId="1" odxf="1" dxf="1">
    <nc r="J62" t="inlineStr">
      <is>
        <t>Fuch's</t>
      </is>
    </nc>
    <ndxf>
      <fill>
        <patternFill patternType="none">
          <bgColor indexed="65"/>
        </patternFill>
      </fill>
    </ndxf>
  </rcc>
  <rfmt sheetId="1" sqref="J71" start="0" length="0">
    <dxf>
      <fill>
        <patternFill patternType="none">
          <bgColor indexed="65"/>
        </patternFill>
      </fill>
    </dxf>
  </rfmt>
  <rcc rId="3332" sId="1" odxf="1" dxf="1">
    <nc r="N62" t="inlineStr">
      <is>
        <t>High blood pressure
Overactive thyroid / Graves
Eczema
car accident 2008-knee damage</t>
      </is>
    </nc>
    <odxf>
      <font>
        <color indexed="8"/>
      </font>
      <alignment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33" sId="1">
    <nc r="N71" t="inlineStr">
      <is>
        <t>HTN, HLD</t>
      </is>
    </nc>
  </rcc>
  <rfmt sheetId="1" sqref="K62" start="0" length="2147483647">
    <dxf>
      <font>
        <b/>
      </font>
    </dxf>
  </rfmt>
  <rcc rId="3334" sId="1">
    <nc r="K62" t="inlineStr">
      <is>
        <t>acute postoperative endophthalmitis POD #5 w/ viteous tap &amp; inject (0.1 cc vancomycin, 0.1 cc ceftazidime) - culture negative; air injection pod #12; yag PI POD #15 for iris bombe, repeat yag PI POD #29</t>
      </is>
    </nc>
  </rcc>
  <rcc rId="3335" sId="1" odxf="1" dxf="1">
    <nc r="J35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36" sId="1" odxf="1" dxf="1">
    <nc r="N35" t="inlineStr">
      <is>
        <t>hypertension
hemorrhoids, diabetes</t>
      </is>
    </nc>
    <odxf>
      <font/>
      <alignment horizontal="general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37" sId="1">
    <nc r="M35">
      <v>1</v>
    </nc>
  </rcc>
  <rcc rId="3338" sId="1">
    <nc r="L35">
      <v>1</v>
    </nc>
  </rcc>
  <rcc rId="3339" sId="1" odxf="1" dxf="1">
    <nc r="J40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40" sId="1" odxf="1" dxf="1">
    <nc r="J2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41" sId="1" odxf="1" dxf="1">
    <nc r="N2" t="inlineStr">
      <is>
        <t>Thyroid Dysfunction
Diabetes</t>
      </is>
    </nc>
    <odxf>
      <font>
        <color indexed="8"/>
      </font>
      <alignment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42" sId="1">
    <nc r="M2">
      <v>1</v>
    </nc>
  </rcc>
  <rcc rId="3343" sId="1" odxf="1" dxf="1">
    <nc r="J32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44" sId="1" odxf="1" dxf="1">
    <nc r="J8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45" sId="1">
    <nc r="L32">
      <v>1</v>
    </nc>
  </rcc>
  <rcc rId="3346" sId="1">
    <nc r="L8">
      <v>1</v>
    </nc>
  </rcc>
  <rcc rId="3347" sId="1" odxf="1" dxf="1">
    <nc r="N32" t="inlineStr">
      <is>
        <t>Asthma
Chronic autoimmune Hepatitis
High blood pressure
Liver disease
Diabetes
Depression
High cholesterol
Use of Prednisone</t>
      </is>
    </nc>
    <odxf>
      <font>
        <color indexed="8"/>
      </font>
      <alignment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48" sId="1" odxf="1" dxf="1">
    <nc r="N8" t="inlineStr">
      <is>
        <t>Asthma
Chronic autoimmune Hepatitis
High blood pressure
Liver disease
Diabetes
Depression
High cholesterol
Use of Prednisone</t>
      </is>
    </nc>
    <odxf>
      <font>
        <color indexed="8"/>
      </font>
      <alignment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49" sId="1" odxf="1" dxf="1">
    <nc r="J12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50" sId="1" odxf="1" dxf="1">
    <nc r="N12" t="inlineStr">
      <is>
        <t>Asthma
Chicken pox
Bronchitis
Pneumonia</t>
      </is>
    </nc>
    <odxf>
      <font>
        <color indexed="8"/>
      </font>
      <alignment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fmt sheetId="1" sqref="J10" start="0" length="2147483647">
    <dxf>
      <font>
        <b/>
      </font>
    </dxf>
  </rfmt>
  <rcc rId="3351" sId="1" odxf="1" dxf="1">
    <nc r="N10" t="inlineStr">
      <is>
        <t>High blood pressure
Kidney disease
High cholesterol</t>
      </is>
    </nc>
    <odxf>
      <font/>
      <alignment horizontal="center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52" sId="1">
    <nc r="L10">
      <v>1</v>
    </nc>
  </rcc>
  <rfmt sheetId="1" sqref="J20" start="0" length="2147483647">
    <dxf>
      <font>
        <b/>
      </font>
    </dxf>
  </rfmt>
  <rcc rId="3353" sId="1" odxf="1" dxf="1">
    <nc r="J21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54" sId="1" odxf="1" dxf="1">
    <nc r="N20" t="inlineStr">
      <is>
        <t>Chicken pox
Overactive thyroid / Graves
Underactive thyroid
Eczema
Psoriasis</t>
      </is>
    </nc>
    <odxf>
      <font>
        <color indexed="8"/>
      </font>
      <alignment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55" sId="1">
    <nc r="L20">
      <v>1</v>
    </nc>
  </rcc>
  <rcc rId="3356" sId="1" odxf="1" dxf="1">
    <nc r="N21" t="inlineStr">
      <is>
        <t>HTN, allergies</t>
      </is>
    </nc>
    <odxf>
      <font>
        <color indexed="8"/>
      </font>
      <alignment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57" sId="1" odxf="1" dxf="1">
    <nc r="N26" t="inlineStr">
      <is>
        <t>HTN, allergies</t>
      </is>
    </nc>
    <odxf>
      <font>
        <color indexed="8"/>
      </font>
      <alignment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58" sId="1" odxf="1" dxf="1">
    <nc r="J26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59" sId="1" odxf="1" dxf="1">
    <nc r="J41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60" sId="1" odxf="1" dxf="1">
    <nc r="N41" t="inlineStr">
      <is>
        <t>High cholesterol
Osteoporosis
Chicken pox
Underactive thyroid
Other condition not listed</t>
      </is>
    </nc>
    <odxf>
      <font>
        <color indexed="8"/>
      </font>
      <alignment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61" sId="1" odxf="1" dxf="1">
    <nc r="J34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62" sId="1" odxf="1" dxf="1">
    <nc r="N34" t="inlineStr">
      <is>
        <t>High cholesterol
Osteoporosis
Chicken pox
Underactive thyroid
Other condition not listed</t>
      </is>
    </nc>
    <odxf>
      <font>
        <color indexed="8"/>
      </font>
      <alignment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63" sId="1" odxf="1" dxf="1">
    <nc r="J66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64" sId="1">
    <nc r="L66">
      <v>1</v>
    </nc>
  </rcc>
  <rcc rId="3365" sId="1">
    <nc r="L9">
      <v>1</v>
    </nc>
  </rcc>
  <rfmt sheetId="1" sqref="J9" start="0" length="2147483647">
    <dxf>
      <font>
        <b/>
      </font>
    </dxf>
  </rfmt>
  <rcc rId="3366" sId="1" odxf="1" dxf="1">
    <nc r="N9" t="inlineStr">
      <is>
        <t>High cholesterolHigh cholesterol
Chicken pox
Bleeding Disorder
Underactive thyroid</t>
      </is>
    </nc>
    <odxf>
      <font/>
      <alignment horizontal="center" wrapText="0" readingOrder="0"/>
      <border outline="0">
        <left/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ndxf>
  </rcc>
  <rcc rId="3367" sId="1" odxf="1" dxf="1">
    <nc r="J36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68" sId="1">
    <nc r="N36" t="inlineStr">
      <is>
        <t>rheumatoid arthritis</t>
      </is>
    </nc>
  </rcc>
  <rcc rId="3369" sId="1" odxf="1" dxf="1">
    <nc r="J76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70" sId="1" odxf="1" dxf="1">
    <nc r="J79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71" sId="1" odxf="1" dxf="1">
    <nc r="N28" t="inlineStr">
      <is>
        <t>Sinus problems
High blood pressure
Depression
High cholesterol
Breast cancer
Bronchitis
Pneumonia
COPD
osteopenia
mild aortic valve inefficiancy</t>
      </is>
    </nc>
    <odxf>
      <font>
        <color indexed="8"/>
      </font>
      <alignment wrapText="0" readingOrder="0"/>
      <border outline="0"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right/>
        <top/>
        <bottom/>
      </border>
    </ndxf>
  </rcc>
  <rcc rId="3372" sId="1">
    <nc r="L28">
      <v>1</v>
    </nc>
  </rcc>
  <rcc rId="3373" sId="1">
    <nc r="K28" t="inlineStr">
      <is>
        <t>chronic angle closure glaucoma, h/o iridectomy, dry ARMD</t>
      </is>
    </nc>
  </rcc>
  <rcc rId="3374" sId="1" odxf="1" dxf="1">
    <nc r="J28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75" sId="1" odxf="1" dxf="1">
    <nc r="J25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76" sId="1" odxf="1" dxf="1">
    <nc r="J67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77" sId="1" odxf="1" dxf="1">
    <nc r="N25" t="inlineStr">
      <is>
        <t>HTN, NIDM, thyroid Ds</t>
      </is>
    </nc>
    <odxf>
      <font>
        <color indexed="8"/>
      </font>
      <alignment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wrapText="1" readingOrder="1"/>
      <border outline="0">
        <left/>
        <right/>
        <top/>
        <bottom/>
      </border>
    </ndxf>
  </rcc>
  <rcc rId="3378" sId="1" odxf="1" dxf="1">
    <nc r="N67" t="inlineStr">
      <is>
        <t>HTN, NIDM, thyroid Ds</t>
      </is>
    </nc>
    <odxf>
      <font/>
      <alignment horizontal="center" wrapText="0" readingOrder="0"/>
      <border outline="0"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horizontal="left" wrapText="1" readingOrder="1"/>
      <border outline="0">
        <right/>
        <top/>
        <bottom/>
      </border>
    </ndxf>
  </rcc>
  <rcc rId="3379" sId="1">
    <nc r="O25" t="inlineStr">
      <is>
        <t>yag cap 10/22/13 (POY 1) - prior to last visit</t>
      </is>
    </nc>
  </rcc>
  <rcc rId="3380" sId="1">
    <nc r="O67" t="inlineStr">
      <is>
        <t>yag cap 10/15/13 (POM 6) -prior to last visit</t>
      </is>
    </nc>
  </rcc>
  <rfmt sheetId="1" sqref="O1:O1048576">
    <dxf>
      <alignment wrapText="1" readingOrder="0"/>
    </dxf>
  </rfmt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1" sId="1" odxf="1" dxf="1">
    <nc r="J5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82" sId="1" odxf="1" dxf="1">
    <nc r="N5" t="inlineStr">
      <is>
        <t>High blood pressure
Diabetes
High cholesterol
Chicken pox</t>
      </is>
    </nc>
    <odxf>
      <font>
        <color indexed="8"/>
      </font>
      <alignment wrapText="0" readingOrder="0"/>
      <border outline="0">
        <right style="medium">
          <color indexed="22"/>
        </right>
        <top style="medium">
          <color indexed="22"/>
        </top>
        <bottom style="medium">
          <color indexed="22"/>
        </bottom>
      </border>
    </odxf>
    <ndxf>
      <font>
        <color rgb="FF000000"/>
      </font>
      <alignment wrapText="1" readingOrder="1"/>
      <border outline="0">
        <right/>
        <top/>
        <bottom/>
      </border>
    </ndxf>
  </rcc>
  <rcc rId="3383" sId="1" odxf="1" dxf="1">
    <nc r="J6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84" sId="1" odxf="1" dxf="1">
    <nc r="N6" t="inlineStr">
      <is>
        <t>thyroid dysfunction
Breast Cancer remission 10 yrs
essential tremors
cancer of intestense</t>
      </is>
    </nc>
    <odxf>
      <font/>
      <alignment horizontal="center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horizontal="left" wrapText="1" readingOrder="1"/>
      <border outline="0">
        <left/>
        <right/>
        <top/>
        <bottom/>
      </border>
    </ndxf>
  </rcc>
  <rcc rId="3385" sId="1" odxf="1" dxf="1">
    <nc r="J53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86" sId="1" odxf="1" dxf="1">
    <nc r="N53" t="inlineStr">
      <is>
        <t>thyroid dysfunction
Breast Cancer remission 10 yrs
essential tremors
cancer of intestense</t>
      </is>
    </nc>
    <odxf>
      <font>
        <color indexed="8"/>
      </font>
      <alignment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wrapText="1" readingOrder="1"/>
      <border outline="0">
        <left/>
        <right/>
        <top/>
        <bottom/>
      </border>
    </ndxf>
  </rcc>
  <rcc rId="3387" sId="1">
    <nc r="O53" t="inlineStr">
      <is>
        <t>yag cap OD 8/13/13 (POM 3)</t>
      </is>
    </nc>
  </rcc>
  <rcc rId="3388" sId="1" odxf="1" dxf="1">
    <nc r="J14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89" sId="1">
    <nc r="O14" t="inlineStr">
      <is>
        <t>yag cap OS 2/26/13 (POM 4)</t>
      </is>
    </nc>
  </rcc>
  <rfmt sheetId="1" sqref="N55" start="0" length="0">
    <dxf>
      <font>
        <color rgb="FF000000"/>
      </font>
      <alignment horizontal="left" wrapText="1" readingOrder="1"/>
      <border outline="0">
        <left/>
        <right/>
        <top/>
        <bottom/>
      </border>
    </dxf>
  </rfmt>
  <rcc rId="3390" sId="1">
    <nc r="N55" t="inlineStr">
      <is>
        <t>Lupus, Anemia</t>
      </is>
    </nc>
  </rcc>
  <rcc rId="3391" sId="1" odxf="1" dxf="1">
    <nc r="J55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92" sId="1">
    <nc r="K55" t="inlineStr">
      <is>
        <t>mild ERM developed POM #4</t>
      </is>
    </nc>
  </rcc>
  <rcc rId="3393" sId="1" odxf="1" dxf="1">
    <nc r="N15" t="inlineStr">
      <is>
        <t>Asthma
Osteoporosis
Colon cancer
COPD</t>
      </is>
    </nc>
    <odxf>
      <font/>
      <alignment horizontal="center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font>
        <color rgb="FF000000"/>
      </font>
      <alignment horizontal="left" wrapText="1" readingOrder="1"/>
      <border outline="0">
        <left/>
        <right/>
        <top/>
        <bottom/>
      </border>
    </ndxf>
  </rcc>
  <rfmt sheetId="1" sqref="J15" start="0" length="2147483647">
    <dxf>
      <font>
        <b/>
      </font>
    </dxf>
  </rfmt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4" sId="1" odxf="1" dxf="1">
    <nc r="J72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95" sId="1" odxf="1" dxf="1">
    <nc r="J50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96" sId="1" odxf="1" dxf="1">
    <nc r="AM72" t="inlineStr">
      <is>
        <t>astigmatism management (nasal LRI)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3397" sId="1" odxf="1" dxf="1">
    <nc r="J47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98" sId="1" odxf="1" dxf="1">
    <nc r="J46" t="inlineStr">
      <is>
        <t>Fuch's</t>
      </is>
    </nc>
    <odxf>
      <font>
        <b val="0"/>
        <sz val="10"/>
        <color auto="1"/>
        <name val="Arial"/>
        <scheme val="none"/>
      </font>
    </odxf>
    <ndxf>
      <font>
        <b/>
        <sz val="10"/>
        <color auto="1"/>
        <name val="Arial"/>
        <scheme val="none"/>
      </font>
    </ndxf>
  </rcc>
  <rcc rId="3399" sId="1">
    <nc r="M80">
      <v>1</v>
    </nc>
  </rcc>
  <rfmt sheetId="1" sqref="J80" start="0" length="0">
    <dxf>
      <font>
        <sz val="10"/>
        <color auto="1"/>
        <name val="Arial"/>
        <scheme val="none"/>
      </font>
    </dxf>
  </rfmt>
  <rcc rId="3400" sId="1">
    <nc r="J80" t="inlineStr">
      <is>
        <t>secondary corneal edema after NewColorIris</t>
      </is>
    </nc>
  </rcc>
  <rfmt sheetId="1" sqref="J80">
    <dxf>
      <alignment wrapText="1" readingOrder="0"/>
    </dxf>
  </rfmt>
  <rfmt sheetId="1" sqref="J80" start="0" length="2147483647">
    <dxf>
      <font>
        <b/>
      </font>
    </dxf>
  </rfmt>
  <rcc rId="3401" sId="1">
    <nc r="K80" t="inlineStr">
      <is>
        <t>h/o NewColorIris, subsequently removed</t>
      </is>
    </nc>
  </rcc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3" sId="1">
    <nc r="AD37">
      <v>11.6</v>
    </nc>
  </rcc>
  <rcc rId="3404" sId="1">
    <nc r="AE37">
      <v>4.51</v>
    </nc>
  </rcc>
  <rcc rId="3405" sId="1">
    <nc r="AE33">
      <v>4.54</v>
    </nc>
  </rcc>
  <rcc rId="3406" sId="1">
    <nc r="AD33">
      <v>11.5</v>
    </nc>
  </rcc>
  <rcc rId="3407" sId="1">
    <nc r="AD58">
      <v>12</v>
    </nc>
  </rcc>
  <rcc rId="3408" sId="1">
    <nc r="AE58">
      <v>4.6399999999999997</v>
    </nc>
  </rcc>
  <rfmt sheetId="1" sqref="BF58" start="0" length="2147483647">
    <dxf>
      <font>
        <color auto="1"/>
      </font>
    </dxf>
  </rfmt>
  <rcc rId="3409" sId="1" numFmtId="4">
    <nc r="BH58">
      <v>0.5</v>
    </nc>
  </rcc>
  <rcc rId="3410" sId="1" numFmtId="4">
    <nc r="BI58">
      <v>-0.5</v>
    </nc>
  </rcc>
  <rcc rId="3411" sId="1">
    <nc r="BJ58">
      <v>130</v>
    </nc>
  </rcc>
  <rcc rId="3412" sId="1">
    <nc r="BK58">
      <v>30</v>
    </nc>
  </rcc>
  <rcc rId="3413" sId="1">
    <nc r="BL58">
      <v>14</v>
    </nc>
  </rcc>
  <rcc rId="3414" sId="1">
    <nc r="BN58">
      <v>906</v>
    </nc>
  </rcc>
  <rcc rId="3415" sId="1">
    <nc r="BM58">
      <v>564</v>
    </nc>
  </rcc>
  <rcc rId="3416" sId="1">
    <nc r="BO58">
      <v>24.07</v>
    </nc>
  </rcc>
  <rcc rId="3417" sId="1">
    <nc r="BP58">
      <v>4.17</v>
    </nc>
  </rcc>
  <rcc rId="3418" sId="1">
    <nc r="BQ58">
      <v>42.13</v>
    </nc>
  </rcc>
  <rcc rId="3419" sId="1">
    <nc r="BR58">
      <v>160</v>
    </nc>
  </rcc>
  <rcc rId="3420" sId="1">
    <nc r="BS58">
      <v>42.99</v>
    </nc>
  </rcc>
  <rcc rId="3421" sId="1">
    <nc r="BT58">
      <v>70</v>
    </nc>
  </rcc>
  <rcc rId="3422" sId="1">
    <nc r="AE42">
      <v>4.21</v>
    </nc>
  </rcc>
  <rcc rId="3423" sId="1">
    <nc r="AD42">
      <v>12.3</v>
    </nc>
  </rcc>
  <rcc rId="3424" sId="1">
    <nc r="AD63">
      <v>11.6</v>
    </nc>
  </rcc>
  <rcc rId="3425" sId="1">
    <nc r="AE63">
      <v>4.97</v>
    </nc>
  </rcc>
  <rcc rId="3426" sId="1">
    <nc r="AE74">
      <v>4.62</v>
    </nc>
  </rcc>
  <rcc rId="3427" sId="1">
    <nc r="AD74">
      <v>11.6</v>
    </nc>
  </rcc>
  <rcc rId="3428" sId="1">
    <nc r="AD65">
      <v>11.5</v>
    </nc>
  </rcc>
  <rcc rId="3429" sId="1">
    <nc r="AE65">
      <v>4.3600000000000003</v>
    </nc>
  </rcc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0" sId="1">
    <nc r="AD117">
      <v>11.6</v>
    </nc>
  </rcc>
  <rcc rId="3431" sId="1">
    <nc r="AE117">
      <v>4.6399999999999997</v>
    </nc>
  </rcc>
  <rcc rId="3432" sId="1">
    <nc r="AW117">
      <v>23.71</v>
    </nc>
  </rcc>
  <rcc rId="3433" sId="1">
    <nc r="AX117">
      <v>4.6399999999999997</v>
    </nc>
  </rcc>
  <rcc rId="3434" sId="1">
    <nc r="AY117">
      <v>42.79</v>
    </nc>
  </rcc>
  <rcc rId="3435" sId="1">
    <nc r="AZ117">
      <v>104</v>
    </nc>
  </rcc>
  <rcc rId="3436" sId="1">
    <nc r="BA117">
      <v>43.95</v>
    </nc>
  </rcc>
  <rcc rId="3437" sId="1">
    <nc r="BB117">
      <v>14</v>
    </nc>
  </rcc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8" sId="1">
    <nc r="AE59">
      <v>4.46</v>
    </nc>
  </rcc>
  <rcc rId="3439" sId="1">
    <nc r="AD59">
      <v>12.2</v>
    </nc>
  </rcc>
  <rcc rId="3440" sId="1">
    <nc r="AE31">
      <v>5.23</v>
    </nc>
  </rcc>
  <rcc rId="3441" sId="1">
    <nc r="AD31">
      <v>11.7</v>
    </nc>
  </rcc>
  <rcc rId="3442" sId="1">
    <nc r="AE64">
      <v>3.49</v>
    </nc>
  </rcc>
  <rcc rId="3443" sId="1">
    <nc r="AD64">
      <v>11.8</v>
    </nc>
  </rcc>
  <rcc rId="3444" sId="1">
    <nc r="AC119">
      <v>23.25</v>
    </nc>
  </rcc>
  <rcc rId="3445" sId="1">
    <nc r="AD119">
      <v>12.2</v>
    </nc>
  </rcc>
  <rcc rId="3446" sId="1">
    <nc r="AE119">
      <v>4.41</v>
    </nc>
  </rcc>
  <rcc rId="3447" sId="1">
    <nc r="AF119">
      <v>2.9</v>
    </nc>
  </rcc>
  <rcc rId="3448" sId="1">
    <nc r="AG119">
      <v>43.72</v>
    </nc>
  </rcc>
  <rcc rId="3449" sId="1">
    <nc r="AH119">
      <v>176</v>
    </nc>
  </rcc>
  <rcc rId="3450" sId="1">
    <nc r="AI119">
      <v>44.64</v>
    </nc>
  </rcc>
  <rcc rId="3451" sId="1">
    <nc r="AJ119">
      <v>86</v>
    </nc>
  </rcc>
  <rcc rId="3452" sId="1">
    <nc r="AE54">
      <v>4.7699999999999996</v>
    </nc>
  </rcc>
  <rcc rId="3453" sId="1">
    <nc r="AC54">
      <v>24.58</v>
    </nc>
  </rcc>
  <rcc rId="3454" sId="1">
    <nc r="AD54">
      <v>12.1</v>
    </nc>
  </rcc>
  <rcc rId="3455" sId="1">
    <nc r="AF54">
      <v>3.51</v>
    </nc>
  </rcc>
  <rcc rId="3456" sId="1">
    <nc r="AG54">
      <v>44.29</v>
    </nc>
  </rcc>
  <rcc rId="3457" sId="1">
    <nc r="AH54">
      <v>169</v>
    </nc>
  </rcc>
  <rcc rId="3458" sId="1">
    <nc r="AI54">
      <v>45</v>
    </nc>
  </rcc>
  <rcc rId="3459" sId="1">
    <nc r="AJ54">
      <v>79</v>
    </nc>
  </rcc>
  <rcc rId="3460" sId="1">
    <nc r="AC96">
      <v>24.38</v>
    </nc>
  </rcc>
  <rcc rId="3461" sId="1">
    <nc r="AD96">
      <v>11.7</v>
    </nc>
  </rcc>
  <rcc rId="3462" sId="1">
    <nc r="AE96">
      <v>4.67</v>
    </nc>
  </rcc>
  <rcc rId="3463" sId="1">
    <nc r="AF96">
      <v>2.72</v>
    </nc>
  </rcc>
  <rcc rId="3464" sId="1">
    <nc r="AG96">
      <v>41.46</v>
    </nc>
  </rcc>
  <rcc rId="3465" sId="1">
    <nc r="AH96">
      <v>150</v>
    </nc>
  </rcc>
  <rcc rId="3466" sId="1">
    <nc r="AI96">
      <v>42.4</v>
    </nc>
  </rcc>
  <rcc rId="3467" sId="1">
    <nc r="AJ96">
      <v>60</v>
    </nc>
  </rcc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8" sId="1">
    <nc r="AD71">
      <v>12.1</v>
    </nc>
  </rcc>
  <rcc rId="3469" sId="1">
    <nc r="AE71">
      <v>4.33</v>
    </nc>
  </rcc>
  <rcc rId="3470" sId="1">
    <nc r="AD62">
      <v>12.1</v>
    </nc>
  </rcc>
  <rcc rId="3471" sId="1">
    <nc r="AE62">
      <v>4.51</v>
    </nc>
  </rcc>
  <rcc rId="3472" sId="1">
    <nc r="AD2">
      <v>11.5</v>
    </nc>
  </rcc>
  <rcc rId="3473" sId="1">
    <nc r="AE2">
      <v>4.54</v>
    </nc>
  </rcc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4" sId="1">
    <nc r="AD20">
      <v>11.7</v>
    </nc>
  </rcc>
  <rcc rId="3475" sId="1">
    <nc r="AE20">
      <v>4.6399999999999997</v>
    </nc>
  </rcc>
  <rcc rId="3476" sId="1">
    <nc r="AE21">
      <v>5</v>
    </nc>
  </rcc>
  <rcc rId="3477" sId="1">
    <nc r="AD21">
      <v>12.3</v>
    </nc>
  </rcc>
  <rcc rId="3478" sId="1">
    <nc r="AD26">
      <v>12.1</v>
    </nc>
  </rcc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9" sId="1">
    <nc r="AD34">
      <v>12.4</v>
    </nc>
  </rcc>
  <rcc rId="3480" sId="1">
    <nc r="AE34">
      <v>4.6399999999999997</v>
    </nc>
  </rcc>
  <rcc rId="3481" sId="1">
    <nc r="AD41">
      <v>12.3</v>
    </nc>
  </rcc>
  <rcc rId="3482" sId="1">
    <nc r="AE41">
      <v>4.72</v>
    </nc>
  </rcc>
  <rcc rId="3483" sId="1">
    <nc r="AD9">
      <v>11.4</v>
    </nc>
  </rcc>
  <rcc rId="3484" sId="1">
    <nc r="AE9">
      <v>4.74</v>
    </nc>
  </rcc>
  <rcc rId="3485" sId="1" numFmtId="19">
    <oc r="BF9">
      <v>41604</v>
    </oc>
    <nc r="BF9">
      <v>41330</v>
    </nc>
  </rcc>
  <rcc rId="3486" sId="1" numFmtId="4">
    <oc r="BH9">
      <v>-0.75</v>
    </oc>
    <nc r="BH9">
      <v>-0.5</v>
    </nc>
  </rcc>
  <rcc rId="3487" sId="1" numFmtId="4">
    <oc r="BI9">
      <v>0.25</v>
    </oc>
    <nc r="BI9">
      <v>-0.25</v>
    </nc>
  </rcc>
  <rcc rId="3488" sId="1">
    <oc r="BJ9">
      <v>126</v>
    </oc>
    <nc r="BJ9">
      <v>75</v>
    </nc>
  </rcc>
  <rcc rId="3489" sId="1">
    <oc r="BK9">
      <v>20</v>
    </oc>
    <nc r="BK9">
      <v>25</v>
    </nc>
  </rcc>
  <rcc rId="3490" sId="1">
    <oc r="BL9">
      <v>14</v>
    </oc>
    <nc r="BL9">
      <v>8</v>
    </nc>
  </rcc>
  <rcc rId="3491" sId="1">
    <oc r="BN9">
      <v>1022</v>
    </oc>
    <nc r="BN9">
      <v>1026</v>
    </nc>
  </rcc>
  <rcc rId="3492" sId="1">
    <oc r="BM9">
      <v>563</v>
    </oc>
    <nc r="BM9">
      <v>570</v>
    </nc>
  </rcc>
  <rcc rId="3493" sId="1">
    <oc r="BO9">
      <v>23.41</v>
    </oc>
    <nc r="BO9">
      <v>23.16</v>
    </nc>
  </rcc>
  <rcc rId="3494" sId="1">
    <oc r="BP9">
      <v>2.86</v>
    </oc>
    <nc r="BP9">
      <v>4.78</v>
    </nc>
  </rcc>
  <rcc rId="3495" sId="1">
    <oc r="BR9">
      <v>76</v>
    </oc>
    <nc r="BR9">
      <v>78</v>
    </nc>
  </rcc>
  <rcc rId="3496" sId="1">
    <oc r="BS9">
      <v>45.55</v>
    </oc>
    <nc r="BS9">
      <v>45.92</v>
    </nc>
  </rcc>
  <rcc rId="3497" sId="1">
    <oc r="BT9">
      <v>166</v>
    </oc>
    <nc r="BT9">
      <v>768</v>
    </nc>
  </rcc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8" sId="1">
    <nc r="AD28">
      <v>11.2</v>
    </nc>
  </rcc>
  <rcc rId="3499" sId="1">
    <nc r="AE28">
      <v>5.03</v>
    </nc>
  </rcc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0" sId="1">
    <nc r="J81" t="inlineStr">
      <is>
        <t>Fuch's</t>
      </is>
    </nc>
  </rcc>
  <rcc rId="3501" sId="1">
    <nc r="M81">
      <v>1</v>
    </nc>
  </rcc>
  <rcc rId="3502" sId="1" xfDxf="1" dxf="1">
    <nc r="K81" t="inlineStr">
      <is>
        <t>Vogt-Koyanagi-Harada Disease</t>
      </is>
    </nc>
    <ndxf>
      <font>
        <color indexed="8"/>
      </font>
      <alignment horizontal="left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J81" start="0" length="2147483647">
    <dxf>
      <font>
        <b/>
      </font>
    </dxf>
  </rfmt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4" sId="1">
    <nc r="K82" t="inlineStr">
      <is>
        <t>KCN?</t>
      </is>
    </nc>
  </rcc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77" start="0" length="0">
    <dxf>
      <alignment wrapText="1" readingOrder="0"/>
    </dxf>
  </rfmt>
  <rfmt sheetId="1" sqref="Q77" start="0" length="0">
    <dxf>
      <alignment wrapText="1" readingOrder="0"/>
    </dxf>
  </rfmt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6" sId="1" numFmtId="4">
    <oc r="AP36">
      <v>-0.5</v>
    </oc>
    <nc r="AP36"/>
  </rcc>
  <rcc rId="3507" sId="1" numFmtId="4">
    <oc r="AQ36">
      <v>1.25</v>
    </oc>
    <nc r="AQ36"/>
  </rcc>
  <rcc rId="3508" sId="1">
    <oc r="AR36">
      <v>180</v>
    </oc>
    <nc r="AR36"/>
  </rcc>
  <rcc rId="3509" sId="1">
    <oc r="AS36">
      <v>25</v>
    </oc>
    <nc r="AS36"/>
  </rcc>
  <rcc rId="3510" sId="1">
    <oc r="AT36">
      <v>17</v>
    </oc>
    <nc r="AT36"/>
  </rcc>
  <rcc rId="3511" sId="1">
    <oc r="AU36">
      <v>487</v>
    </oc>
    <nc r="AU36"/>
  </rcc>
  <rcc rId="3512" sId="1">
    <oc r="AV36">
      <v>2347</v>
    </oc>
    <nc r="AV36"/>
  </rcc>
  <rcc rId="3513" sId="1" odxf="1" dxf="1" numFmtId="19">
    <oc r="BF79" t="inlineStr">
      <is>
        <t>? As of 2/6/14</t>
      </is>
    </oc>
    <nc r="BF79">
      <v>41600</v>
    </nc>
    <odxf>
      <numFmt numFmtId="0" formatCode="General"/>
    </odxf>
    <ndxf>
      <numFmt numFmtId="19" formatCode="mm/dd/yyyy"/>
    </ndxf>
  </rcc>
  <rcc rId="3514" sId="1" numFmtId="4">
    <nc r="BG79">
      <v>20</v>
    </nc>
  </rcc>
  <rcc rId="3515" sId="1" numFmtId="4">
    <nc r="BH79">
      <v>-0.5</v>
    </nc>
  </rcc>
  <rcc rId="3516" sId="1" numFmtId="4">
    <nc r="BI79">
      <v>0</v>
    </nc>
  </rcc>
  <rcc rId="3517" sId="1">
    <nc r="BJ79">
      <v>0</v>
    </nc>
  </rcc>
  <rcc rId="3518" sId="1">
    <nc r="BK79">
      <v>20</v>
    </nc>
  </rcc>
  <rfmt sheetId="1" sqref="BG79:BK79">
    <dxf>
      <fill>
        <patternFill patternType="solid">
          <bgColor theme="5" tint="0.39997558519241921"/>
        </patternFill>
      </fill>
    </dxf>
  </rfmt>
  <rcv guid="{54C114DD-C157-4E30-91DC-9B94C55E8054}" action="delete"/>
  <rdn rId="0" localSheetId="1" customView="1" name="Z_54C114DD_C157_4E30_91DC_9B94C55E8054_.wvu.Cols" hidden="1" oldHidden="1">
    <formula>Data!$E:$H,Data!$V:$V</formula>
    <oldFormula>Data!$E:$H,Data!$V:$V</oldFormula>
  </rdn>
  <rcv guid="{54C114DD-C157-4E30-91DC-9B94C55E8054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970612C1-08B9-4C3F-8D8C-5B58D261D8EF}" name="Evan D. Schoenberg, M.D." id="-904519783" dateTime="2014-03-31T13:48:37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CF@3ft" TargetMode="External"/><Relationship Id="rId299" Type="http://schemas.openxmlformats.org/officeDocument/2006/relationships/hyperlink" Target="mailto:CF@3ft" TargetMode="External"/><Relationship Id="rId21" Type="http://schemas.openxmlformats.org/officeDocument/2006/relationships/hyperlink" Target="mailto:CF@3ft" TargetMode="External"/><Relationship Id="rId63" Type="http://schemas.openxmlformats.org/officeDocument/2006/relationships/hyperlink" Target="mailto:HM@6in" TargetMode="External"/><Relationship Id="rId159" Type="http://schemas.openxmlformats.org/officeDocument/2006/relationships/hyperlink" Target="mailto:CF@3ft" TargetMode="External"/><Relationship Id="rId324" Type="http://schemas.openxmlformats.org/officeDocument/2006/relationships/hyperlink" Target="mailto:HM@6in" TargetMode="External"/><Relationship Id="rId366" Type="http://schemas.openxmlformats.org/officeDocument/2006/relationships/hyperlink" Target="mailto:CF@6in" TargetMode="External"/><Relationship Id="rId170" Type="http://schemas.openxmlformats.org/officeDocument/2006/relationships/hyperlink" Target="mailto:Cf@4ft" TargetMode="External"/><Relationship Id="rId226" Type="http://schemas.openxmlformats.org/officeDocument/2006/relationships/hyperlink" Target="mailto:HM@6in" TargetMode="External"/><Relationship Id="rId433" Type="http://schemas.openxmlformats.org/officeDocument/2006/relationships/hyperlink" Target="mailto:CF@6in" TargetMode="External"/><Relationship Id="rId268" Type="http://schemas.openxmlformats.org/officeDocument/2006/relationships/hyperlink" Target="mailto:CF@3ft" TargetMode="External"/><Relationship Id="rId32" Type="http://schemas.openxmlformats.org/officeDocument/2006/relationships/hyperlink" Target="mailto:CF@3ft" TargetMode="External"/><Relationship Id="rId74" Type="http://schemas.openxmlformats.org/officeDocument/2006/relationships/hyperlink" Target="mailto:CF@2ft" TargetMode="External"/><Relationship Id="rId128" Type="http://schemas.openxmlformats.org/officeDocument/2006/relationships/hyperlink" Target="mailto:CF@6in" TargetMode="External"/><Relationship Id="rId335" Type="http://schemas.openxmlformats.org/officeDocument/2006/relationships/hyperlink" Target="mailto:CF@3ft" TargetMode="External"/><Relationship Id="rId377" Type="http://schemas.openxmlformats.org/officeDocument/2006/relationships/hyperlink" Target="mailto:HM@6in" TargetMode="External"/><Relationship Id="rId5" Type="http://schemas.openxmlformats.org/officeDocument/2006/relationships/hyperlink" Target="mailto:CF@3ft" TargetMode="External"/><Relationship Id="rId181" Type="http://schemas.openxmlformats.org/officeDocument/2006/relationships/hyperlink" Target="mailto:HM@6in" TargetMode="External"/><Relationship Id="rId237" Type="http://schemas.openxmlformats.org/officeDocument/2006/relationships/hyperlink" Target="mailto:CF@6in" TargetMode="External"/><Relationship Id="rId402" Type="http://schemas.openxmlformats.org/officeDocument/2006/relationships/hyperlink" Target="mailto:CF@6in" TargetMode="External"/><Relationship Id="rId279" Type="http://schemas.openxmlformats.org/officeDocument/2006/relationships/hyperlink" Target="mailto:CF@3ft" TargetMode="External"/><Relationship Id="rId444" Type="http://schemas.openxmlformats.org/officeDocument/2006/relationships/hyperlink" Target="mailto:CF@3ft" TargetMode="External"/><Relationship Id="rId43" Type="http://schemas.openxmlformats.org/officeDocument/2006/relationships/hyperlink" Target="mailto:CF@6in" TargetMode="External"/><Relationship Id="rId139" Type="http://schemas.openxmlformats.org/officeDocument/2006/relationships/hyperlink" Target="mailto:CF@3ft" TargetMode="External"/><Relationship Id="rId290" Type="http://schemas.openxmlformats.org/officeDocument/2006/relationships/hyperlink" Target="mailto:Cf@4ft" TargetMode="External"/><Relationship Id="rId304" Type="http://schemas.openxmlformats.org/officeDocument/2006/relationships/hyperlink" Target="mailto:CF@%202%20ft" TargetMode="External"/><Relationship Id="rId346" Type="http://schemas.openxmlformats.org/officeDocument/2006/relationships/hyperlink" Target="mailto:CF@6in" TargetMode="External"/><Relationship Id="rId388" Type="http://schemas.openxmlformats.org/officeDocument/2006/relationships/hyperlink" Target="mailto:HM@6in" TargetMode="External"/><Relationship Id="rId85" Type="http://schemas.openxmlformats.org/officeDocument/2006/relationships/hyperlink" Target="mailto:HM@6in" TargetMode="External"/><Relationship Id="rId150" Type="http://schemas.openxmlformats.org/officeDocument/2006/relationships/hyperlink" Target="mailto:HM@6in" TargetMode="External"/><Relationship Id="rId192" Type="http://schemas.openxmlformats.org/officeDocument/2006/relationships/hyperlink" Target="mailto:CF@3ft" TargetMode="External"/><Relationship Id="rId206" Type="http://schemas.openxmlformats.org/officeDocument/2006/relationships/hyperlink" Target="mailto:CF@6in" TargetMode="External"/><Relationship Id="rId413" Type="http://schemas.openxmlformats.org/officeDocument/2006/relationships/hyperlink" Target="mailto:HM@6in" TargetMode="External"/><Relationship Id="rId248" Type="http://schemas.openxmlformats.org/officeDocument/2006/relationships/hyperlink" Target="mailto:CF@2ft" TargetMode="External"/><Relationship Id="rId455" Type="http://schemas.openxmlformats.org/officeDocument/2006/relationships/hyperlink" Target="mailto:CF@2ft" TargetMode="External"/><Relationship Id="rId12" Type="http://schemas.openxmlformats.org/officeDocument/2006/relationships/hyperlink" Target="mailto:HM@6in" TargetMode="External"/><Relationship Id="rId108" Type="http://schemas.openxmlformats.org/officeDocument/2006/relationships/hyperlink" Target="mailto:CF@2ft" TargetMode="External"/><Relationship Id="rId315" Type="http://schemas.openxmlformats.org/officeDocument/2006/relationships/hyperlink" Target="mailto:CF@%202%20ft" TargetMode="External"/><Relationship Id="rId357" Type="http://schemas.openxmlformats.org/officeDocument/2006/relationships/hyperlink" Target="mailto:CF@3ft" TargetMode="External"/><Relationship Id="rId54" Type="http://schemas.openxmlformats.org/officeDocument/2006/relationships/hyperlink" Target="mailto:CF@6in" TargetMode="External"/><Relationship Id="rId96" Type="http://schemas.openxmlformats.org/officeDocument/2006/relationships/hyperlink" Target="mailto:CF@3ft" TargetMode="External"/><Relationship Id="rId161" Type="http://schemas.openxmlformats.org/officeDocument/2006/relationships/hyperlink" Target="mailto:CF@3ft" TargetMode="External"/><Relationship Id="rId217" Type="http://schemas.openxmlformats.org/officeDocument/2006/relationships/hyperlink" Target="mailto:CF@3ft" TargetMode="External"/><Relationship Id="rId399" Type="http://schemas.openxmlformats.org/officeDocument/2006/relationships/hyperlink" Target="mailto:CF@3ft" TargetMode="External"/><Relationship Id="rId259" Type="http://schemas.openxmlformats.org/officeDocument/2006/relationships/hyperlink" Target="mailto:CF@3ft" TargetMode="External"/><Relationship Id="rId424" Type="http://schemas.openxmlformats.org/officeDocument/2006/relationships/hyperlink" Target="mailto:CF@2ft" TargetMode="External"/><Relationship Id="rId466" Type="http://schemas.openxmlformats.org/officeDocument/2006/relationships/hyperlink" Target="mailto:CF@3ft" TargetMode="External"/><Relationship Id="rId23" Type="http://schemas.openxmlformats.org/officeDocument/2006/relationships/hyperlink" Target="mailto:CF@3ft" TargetMode="External"/><Relationship Id="rId119" Type="http://schemas.openxmlformats.org/officeDocument/2006/relationships/hyperlink" Target="mailto:CF@3ft" TargetMode="External"/><Relationship Id="rId270" Type="http://schemas.openxmlformats.org/officeDocument/2006/relationships/hyperlink" Target="mailto:CF@%202%20ft" TargetMode="External"/><Relationship Id="rId326" Type="http://schemas.openxmlformats.org/officeDocument/2006/relationships/hyperlink" Target="mailto:CF@3ft" TargetMode="External"/><Relationship Id="rId65" Type="http://schemas.openxmlformats.org/officeDocument/2006/relationships/hyperlink" Target="mailto:HM@6in" TargetMode="External"/><Relationship Id="rId130" Type="http://schemas.openxmlformats.org/officeDocument/2006/relationships/hyperlink" Target="mailto:CF@3ft" TargetMode="External"/><Relationship Id="rId368" Type="http://schemas.openxmlformats.org/officeDocument/2006/relationships/hyperlink" Target="mailto:CF@3ft" TargetMode="External"/><Relationship Id="rId172" Type="http://schemas.openxmlformats.org/officeDocument/2006/relationships/hyperlink" Target="mailto:CF@3ft" TargetMode="External"/><Relationship Id="rId193" Type="http://schemas.openxmlformats.org/officeDocument/2006/relationships/hyperlink" Target="mailto:CF@6in" TargetMode="External"/><Relationship Id="rId207" Type="http://schemas.openxmlformats.org/officeDocument/2006/relationships/hyperlink" Target="mailto:HM@6in" TargetMode="External"/><Relationship Id="rId228" Type="http://schemas.openxmlformats.org/officeDocument/2006/relationships/hyperlink" Target="mailto:CF@3ft" TargetMode="External"/><Relationship Id="rId249" Type="http://schemas.openxmlformats.org/officeDocument/2006/relationships/hyperlink" Target="mailto:CF@3ft" TargetMode="External"/><Relationship Id="rId414" Type="http://schemas.openxmlformats.org/officeDocument/2006/relationships/hyperlink" Target="mailto:CF@3ft" TargetMode="External"/><Relationship Id="rId435" Type="http://schemas.openxmlformats.org/officeDocument/2006/relationships/hyperlink" Target="mailto:CF@3ft" TargetMode="External"/><Relationship Id="rId456" Type="http://schemas.openxmlformats.org/officeDocument/2006/relationships/hyperlink" Target="mailto:CF@3ft" TargetMode="External"/><Relationship Id="rId13" Type="http://schemas.openxmlformats.org/officeDocument/2006/relationships/hyperlink" Target="mailto:CF@3ft" TargetMode="External"/><Relationship Id="rId109" Type="http://schemas.openxmlformats.org/officeDocument/2006/relationships/hyperlink" Target="mailto:CF@3ft" TargetMode="External"/><Relationship Id="rId260" Type="http://schemas.openxmlformats.org/officeDocument/2006/relationships/hyperlink" Target="mailto:CF@2ft" TargetMode="External"/><Relationship Id="rId281" Type="http://schemas.openxmlformats.org/officeDocument/2006/relationships/hyperlink" Target="mailto:CF@3ft" TargetMode="External"/><Relationship Id="rId316" Type="http://schemas.openxmlformats.org/officeDocument/2006/relationships/hyperlink" Target="mailto:CF@3ft" TargetMode="External"/><Relationship Id="rId337" Type="http://schemas.openxmlformats.org/officeDocument/2006/relationships/hyperlink" Target="mailto:CF@%202%20ft" TargetMode="External"/><Relationship Id="rId34" Type="http://schemas.openxmlformats.org/officeDocument/2006/relationships/hyperlink" Target="mailto:CF@%202%20ft" TargetMode="External"/><Relationship Id="rId55" Type="http://schemas.openxmlformats.org/officeDocument/2006/relationships/hyperlink" Target="mailto:HM@6in" TargetMode="External"/><Relationship Id="rId76" Type="http://schemas.openxmlformats.org/officeDocument/2006/relationships/hyperlink" Target="mailto:CF@6in" TargetMode="External"/><Relationship Id="rId97" Type="http://schemas.openxmlformats.org/officeDocument/2006/relationships/hyperlink" Target="mailto:CF@6in" TargetMode="External"/><Relationship Id="rId120" Type="http://schemas.openxmlformats.org/officeDocument/2006/relationships/hyperlink" Target="mailto:CF@3ft" TargetMode="External"/><Relationship Id="rId141" Type="http://schemas.openxmlformats.org/officeDocument/2006/relationships/hyperlink" Target="mailto:CF@6in" TargetMode="External"/><Relationship Id="rId358" Type="http://schemas.openxmlformats.org/officeDocument/2006/relationships/hyperlink" Target="mailto:CF@6in" TargetMode="External"/><Relationship Id="rId379" Type="http://schemas.openxmlformats.org/officeDocument/2006/relationships/hyperlink" Target="mailto:CF@6in" TargetMode="External"/><Relationship Id="rId7" Type="http://schemas.openxmlformats.org/officeDocument/2006/relationships/hyperlink" Target="mailto:CF@%202%20ft" TargetMode="External"/><Relationship Id="rId162" Type="http://schemas.openxmlformats.org/officeDocument/2006/relationships/hyperlink" Target="mailto:CF@6in" TargetMode="External"/><Relationship Id="rId183" Type="http://schemas.openxmlformats.org/officeDocument/2006/relationships/hyperlink" Target="mailto:Cf@4ft" TargetMode="External"/><Relationship Id="rId218" Type="http://schemas.openxmlformats.org/officeDocument/2006/relationships/hyperlink" Target="mailto:CF@6in" TargetMode="External"/><Relationship Id="rId239" Type="http://schemas.openxmlformats.org/officeDocument/2006/relationships/hyperlink" Target="mailto:CF@2ft" TargetMode="External"/><Relationship Id="rId390" Type="http://schemas.openxmlformats.org/officeDocument/2006/relationships/hyperlink" Target="mailto:CF@3ft" TargetMode="External"/><Relationship Id="rId404" Type="http://schemas.openxmlformats.org/officeDocument/2006/relationships/hyperlink" Target="mailto:CF@6in" TargetMode="External"/><Relationship Id="rId425" Type="http://schemas.openxmlformats.org/officeDocument/2006/relationships/hyperlink" Target="mailto:CF@6in" TargetMode="External"/><Relationship Id="rId446" Type="http://schemas.openxmlformats.org/officeDocument/2006/relationships/hyperlink" Target="mailto:HM@6in" TargetMode="External"/><Relationship Id="rId467" Type="http://schemas.openxmlformats.org/officeDocument/2006/relationships/hyperlink" Target="mailto:CF@6in" TargetMode="External"/><Relationship Id="rId250" Type="http://schemas.openxmlformats.org/officeDocument/2006/relationships/hyperlink" Target="mailto:CF@6in" TargetMode="External"/><Relationship Id="rId271" Type="http://schemas.openxmlformats.org/officeDocument/2006/relationships/hyperlink" Target="mailto:CF@3ft" TargetMode="External"/><Relationship Id="rId292" Type="http://schemas.openxmlformats.org/officeDocument/2006/relationships/hyperlink" Target="mailto:CF@3ft" TargetMode="External"/><Relationship Id="rId306" Type="http://schemas.openxmlformats.org/officeDocument/2006/relationships/hyperlink" Target="mailto:CF@2ft" TargetMode="External"/><Relationship Id="rId24" Type="http://schemas.openxmlformats.org/officeDocument/2006/relationships/hyperlink" Target="mailto:HM@6in" TargetMode="External"/><Relationship Id="rId45" Type="http://schemas.openxmlformats.org/officeDocument/2006/relationships/hyperlink" Target="mailto:CF@3ft" TargetMode="External"/><Relationship Id="rId66" Type="http://schemas.openxmlformats.org/officeDocument/2006/relationships/hyperlink" Target="mailto:CF@3ft" TargetMode="External"/><Relationship Id="rId87" Type="http://schemas.openxmlformats.org/officeDocument/2006/relationships/hyperlink" Target="mailto:CF@2ft" TargetMode="External"/><Relationship Id="rId110" Type="http://schemas.openxmlformats.org/officeDocument/2006/relationships/hyperlink" Target="mailto:CF@6in" TargetMode="External"/><Relationship Id="rId131" Type="http://schemas.openxmlformats.org/officeDocument/2006/relationships/hyperlink" Target="mailto:Cf@4ft" TargetMode="External"/><Relationship Id="rId327" Type="http://schemas.openxmlformats.org/officeDocument/2006/relationships/hyperlink" Target="mailto:CF@2ft" TargetMode="External"/><Relationship Id="rId348" Type="http://schemas.openxmlformats.org/officeDocument/2006/relationships/hyperlink" Target="mailto:CF@3ft" TargetMode="External"/><Relationship Id="rId369" Type="http://schemas.openxmlformats.org/officeDocument/2006/relationships/hyperlink" Target="mailto:CF@3ft" TargetMode="External"/><Relationship Id="rId152" Type="http://schemas.openxmlformats.org/officeDocument/2006/relationships/hyperlink" Target="mailto:CF@3ft" TargetMode="External"/><Relationship Id="rId173" Type="http://schemas.openxmlformats.org/officeDocument/2006/relationships/hyperlink" Target="mailto:CF@2ft" TargetMode="External"/><Relationship Id="rId194" Type="http://schemas.openxmlformats.org/officeDocument/2006/relationships/hyperlink" Target="mailto:HM@6in" TargetMode="External"/><Relationship Id="rId208" Type="http://schemas.openxmlformats.org/officeDocument/2006/relationships/hyperlink" Target="mailto:CF@3ft" TargetMode="External"/><Relationship Id="rId229" Type="http://schemas.openxmlformats.org/officeDocument/2006/relationships/hyperlink" Target="mailto:CF@3ft" TargetMode="External"/><Relationship Id="rId380" Type="http://schemas.openxmlformats.org/officeDocument/2006/relationships/hyperlink" Target="mailto:HM@6in" TargetMode="External"/><Relationship Id="rId415" Type="http://schemas.openxmlformats.org/officeDocument/2006/relationships/hyperlink" Target="mailto:CF@3ft" TargetMode="External"/><Relationship Id="rId436" Type="http://schemas.openxmlformats.org/officeDocument/2006/relationships/hyperlink" Target="mailto:CF@3ft" TargetMode="External"/><Relationship Id="rId457" Type="http://schemas.openxmlformats.org/officeDocument/2006/relationships/hyperlink" Target="mailto:CF@6in" TargetMode="External"/><Relationship Id="rId240" Type="http://schemas.openxmlformats.org/officeDocument/2006/relationships/hyperlink" Target="mailto:CF@3ft" TargetMode="External"/><Relationship Id="rId261" Type="http://schemas.openxmlformats.org/officeDocument/2006/relationships/hyperlink" Target="mailto:CF@3ft" TargetMode="External"/><Relationship Id="rId14" Type="http://schemas.openxmlformats.org/officeDocument/2006/relationships/hyperlink" Target="mailto:CF@3ft" TargetMode="External"/><Relationship Id="rId35" Type="http://schemas.openxmlformats.org/officeDocument/2006/relationships/hyperlink" Target="mailto:CF@3ft" TargetMode="External"/><Relationship Id="rId56" Type="http://schemas.openxmlformats.org/officeDocument/2006/relationships/hyperlink" Target="mailto:CF@3ft" TargetMode="External"/><Relationship Id="rId77" Type="http://schemas.openxmlformats.org/officeDocument/2006/relationships/hyperlink" Target="mailto:HM@6in" TargetMode="External"/><Relationship Id="rId100" Type="http://schemas.openxmlformats.org/officeDocument/2006/relationships/hyperlink" Target="mailto:CF@3ft" TargetMode="External"/><Relationship Id="rId282" Type="http://schemas.openxmlformats.org/officeDocument/2006/relationships/hyperlink" Target="mailto:CF@2ft" TargetMode="External"/><Relationship Id="rId317" Type="http://schemas.openxmlformats.org/officeDocument/2006/relationships/hyperlink" Target="mailto:CF@2ft" TargetMode="External"/><Relationship Id="rId338" Type="http://schemas.openxmlformats.org/officeDocument/2006/relationships/hyperlink" Target="mailto:CF@3ft" TargetMode="External"/><Relationship Id="rId359" Type="http://schemas.openxmlformats.org/officeDocument/2006/relationships/hyperlink" Target="mailto:HM@6in" TargetMode="External"/><Relationship Id="rId8" Type="http://schemas.openxmlformats.org/officeDocument/2006/relationships/hyperlink" Target="mailto:CF@3ft" TargetMode="External"/><Relationship Id="rId98" Type="http://schemas.openxmlformats.org/officeDocument/2006/relationships/hyperlink" Target="mailto:HM@6in" TargetMode="External"/><Relationship Id="rId121" Type="http://schemas.openxmlformats.org/officeDocument/2006/relationships/hyperlink" Target="mailto:CF@2ft" TargetMode="External"/><Relationship Id="rId142" Type="http://schemas.openxmlformats.org/officeDocument/2006/relationships/hyperlink" Target="mailto:HM@6in" TargetMode="External"/><Relationship Id="rId163" Type="http://schemas.openxmlformats.org/officeDocument/2006/relationships/hyperlink" Target="mailto:HM@6in" TargetMode="External"/><Relationship Id="rId184" Type="http://schemas.openxmlformats.org/officeDocument/2006/relationships/hyperlink" Target="mailto:CF@%202%20ft" TargetMode="External"/><Relationship Id="rId219" Type="http://schemas.openxmlformats.org/officeDocument/2006/relationships/hyperlink" Target="mailto:HM@6in" TargetMode="External"/><Relationship Id="rId370" Type="http://schemas.openxmlformats.org/officeDocument/2006/relationships/hyperlink" Target="mailto:HM@6in" TargetMode="External"/><Relationship Id="rId391" Type="http://schemas.openxmlformats.org/officeDocument/2006/relationships/hyperlink" Target="mailto:CF@3ft" TargetMode="External"/><Relationship Id="rId405" Type="http://schemas.openxmlformats.org/officeDocument/2006/relationships/hyperlink" Target="mailto:HM@6in" TargetMode="External"/><Relationship Id="rId426" Type="http://schemas.openxmlformats.org/officeDocument/2006/relationships/hyperlink" Target="mailto:HM@6in" TargetMode="External"/><Relationship Id="rId447" Type="http://schemas.openxmlformats.org/officeDocument/2006/relationships/hyperlink" Target="mailto:CF@6in" TargetMode="External"/><Relationship Id="rId230" Type="http://schemas.openxmlformats.org/officeDocument/2006/relationships/hyperlink" Target="mailto:CF@6in" TargetMode="External"/><Relationship Id="rId251" Type="http://schemas.openxmlformats.org/officeDocument/2006/relationships/hyperlink" Target="mailto:HM@6in" TargetMode="External"/><Relationship Id="rId468" Type="http://schemas.openxmlformats.org/officeDocument/2006/relationships/hyperlink" Target="mailto:HM@6in" TargetMode="External"/><Relationship Id="rId25" Type="http://schemas.openxmlformats.org/officeDocument/2006/relationships/hyperlink" Target="mailto:CF@3ft" TargetMode="External"/><Relationship Id="rId46" Type="http://schemas.openxmlformats.org/officeDocument/2006/relationships/hyperlink" Target="mailto:Cf@4ft" TargetMode="External"/><Relationship Id="rId67" Type="http://schemas.openxmlformats.org/officeDocument/2006/relationships/hyperlink" Target="mailto:CF@2ft" TargetMode="External"/><Relationship Id="rId272" Type="http://schemas.openxmlformats.org/officeDocument/2006/relationships/hyperlink" Target="mailto:CF@2ft" TargetMode="External"/><Relationship Id="rId293" Type="http://schemas.openxmlformats.org/officeDocument/2006/relationships/hyperlink" Target="mailto:CF@2ft" TargetMode="External"/><Relationship Id="rId307" Type="http://schemas.openxmlformats.org/officeDocument/2006/relationships/hyperlink" Target="mailto:CF@3ft" TargetMode="External"/><Relationship Id="rId328" Type="http://schemas.openxmlformats.org/officeDocument/2006/relationships/hyperlink" Target="mailto:CF@3ft" TargetMode="External"/><Relationship Id="rId349" Type="http://schemas.openxmlformats.org/officeDocument/2006/relationships/hyperlink" Target="mailto:Cf@4ft" TargetMode="External"/><Relationship Id="rId88" Type="http://schemas.openxmlformats.org/officeDocument/2006/relationships/hyperlink" Target="mailto:HM@6in" TargetMode="External"/><Relationship Id="rId111" Type="http://schemas.openxmlformats.org/officeDocument/2006/relationships/hyperlink" Target="mailto:HM@6in" TargetMode="External"/><Relationship Id="rId132" Type="http://schemas.openxmlformats.org/officeDocument/2006/relationships/hyperlink" Target="mailto:CF@%202%20ft" TargetMode="External"/><Relationship Id="rId153" Type="http://schemas.openxmlformats.org/officeDocument/2006/relationships/hyperlink" Target="mailto:CF@3ft" TargetMode="External"/><Relationship Id="rId174" Type="http://schemas.openxmlformats.org/officeDocument/2006/relationships/hyperlink" Target="mailto:CF@3ft" TargetMode="External"/><Relationship Id="rId195" Type="http://schemas.openxmlformats.org/officeDocument/2006/relationships/hyperlink" Target="mailto:CF@3ft" TargetMode="External"/><Relationship Id="rId209" Type="http://schemas.openxmlformats.org/officeDocument/2006/relationships/hyperlink" Target="mailto:Cf@4ft" TargetMode="External"/><Relationship Id="rId360" Type="http://schemas.openxmlformats.org/officeDocument/2006/relationships/hyperlink" Target="mailto:CF@3ft" TargetMode="External"/><Relationship Id="rId381" Type="http://schemas.openxmlformats.org/officeDocument/2006/relationships/hyperlink" Target="mailto:CF@3ft" TargetMode="External"/><Relationship Id="rId416" Type="http://schemas.openxmlformats.org/officeDocument/2006/relationships/hyperlink" Target="mailto:HM@6in" TargetMode="External"/><Relationship Id="rId220" Type="http://schemas.openxmlformats.org/officeDocument/2006/relationships/hyperlink" Target="mailto:CF@3ft" TargetMode="External"/><Relationship Id="rId241" Type="http://schemas.openxmlformats.org/officeDocument/2006/relationships/hyperlink" Target="mailto:CF@3ft" TargetMode="External"/><Relationship Id="rId437" Type="http://schemas.openxmlformats.org/officeDocument/2006/relationships/hyperlink" Target="mailto:CF@6in" TargetMode="External"/><Relationship Id="rId458" Type="http://schemas.openxmlformats.org/officeDocument/2006/relationships/hyperlink" Target="mailto:HM@6in" TargetMode="External"/><Relationship Id="rId15" Type="http://schemas.openxmlformats.org/officeDocument/2006/relationships/hyperlink" Target="mailto:CF@3ft" TargetMode="External"/><Relationship Id="rId36" Type="http://schemas.openxmlformats.org/officeDocument/2006/relationships/hyperlink" Target="mailto:CF@2ft" TargetMode="External"/><Relationship Id="rId57" Type="http://schemas.openxmlformats.org/officeDocument/2006/relationships/hyperlink" Target="mailto:Cf@4ft" TargetMode="External"/><Relationship Id="rId262" Type="http://schemas.openxmlformats.org/officeDocument/2006/relationships/hyperlink" Target="mailto:CF@6in" TargetMode="External"/><Relationship Id="rId283" Type="http://schemas.openxmlformats.org/officeDocument/2006/relationships/hyperlink" Target="mailto:CF@3ft" TargetMode="External"/><Relationship Id="rId318" Type="http://schemas.openxmlformats.org/officeDocument/2006/relationships/hyperlink" Target="mailto:CF@3ft" TargetMode="External"/><Relationship Id="rId339" Type="http://schemas.openxmlformats.org/officeDocument/2006/relationships/hyperlink" Target="mailto:CF@2ft" TargetMode="External"/><Relationship Id="rId78" Type="http://schemas.openxmlformats.org/officeDocument/2006/relationships/hyperlink" Target="mailto:CF@2ft" TargetMode="External"/><Relationship Id="rId99" Type="http://schemas.openxmlformats.org/officeDocument/2006/relationships/hyperlink" Target="mailto:CF@2ft" TargetMode="External"/><Relationship Id="rId101" Type="http://schemas.openxmlformats.org/officeDocument/2006/relationships/hyperlink" Target="mailto:CF@3ft" TargetMode="External"/><Relationship Id="rId122" Type="http://schemas.openxmlformats.org/officeDocument/2006/relationships/hyperlink" Target="mailto:CF@3ft" TargetMode="External"/><Relationship Id="rId143" Type="http://schemas.openxmlformats.org/officeDocument/2006/relationships/hyperlink" Target="mailto:CF@3ft" TargetMode="External"/><Relationship Id="rId164" Type="http://schemas.openxmlformats.org/officeDocument/2006/relationships/hyperlink" Target="mailto:CF@2ft" TargetMode="External"/><Relationship Id="rId185" Type="http://schemas.openxmlformats.org/officeDocument/2006/relationships/hyperlink" Target="mailto:CF@3ft" TargetMode="External"/><Relationship Id="rId350" Type="http://schemas.openxmlformats.org/officeDocument/2006/relationships/hyperlink" Target="mailto:CF@%202%20ft" TargetMode="External"/><Relationship Id="rId371" Type="http://schemas.openxmlformats.org/officeDocument/2006/relationships/hyperlink" Target="mailto:CF@3ft" TargetMode="External"/><Relationship Id="rId406" Type="http://schemas.openxmlformats.org/officeDocument/2006/relationships/hyperlink" Target="mailto:CF@3ft" TargetMode="External"/><Relationship Id="rId9" Type="http://schemas.openxmlformats.org/officeDocument/2006/relationships/hyperlink" Target="mailto:CF@2ft" TargetMode="External"/><Relationship Id="rId210" Type="http://schemas.openxmlformats.org/officeDocument/2006/relationships/hyperlink" Target="mailto:CF@%202%20ft" TargetMode="External"/><Relationship Id="rId392" Type="http://schemas.openxmlformats.org/officeDocument/2006/relationships/hyperlink" Target="mailto:CF@6in" TargetMode="External"/><Relationship Id="rId427" Type="http://schemas.openxmlformats.org/officeDocument/2006/relationships/hyperlink" Target="mailto:CF@3ft" TargetMode="External"/><Relationship Id="rId448" Type="http://schemas.openxmlformats.org/officeDocument/2006/relationships/hyperlink" Target="mailto:CF@3ft" TargetMode="External"/><Relationship Id="rId469" Type="http://schemas.openxmlformats.org/officeDocument/2006/relationships/printerSettings" Target="../printerSettings/printerSettings3.bin"/><Relationship Id="rId26" Type="http://schemas.openxmlformats.org/officeDocument/2006/relationships/hyperlink" Target="mailto:Cf@4ft" TargetMode="External"/><Relationship Id="rId231" Type="http://schemas.openxmlformats.org/officeDocument/2006/relationships/hyperlink" Target="mailto:HM@6in" TargetMode="External"/><Relationship Id="rId252" Type="http://schemas.openxmlformats.org/officeDocument/2006/relationships/hyperlink" Target="mailto:CF@3ft" TargetMode="External"/><Relationship Id="rId273" Type="http://schemas.openxmlformats.org/officeDocument/2006/relationships/hyperlink" Target="mailto:CF@3ft" TargetMode="External"/><Relationship Id="rId294" Type="http://schemas.openxmlformats.org/officeDocument/2006/relationships/hyperlink" Target="mailto:CF@3ft" TargetMode="External"/><Relationship Id="rId308" Type="http://schemas.openxmlformats.org/officeDocument/2006/relationships/hyperlink" Target="mailto:CF@6in" TargetMode="External"/><Relationship Id="rId329" Type="http://schemas.openxmlformats.org/officeDocument/2006/relationships/hyperlink" Target="mailto:CF@%202%20ft" TargetMode="External"/><Relationship Id="rId47" Type="http://schemas.openxmlformats.org/officeDocument/2006/relationships/hyperlink" Target="mailto:CF@%202%20ft" TargetMode="External"/><Relationship Id="rId68" Type="http://schemas.openxmlformats.org/officeDocument/2006/relationships/hyperlink" Target="mailto:CF@3ft" TargetMode="External"/><Relationship Id="rId89" Type="http://schemas.openxmlformats.org/officeDocument/2006/relationships/hyperlink" Target="mailto:CF@6in" TargetMode="External"/><Relationship Id="rId112" Type="http://schemas.openxmlformats.org/officeDocument/2006/relationships/hyperlink" Target="mailto:CF@2ft" TargetMode="External"/><Relationship Id="rId133" Type="http://schemas.openxmlformats.org/officeDocument/2006/relationships/hyperlink" Target="mailto:CF@3ft" TargetMode="External"/><Relationship Id="rId154" Type="http://schemas.openxmlformats.org/officeDocument/2006/relationships/hyperlink" Target="mailto:CF@6in" TargetMode="External"/><Relationship Id="rId175" Type="http://schemas.openxmlformats.org/officeDocument/2006/relationships/hyperlink" Target="mailto:CF@6in" TargetMode="External"/><Relationship Id="rId340" Type="http://schemas.openxmlformats.org/officeDocument/2006/relationships/hyperlink" Target="mailto:CF@3ft" TargetMode="External"/><Relationship Id="rId361" Type="http://schemas.openxmlformats.org/officeDocument/2006/relationships/hyperlink" Target="mailto:Cf@4ft" TargetMode="External"/><Relationship Id="rId196" Type="http://schemas.openxmlformats.org/officeDocument/2006/relationships/hyperlink" Target="mailto:Cf@4ft" TargetMode="External"/><Relationship Id="rId200" Type="http://schemas.openxmlformats.org/officeDocument/2006/relationships/hyperlink" Target="mailto:CF@3ft" TargetMode="External"/><Relationship Id="rId382" Type="http://schemas.openxmlformats.org/officeDocument/2006/relationships/hyperlink" Target="mailto:Cf@4ft" TargetMode="External"/><Relationship Id="rId417" Type="http://schemas.openxmlformats.org/officeDocument/2006/relationships/hyperlink" Target="mailto:CF@3ft" TargetMode="External"/><Relationship Id="rId438" Type="http://schemas.openxmlformats.org/officeDocument/2006/relationships/hyperlink" Target="mailto:HM@6in" TargetMode="External"/><Relationship Id="rId459" Type="http://schemas.openxmlformats.org/officeDocument/2006/relationships/hyperlink" Target="mailto:CF@3ft" TargetMode="External"/><Relationship Id="rId16" Type="http://schemas.openxmlformats.org/officeDocument/2006/relationships/hyperlink" Target="mailto:CF@3ft" TargetMode="External"/><Relationship Id="rId221" Type="http://schemas.openxmlformats.org/officeDocument/2006/relationships/hyperlink" Target="mailto:Cf@4ft" TargetMode="External"/><Relationship Id="rId242" Type="http://schemas.openxmlformats.org/officeDocument/2006/relationships/hyperlink" Target="mailto:CF@6in" TargetMode="External"/><Relationship Id="rId263" Type="http://schemas.openxmlformats.org/officeDocument/2006/relationships/hyperlink" Target="mailto:HM@6in" TargetMode="External"/><Relationship Id="rId284" Type="http://schemas.openxmlformats.org/officeDocument/2006/relationships/hyperlink" Target="mailto:CF@6in" TargetMode="External"/><Relationship Id="rId319" Type="http://schemas.openxmlformats.org/officeDocument/2006/relationships/hyperlink" Target="mailto:CF@6in" TargetMode="External"/><Relationship Id="rId470" Type="http://schemas.microsoft.com/office/2006/relationships/wsSortMap" Target="wsSortMap1.xml"/><Relationship Id="rId37" Type="http://schemas.openxmlformats.org/officeDocument/2006/relationships/hyperlink" Target="mailto:CF@3ft" TargetMode="External"/><Relationship Id="rId58" Type="http://schemas.openxmlformats.org/officeDocument/2006/relationships/hyperlink" Target="mailto:CF@%202%20ft" TargetMode="External"/><Relationship Id="rId79" Type="http://schemas.openxmlformats.org/officeDocument/2006/relationships/hyperlink" Target="mailto:CF@3ft" TargetMode="External"/><Relationship Id="rId102" Type="http://schemas.openxmlformats.org/officeDocument/2006/relationships/hyperlink" Target="mailto:CF@6in" TargetMode="External"/><Relationship Id="rId123" Type="http://schemas.openxmlformats.org/officeDocument/2006/relationships/hyperlink" Target="mailto:CF@6in" TargetMode="External"/><Relationship Id="rId144" Type="http://schemas.openxmlformats.org/officeDocument/2006/relationships/hyperlink" Target="mailto:Cf@4ft" TargetMode="External"/><Relationship Id="rId330" Type="http://schemas.openxmlformats.org/officeDocument/2006/relationships/hyperlink" Target="mailto:CF@3ft" TargetMode="External"/><Relationship Id="rId90" Type="http://schemas.openxmlformats.org/officeDocument/2006/relationships/hyperlink" Target="mailto:HM@6in" TargetMode="External"/><Relationship Id="rId165" Type="http://schemas.openxmlformats.org/officeDocument/2006/relationships/hyperlink" Target="mailto:CF@3ft" TargetMode="External"/><Relationship Id="rId186" Type="http://schemas.openxmlformats.org/officeDocument/2006/relationships/hyperlink" Target="mailto:CF@2ft" TargetMode="External"/><Relationship Id="rId351" Type="http://schemas.openxmlformats.org/officeDocument/2006/relationships/hyperlink" Target="mailto:CF@3ft" TargetMode="External"/><Relationship Id="rId372" Type="http://schemas.openxmlformats.org/officeDocument/2006/relationships/hyperlink" Target="mailto:CF@%202%20ft" TargetMode="External"/><Relationship Id="rId393" Type="http://schemas.openxmlformats.org/officeDocument/2006/relationships/hyperlink" Target="mailto:HM@6in" TargetMode="External"/><Relationship Id="rId407" Type="http://schemas.openxmlformats.org/officeDocument/2006/relationships/hyperlink" Target="mailto:Cf@4ft" TargetMode="External"/><Relationship Id="rId428" Type="http://schemas.openxmlformats.org/officeDocument/2006/relationships/hyperlink" Target="mailto:Cf@4ft" TargetMode="External"/><Relationship Id="rId449" Type="http://schemas.openxmlformats.org/officeDocument/2006/relationships/hyperlink" Target="mailto:CF@6in" TargetMode="External"/><Relationship Id="rId211" Type="http://schemas.openxmlformats.org/officeDocument/2006/relationships/hyperlink" Target="mailto:CF@2ft" TargetMode="External"/><Relationship Id="rId232" Type="http://schemas.openxmlformats.org/officeDocument/2006/relationships/hyperlink" Target="mailto:CF@3ft" TargetMode="External"/><Relationship Id="rId253" Type="http://schemas.openxmlformats.org/officeDocument/2006/relationships/hyperlink" Target="mailto:CF@3ft" TargetMode="External"/><Relationship Id="rId274" Type="http://schemas.openxmlformats.org/officeDocument/2006/relationships/hyperlink" Target="mailto:CF@6in" TargetMode="External"/><Relationship Id="rId295" Type="http://schemas.openxmlformats.org/officeDocument/2006/relationships/hyperlink" Target="mailto:CF@6in" TargetMode="External"/><Relationship Id="rId309" Type="http://schemas.openxmlformats.org/officeDocument/2006/relationships/hyperlink" Target="mailto:HM@6in" TargetMode="External"/><Relationship Id="rId460" Type="http://schemas.openxmlformats.org/officeDocument/2006/relationships/hyperlink" Target="mailto:CF@3ft" TargetMode="External"/><Relationship Id="rId27" Type="http://schemas.openxmlformats.org/officeDocument/2006/relationships/hyperlink" Target="mailto:CF@3ft" TargetMode="External"/><Relationship Id="rId48" Type="http://schemas.openxmlformats.org/officeDocument/2006/relationships/hyperlink" Target="mailto:CF@3ft" TargetMode="External"/><Relationship Id="rId69" Type="http://schemas.openxmlformats.org/officeDocument/2006/relationships/hyperlink" Target="mailto:CF@6in" TargetMode="External"/><Relationship Id="rId113" Type="http://schemas.openxmlformats.org/officeDocument/2006/relationships/hyperlink" Target="mailto:CF@3ft" TargetMode="External"/><Relationship Id="rId134" Type="http://schemas.openxmlformats.org/officeDocument/2006/relationships/hyperlink" Target="mailto:CF@2ft" TargetMode="External"/><Relationship Id="rId320" Type="http://schemas.openxmlformats.org/officeDocument/2006/relationships/hyperlink" Target="mailto:HM@6in" TargetMode="External"/><Relationship Id="rId80" Type="http://schemas.openxmlformats.org/officeDocument/2006/relationships/hyperlink" Target="mailto:CF@3ft" TargetMode="External"/><Relationship Id="rId155" Type="http://schemas.openxmlformats.org/officeDocument/2006/relationships/hyperlink" Target="mailto:HM@6in" TargetMode="External"/><Relationship Id="rId176" Type="http://schemas.openxmlformats.org/officeDocument/2006/relationships/hyperlink" Target="mailto:HM@6in" TargetMode="External"/><Relationship Id="rId197" Type="http://schemas.openxmlformats.org/officeDocument/2006/relationships/hyperlink" Target="mailto:CF@%202%20ft" TargetMode="External"/><Relationship Id="rId341" Type="http://schemas.openxmlformats.org/officeDocument/2006/relationships/hyperlink" Target="mailto:CF@6in" TargetMode="External"/><Relationship Id="rId362" Type="http://schemas.openxmlformats.org/officeDocument/2006/relationships/hyperlink" Target="mailto:CF@%202%20ft" TargetMode="External"/><Relationship Id="rId383" Type="http://schemas.openxmlformats.org/officeDocument/2006/relationships/hyperlink" Target="mailto:CF@%202%20ft" TargetMode="External"/><Relationship Id="rId418" Type="http://schemas.openxmlformats.org/officeDocument/2006/relationships/hyperlink" Target="mailto:CF@%202%20ft" TargetMode="External"/><Relationship Id="rId439" Type="http://schemas.openxmlformats.org/officeDocument/2006/relationships/hyperlink" Target="mailto:CF@3ft" TargetMode="External"/><Relationship Id="rId201" Type="http://schemas.openxmlformats.org/officeDocument/2006/relationships/hyperlink" Target="mailto:CF@6in" TargetMode="External"/><Relationship Id="rId222" Type="http://schemas.openxmlformats.org/officeDocument/2006/relationships/hyperlink" Target="mailto:CF@%202%20ft" TargetMode="External"/><Relationship Id="rId243" Type="http://schemas.openxmlformats.org/officeDocument/2006/relationships/hyperlink" Target="mailto:HM@6in" TargetMode="External"/><Relationship Id="rId264" Type="http://schemas.openxmlformats.org/officeDocument/2006/relationships/hyperlink" Target="mailto:CF@6in" TargetMode="External"/><Relationship Id="rId285" Type="http://schemas.openxmlformats.org/officeDocument/2006/relationships/hyperlink" Target="mailto:HM@6in" TargetMode="External"/><Relationship Id="rId450" Type="http://schemas.openxmlformats.org/officeDocument/2006/relationships/hyperlink" Target="mailto:HM@6in" TargetMode="External"/><Relationship Id="rId17" Type="http://schemas.openxmlformats.org/officeDocument/2006/relationships/hyperlink" Target="mailto:CF@3ft" TargetMode="External"/><Relationship Id="rId38" Type="http://schemas.openxmlformats.org/officeDocument/2006/relationships/hyperlink" Target="mailto:CF@6in" TargetMode="External"/><Relationship Id="rId59" Type="http://schemas.openxmlformats.org/officeDocument/2006/relationships/hyperlink" Target="mailto:CF@3ft" TargetMode="External"/><Relationship Id="rId103" Type="http://schemas.openxmlformats.org/officeDocument/2006/relationships/hyperlink" Target="mailto:HM@6in" TargetMode="External"/><Relationship Id="rId124" Type="http://schemas.openxmlformats.org/officeDocument/2006/relationships/hyperlink" Target="mailto:HM@6in" TargetMode="External"/><Relationship Id="rId310" Type="http://schemas.openxmlformats.org/officeDocument/2006/relationships/hyperlink" Target="mailto:CF@3ft" TargetMode="External"/><Relationship Id="rId70" Type="http://schemas.openxmlformats.org/officeDocument/2006/relationships/hyperlink" Target="mailto:HM@6in" TargetMode="External"/><Relationship Id="rId91" Type="http://schemas.openxmlformats.org/officeDocument/2006/relationships/hyperlink" Target="mailto:CF@3ft" TargetMode="External"/><Relationship Id="rId145" Type="http://schemas.openxmlformats.org/officeDocument/2006/relationships/hyperlink" Target="mailto:CF@%202%20ft" TargetMode="External"/><Relationship Id="rId166" Type="http://schemas.openxmlformats.org/officeDocument/2006/relationships/hyperlink" Target="mailto:CF@3ft" TargetMode="External"/><Relationship Id="rId187" Type="http://schemas.openxmlformats.org/officeDocument/2006/relationships/hyperlink" Target="mailto:CF@3ft" TargetMode="External"/><Relationship Id="rId331" Type="http://schemas.openxmlformats.org/officeDocument/2006/relationships/hyperlink" Target="mailto:HM@6in" TargetMode="External"/><Relationship Id="rId352" Type="http://schemas.openxmlformats.org/officeDocument/2006/relationships/hyperlink" Target="mailto:CF@2ft" TargetMode="External"/><Relationship Id="rId373" Type="http://schemas.openxmlformats.org/officeDocument/2006/relationships/hyperlink" Target="mailto:CF@3ft" TargetMode="External"/><Relationship Id="rId394" Type="http://schemas.openxmlformats.org/officeDocument/2006/relationships/hyperlink" Target="mailto:CF@3ft" TargetMode="External"/><Relationship Id="rId408" Type="http://schemas.openxmlformats.org/officeDocument/2006/relationships/hyperlink" Target="mailto:CF@%202%20ft" TargetMode="External"/><Relationship Id="rId429" Type="http://schemas.openxmlformats.org/officeDocument/2006/relationships/hyperlink" Target="mailto:CF@%202%20ft" TargetMode="External"/><Relationship Id="rId1" Type="http://schemas.openxmlformats.org/officeDocument/2006/relationships/printerSettings" Target="../printerSettings/printerSettings1.bin"/><Relationship Id="rId212" Type="http://schemas.openxmlformats.org/officeDocument/2006/relationships/hyperlink" Target="mailto:CF@3ft" TargetMode="External"/><Relationship Id="rId233" Type="http://schemas.openxmlformats.org/officeDocument/2006/relationships/hyperlink" Target="mailto:Cf@4ft" TargetMode="External"/><Relationship Id="rId254" Type="http://schemas.openxmlformats.org/officeDocument/2006/relationships/hyperlink" Target="mailto:CF@6in" TargetMode="External"/><Relationship Id="rId440" Type="http://schemas.openxmlformats.org/officeDocument/2006/relationships/hyperlink" Target="mailto:Cf@4ft" TargetMode="External"/><Relationship Id="rId28" Type="http://schemas.openxmlformats.org/officeDocument/2006/relationships/hyperlink" Target="mailto:HM@6in" TargetMode="External"/><Relationship Id="rId49" Type="http://schemas.openxmlformats.org/officeDocument/2006/relationships/hyperlink" Target="mailto:CF@2ft" TargetMode="External"/><Relationship Id="rId114" Type="http://schemas.openxmlformats.org/officeDocument/2006/relationships/hyperlink" Target="mailto:CF@3ft" TargetMode="External"/><Relationship Id="rId275" Type="http://schemas.openxmlformats.org/officeDocument/2006/relationships/hyperlink" Target="mailto:HM@6in" TargetMode="External"/><Relationship Id="rId296" Type="http://schemas.openxmlformats.org/officeDocument/2006/relationships/hyperlink" Target="mailto:HM@6in" TargetMode="External"/><Relationship Id="rId300" Type="http://schemas.openxmlformats.org/officeDocument/2006/relationships/hyperlink" Target="mailto:CF@6in" TargetMode="External"/><Relationship Id="rId461" Type="http://schemas.openxmlformats.org/officeDocument/2006/relationships/hyperlink" Target="mailto:HM@6in" TargetMode="External"/><Relationship Id="rId60" Type="http://schemas.openxmlformats.org/officeDocument/2006/relationships/hyperlink" Target="mailto:CF@2ft" TargetMode="External"/><Relationship Id="rId81" Type="http://schemas.openxmlformats.org/officeDocument/2006/relationships/hyperlink" Target="mailto:CF@3ft" TargetMode="External"/><Relationship Id="rId135" Type="http://schemas.openxmlformats.org/officeDocument/2006/relationships/hyperlink" Target="mailto:CF@3ft" TargetMode="External"/><Relationship Id="rId156" Type="http://schemas.openxmlformats.org/officeDocument/2006/relationships/hyperlink" Target="mailto:CF@3ft" TargetMode="External"/><Relationship Id="rId177" Type="http://schemas.openxmlformats.org/officeDocument/2006/relationships/hyperlink" Target="mailto:CF@2ft" TargetMode="External"/><Relationship Id="rId198" Type="http://schemas.openxmlformats.org/officeDocument/2006/relationships/hyperlink" Target="mailto:CF@3ft" TargetMode="External"/><Relationship Id="rId321" Type="http://schemas.openxmlformats.org/officeDocument/2006/relationships/hyperlink" Target="mailto:CF@3ft" TargetMode="External"/><Relationship Id="rId342" Type="http://schemas.openxmlformats.org/officeDocument/2006/relationships/hyperlink" Target="mailto:HM@6in" TargetMode="External"/><Relationship Id="rId363" Type="http://schemas.openxmlformats.org/officeDocument/2006/relationships/hyperlink" Target="mailto:CF@3ft" TargetMode="External"/><Relationship Id="rId384" Type="http://schemas.openxmlformats.org/officeDocument/2006/relationships/hyperlink" Target="mailto:CF@3ft" TargetMode="External"/><Relationship Id="rId419" Type="http://schemas.openxmlformats.org/officeDocument/2006/relationships/hyperlink" Target="mailto:CF@3ft" TargetMode="External"/><Relationship Id="rId202" Type="http://schemas.openxmlformats.org/officeDocument/2006/relationships/hyperlink" Target="mailto:HM@6in" TargetMode="External"/><Relationship Id="rId223" Type="http://schemas.openxmlformats.org/officeDocument/2006/relationships/hyperlink" Target="mailto:CF@2ft" TargetMode="External"/><Relationship Id="rId244" Type="http://schemas.openxmlformats.org/officeDocument/2006/relationships/hyperlink" Target="mailto:CF@3ft" TargetMode="External"/><Relationship Id="rId430" Type="http://schemas.openxmlformats.org/officeDocument/2006/relationships/hyperlink" Target="mailto:CF@3ft" TargetMode="External"/><Relationship Id="rId18" Type="http://schemas.openxmlformats.org/officeDocument/2006/relationships/hyperlink" Target="mailto:HM@6in" TargetMode="External"/><Relationship Id="rId39" Type="http://schemas.openxmlformats.org/officeDocument/2006/relationships/hyperlink" Target="mailto:HM@6in" TargetMode="External"/><Relationship Id="rId265" Type="http://schemas.openxmlformats.org/officeDocument/2006/relationships/hyperlink" Target="mailto:CF@3ft" TargetMode="External"/><Relationship Id="rId286" Type="http://schemas.openxmlformats.org/officeDocument/2006/relationships/hyperlink" Target="mailto:CF@2ft" TargetMode="External"/><Relationship Id="rId451" Type="http://schemas.openxmlformats.org/officeDocument/2006/relationships/hyperlink" Target="mailto:CF@3ft" TargetMode="External"/><Relationship Id="rId50" Type="http://schemas.openxmlformats.org/officeDocument/2006/relationships/hyperlink" Target="mailto:CF@3ft" TargetMode="External"/><Relationship Id="rId104" Type="http://schemas.openxmlformats.org/officeDocument/2006/relationships/hyperlink" Target="mailto:CF@3ft" TargetMode="External"/><Relationship Id="rId125" Type="http://schemas.openxmlformats.org/officeDocument/2006/relationships/hyperlink" Target="mailto:CF@2ft" TargetMode="External"/><Relationship Id="rId146" Type="http://schemas.openxmlformats.org/officeDocument/2006/relationships/hyperlink" Target="mailto:CF@3ft" TargetMode="External"/><Relationship Id="rId167" Type="http://schemas.openxmlformats.org/officeDocument/2006/relationships/hyperlink" Target="mailto:CF@6in" TargetMode="External"/><Relationship Id="rId188" Type="http://schemas.openxmlformats.org/officeDocument/2006/relationships/hyperlink" Target="mailto:CF@6in" TargetMode="External"/><Relationship Id="rId311" Type="http://schemas.openxmlformats.org/officeDocument/2006/relationships/hyperlink" Target="mailto:CF@6in" TargetMode="External"/><Relationship Id="rId332" Type="http://schemas.openxmlformats.org/officeDocument/2006/relationships/hyperlink" Target="mailto:CF@6in" TargetMode="External"/><Relationship Id="rId353" Type="http://schemas.openxmlformats.org/officeDocument/2006/relationships/hyperlink" Target="mailto:CF@3ft" TargetMode="External"/><Relationship Id="rId374" Type="http://schemas.openxmlformats.org/officeDocument/2006/relationships/hyperlink" Target="mailto:CF@2ft" TargetMode="External"/><Relationship Id="rId395" Type="http://schemas.openxmlformats.org/officeDocument/2006/relationships/hyperlink" Target="mailto:Cf@4ft" TargetMode="External"/><Relationship Id="rId409" Type="http://schemas.openxmlformats.org/officeDocument/2006/relationships/hyperlink" Target="mailto:CF@3ft" TargetMode="External"/><Relationship Id="rId71" Type="http://schemas.openxmlformats.org/officeDocument/2006/relationships/hyperlink" Target="mailto:CF@2ft" TargetMode="External"/><Relationship Id="rId92" Type="http://schemas.openxmlformats.org/officeDocument/2006/relationships/hyperlink" Target="mailto:Cf@4ft" TargetMode="External"/><Relationship Id="rId213" Type="http://schemas.openxmlformats.org/officeDocument/2006/relationships/hyperlink" Target="mailto:CF@6in" TargetMode="External"/><Relationship Id="rId234" Type="http://schemas.openxmlformats.org/officeDocument/2006/relationships/hyperlink" Target="mailto:CF@%202%20ft" TargetMode="External"/><Relationship Id="rId420" Type="http://schemas.openxmlformats.org/officeDocument/2006/relationships/hyperlink" Target="mailto:CF@2ft" TargetMode="External"/><Relationship Id="rId2" Type="http://schemas.openxmlformats.org/officeDocument/2006/relationships/printerSettings" Target="../printerSettings/printerSettings2.bin"/><Relationship Id="rId29" Type="http://schemas.openxmlformats.org/officeDocument/2006/relationships/hyperlink" Target="mailto:CF@3ft" TargetMode="External"/><Relationship Id="rId255" Type="http://schemas.openxmlformats.org/officeDocument/2006/relationships/hyperlink" Target="mailto:HM@6in" TargetMode="External"/><Relationship Id="rId276" Type="http://schemas.openxmlformats.org/officeDocument/2006/relationships/hyperlink" Target="mailto:CF@3ft" TargetMode="External"/><Relationship Id="rId297" Type="http://schemas.openxmlformats.org/officeDocument/2006/relationships/hyperlink" Target="mailto:CF@2ft" TargetMode="External"/><Relationship Id="rId441" Type="http://schemas.openxmlformats.org/officeDocument/2006/relationships/hyperlink" Target="mailto:CF@%202%20ft" TargetMode="External"/><Relationship Id="rId462" Type="http://schemas.openxmlformats.org/officeDocument/2006/relationships/hyperlink" Target="mailto:CF@3ft" TargetMode="External"/><Relationship Id="rId40" Type="http://schemas.openxmlformats.org/officeDocument/2006/relationships/hyperlink" Target="mailto:CF@3ft" TargetMode="External"/><Relationship Id="rId115" Type="http://schemas.openxmlformats.org/officeDocument/2006/relationships/hyperlink" Target="mailto:CF@6in" TargetMode="External"/><Relationship Id="rId136" Type="http://schemas.openxmlformats.org/officeDocument/2006/relationships/hyperlink" Target="mailto:CF@6in" TargetMode="External"/><Relationship Id="rId157" Type="http://schemas.openxmlformats.org/officeDocument/2006/relationships/hyperlink" Target="mailto:Cf@4ft" TargetMode="External"/><Relationship Id="rId178" Type="http://schemas.openxmlformats.org/officeDocument/2006/relationships/hyperlink" Target="mailto:CF@3ft" TargetMode="External"/><Relationship Id="rId301" Type="http://schemas.openxmlformats.org/officeDocument/2006/relationships/hyperlink" Target="mailto:HM@6in" TargetMode="External"/><Relationship Id="rId322" Type="http://schemas.openxmlformats.org/officeDocument/2006/relationships/hyperlink" Target="mailto:CF@3ft" TargetMode="External"/><Relationship Id="rId343" Type="http://schemas.openxmlformats.org/officeDocument/2006/relationships/hyperlink" Target="mailto:CF@2ft" TargetMode="External"/><Relationship Id="rId364" Type="http://schemas.openxmlformats.org/officeDocument/2006/relationships/hyperlink" Target="mailto:CF@2ft" TargetMode="External"/><Relationship Id="rId61" Type="http://schemas.openxmlformats.org/officeDocument/2006/relationships/hyperlink" Target="mailto:CF@3ft" TargetMode="External"/><Relationship Id="rId82" Type="http://schemas.openxmlformats.org/officeDocument/2006/relationships/hyperlink" Target="mailto:HM@6in" TargetMode="External"/><Relationship Id="rId199" Type="http://schemas.openxmlformats.org/officeDocument/2006/relationships/hyperlink" Target="mailto:CF@2ft" TargetMode="External"/><Relationship Id="rId203" Type="http://schemas.openxmlformats.org/officeDocument/2006/relationships/hyperlink" Target="mailto:CF@2ft" TargetMode="External"/><Relationship Id="rId385" Type="http://schemas.openxmlformats.org/officeDocument/2006/relationships/hyperlink" Target="mailto:CF@2ft" TargetMode="External"/><Relationship Id="rId19" Type="http://schemas.openxmlformats.org/officeDocument/2006/relationships/hyperlink" Target="mailto:CF@3ft" TargetMode="External"/><Relationship Id="rId224" Type="http://schemas.openxmlformats.org/officeDocument/2006/relationships/hyperlink" Target="mailto:CF@3ft" TargetMode="External"/><Relationship Id="rId245" Type="http://schemas.openxmlformats.org/officeDocument/2006/relationships/hyperlink" Target="mailto:Cf@4ft" TargetMode="External"/><Relationship Id="rId266" Type="http://schemas.openxmlformats.org/officeDocument/2006/relationships/hyperlink" Target="mailto:CF@6in" TargetMode="External"/><Relationship Id="rId287" Type="http://schemas.openxmlformats.org/officeDocument/2006/relationships/hyperlink" Target="mailto:CF@6in" TargetMode="External"/><Relationship Id="rId410" Type="http://schemas.openxmlformats.org/officeDocument/2006/relationships/hyperlink" Target="mailto:CF@2ft" TargetMode="External"/><Relationship Id="rId431" Type="http://schemas.openxmlformats.org/officeDocument/2006/relationships/hyperlink" Target="mailto:CF@2ft" TargetMode="External"/><Relationship Id="rId452" Type="http://schemas.openxmlformats.org/officeDocument/2006/relationships/hyperlink" Target="mailto:Cf@4ft" TargetMode="External"/><Relationship Id="rId30" Type="http://schemas.openxmlformats.org/officeDocument/2006/relationships/hyperlink" Target="mailto:CF@6in" TargetMode="External"/><Relationship Id="rId105" Type="http://schemas.openxmlformats.org/officeDocument/2006/relationships/hyperlink" Target="mailto:Cf@4ft" TargetMode="External"/><Relationship Id="rId126" Type="http://schemas.openxmlformats.org/officeDocument/2006/relationships/hyperlink" Target="mailto:CF@3ft" TargetMode="External"/><Relationship Id="rId147" Type="http://schemas.openxmlformats.org/officeDocument/2006/relationships/hyperlink" Target="mailto:CF@2ft" TargetMode="External"/><Relationship Id="rId168" Type="http://schemas.openxmlformats.org/officeDocument/2006/relationships/hyperlink" Target="mailto:HM@6in" TargetMode="External"/><Relationship Id="rId312" Type="http://schemas.openxmlformats.org/officeDocument/2006/relationships/hyperlink" Target="mailto:HM@6in" TargetMode="External"/><Relationship Id="rId333" Type="http://schemas.openxmlformats.org/officeDocument/2006/relationships/hyperlink" Target="mailto:CF@6in" TargetMode="External"/><Relationship Id="rId354" Type="http://schemas.openxmlformats.org/officeDocument/2006/relationships/hyperlink" Target="mailto:CF@6in" TargetMode="External"/><Relationship Id="rId51" Type="http://schemas.openxmlformats.org/officeDocument/2006/relationships/hyperlink" Target="mailto:CF@6in" TargetMode="External"/><Relationship Id="rId72" Type="http://schemas.openxmlformats.org/officeDocument/2006/relationships/hyperlink" Target="mailto:CF@3ft" TargetMode="External"/><Relationship Id="rId93" Type="http://schemas.openxmlformats.org/officeDocument/2006/relationships/hyperlink" Target="mailto:CF@3ft" TargetMode="External"/><Relationship Id="rId189" Type="http://schemas.openxmlformats.org/officeDocument/2006/relationships/hyperlink" Target="mailto:HM@6in" TargetMode="External"/><Relationship Id="rId375" Type="http://schemas.openxmlformats.org/officeDocument/2006/relationships/hyperlink" Target="mailto:CF@3ft" TargetMode="External"/><Relationship Id="rId396" Type="http://schemas.openxmlformats.org/officeDocument/2006/relationships/hyperlink" Target="mailto:CF@%202%20ft" TargetMode="External"/><Relationship Id="rId3" Type="http://schemas.openxmlformats.org/officeDocument/2006/relationships/hyperlink" Target="mailto:CF@6in" TargetMode="External"/><Relationship Id="rId214" Type="http://schemas.openxmlformats.org/officeDocument/2006/relationships/hyperlink" Target="mailto:HM@6in" TargetMode="External"/><Relationship Id="rId235" Type="http://schemas.openxmlformats.org/officeDocument/2006/relationships/hyperlink" Target="mailto:CF@2ft" TargetMode="External"/><Relationship Id="rId256" Type="http://schemas.openxmlformats.org/officeDocument/2006/relationships/hyperlink" Target="mailto:CF@3ft" TargetMode="External"/><Relationship Id="rId277" Type="http://schemas.openxmlformats.org/officeDocument/2006/relationships/hyperlink" Target="mailto:CF@3ft" TargetMode="External"/><Relationship Id="rId298" Type="http://schemas.openxmlformats.org/officeDocument/2006/relationships/hyperlink" Target="mailto:CF@3ft" TargetMode="External"/><Relationship Id="rId400" Type="http://schemas.openxmlformats.org/officeDocument/2006/relationships/hyperlink" Target="mailto:CF@6in" TargetMode="External"/><Relationship Id="rId421" Type="http://schemas.openxmlformats.org/officeDocument/2006/relationships/hyperlink" Target="mailto:CF@3ft" TargetMode="External"/><Relationship Id="rId442" Type="http://schemas.openxmlformats.org/officeDocument/2006/relationships/hyperlink" Target="mailto:CF@3ft" TargetMode="External"/><Relationship Id="rId463" Type="http://schemas.openxmlformats.org/officeDocument/2006/relationships/hyperlink" Target="mailto:CF@%202%20ft" TargetMode="External"/><Relationship Id="rId116" Type="http://schemas.openxmlformats.org/officeDocument/2006/relationships/hyperlink" Target="mailto:HM@6in" TargetMode="External"/><Relationship Id="rId137" Type="http://schemas.openxmlformats.org/officeDocument/2006/relationships/hyperlink" Target="mailto:HM@6in" TargetMode="External"/><Relationship Id="rId158" Type="http://schemas.openxmlformats.org/officeDocument/2006/relationships/hyperlink" Target="mailto:CF@%202%20ft" TargetMode="External"/><Relationship Id="rId302" Type="http://schemas.openxmlformats.org/officeDocument/2006/relationships/hyperlink" Target="mailto:CF@3ft" TargetMode="External"/><Relationship Id="rId323" Type="http://schemas.openxmlformats.org/officeDocument/2006/relationships/hyperlink" Target="mailto:CF@2ft" TargetMode="External"/><Relationship Id="rId344" Type="http://schemas.openxmlformats.org/officeDocument/2006/relationships/hyperlink" Target="mailto:CF@3ft" TargetMode="External"/><Relationship Id="rId20" Type="http://schemas.openxmlformats.org/officeDocument/2006/relationships/hyperlink" Target="mailto:Cf@4ft" TargetMode="External"/><Relationship Id="rId41" Type="http://schemas.openxmlformats.org/officeDocument/2006/relationships/hyperlink" Target="mailto:CF@3ft" TargetMode="External"/><Relationship Id="rId62" Type="http://schemas.openxmlformats.org/officeDocument/2006/relationships/hyperlink" Target="mailto:CF@6in" TargetMode="External"/><Relationship Id="rId83" Type="http://schemas.openxmlformats.org/officeDocument/2006/relationships/hyperlink" Target="mailto:CF@3ft" TargetMode="External"/><Relationship Id="rId179" Type="http://schemas.openxmlformats.org/officeDocument/2006/relationships/hyperlink" Target="mailto:CF@3ft" TargetMode="External"/><Relationship Id="rId365" Type="http://schemas.openxmlformats.org/officeDocument/2006/relationships/hyperlink" Target="mailto:CF@3ft" TargetMode="External"/><Relationship Id="rId386" Type="http://schemas.openxmlformats.org/officeDocument/2006/relationships/hyperlink" Target="mailto:CF@3ft" TargetMode="External"/><Relationship Id="rId190" Type="http://schemas.openxmlformats.org/officeDocument/2006/relationships/hyperlink" Target="mailto:CF@2ft" TargetMode="External"/><Relationship Id="rId204" Type="http://schemas.openxmlformats.org/officeDocument/2006/relationships/hyperlink" Target="mailto:CF@3ft" TargetMode="External"/><Relationship Id="rId225" Type="http://schemas.openxmlformats.org/officeDocument/2006/relationships/hyperlink" Target="mailto:CF@6in" TargetMode="External"/><Relationship Id="rId246" Type="http://schemas.openxmlformats.org/officeDocument/2006/relationships/hyperlink" Target="mailto:CF@%202%20ft" TargetMode="External"/><Relationship Id="rId267" Type="http://schemas.openxmlformats.org/officeDocument/2006/relationships/hyperlink" Target="mailto:HM@6in" TargetMode="External"/><Relationship Id="rId288" Type="http://schemas.openxmlformats.org/officeDocument/2006/relationships/hyperlink" Target="mailto:HM@6in" TargetMode="External"/><Relationship Id="rId411" Type="http://schemas.openxmlformats.org/officeDocument/2006/relationships/hyperlink" Target="mailto:CF@3ft" TargetMode="External"/><Relationship Id="rId432" Type="http://schemas.openxmlformats.org/officeDocument/2006/relationships/hyperlink" Target="mailto:CF@3ft" TargetMode="External"/><Relationship Id="rId453" Type="http://schemas.openxmlformats.org/officeDocument/2006/relationships/hyperlink" Target="mailto:CF@%202%20ft" TargetMode="External"/><Relationship Id="rId106" Type="http://schemas.openxmlformats.org/officeDocument/2006/relationships/hyperlink" Target="mailto:CF@3ft" TargetMode="External"/><Relationship Id="rId127" Type="http://schemas.openxmlformats.org/officeDocument/2006/relationships/hyperlink" Target="mailto:CF@3ft" TargetMode="External"/><Relationship Id="rId313" Type="http://schemas.openxmlformats.org/officeDocument/2006/relationships/hyperlink" Target="mailto:CF@3ft" TargetMode="External"/><Relationship Id="rId10" Type="http://schemas.openxmlformats.org/officeDocument/2006/relationships/hyperlink" Target="mailto:CF@3ft" TargetMode="External"/><Relationship Id="rId31" Type="http://schemas.openxmlformats.org/officeDocument/2006/relationships/hyperlink" Target="mailto:HM@6in" TargetMode="External"/><Relationship Id="rId52" Type="http://schemas.openxmlformats.org/officeDocument/2006/relationships/hyperlink" Target="mailto:HM@6in" TargetMode="External"/><Relationship Id="rId73" Type="http://schemas.openxmlformats.org/officeDocument/2006/relationships/hyperlink" Target="mailto:HM@6in" TargetMode="External"/><Relationship Id="rId94" Type="http://schemas.openxmlformats.org/officeDocument/2006/relationships/hyperlink" Target="mailto:CF@3ft" TargetMode="External"/><Relationship Id="rId148" Type="http://schemas.openxmlformats.org/officeDocument/2006/relationships/hyperlink" Target="mailto:CF@3ft" TargetMode="External"/><Relationship Id="rId169" Type="http://schemas.openxmlformats.org/officeDocument/2006/relationships/hyperlink" Target="mailto:CF@3ft" TargetMode="External"/><Relationship Id="rId334" Type="http://schemas.openxmlformats.org/officeDocument/2006/relationships/hyperlink" Target="mailto:HM@6in" TargetMode="External"/><Relationship Id="rId355" Type="http://schemas.openxmlformats.org/officeDocument/2006/relationships/hyperlink" Target="mailto:HM@6in" TargetMode="External"/><Relationship Id="rId376" Type="http://schemas.openxmlformats.org/officeDocument/2006/relationships/hyperlink" Target="mailto:CF@6in" TargetMode="External"/><Relationship Id="rId397" Type="http://schemas.openxmlformats.org/officeDocument/2006/relationships/hyperlink" Target="mailto:CF@3ft" TargetMode="External"/><Relationship Id="rId4" Type="http://schemas.openxmlformats.org/officeDocument/2006/relationships/hyperlink" Target="mailto:HM@6in" TargetMode="External"/><Relationship Id="rId180" Type="http://schemas.openxmlformats.org/officeDocument/2006/relationships/hyperlink" Target="mailto:CF@6in" TargetMode="External"/><Relationship Id="rId215" Type="http://schemas.openxmlformats.org/officeDocument/2006/relationships/hyperlink" Target="mailto:CF@2ft" TargetMode="External"/><Relationship Id="rId236" Type="http://schemas.openxmlformats.org/officeDocument/2006/relationships/hyperlink" Target="mailto:CF@3ft" TargetMode="External"/><Relationship Id="rId257" Type="http://schemas.openxmlformats.org/officeDocument/2006/relationships/hyperlink" Target="mailto:Cf@4ft" TargetMode="External"/><Relationship Id="rId278" Type="http://schemas.openxmlformats.org/officeDocument/2006/relationships/hyperlink" Target="mailto:HM@6in" TargetMode="External"/><Relationship Id="rId401" Type="http://schemas.openxmlformats.org/officeDocument/2006/relationships/hyperlink" Target="mailto:HM@6in" TargetMode="External"/><Relationship Id="rId422" Type="http://schemas.openxmlformats.org/officeDocument/2006/relationships/hyperlink" Target="mailto:CF@6in" TargetMode="External"/><Relationship Id="rId443" Type="http://schemas.openxmlformats.org/officeDocument/2006/relationships/hyperlink" Target="mailto:CF@2ft" TargetMode="External"/><Relationship Id="rId464" Type="http://schemas.openxmlformats.org/officeDocument/2006/relationships/hyperlink" Target="mailto:CF@3ft" TargetMode="External"/><Relationship Id="rId303" Type="http://schemas.openxmlformats.org/officeDocument/2006/relationships/hyperlink" Target="mailto:Cf@4ft" TargetMode="External"/><Relationship Id="rId42" Type="http://schemas.openxmlformats.org/officeDocument/2006/relationships/hyperlink" Target="mailto:CF@3ft" TargetMode="External"/><Relationship Id="rId84" Type="http://schemas.openxmlformats.org/officeDocument/2006/relationships/hyperlink" Target="mailto:CF@3ft" TargetMode="External"/><Relationship Id="rId138" Type="http://schemas.openxmlformats.org/officeDocument/2006/relationships/hyperlink" Target="mailto:CF@2ft" TargetMode="External"/><Relationship Id="rId345" Type="http://schemas.openxmlformats.org/officeDocument/2006/relationships/hyperlink" Target="mailto:CF@3ft" TargetMode="External"/><Relationship Id="rId387" Type="http://schemas.openxmlformats.org/officeDocument/2006/relationships/hyperlink" Target="mailto:CF@6in" TargetMode="External"/><Relationship Id="rId191" Type="http://schemas.openxmlformats.org/officeDocument/2006/relationships/hyperlink" Target="mailto:CF@3ft" TargetMode="External"/><Relationship Id="rId205" Type="http://schemas.openxmlformats.org/officeDocument/2006/relationships/hyperlink" Target="mailto:CF@3ft" TargetMode="External"/><Relationship Id="rId247" Type="http://schemas.openxmlformats.org/officeDocument/2006/relationships/hyperlink" Target="mailto:CF@3ft" TargetMode="External"/><Relationship Id="rId412" Type="http://schemas.openxmlformats.org/officeDocument/2006/relationships/hyperlink" Target="mailto:CF@6in" TargetMode="External"/><Relationship Id="rId107" Type="http://schemas.openxmlformats.org/officeDocument/2006/relationships/hyperlink" Target="mailto:CF@3ft" TargetMode="External"/><Relationship Id="rId289" Type="http://schemas.openxmlformats.org/officeDocument/2006/relationships/hyperlink" Target="mailto:CF@3ft" TargetMode="External"/><Relationship Id="rId454" Type="http://schemas.openxmlformats.org/officeDocument/2006/relationships/hyperlink" Target="mailto:CF@3ft" TargetMode="External"/><Relationship Id="rId11" Type="http://schemas.openxmlformats.org/officeDocument/2006/relationships/hyperlink" Target="mailto:CF@6in" TargetMode="External"/><Relationship Id="rId53" Type="http://schemas.openxmlformats.org/officeDocument/2006/relationships/hyperlink" Target="mailto:CF@3ft" TargetMode="External"/><Relationship Id="rId149" Type="http://schemas.openxmlformats.org/officeDocument/2006/relationships/hyperlink" Target="mailto:CF@6in" TargetMode="External"/><Relationship Id="rId314" Type="http://schemas.openxmlformats.org/officeDocument/2006/relationships/hyperlink" Target="mailto:Cf@4ft" TargetMode="External"/><Relationship Id="rId356" Type="http://schemas.openxmlformats.org/officeDocument/2006/relationships/hyperlink" Target="mailto:CF@6in" TargetMode="External"/><Relationship Id="rId398" Type="http://schemas.openxmlformats.org/officeDocument/2006/relationships/hyperlink" Target="mailto:CF@2ft" TargetMode="External"/><Relationship Id="rId95" Type="http://schemas.openxmlformats.org/officeDocument/2006/relationships/hyperlink" Target="mailto:CF@2ft" TargetMode="External"/><Relationship Id="rId160" Type="http://schemas.openxmlformats.org/officeDocument/2006/relationships/hyperlink" Target="mailto:CF@2ft" TargetMode="External"/><Relationship Id="rId216" Type="http://schemas.openxmlformats.org/officeDocument/2006/relationships/hyperlink" Target="mailto:CF@3ft" TargetMode="External"/><Relationship Id="rId423" Type="http://schemas.openxmlformats.org/officeDocument/2006/relationships/hyperlink" Target="mailto:HM@6in" TargetMode="External"/><Relationship Id="rId258" Type="http://schemas.openxmlformats.org/officeDocument/2006/relationships/hyperlink" Target="mailto:CF@%202%20ft" TargetMode="External"/><Relationship Id="rId465" Type="http://schemas.openxmlformats.org/officeDocument/2006/relationships/hyperlink" Target="mailto:CF@2ft" TargetMode="External"/><Relationship Id="rId22" Type="http://schemas.openxmlformats.org/officeDocument/2006/relationships/hyperlink" Target="mailto:HM@6in" TargetMode="External"/><Relationship Id="rId64" Type="http://schemas.openxmlformats.org/officeDocument/2006/relationships/hyperlink" Target="mailto:CF@3ft" TargetMode="External"/><Relationship Id="rId118" Type="http://schemas.openxmlformats.org/officeDocument/2006/relationships/hyperlink" Target="mailto:Cf@4ft" TargetMode="External"/><Relationship Id="rId325" Type="http://schemas.openxmlformats.org/officeDocument/2006/relationships/hyperlink" Target="mailto:CF@6in" TargetMode="External"/><Relationship Id="rId367" Type="http://schemas.openxmlformats.org/officeDocument/2006/relationships/hyperlink" Target="mailto:HM@6in" TargetMode="External"/><Relationship Id="rId171" Type="http://schemas.openxmlformats.org/officeDocument/2006/relationships/hyperlink" Target="mailto:CF@%202%20ft" TargetMode="External"/><Relationship Id="rId227" Type="http://schemas.openxmlformats.org/officeDocument/2006/relationships/hyperlink" Target="mailto:CF@2ft" TargetMode="External"/><Relationship Id="rId269" Type="http://schemas.openxmlformats.org/officeDocument/2006/relationships/hyperlink" Target="mailto:Cf@4ft" TargetMode="External"/><Relationship Id="rId434" Type="http://schemas.openxmlformats.org/officeDocument/2006/relationships/hyperlink" Target="mailto:HM@6in" TargetMode="External"/><Relationship Id="rId33" Type="http://schemas.openxmlformats.org/officeDocument/2006/relationships/hyperlink" Target="mailto:Cf@4ft" TargetMode="External"/><Relationship Id="rId129" Type="http://schemas.openxmlformats.org/officeDocument/2006/relationships/hyperlink" Target="mailto:HM@6in" TargetMode="External"/><Relationship Id="rId280" Type="http://schemas.openxmlformats.org/officeDocument/2006/relationships/hyperlink" Target="mailto:CF@%202%20ft" TargetMode="External"/><Relationship Id="rId336" Type="http://schemas.openxmlformats.org/officeDocument/2006/relationships/hyperlink" Target="mailto:Cf@4ft" TargetMode="External"/><Relationship Id="rId75" Type="http://schemas.openxmlformats.org/officeDocument/2006/relationships/hyperlink" Target="mailto:CF@3ft" TargetMode="External"/><Relationship Id="rId140" Type="http://schemas.openxmlformats.org/officeDocument/2006/relationships/hyperlink" Target="mailto:CF@3ft" TargetMode="External"/><Relationship Id="rId182" Type="http://schemas.openxmlformats.org/officeDocument/2006/relationships/hyperlink" Target="mailto:CF@3ft" TargetMode="External"/><Relationship Id="rId378" Type="http://schemas.openxmlformats.org/officeDocument/2006/relationships/hyperlink" Target="mailto:CF@2ft" TargetMode="External"/><Relationship Id="rId403" Type="http://schemas.openxmlformats.org/officeDocument/2006/relationships/hyperlink" Target="mailto:CF@3ft" TargetMode="External"/><Relationship Id="rId6" Type="http://schemas.openxmlformats.org/officeDocument/2006/relationships/hyperlink" Target="mailto:Cf@4ft" TargetMode="External"/><Relationship Id="rId238" Type="http://schemas.openxmlformats.org/officeDocument/2006/relationships/hyperlink" Target="mailto:HM@6in" TargetMode="External"/><Relationship Id="rId445" Type="http://schemas.openxmlformats.org/officeDocument/2006/relationships/hyperlink" Target="mailto:CF@6in" TargetMode="External"/><Relationship Id="rId291" Type="http://schemas.openxmlformats.org/officeDocument/2006/relationships/hyperlink" Target="mailto:CF@%202%20ft" TargetMode="External"/><Relationship Id="rId305" Type="http://schemas.openxmlformats.org/officeDocument/2006/relationships/hyperlink" Target="mailto:CF@3ft" TargetMode="External"/><Relationship Id="rId347" Type="http://schemas.openxmlformats.org/officeDocument/2006/relationships/hyperlink" Target="mailto:HM@6in" TargetMode="External"/><Relationship Id="rId44" Type="http://schemas.openxmlformats.org/officeDocument/2006/relationships/hyperlink" Target="mailto:HM@6in" TargetMode="External"/><Relationship Id="rId86" Type="http://schemas.openxmlformats.org/officeDocument/2006/relationships/hyperlink" Target="mailto:CF@3ft" TargetMode="External"/><Relationship Id="rId151" Type="http://schemas.openxmlformats.org/officeDocument/2006/relationships/hyperlink" Target="mailto:CF@2ft" TargetMode="External"/><Relationship Id="rId389" Type="http://schemas.openxmlformats.org/officeDocument/2006/relationships/hyperlink" Target="mailto:CF@2ft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HM@6in" TargetMode="External"/><Relationship Id="rId18" Type="http://schemas.openxmlformats.org/officeDocument/2006/relationships/hyperlink" Target="mailto:CF@6in" TargetMode="External"/><Relationship Id="rId26" Type="http://schemas.openxmlformats.org/officeDocument/2006/relationships/hyperlink" Target="mailto:CF@6in" TargetMode="External"/><Relationship Id="rId39" Type="http://schemas.openxmlformats.org/officeDocument/2006/relationships/hyperlink" Target="mailto:CF@%202%20ft" TargetMode="External"/><Relationship Id="rId21" Type="http://schemas.openxmlformats.org/officeDocument/2006/relationships/hyperlink" Target="mailto:CF@3ft" TargetMode="External"/><Relationship Id="rId34" Type="http://schemas.openxmlformats.org/officeDocument/2006/relationships/hyperlink" Target="mailto:CF@3ft" TargetMode="External"/><Relationship Id="rId42" Type="http://schemas.openxmlformats.org/officeDocument/2006/relationships/hyperlink" Target="mailto:CF@2ft" TargetMode="External"/><Relationship Id="rId47" Type="http://schemas.openxmlformats.org/officeDocument/2006/relationships/hyperlink" Target="mailto:CF@6in" TargetMode="External"/><Relationship Id="rId50" Type="http://schemas.openxmlformats.org/officeDocument/2006/relationships/hyperlink" Target="mailto:CF@3ft" TargetMode="External"/><Relationship Id="rId55" Type="http://schemas.openxmlformats.org/officeDocument/2006/relationships/hyperlink" Target="mailto:CF@%202%20ft" TargetMode="External"/><Relationship Id="rId63" Type="http://schemas.openxmlformats.org/officeDocument/2006/relationships/hyperlink" Target="mailto:CF@2ft" TargetMode="External"/><Relationship Id="rId68" Type="http://schemas.openxmlformats.org/officeDocument/2006/relationships/hyperlink" Target="mailto:CF@3ft" TargetMode="External"/><Relationship Id="rId7" Type="http://schemas.openxmlformats.org/officeDocument/2006/relationships/hyperlink" Target="mailto:HM@6in" TargetMode="External"/><Relationship Id="rId71" Type="http://schemas.openxmlformats.org/officeDocument/2006/relationships/hyperlink" Target="mailto:CF@2ft" TargetMode="External"/><Relationship Id="rId2" Type="http://schemas.openxmlformats.org/officeDocument/2006/relationships/hyperlink" Target="mailto:Cf@4ft" TargetMode="External"/><Relationship Id="rId16" Type="http://schemas.openxmlformats.org/officeDocument/2006/relationships/hyperlink" Target="mailto:HM@6in" TargetMode="External"/><Relationship Id="rId29" Type="http://schemas.openxmlformats.org/officeDocument/2006/relationships/hyperlink" Target="mailto:CF@2ft" TargetMode="External"/><Relationship Id="rId1" Type="http://schemas.openxmlformats.org/officeDocument/2006/relationships/hyperlink" Target="mailto:Cf@4ft" TargetMode="External"/><Relationship Id="rId6" Type="http://schemas.openxmlformats.org/officeDocument/2006/relationships/hyperlink" Target="mailto:HM@6in" TargetMode="External"/><Relationship Id="rId11" Type="http://schemas.openxmlformats.org/officeDocument/2006/relationships/hyperlink" Target="mailto:HM@6in" TargetMode="External"/><Relationship Id="rId24" Type="http://schemas.openxmlformats.org/officeDocument/2006/relationships/hyperlink" Target="mailto:CF@6in" TargetMode="External"/><Relationship Id="rId32" Type="http://schemas.openxmlformats.org/officeDocument/2006/relationships/hyperlink" Target="mailto:CF@6in" TargetMode="External"/><Relationship Id="rId37" Type="http://schemas.openxmlformats.org/officeDocument/2006/relationships/hyperlink" Target="mailto:CF@2ft" TargetMode="External"/><Relationship Id="rId40" Type="http://schemas.openxmlformats.org/officeDocument/2006/relationships/hyperlink" Target="mailto:CF@2ft" TargetMode="External"/><Relationship Id="rId45" Type="http://schemas.openxmlformats.org/officeDocument/2006/relationships/hyperlink" Target="mailto:CF@3ft" TargetMode="External"/><Relationship Id="rId53" Type="http://schemas.openxmlformats.org/officeDocument/2006/relationships/hyperlink" Target="mailto:CF@2ft" TargetMode="External"/><Relationship Id="rId58" Type="http://schemas.openxmlformats.org/officeDocument/2006/relationships/hyperlink" Target="mailto:CF@6in" TargetMode="External"/><Relationship Id="rId66" Type="http://schemas.openxmlformats.org/officeDocument/2006/relationships/hyperlink" Target="mailto:CF@6in" TargetMode="External"/><Relationship Id="rId5" Type="http://schemas.openxmlformats.org/officeDocument/2006/relationships/hyperlink" Target="mailto:HM@6in" TargetMode="External"/><Relationship Id="rId15" Type="http://schemas.openxmlformats.org/officeDocument/2006/relationships/hyperlink" Target="mailto:HM@6in" TargetMode="External"/><Relationship Id="rId23" Type="http://schemas.openxmlformats.org/officeDocument/2006/relationships/hyperlink" Target="mailto:CF@2ft" TargetMode="External"/><Relationship Id="rId28" Type="http://schemas.openxmlformats.org/officeDocument/2006/relationships/hyperlink" Target="mailto:CF@3ft" TargetMode="External"/><Relationship Id="rId36" Type="http://schemas.openxmlformats.org/officeDocument/2006/relationships/hyperlink" Target="mailto:CF@6in" TargetMode="External"/><Relationship Id="rId49" Type="http://schemas.openxmlformats.org/officeDocument/2006/relationships/hyperlink" Target="mailto:CF@%202%20ft" TargetMode="External"/><Relationship Id="rId57" Type="http://schemas.openxmlformats.org/officeDocument/2006/relationships/hyperlink" Target="mailto:CF@2ft" TargetMode="External"/><Relationship Id="rId61" Type="http://schemas.openxmlformats.org/officeDocument/2006/relationships/hyperlink" Target="mailto:CF@%202%20ft" TargetMode="External"/><Relationship Id="rId10" Type="http://schemas.openxmlformats.org/officeDocument/2006/relationships/hyperlink" Target="mailto:HM@6in" TargetMode="External"/><Relationship Id="rId19" Type="http://schemas.openxmlformats.org/officeDocument/2006/relationships/hyperlink" Target="mailto:CF@2ft" TargetMode="External"/><Relationship Id="rId31" Type="http://schemas.openxmlformats.org/officeDocument/2006/relationships/hyperlink" Target="mailto:CF@2ft" TargetMode="External"/><Relationship Id="rId44" Type="http://schemas.openxmlformats.org/officeDocument/2006/relationships/hyperlink" Target="mailto:CF@%202%20ft" TargetMode="External"/><Relationship Id="rId52" Type="http://schemas.openxmlformats.org/officeDocument/2006/relationships/hyperlink" Target="mailto:CF@6in" TargetMode="External"/><Relationship Id="rId60" Type="http://schemas.openxmlformats.org/officeDocument/2006/relationships/hyperlink" Target="mailto:CF@6in" TargetMode="External"/><Relationship Id="rId65" Type="http://schemas.openxmlformats.org/officeDocument/2006/relationships/hyperlink" Target="mailto:CF@2ft" TargetMode="External"/><Relationship Id="rId4" Type="http://schemas.openxmlformats.org/officeDocument/2006/relationships/hyperlink" Target="mailto:HM@6in" TargetMode="External"/><Relationship Id="rId9" Type="http://schemas.openxmlformats.org/officeDocument/2006/relationships/hyperlink" Target="mailto:HM@6in" TargetMode="External"/><Relationship Id="rId14" Type="http://schemas.openxmlformats.org/officeDocument/2006/relationships/hyperlink" Target="mailto:HM@6in" TargetMode="External"/><Relationship Id="rId22" Type="http://schemas.openxmlformats.org/officeDocument/2006/relationships/hyperlink" Target="mailto:CF@3ft" TargetMode="External"/><Relationship Id="rId27" Type="http://schemas.openxmlformats.org/officeDocument/2006/relationships/hyperlink" Target="mailto:CF@%202%20ft" TargetMode="External"/><Relationship Id="rId30" Type="http://schemas.openxmlformats.org/officeDocument/2006/relationships/hyperlink" Target="mailto:CF@6in" TargetMode="External"/><Relationship Id="rId35" Type="http://schemas.openxmlformats.org/officeDocument/2006/relationships/hyperlink" Target="mailto:CF@2ft" TargetMode="External"/><Relationship Id="rId43" Type="http://schemas.openxmlformats.org/officeDocument/2006/relationships/hyperlink" Target="mailto:CF@6in" TargetMode="External"/><Relationship Id="rId48" Type="http://schemas.openxmlformats.org/officeDocument/2006/relationships/hyperlink" Target="mailto:CF@6in" TargetMode="External"/><Relationship Id="rId56" Type="http://schemas.openxmlformats.org/officeDocument/2006/relationships/hyperlink" Target="mailto:CF@3ft" TargetMode="External"/><Relationship Id="rId64" Type="http://schemas.openxmlformats.org/officeDocument/2006/relationships/hyperlink" Target="mailto:CF@6in" TargetMode="External"/><Relationship Id="rId69" Type="http://schemas.openxmlformats.org/officeDocument/2006/relationships/hyperlink" Target="mailto:CF@2ft" TargetMode="External"/><Relationship Id="rId8" Type="http://schemas.openxmlformats.org/officeDocument/2006/relationships/hyperlink" Target="mailto:HM@6in" TargetMode="External"/><Relationship Id="rId51" Type="http://schemas.openxmlformats.org/officeDocument/2006/relationships/hyperlink" Target="mailto:CF@2ft" TargetMode="External"/><Relationship Id="rId72" Type="http://schemas.openxmlformats.org/officeDocument/2006/relationships/drawing" Target="../drawings/drawing1.xml"/><Relationship Id="rId3" Type="http://schemas.openxmlformats.org/officeDocument/2006/relationships/hyperlink" Target="mailto:HM@6in" TargetMode="External"/><Relationship Id="rId12" Type="http://schemas.openxmlformats.org/officeDocument/2006/relationships/hyperlink" Target="mailto:HM@6in" TargetMode="External"/><Relationship Id="rId17" Type="http://schemas.openxmlformats.org/officeDocument/2006/relationships/hyperlink" Target="mailto:CF@2ft" TargetMode="External"/><Relationship Id="rId25" Type="http://schemas.openxmlformats.org/officeDocument/2006/relationships/hyperlink" Target="mailto:CF@2ft" TargetMode="External"/><Relationship Id="rId33" Type="http://schemas.openxmlformats.org/officeDocument/2006/relationships/hyperlink" Target="mailto:CF@%202%20ft" TargetMode="External"/><Relationship Id="rId38" Type="http://schemas.openxmlformats.org/officeDocument/2006/relationships/hyperlink" Target="mailto:CF@6in" TargetMode="External"/><Relationship Id="rId46" Type="http://schemas.openxmlformats.org/officeDocument/2006/relationships/hyperlink" Target="mailto:CF@2ft" TargetMode="External"/><Relationship Id="rId59" Type="http://schemas.openxmlformats.org/officeDocument/2006/relationships/hyperlink" Target="mailto:CF@2ft" TargetMode="External"/><Relationship Id="rId67" Type="http://schemas.openxmlformats.org/officeDocument/2006/relationships/hyperlink" Target="mailto:CF@%202%20ft" TargetMode="External"/><Relationship Id="rId20" Type="http://schemas.openxmlformats.org/officeDocument/2006/relationships/hyperlink" Target="mailto:CF@6in" TargetMode="External"/><Relationship Id="rId41" Type="http://schemas.openxmlformats.org/officeDocument/2006/relationships/hyperlink" Target="mailto:CF@6in" TargetMode="External"/><Relationship Id="rId54" Type="http://schemas.openxmlformats.org/officeDocument/2006/relationships/hyperlink" Target="mailto:CF@6in" TargetMode="External"/><Relationship Id="rId62" Type="http://schemas.openxmlformats.org/officeDocument/2006/relationships/hyperlink" Target="mailto:CF@3ft" TargetMode="External"/><Relationship Id="rId70" Type="http://schemas.openxmlformats.org/officeDocument/2006/relationships/hyperlink" Target="mailto:CF@6in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G140"/>
  <sheetViews>
    <sheetView tabSelected="1" zoomScaleNormal="100" workbookViewId="0">
      <pane ySplit="1" topLeftCell="A74" activePane="bottomLeft" state="frozen"/>
      <selection pane="bottomLeft" activeCell="BF84" sqref="BF84"/>
    </sheetView>
  </sheetViews>
  <sheetFormatPr defaultRowHeight="26.25" customHeight="1" x14ac:dyDescent="0.2"/>
  <cols>
    <col min="1" max="1" width="10.42578125" style="36" customWidth="1"/>
    <col min="2" max="2" width="12" style="36" customWidth="1"/>
    <col min="3" max="3" width="10.28515625" style="36" customWidth="1"/>
    <col min="4" max="4" width="4.5703125" style="34" customWidth="1"/>
    <col min="5" max="5" width="9.140625" style="4" hidden="1" customWidth="1"/>
    <col min="6" max="6" width="10.5703125" style="4" hidden="1" customWidth="1"/>
    <col min="7" max="7" width="9.5703125" style="4" hidden="1" customWidth="1"/>
    <col min="8" max="8" width="9.140625" style="4" hidden="1" customWidth="1"/>
    <col min="9" max="9" width="9.140625" style="4" customWidth="1"/>
    <col min="10" max="10" width="11" style="4" customWidth="1"/>
    <col min="11" max="11" width="19.85546875" style="54" customWidth="1"/>
    <col min="12" max="13" width="19.85546875" style="51" customWidth="1"/>
    <col min="14" max="14" width="23" style="51" customWidth="1"/>
    <col min="15" max="15" width="27.85546875" style="54" customWidth="1"/>
    <col min="16" max="16" width="22.140625" style="51" customWidth="1"/>
    <col min="17" max="17" width="35.5703125" style="51" customWidth="1"/>
    <col min="18" max="18" width="10.28515625" style="4" customWidth="1"/>
    <col min="19" max="19" width="9.140625" style="4" customWidth="1"/>
    <col min="20" max="20" width="11.42578125" style="4" customWidth="1"/>
    <col min="21" max="21" width="11.42578125" style="67" customWidth="1"/>
    <col min="22" max="22" width="10.28515625" style="126" hidden="1" customWidth="1"/>
    <col min="23" max="24" width="9.140625" style="67" customWidth="1"/>
    <col min="25" max="29" width="9.140625" style="4" customWidth="1"/>
    <col min="30" max="30" width="10.85546875" style="4" customWidth="1"/>
    <col min="31" max="31" width="10.28515625" style="4" customWidth="1"/>
    <col min="32" max="36" width="9.140625" style="4" customWidth="1"/>
    <col min="37" max="38" width="11.7109375" style="4" customWidth="1"/>
    <col min="39" max="39" width="16.140625" style="43" customWidth="1"/>
    <col min="40" max="40" width="10" style="4" customWidth="1"/>
    <col min="41" max="41" width="12.42578125" style="56" customWidth="1"/>
    <col min="42" max="43" width="9.140625" style="67" customWidth="1"/>
    <col min="44" max="57" width="9.140625" style="4" customWidth="1"/>
    <col min="58" max="58" width="15.5703125" style="4" customWidth="1"/>
    <col min="59" max="59" width="11.85546875" style="56" customWidth="1"/>
    <col min="60" max="61" width="9.140625" style="67" customWidth="1"/>
    <col min="62" max="80" width="9.140625" style="4" customWidth="1"/>
    <col min="81" max="81" width="11.42578125" style="4" customWidth="1"/>
    <col min="82" max="82" width="9.140625" style="4" customWidth="1"/>
    <col min="83" max="83" width="15.85546875" style="4" customWidth="1"/>
    <col min="84" max="85" width="9.140625" style="4" customWidth="1"/>
    <col min="86" max="88" width="9.140625" style="4"/>
    <col min="89" max="89" width="9.140625" style="93" customWidth="1"/>
    <col min="90" max="90" width="9.140625" style="83" customWidth="1"/>
    <col min="91" max="91" width="9.140625" style="4" customWidth="1"/>
    <col min="92" max="94" width="9.140625" style="96" customWidth="1"/>
    <col min="95" max="95" width="10.28515625" style="127" customWidth="1"/>
    <col min="96" max="98" width="10.28515625" style="136" customWidth="1"/>
    <col min="99" max="99" width="10" style="139" customWidth="1"/>
    <col min="100" max="100" width="10.5703125" style="96" customWidth="1"/>
    <col min="101" max="101" width="13.85546875" style="142" customWidth="1"/>
    <col min="102" max="102" width="9.140625" customWidth="1"/>
    <col min="103" max="133" width="9.140625" style="4" customWidth="1"/>
    <col min="134" max="134" width="9.140625" style="89" customWidth="1"/>
    <col min="135" max="148" width="9.140625" style="110"/>
    <col min="149" max="149" width="9.140625" style="114"/>
    <col min="150" max="150" width="9.140625" style="83" customWidth="1"/>
    <col min="151" max="157" width="9.140625" style="4" customWidth="1"/>
    <col min="158" max="158" width="6.140625" style="4" customWidth="1"/>
    <col min="159" max="170" width="9.140625" style="4" customWidth="1"/>
    <col min="171" max="171" width="10.140625" style="4" customWidth="1"/>
    <col min="172" max="172" width="9.7109375" style="4" customWidth="1"/>
    <col min="173" max="173" width="9.85546875" style="4" customWidth="1"/>
    <col min="174" max="178" width="9.140625" style="4" customWidth="1"/>
    <col min="179" max="179" width="9.85546875" style="4" customWidth="1"/>
    <col min="180" max="181" width="10.140625" style="4" customWidth="1"/>
    <col min="182" max="182" width="9.140625" style="86" customWidth="1"/>
    <col min="183" max="196" width="9.140625" style="110" customWidth="1"/>
    <col min="197" max="197" width="9.140625" style="119" customWidth="1"/>
    <col min="198" max="198" width="9.140625" style="83" customWidth="1"/>
    <col min="199" max="211" width="9.140625" style="4" customWidth="1"/>
    <col min="212" max="212" width="10.7109375" style="4" customWidth="1"/>
    <col min="213" max="229" width="9.140625" style="4" customWidth="1"/>
    <col min="230" max="230" width="9.140625" style="93" customWidth="1"/>
    <col min="231" max="244" width="9.140625" style="110" customWidth="1"/>
    <col min="245" max="245" width="9.140625" style="121" customWidth="1"/>
    <col min="246" max="246" width="9.140625" style="83"/>
    <col min="247" max="276" width="9.140625" style="4"/>
    <col min="277" max="277" width="9.140625" style="117"/>
    <col min="278" max="278" width="9.140625" style="121"/>
    <col min="279" max="292" width="9.140625" style="110"/>
    <col min="293" max="293" width="9.140625" style="121"/>
    <col min="294" max="294" width="9.140625" style="83"/>
    <col min="295" max="16384" width="9.140625" style="4"/>
  </cols>
  <sheetData>
    <row r="1" spans="1:345" s="43" customFormat="1" ht="95.25" customHeight="1" thickBot="1" x14ac:dyDescent="0.3">
      <c r="A1" s="41" t="s">
        <v>106</v>
      </c>
      <c r="B1" s="41" t="s">
        <v>101</v>
      </c>
      <c r="C1" s="41" t="s">
        <v>100</v>
      </c>
      <c r="D1" s="5" t="s">
        <v>109</v>
      </c>
      <c r="E1" s="52" t="s">
        <v>105</v>
      </c>
      <c r="F1" s="76" t="s">
        <v>103</v>
      </c>
      <c r="G1" s="52" t="s">
        <v>107</v>
      </c>
      <c r="H1" s="52" t="s">
        <v>104</v>
      </c>
      <c r="I1" s="77" t="s">
        <v>68</v>
      </c>
      <c r="J1" s="77" t="s">
        <v>613</v>
      </c>
      <c r="K1" s="227" t="s">
        <v>617</v>
      </c>
      <c r="L1" s="258" t="s">
        <v>618</v>
      </c>
      <c r="M1" s="258" t="s">
        <v>640</v>
      </c>
      <c r="N1" s="228" t="s">
        <v>313</v>
      </c>
      <c r="O1" s="258" t="s">
        <v>314</v>
      </c>
      <c r="P1" s="228" t="s">
        <v>315</v>
      </c>
      <c r="Q1" s="228" t="s">
        <v>316</v>
      </c>
      <c r="R1" s="7" t="s">
        <v>252</v>
      </c>
      <c r="S1" s="7" t="s">
        <v>253</v>
      </c>
      <c r="T1" s="7" t="s">
        <v>248</v>
      </c>
      <c r="U1" s="71" t="s">
        <v>608</v>
      </c>
      <c r="V1" s="123" t="s">
        <v>603</v>
      </c>
      <c r="W1" s="71" t="s">
        <v>71</v>
      </c>
      <c r="X1" s="71" t="s">
        <v>92</v>
      </c>
      <c r="Y1" s="78" t="s">
        <v>93</v>
      </c>
      <c r="Z1" s="79" t="s">
        <v>0</v>
      </c>
      <c r="AA1" s="79" t="s">
        <v>64</v>
      </c>
      <c r="AB1" s="14" t="s">
        <v>65</v>
      </c>
      <c r="AC1" s="14" t="s">
        <v>58</v>
      </c>
      <c r="AD1" s="14" t="s">
        <v>273</v>
      </c>
      <c r="AE1" s="14" t="s">
        <v>272</v>
      </c>
      <c r="AF1" s="14" t="s">
        <v>271</v>
      </c>
      <c r="AG1" s="14" t="s">
        <v>59</v>
      </c>
      <c r="AH1" s="14" t="s">
        <v>60</v>
      </c>
      <c r="AI1" s="14" t="s">
        <v>61</v>
      </c>
      <c r="AJ1" s="14" t="s">
        <v>62</v>
      </c>
      <c r="AK1" s="14" t="s">
        <v>304</v>
      </c>
      <c r="AL1" s="14" t="s">
        <v>500</v>
      </c>
      <c r="AM1" s="14" t="s">
        <v>274</v>
      </c>
      <c r="AN1" s="74" t="s">
        <v>499</v>
      </c>
      <c r="AO1" s="21" t="s">
        <v>278</v>
      </c>
      <c r="AP1" s="68" t="s">
        <v>85</v>
      </c>
      <c r="AQ1" s="68" t="s">
        <v>73</v>
      </c>
      <c r="AR1" s="80" t="s">
        <v>93</v>
      </c>
      <c r="AS1" s="20" t="s">
        <v>74</v>
      </c>
      <c r="AT1" s="20" t="s">
        <v>75</v>
      </c>
      <c r="AU1" s="20" t="s">
        <v>76</v>
      </c>
      <c r="AV1" s="20" t="s">
        <v>77</v>
      </c>
      <c r="AW1" s="21" t="s">
        <v>58</v>
      </c>
      <c r="AX1" s="21" t="s">
        <v>242</v>
      </c>
      <c r="AY1" s="21" t="s">
        <v>59</v>
      </c>
      <c r="AZ1" s="21" t="s">
        <v>60</v>
      </c>
      <c r="BA1" s="21" t="s">
        <v>61</v>
      </c>
      <c r="BB1" s="21" t="s">
        <v>62</v>
      </c>
      <c r="BC1" s="21" t="s">
        <v>290</v>
      </c>
      <c r="BD1" s="21" t="s">
        <v>254</v>
      </c>
      <c r="BE1" s="21" t="s">
        <v>303</v>
      </c>
      <c r="BF1" s="65" t="s">
        <v>297</v>
      </c>
      <c r="BG1" s="30" t="s">
        <v>279</v>
      </c>
      <c r="BH1" s="66" t="s">
        <v>84</v>
      </c>
      <c r="BI1" s="66" t="s">
        <v>83</v>
      </c>
      <c r="BJ1" s="81" t="s">
        <v>93</v>
      </c>
      <c r="BK1" s="28" t="s">
        <v>89</v>
      </c>
      <c r="BL1" s="28" t="s">
        <v>70</v>
      </c>
      <c r="BM1" s="28" t="s">
        <v>72</v>
      </c>
      <c r="BN1" s="30" t="s">
        <v>295</v>
      </c>
      <c r="BO1" s="30" t="s">
        <v>58</v>
      </c>
      <c r="BP1" s="30" t="s">
        <v>242</v>
      </c>
      <c r="BQ1" s="30" t="s">
        <v>59</v>
      </c>
      <c r="BR1" s="30" t="s">
        <v>60</v>
      </c>
      <c r="BS1" s="30" t="s">
        <v>61</v>
      </c>
      <c r="BT1" s="30" t="s">
        <v>62</v>
      </c>
      <c r="BU1" s="30" t="s">
        <v>291</v>
      </c>
      <c r="BV1" s="30" t="s">
        <v>488</v>
      </c>
      <c r="BW1" s="30" t="s">
        <v>302</v>
      </c>
      <c r="BX1" s="52" t="s">
        <v>255</v>
      </c>
      <c r="BY1" s="52" t="s">
        <v>490</v>
      </c>
      <c r="BZ1" s="52" t="s">
        <v>491</v>
      </c>
      <c r="CA1" s="52" t="s">
        <v>492</v>
      </c>
      <c r="CB1" s="52" t="s">
        <v>493</v>
      </c>
      <c r="CC1" s="52" t="s">
        <v>280</v>
      </c>
      <c r="CD1" s="52" t="s">
        <v>281</v>
      </c>
      <c r="CE1" s="52" t="s">
        <v>283</v>
      </c>
      <c r="CF1" s="52" t="s">
        <v>284</v>
      </c>
      <c r="CG1" s="52" t="s">
        <v>285</v>
      </c>
      <c r="CH1" s="52" t="s">
        <v>321</v>
      </c>
      <c r="CI1" s="52" t="s">
        <v>489</v>
      </c>
      <c r="CJ1" s="52" t="s">
        <v>319</v>
      </c>
      <c r="CK1" s="92" t="s">
        <v>318</v>
      </c>
      <c r="CL1" s="91" t="s">
        <v>317</v>
      </c>
      <c r="CM1" s="52" t="s">
        <v>320</v>
      </c>
      <c r="CN1" s="107" t="s">
        <v>496</v>
      </c>
      <c r="CO1" s="107" t="s">
        <v>438</v>
      </c>
      <c r="CP1" s="107" t="s">
        <v>485</v>
      </c>
      <c r="CQ1" s="128" t="s">
        <v>486</v>
      </c>
      <c r="CR1" s="134" t="s">
        <v>495</v>
      </c>
      <c r="CS1" s="134" t="s">
        <v>502</v>
      </c>
      <c r="CT1" s="134" t="s">
        <v>487</v>
      </c>
      <c r="CU1" s="138" t="s">
        <v>604</v>
      </c>
      <c r="CV1" s="107" t="s">
        <v>605</v>
      </c>
      <c r="CW1" s="140" t="s">
        <v>606</v>
      </c>
      <c r="CX1" s="82" t="s">
        <v>322</v>
      </c>
      <c r="CY1" s="82" t="s">
        <v>323</v>
      </c>
      <c r="CZ1" s="82" t="s">
        <v>324</v>
      </c>
      <c r="DA1" s="82" t="s">
        <v>325</v>
      </c>
      <c r="DB1" s="82" t="s">
        <v>326</v>
      </c>
      <c r="DC1" s="82" t="s">
        <v>327</v>
      </c>
      <c r="DD1" s="82" t="s">
        <v>328</v>
      </c>
      <c r="DE1" s="82" t="s">
        <v>329</v>
      </c>
      <c r="DF1" s="82" t="s">
        <v>330</v>
      </c>
      <c r="DG1" s="82" t="s">
        <v>331</v>
      </c>
      <c r="DH1" s="82" t="s">
        <v>332</v>
      </c>
      <c r="DI1" s="82" t="s">
        <v>333</v>
      </c>
      <c r="DJ1" s="82" t="s">
        <v>334</v>
      </c>
      <c r="DK1" s="82" t="s">
        <v>335</v>
      </c>
      <c r="DL1" s="82" t="s">
        <v>336</v>
      </c>
      <c r="DM1" s="82" t="s">
        <v>337</v>
      </c>
      <c r="DN1" s="82" t="s">
        <v>338</v>
      </c>
      <c r="DO1" s="82" t="s">
        <v>339</v>
      </c>
      <c r="DP1" s="82" t="s">
        <v>340</v>
      </c>
      <c r="DQ1" s="82" t="s">
        <v>341</v>
      </c>
      <c r="DR1" s="82" t="s">
        <v>342</v>
      </c>
      <c r="DS1" s="82" t="s">
        <v>343</v>
      </c>
      <c r="DT1" s="82" t="s">
        <v>344</v>
      </c>
      <c r="DU1" s="82" t="s">
        <v>345</v>
      </c>
      <c r="DV1" s="82" t="s">
        <v>346</v>
      </c>
      <c r="DW1" s="82" t="s">
        <v>347</v>
      </c>
      <c r="DX1" s="82" t="s">
        <v>348</v>
      </c>
      <c r="DY1" s="82" t="s">
        <v>349</v>
      </c>
      <c r="DZ1" s="82" t="s">
        <v>350</v>
      </c>
      <c r="EA1" s="82" t="s">
        <v>351</v>
      </c>
      <c r="EB1" s="82" t="s">
        <v>352</v>
      </c>
      <c r="EC1" s="82" t="s">
        <v>353</v>
      </c>
      <c r="ED1" s="88" t="s">
        <v>354</v>
      </c>
      <c r="EE1" s="109" t="s">
        <v>441</v>
      </c>
      <c r="EF1" s="109" t="s">
        <v>442</v>
      </c>
      <c r="EG1" s="109" t="s">
        <v>443</v>
      </c>
      <c r="EH1" s="109" t="s">
        <v>444</v>
      </c>
      <c r="EI1" s="109" t="s">
        <v>445</v>
      </c>
      <c r="EJ1" s="109" t="s">
        <v>446</v>
      </c>
      <c r="EK1" s="109" t="s">
        <v>447</v>
      </c>
      <c r="EL1" s="109" t="s">
        <v>448</v>
      </c>
      <c r="EM1" s="109" t="s">
        <v>449</v>
      </c>
      <c r="EN1" s="109" t="s">
        <v>450</v>
      </c>
      <c r="EO1" s="109" t="s">
        <v>451</v>
      </c>
      <c r="EP1" s="109" t="s">
        <v>452</v>
      </c>
      <c r="EQ1" s="109" t="s">
        <v>453</v>
      </c>
      <c r="ER1" s="109" t="s">
        <v>454</v>
      </c>
      <c r="ES1" s="113" t="s">
        <v>455</v>
      </c>
      <c r="ET1" s="82" t="s">
        <v>355</v>
      </c>
      <c r="EU1" s="82" t="s">
        <v>356</v>
      </c>
      <c r="EV1" s="82" t="s">
        <v>357</v>
      </c>
      <c r="EW1" s="82" t="s">
        <v>358</v>
      </c>
      <c r="EX1" s="82" t="s">
        <v>359</v>
      </c>
      <c r="EY1" s="82" t="s">
        <v>360</v>
      </c>
      <c r="EZ1" s="82" t="s">
        <v>361</v>
      </c>
      <c r="FA1" s="82" t="s">
        <v>362</v>
      </c>
      <c r="FB1" s="82" t="s">
        <v>363</v>
      </c>
      <c r="FC1" s="82" t="s">
        <v>364</v>
      </c>
      <c r="FD1" s="82" t="s">
        <v>365</v>
      </c>
      <c r="FE1" s="82" t="s">
        <v>366</v>
      </c>
      <c r="FF1" s="82" t="s">
        <v>367</v>
      </c>
      <c r="FG1" s="82" t="s">
        <v>368</v>
      </c>
      <c r="FH1" s="82" t="s">
        <v>369</v>
      </c>
      <c r="FI1" s="82" t="s">
        <v>370</v>
      </c>
      <c r="FJ1" s="82" t="s">
        <v>371</v>
      </c>
      <c r="FK1" s="82" t="s">
        <v>372</v>
      </c>
      <c r="FL1" s="82" t="s">
        <v>373</v>
      </c>
      <c r="FM1" s="82" t="s">
        <v>374</v>
      </c>
      <c r="FN1" s="82" t="s">
        <v>375</v>
      </c>
      <c r="FO1" s="82" t="s">
        <v>376</v>
      </c>
      <c r="FP1" s="82" t="s">
        <v>377</v>
      </c>
      <c r="FQ1" s="82" t="s">
        <v>378</v>
      </c>
      <c r="FR1" s="82" t="s">
        <v>379</v>
      </c>
      <c r="FS1" s="82" t="s">
        <v>380</v>
      </c>
      <c r="FT1" s="82" t="s">
        <v>381</v>
      </c>
      <c r="FU1" s="82" t="s">
        <v>382</v>
      </c>
      <c r="FV1" s="82" t="s">
        <v>383</v>
      </c>
      <c r="FW1" s="82" t="s">
        <v>384</v>
      </c>
      <c r="FX1" s="82" t="s">
        <v>385</v>
      </c>
      <c r="FY1" s="82" t="s">
        <v>386</v>
      </c>
      <c r="FZ1" s="85" t="s">
        <v>387</v>
      </c>
      <c r="GA1" s="109" t="s">
        <v>456</v>
      </c>
      <c r="GB1" s="109" t="s">
        <v>457</v>
      </c>
      <c r="GC1" s="109" t="s">
        <v>607</v>
      </c>
      <c r="GD1" s="109" t="s">
        <v>458</v>
      </c>
      <c r="GE1" s="109" t="s">
        <v>459</v>
      </c>
      <c r="GF1" s="109" t="s">
        <v>460</v>
      </c>
      <c r="GG1" s="109" t="s">
        <v>461</v>
      </c>
      <c r="GH1" s="109" t="s">
        <v>462</v>
      </c>
      <c r="GI1" s="109" t="s">
        <v>463</v>
      </c>
      <c r="GJ1" s="109" t="s">
        <v>464</v>
      </c>
      <c r="GK1" s="109" t="s">
        <v>465</v>
      </c>
      <c r="GL1" s="109" t="s">
        <v>466</v>
      </c>
      <c r="GM1" s="109" t="s">
        <v>467</v>
      </c>
      <c r="GN1" s="109" t="s">
        <v>468</v>
      </c>
      <c r="GO1" s="118" t="s">
        <v>469</v>
      </c>
      <c r="GP1" s="82" t="s">
        <v>388</v>
      </c>
      <c r="GQ1" s="82" t="s">
        <v>389</v>
      </c>
      <c r="GR1" s="82" t="s">
        <v>390</v>
      </c>
      <c r="GS1" s="82" t="s">
        <v>391</v>
      </c>
      <c r="GT1" s="82" t="s">
        <v>392</v>
      </c>
      <c r="GU1" s="82" t="s">
        <v>393</v>
      </c>
      <c r="GV1" s="82" t="s">
        <v>394</v>
      </c>
      <c r="GW1" s="82" t="s">
        <v>395</v>
      </c>
      <c r="GX1" s="82" t="s">
        <v>396</v>
      </c>
      <c r="GY1" s="82" t="s">
        <v>397</v>
      </c>
      <c r="GZ1" s="82" t="s">
        <v>398</v>
      </c>
      <c r="HA1" s="82" t="s">
        <v>399</v>
      </c>
      <c r="HB1" s="82" t="s">
        <v>400</v>
      </c>
      <c r="HC1" s="82" t="s">
        <v>401</v>
      </c>
      <c r="HD1" s="82" t="s">
        <v>402</v>
      </c>
      <c r="HE1" s="82" t="s">
        <v>403</v>
      </c>
      <c r="HF1" s="82" t="s">
        <v>404</v>
      </c>
      <c r="HG1" s="82" t="s">
        <v>405</v>
      </c>
      <c r="HH1" s="82" t="s">
        <v>406</v>
      </c>
      <c r="HI1" s="82" t="s">
        <v>407</v>
      </c>
      <c r="HJ1" s="82" t="s">
        <v>408</v>
      </c>
      <c r="HK1" s="82" t="s">
        <v>409</v>
      </c>
      <c r="HL1" s="82" t="s">
        <v>410</v>
      </c>
      <c r="HM1" s="82" t="s">
        <v>411</v>
      </c>
      <c r="HN1" s="82" t="s">
        <v>412</v>
      </c>
      <c r="HO1" s="82" t="s">
        <v>413</v>
      </c>
      <c r="HP1" s="82" t="s">
        <v>414</v>
      </c>
      <c r="HQ1" s="82" t="s">
        <v>415</v>
      </c>
      <c r="HR1" s="82" t="s">
        <v>416</v>
      </c>
      <c r="HS1" s="82" t="s">
        <v>417</v>
      </c>
      <c r="HT1" s="82" t="s">
        <v>418</v>
      </c>
      <c r="HU1" s="82" t="s">
        <v>419</v>
      </c>
      <c r="HV1" s="94" t="s">
        <v>420</v>
      </c>
      <c r="HW1" s="109" t="s">
        <v>470</v>
      </c>
      <c r="HX1" s="109" t="s">
        <v>471</v>
      </c>
      <c r="HY1" s="109" t="s">
        <v>472</v>
      </c>
      <c r="HZ1" s="109" t="s">
        <v>473</v>
      </c>
      <c r="IA1" s="109" t="s">
        <v>474</v>
      </c>
      <c r="IB1" s="109" t="s">
        <v>475</v>
      </c>
      <c r="IC1" s="109" t="s">
        <v>476</v>
      </c>
      <c r="ID1" s="109" t="s">
        <v>477</v>
      </c>
      <c r="IE1" s="109" t="s">
        <v>478</v>
      </c>
      <c r="IF1" s="109" t="s">
        <v>479</v>
      </c>
      <c r="IG1" s="109" t="s">
        <v>480</v>
      </c>
      <c r="IH1" s="109" t="s">
        <v>481</v>
      </c>
      <c r="II1" s="109" t="s">
        <v>482</v>
      </c>
      <c r="IJ1" s="109" t="s">
        <v>483</v>
      </c>
      <c r="IK1" s="85" t="s">
        <v>484</v>
      </c>
      <c r="IL1" s="82" t="s">
        <v>503</v>
      </c>
      <c r="IM1" s="82" t="s">
        <v>504</v>
      </c>
      <c r="IN1" s="82" t="s">
        <v>505</v>
      </c>
      <c r="IO1" s="82" t="s">
        <v>506</v>
      </c>
      <c r="IP1" s="82" t="s">
        <v>507</v>
      </c>
      <c r="IQ1" s="82" t="s">
        <v>508</v>
      </c>
      <c r="IR1" s="82" t="s">
        <v>509</v>
      </c>
      <c r="IS1" s="82" t="s">
        <v>510</v>
      </c>
      <c r="IT1" s="82" t="s">
        <v>511</v>
      </c>
      <c r="IU1" s="82" t="s">
        <v>512</v>
      </c>
      <c r="IV1" s="82" t="s">
        <v>513</v>
      </c>
      <c r="IW1" s="82" t="s">
        <v>514</v>
      </c>
      <c r="IX1" s="82" t="s">
        <v>515</v>
      </c>
      <c r="IY1" s="82" t="s">
        <v>516</v>
      </c>
      <c r="IZ1" s="82" t="s">
        <v>517</v>
      </c>
      <c r="JA1" s="82" t="s">
        <v>518</v>
      </c>
      <c r="JB1" s="82" t="s">
        <v>519</v>
      </c>
      <c r="JC1" s="82" t="s">
        <v>520</v>
      </c>
      <c r="JD1" s="82" t="s">
        <v>521</v>
      </c>
      <c r="JE1" s="82" t="s">
        <v>522</v>
      </c>
      <c r="JF1" s="82" t="s">
        <v>523</v>
      </c>
      <c r="JG1" s="82" t="s">
        <v>524</v>
      </c>
      <c r="JH1" s="82" t="s">
        <v>525</v>
      </c>
      <c r="JI1" s="82" t="s">
        <v>526</v>
      </c>
      <c r="JJ1" s="82" t="s">
        <v>527</v>
      </c>
      <c r="JK1" s="82" t="s">
        <v>528</v>
      </c>
      <c r="JL1" s="82" t="s">
        <v>529</v>
      </c>
      <c r="JM1" s="82" t="s">
        <v>530</v>
      </c>
      <c r="JN1" s="82" t="s">
        <v>531</v>
      </c>
      <c r="JO1" s="82" t="s">
        <v>532</v>
      </c>
      <c r="JP1" s="82" t="s">
        <v>533</v>
      </c>
      <c r="JQ1" s="82" t="s">
        <v>534</v>
      </c>
      <c r="JR1" s="85" t="s">
        <v>535</v>
      </c>
      <c r="JS1" s="109" t="s">
        <v>536</v>
      </c>
      <c r="JT1" s="109" t="s">
        <v>537</v>
      </c>
      <c r="JU1" s="109" t="s">
        <v>538</v>
      </c>
      <c r="JV1" s="109" t="s">
        <v>539</v>
      </c>
      <c r="JW1" s="109" t="s">
        <v>540</v>
      </c>
      <c r="JX1" s="109" t="s">
        <v>541</v>
      </c>
      <c r="JY1" s="109" t="s">
        <v>542</v>
      </c>
      <c r="JZ1" s="109" t="s">
        <v>543</v>
      </c>
      <c r="KA1" s="109" t="s">
        <v>544</v>
      </c>
      <c r="KB1" s="109" t="s">
        <v>545</v>
      </c>
      <c r="KC1" s="109" t="s">
        <v>546</v>
      </c>
      <c r="KD1" s="109" t="s">
        <v>547</v>
      </c>
      <c r="KE1" s="109" t="s">
        <v>548</v>
      </c>
      <c r="KF1" s="109" t="s">
        <v>549</v>
      </c>
      <c r="KG1" s="85" t="s">
        <v>550</v>
      </c>
      <c r="KH1" s="82" t="s">
        <v>551</v>
      </c>
      <c r="KI1" s="82" t="s">
        <v>552</v>
      </c>
      <c r="KJ1" s="82" t="s">
        <v>553</v>
      </c>
      <c r="KK1" s="82" t="s">
        <v>554</v>
      </c>
      <c r="KL1" s="82" t="s">
        <v>555</v>
      </c>
      <c r="KM1" s="82" t="s">
        <v>556</v>
      </c>
      <c r="KN1" s="82" t="s">
        <v>557</v>
      </c>
      <c r="KO1" s="82" t="s">
        <v>558</v>
      </c>
      <c r="KP1" s="82" t="s">
        <v>559</v>
      </c>
      <c r="KQ1" s="82" t="s">
        <v>560</v>
      </c>
      <c r="KR1" s="82" t="s">
        <v>561</v>
      </c>
      <c r="KS1" s="82" t="s">
        <v>562</v>
      </c>
      <c r="KT1" s="82" t="s">
        <v>563</v>
      </c>
      <c r="KU1" s="82" t="s">
        <v>564</v>
      </c>
      <c r="KV1" s="82" t="s">
        <v>565</v>
      </c>
      <c r="KW1" s="82" t="s">
        <v>566</v>
      </c>
      <c r="KX1" s="82" t="s">
        <v>567</v>
      </c>
      <c r="KY1" s="82" t="s">
        <v>568</v>
      </c>
      <c r="KZ1" s="82" t="s">
        <v>569</v>
      </c>
      <c r="LA1" s="82" t="s">
        <v>570</v>
      </c>
      <c r="LB1" s="82" t="s">
        <v>571</v>
      </c>
      <c r="LC1" s="82" t="s">
        <v>572</v>
      </c>
      <c r="LD1" s="82" t="s">
        <v>573</v>
      </c>
      <c r="LE1" s="82" t="s">
        <v>574</v>
      </c>
      <c r="LF1" s="82" t="s">
        <v>575</v>
      </c>
      <c r="LG1" s="82" t="s">
        <v>576</v>
      </c>
      <c r="LH1" s="82" t="s">
        <v>577</v>
      </c>
      <c r="LI1" s="82" t="s">
        <v>578</v>
      </c>
      <c r="LJ1" s="82" t="s">
        <v>579</v>
      </c>
      <c r="LK1" s="82" t="s">
        <v>580</v>
      </c>
      <c r="LL1" s="82" t="s">
        <v>581</v>
      </c>
      <c r="LM1" s="82" t="s">
        <v>582</v>
      </c>
      <c r="LN1" s="82" t="s">
        <v>583</v>
      </c>
      <c r="LO1" s="82" t="s">
        <v>584</v>
      </c>
      <c r="LP1" s="82" t="s">
        <v>585</v>
      </c>
      <c r="LQ1" s="82" t="s">
        <v>586</v>
      </c>
      <c r="LR1" s="82" t="s">
        <v>587</v>
      </c>
      <c r="LS1" s="82" t="s">
        <v>588</v>
      </c>
      <c r="LT1" s="82" t="s">
        <v>589</v>
      </c>
      <c r="LU1" s="82" t="s">
        <v>590</v>
      </c>
      <c r="LV1" s="82" t="s">
        <v>591</v>
      </c>
      <c r="LW1" s="82" t="s">
        <v>592</v>
      </c>
      <c r="LX1" s="82" t="s">
        <v>593</v>
      </c>
      <c r="LY1" s="82" t="s">
        <v>594</v>
      </c>
      <c r="LZ1" s="82" t="s">
        <v>595</v>
      </c>
      <c r="MA1" s="82" t="s">
        <v>596</v>
      </c>
      <c r="MB1" s="82" t="s">
        <v>597</v>
      </c>
      <c r="MC1" s="82" t="s">
        <v>598</v>
      </c>
      <c r="MD1" s="43" t="s">
        <v>599</v>
      </c>
      <c r="ME1" s="43" t="s">
        <v>600</v>
      </c>
      <c r="MF1" s="43" t="s">
        <v>601</v>
      </c>
      <c r="MG1" s="43" t="s">
        <v>602</v>
      </c>
    </row>
    <row r="2" spans="1:345" ht="26.25" customHeight="1" thickBot="1" x14ac:dyDescent="0.25">
      <c r="A2" s="35">
        <v>41332</v>
      </c>
      <c r="B2" s="36" t="s">
        <v>121</v>
      </c>
      <c r="C2" s="36" t="s">
        <v>119</v>
      </c>
      <c r="D2" s="31" t="s">
        <v>110</v>
      </c>
      <c r="E2" s="4">
        <v>65</v>
      </c>
      <c r="F2" s="3">
        <v>17337</v>
      </c>
      <c r="G2" s="4" t="s">
        <v>87</v>
      </c>
      <c r="H2" s="4" t="s">
        <v>112</v>
      </c>
      <c r="I2" s="4">
        <v>1805730</v>
      </c>
      <c r="J2" s="2" t="s">
        <v>309</v>
      </c>
      <c r="K2" s="226"/>
      <c r="L2" s="225">
        <v>1</v>
      </c>
      <c r="M2" s="225"/>
      <c r="N2" s="226" t="s">
        <v>610</v>
      </c>
      <c r="O2" s="226"/>
      <c r="P2" s="225"/>
      <c r="Q2" s="226" t="s">
        <v>611</v>
      </c>
      <c r="R2" s="33">
        <v>-0.5</v>
      </c>
      <c r="S2" s="4">
        <v>-0.56999999999999995</v>
      </c>
      <c r="T2" s="4" t="s">
        <v>249</v>
      </c>
      <c r="U2" s="67">
        <v>18.5</v>
      </c>
      <c r="V2" s="124">
        <v>41288</v>
      </c>
      <c r="W2" s="67">
        <v>-0.75</v>
      </c>
      <c r="X2" s="67">
        <v>1.25</v>
      </c>
      <c r="Y2" s="4">
        <v>140</v>
      </c>
      <c r="Z2" s="4">
        <v>70</v>
      </c>
      <c r="AA2" s="4">
        <v>19</v>
      </c>
      <c r="AB2" s="4">
        <v>599</v>
      </c>
      <c r="AC2" s="4">
        <v>25.07</v>
      </c>
      <c r="AD2" s="4">
        <v>11.9</v>
      </c>
      <c r="AE2" s="4">
        <v>4.4400000000000004</v>
      </c>
      <c r="AF2" s="4">
        <v>3.45</v>
      </c>
      <c r="AG2" s="4">
        <v>41.62</v>
      </c>
      <c r="AH2" s="4">
        <v>29</v>
      </c>
      <c r="AI2" s="4">
        <v>42.67</v>
      </c>
      <c r="AJ2" s="4">
        <v>119</v>
      </c>
      <c r="AK2" s="4">
        <v>0</v>
      </c>
      <c r="AL2" s="4" t="b">
        <f t="shared" ref="AL2:AL33" si="0">IF(AND(ISNUMBER(SK),SK&gt;0),TRUE,FALSE)</f>
        <v>0</v>
      </c>
      <c r="AN2" s="32">
        <v>41526</v>
      </c>
      <c r="AO2" s="60"/>
      <c r="AP2" s="67">
        <v>-1</v>
      </c>
      <c r="AQ2" s="67">
        <v>1</v>
      </c>
      <c r="AR2" s="4">
        <v>75</v>
      </c>
      <c r="AS2" s="4">
        <v>20</v>
      </c>
      <c r="AT2" s="4">
        <v>10</v>
      </c>
      <c r="AU2" s="4">
        <v>533</v>
      </c>
      <c r="AV2" s="4">
        <v>1577</v>
      </c>
      <c r="BC2" s="4">
        <f t="shared" ref="BC2:BC33" si="1">IF(ISNUMBER(AP2),AP2+0.5*AQ2,"")</f>
        <v>-0.5</v>
      </c>
      <c r="BD2" s="4">
        <f t="shared" ref="BD2:BD25" si="2">IF(ISNUMBER(BC2),IF(ISNUMBER(S2),BC2-S2,"MISSING"),"")</f>
        <v>6.9999999999999951E-2</v>
      </c>
      <c r="BE2" s="4">
        <f t="shared" ref="BE2:BE33" si="3">IF(AND(ISNUMBER(AU2),ISNUMBER(AB2)),AU2-AB2,IF(ISNUMBER(AU2),"MISSING",""))</f>
        <v>-66</v>
      </c>
      <c r="BF2" s="137">
        <v>41722</v>
      </c>
      <c r="BU2" s="4" t="str">
        <f>IF(ISNUMBER(BH2),BH2+0.5*BI2,"")</f>
        <v/>
      </c>
      <c r="BV2" s="4" t="str">
        <f t="shared" ref="BV2:BV33" si="4">IF(ISNUMBER(BU2),IF(ISNUMBER($S2),BU2-$S2,"MISSING"),"")</f>
        <v/>
      </c>
      <c r="BW2" s="4" t="str">
        <f t="shared" ref="BW2:BW33" si="5">IF(AND(ISNUMBER(BM2),ISNUMBER($AB2)),BM2-$AB2,IF(ISNUMBER(BM2),"MISSING",""))</f>
        <v/>
      </c>
      <c r="BX2" s="4">
        <f t="shared" ref="BX2:BX33" si="6">IF(AND(ISBLANK(SPH_6),ISBLANK(SPH_12)),0,1)</f>
        <v>1</v>
      </c>
      <c r="BY2" s="4">
        <f t="shared" ref="BY2:BY33" si="7">IF(AND(ISNUMBER($AP2),ISNUMBER($BH2)),1,0)</f>
        <v>0</v>
      </c>
      <c r="BZ2" s="4" t="str">
        <f t="shared" ref="BZ2:BZ33" si="8">IF(BY2,SE_PREOP,"")</f>
        <v/>
      </c>
      <c r="CA2" s="4" t="str">
        <f t="shared" ref="CA2:CA33" si="9">IF(FU_6_AND_12,SE_6,"")</f>
        <v/>
      </c>
      <c r="CB2" s="4" t="str">
        <f t="shared" ref="CB2:CB33" si="10">IF(FU_6_AND_12,SE_12,"")</f>
        <v/>
      </c>
      <c r="CC2" s="53">
        <f t="shared" ref="CC2:CC33" si="11">IF(AND(ISNUMBER(BF2),ISNUMBER(BH2)),BF2-A2,IF(ISNUMBER(AN2),AN2-A2,0))</f>
        <v>194</v>
      </c>
      <c r="CD2" s="55">
        <f t="shared" ref="CD2:CD33" si="12">IF(CC2&gt;0,CC2/30,"")</f>
        <v>6.4666666666666668</v>
      </c>
      <c r="CE2" s="4" t="str">
        <f t="shared" ref="CE2:CE33" si="13">IF(AND(ISNUMBER(BC2),ISNUMBER(BU2)),(BU2-BC2),"")</f>
        <v/>
      </c>
      <c r="CF2" s="4" t="str">
        <f t="shared" ref="CF2:CF33" si="14">IF(AND(ISNUMBER(BA2), ISNUMBER(AG2)), AVERAGE(BA2,AY2)-AVERAGE(AG2,AI2),"")</f>
        <v/>
      </c>
      <c r="CG2" s="4" t="str">
        <f t="shared" ref="CG2:CG33" si="15">IF(AND(ISNUMBER(BQ2), ISNUMBER(AG2)), AVERAGE(BQ2,BS2)-AVERAGE(AG2,AI2),"")</f>
        <v/>
      </c>
      <c r="CH2" s="4" t="str">
        <f t="shared" ref="CH2:CH33" si="16">IF(ISNUMBER(CG2),CG2,IF(ISNUMBER(CF2),CF2,""))</f>
        <v/>
      </c>
      <c r="CI2" s="4">
        <f t="shared" ref="CI2:CI33" si="17">IF(AND(ISNUMBER(SPH_PREOP),ISNUMBER(SE_LAST_)),SPH_PREOP+CYL_PREOP/2,"")</f>
        <v>-0.125</v>
      </c>
      <c r="CJ2" s="4">
        <f t="shared" ref="CJ2:CJ33" si="18">IF(ISNUMBER(SE_12),SE_12,IF(ISNUMBER(SE_6),SE_6,""))</f>
        <v>-0.5</v>
      </c>
      <c r="CK2" s="93">
        <f t="shared" ref="CK2:CK33" si="19">IF(AND(ISNUMBER(SE_LAST_),ISNUMBER(REF_TARGET)),SE_LAST_-REF_TARGET,"")</f>
        <v>6.9999999999999951E-2</v>
      </c>
      <c r="CL2" s="83">
        <f t="shared" ref="CL2:CL33" si="20">IF(ISNUMBER(AB2),IF(ISNUMBER(BM2),BM2-AB2,IF(ISNUMBER(AU2),AU2-AB2,"")),"")</f>
        <v>-66</v>
      </c>
      <c r="CM2" s="4" t="str">
        <f t="shared" ref="CM2:CM33" si="21">IF(ISNUMBER(AC2),IF(ISNUMBER(AW2),AW2-AC2,IF(ISNUMBER(BO2),BO2-AC2,"")),"")</f>
        <v/>
      </c>
      <c r="CN2" s="96">
        <f t="shared" ref="CN2:CN33" si="22">IF(ISNUMBER(LAST_SE_ERROR),REF_TARGET,"")</f>
        <v>-0.56999999999999995</v>
      </c>
      <c r="CO2" s="96">
        <f>IF(AND(OR(ISNUMBER(BK2),ISNUMBER(AS2)),ISNUMBER(Z2)),-LOG(20/Z2)--LOG(20/IF(ISNUMBER(BK2),BK2,AS2)),"")</f>
        <v>0.54406804435027567</v>
      </c>
      <c r="CP2" s="127">
        <f t="shared" ref="CP2:CP33" si="23">IF(ISNUMBER(BI2),BI2,IF(ISNUMBER(AQ2),AQ2,""))</f>
        <v>1</v>
      </c>
      <c r="CQ2" s="127">
        <f t="shared" ref="CQ2:CQ33" si="24">IF(AND(ISNUMBER(CP2),ISNUMBER(X2)),CP2-X2,"")</f>
        <v>-0.25</v>
      </c>
      <c r="CR2" s="136">
        <f t="shared" ref="CR2:CR33" si="25">IF(ISNUMBER(BCVA_12),BCVA_12,IF(ISNUMBER(BCVA_6),BCVA_6,""))</f>
        <v>20</v>
      </c>
      <c r="CS2" s="136">
        <f t="shared" ref="CS2:CS33" si="26">IF(ISNUMBER(CR2),PREOP_BCVA,"")</f>
        <v>70</v>
      </c>
      <c r="CT2" s="135" t="str">
        <f t="shared" ref="CT2:CT33" si="27">IF(AND(REF_TARGET&lt;=0,REF_TARGET&gt;-1),IF(ISNUMBER(UDVA_12),UDVA_12,IF(ISNUMBER(UDVA_6),UDVA_6,"")),"")</f>
        <v/>
      </c>
      <c r="CU2" s="139" t="str">
        <f t="shared" ref="CU2:CU33" si="28">IF(ISNUMBER(PREOP_PENTACAM_RV),IF(ISNUMBER(SPH_6),IF(ISNUMBER($ET2),0,1),""),"")</f>
        <v/>
      </c>
      <c r="CV2" s="96" t="str">
        <f t="shared" ref="CV2:CV33" si="29">IF(ISNUMBER(PREOP_PENTACAM_RV),IF(ISNUMBER(SPH_12),IF(ISNUMBER($GP2),0,1),""),"")</f>
        <v/>
      </c>
      <c r="CW2" s="141" t="str">
        <f t="shared" ref="CW2:CW33" si="30">IF(OR(ISNUMBER(MISSING_PENT_6),ISNUMBER(MISSING_PENT_12)),IF(AND(ISNUMBER(MISSING_PENT_6),ISNUMBER(MISSING_PENT_12)),AND(MISSING_PENT_6,MISSING_PENT_12),IF(ISNUMBER(MISSING_PENT_6),INT(MISSING_PENT_6)&gt;0,INT(MISSING_PENT_12)&gt;0)),"")</f>
        <v/>
      </c>
      <c r="EE2" s="110">
        <v>40.799999999999997</v>
      </c>
      <c r="EF2" s="110">
        <v>41.9</v>
      </c>
      <c r="EG2" s="110">
        <v>41.3</v>
      </c>
      <c r="EH2" s="110">
        <v>18.2</v>
      </c>
      <c r="EI2" s="110">
        <v>1.1000000000000001</v>
      </c>
      <c r="EJ2" s="110">
        <v>-5.7</v>
      </c>
      <c r="EK2" s="110">
        <v>-5.8</v>
      </c>
      <c r="EL2" s="110">
        <v>-5.7</v>
      </c>
      <c r="EM2" s="110">
        <v>122.5</v>
      </c>
      <c r="EN2" s="110">
        <v>0.2</v>
      </c>
      <c r="EO2" s="110">
        <v>4.4000000000000004</v>
      </c>
      <c r="EP2" s="110">
        <v>12.5</v>
      </c>
      <c r="EQ2" s="110">
        <v>25.9</v>
      </c>
      <c r="ER2" s="110">
        <v>58.7</v>
      </c>
      <c r="ES2" s="114">
        <v>39</v>
      </c>
      <c r="IL2" s="83" t="str">
        <f t="shared" ref="IL2:IL33" si="31">IF(ISNUMBER(GP2),GP2,IF(ISNUMBER(ET2),ET2,""))</f>
        <v/>
      </c>
      <c r="IM2" s="4" t="str">
        <f t="shared" ref="IM2:IM33" si="32">IF(ISNUMBER(GQ2),GQ2,IF(ISNUMBER(EU2),EU2,""))</f>
        <v/>
      </c>
      <c r="IN2" s="4" t="str">
        <f t="shared" ref="IN2:IN33" si="33">IF(ISNUMBER(GR2),GR2,IF(ISNUMBER(EV2),EV2,""))</f>
        <v/>
      </c>
      <c r="IO2" s="4" t="str">
        <f t="shared" ref="IO2:IO33" si="34">IF(ISNUMBER(GS2),GS2,IF(ISNUMBER(EW2),EW2,""))</f>
        <v/>
      </c>
      <c r="IP2" s="4" t="str">
        <f t="shared" ref="IP2:IP33" si="35">IF(ISNUMBER(GT2),GT2,IF(ISNUMBER(EX2),EX2,""))</f>
        <v/>
      </c>
      <c r="IQ2" s="4" t="str">
        <f t="shared" ref="IQ2:IQ33" si="36">IF(ISNUMBER(GU2),GU2,IF(ISNUMBER(EY2),EY2,""))</f>
        <v/>
      </c>
      <c r="IR2" s="4" t="str">
        <f t="shared" ref="IR2:IR33" si="37">IF(ISNUMBER(GV2),GV2,IF(ISNUMBER(EZ2),EZ2,""))</f>
        <v/>
      </c>
      <c r="IS2" s="4" t="str">
        <f t="shared" ref="IS2:IS33" si="38">IF(ISNUMBER(GW2),GW2,IF(ISNUMBER(FA2),FA2,""))</f>
        <v/>
      </c>
      <c r="IT2" s="4" t="str">
        <f t="shared" ref="IT2:IT33" si="39">IF(ISNUMBER(GX2),GX2,IF(ISNUMBER(FB2),FB2,""))</f>
        <v/>
      </c>
      <c r="IU2" s="4" t="str">
        <f t="shared" ref="IU2:IU33" si="40">IF(ISNUMBER(GY2),GY2,IF(ISNUMBER(FC2),FC2,""))</f>
        <v/>
      </c>
      <c r="IV2" s="4" t="str">
        <f t="shared" ref="IV2:IV33" si="41">IF(ISNUMBER(GZ2),GZ2,IF(ISNUMBER(FD2),FD2,""))</f>
        <v/>
      </c>
      <c r="IW2" s="4" t="str">
        <f t="shared" ref="IW2:IW33" si="42">IF(ISNUMBER(HA2),HA2,IF(ISNUMBER(FE2),FE2,""))</f>
        <v/>
      </c>
      <c r="IX2" s="4" t="str">
        <f t="shared" ref="IX2:IX33" si="43">IF(ISNUMBER(HB2),HB2,IF(ISNUMBER(FF2),FF2,""))</f>
        <v/>
      </c>
      <c r="IY2" s="4" t="str">
        <f t="shared" ref="IY2:IY33" si="44">IF(ISNUMBER(HC2),HC2,IF(ISNUMBER(FG2),FG2,""))</f>
        <v/>
      </c>
      <c r="IZ2" s="4" t="str">
        <f t="shared" ref="IZ2:IZ33" si="45">IF(ISNUMBER(HD2),HD2,IF(ISNUMBER(FH2),FH2,""))</f>
        <v/>
      </c>
      <c r="JA2" s="4" t="str">
        <f t="shared" ref="JA2:JA33" si="46">IF(ISNUMBER(HE2),HE2,IF(ISNUMBER(FI2),FI2,""))</f>
        <v/>
      </c>
      <c r="JB2" s="4" t="str">
        <f t="shared" ref="JB2:JB33" si="47">IF(ISNUMBER(HF2),HF2,IF(ISNUMBER(FJ2),FJ2,""))</f>
        <v/>
      </c>
      <c r="JC2" s="4" t="str">
        <f t="shared" ref="JC2:JC33" si="48">IF(ISNUMBER(HG2),HG2,IF(ISNUMBER(FK2),FK2,""))</f>
        <v/>
      </c>
      <c r="JD2" s="4" t="str">
        <f t="shared" ref="JD2:JD33" si="49">IF(ISNUMBER(HH2),HH2,IF(ISNUMBER(FL2),FL2,""))</f>
        <v/>
      </c>
      <c r="JE2" s="4" t="str">
        <f t="shared" ref="JE2:JE33" si="50">IF(ISNUMBER(HI2),HI2,IF(ISNUMBER(FM2),FM2,""))</f>
        <v/>
      </c>
      <c r="JF2" s="4" t="str">
        <f t="shared" ref="JF2:JF33" si="51">IF(ISNUMBER(HJ2),HJ2,IF(ISNUMBER(FN2),FN2,""))</f>
        <v/>
      </c>
      <c r="JG2" s="4" t="str">
        <f t="shared" ref="JG2:JG33" si="52">IF(ISNUMBER(HK2),HK2,IF(ISNUMBER(FO2),FO2,""))</f>
        <v/>
      </c>
      <c r="JH2" s="4" t="str">
        <f t="shared" ref="JH2:JH33" si="53">IF(ISNUMBER(HL2),HL2,IF(ISNUMBER(FP2),FP2,""))</f>
        <v/>
      </c>
      <c r="JI2" s="4" t="str">
        <f t="shared" ref="JI2:JI33" si="54">IF(ISNUMBER(HM2),HM2,IF(ISNUMBER(FQ2),FQ2,""))</f>
        <v/>
      </c>
      <c r="JJ2" s="4" t="str">
        <f t="shared" ref="JJ2:JJ33" si="55">IF(ISNUMBER(HN2),HN2,IF(ISNUMBER(FR2),FR2,""))</f>
        <v/>
      </c>
      <c r="JK2" s="4" t="str">
        <f t="shared" ref="JK2:JK33" si="56">IF(ISNUMBER(HO2),HO2,IF(ISNUMBER(FS2),FS2,""))</f>
        <v/>
      </c>
      <c r="JL2" s="4" t="str">
        <f t="shared" ref="JL2:JL33" si="57">IF(ISNUMBER(HP2),HP2,IF(ISNUMBER(FT2),FT2,""))</f>
        <v/>
      </c>
      <c r="JM2" s="4" t="str">
        <f t="shared" ref="JM2:JM33" si="58">IF(ISNUMBER(HQ2),HQ2,IF(ISNUMBER(FU2),FU2,""))</f>
        <v/>
      </c>
      <c r="JN2" s="4" t="str">
        <f t="shared" ref="JN2:JN33" si="59">IF(ISNUMBER(HR2),HR2,IF(ISNUMBER(FV2),FV2,""))</f>
        <v/>
      </c>
      <c r="JO2" s="4" t="str">
        <f t="shared" ref="JO2:JO33" si="60">IF(ISNUMBER(HS2),HS2,IF(ISNUMBER(FW2),FW2,""))</f>
        <v/>
      </c>
      <c r="JP2" s="4" t="str">
        <f t="shared" ref="JP2:JP33" si="61">IF(ISNUMBER(HT2),HT2,IF(ISNUMBER(FX2),FX2,""))</f>
        <v/>
      </c>
      <c r="JQ2" s="117" t="str">
        <f t="shared" ref="JQ2:JQ33" si="62">IF(ISNUMBER(HU2),HU2,IF(ISNUMBER(FY2),FY2,""))</f>
        <v/>
      </c>
      <c r="JR2" s="110" t="str">
        <f t="shared" ref="JR2:JR33" si="63">IF(ISNUMBER(HV2),HV2,IF(ISNUMBER(FZ2),FZ2,""))</f>
        <v/>
      </c>
      <c r="JS2" s="110" t="str">
        <f t="shared" ref="JS2:JS33" si="64">IF(ISNUMBER(HW2),HW2,IF(ISNUMBER(GA2),GA2,""))</f>
        <v/>
      </c>
      <c r="JT2" s="110" t="str">
        <f t="shared" ref="JT2:JT33" si="65">IF(ISNUMBER(HX2),HX2,IF(ISNUMBER(GB2),GB2,""))</f>
        <v/>
      </c>
      <c r="JU2" s="110" t="str">
        <f t="shared" ref="JU2:JU33" si="66">IF(ISNUMBER(HY2),HY2,IF(ISNUMBER(GC2),GC2,""))</f>
        <v/>
      </c>
      <c r="JV2" s="110" t="str">
        <f t="shared" ref="JV2:JV33" si="67">IF(ISNUMBER(HZ2),HZ2,IF(ISNUMBER(GD2),GD2,""))</f>
        <v/>
      </c>
      <c r="JW2" s="110" t="str">
        <f t="shared" ref="JW2:JW33" si="68">IF(ISNUMBER(IA2),IA2,IF(ISNUMBER(GE2),GE2,""))</f>
        <v/>
      </c>
      <c r="JX2" s="110" t="str">
        <f t="shared" ref="JX2:JX33" si="69">IF(ISNUMBER(IB2),IB2,IF(ISNUMBER(GF2),GF2,""))</f>
        <v/>
      </c>
      <c r="JY2" s="110" t="str">
        <f t="shared" ref="JY2:JY33" si="70">IF(ISNUMBER(IC2),IC2,IF(ISNUMBER(GG2),GG2,""))</f>
        <v/>
      </c>
      <c r="JZ2" s="110" t="str">
        <f t="shared" ref="JZ2:JZ33" si="71">IF(ISNUMBER(ID2),ID2,IF(ISNUMBER(GH2),GH2,""))</f>
        <v/>
      </c>
      <c r="KA2" s="110" t="str">
        <f t="shared" ref="KA2:KA33" si="72">IF(ISNUMBER(IE2),IE2,IF(ISNUMBER(GI2),GI2,""))</f>
        <v/>
      </c>
      <c r="KB2" s="110" t="str">
        <f t="shared" ref="KB2:KB33" si="73">IF(ISNUMBER(IF2),IF2,IF(ISNUMBER(GJ2),GJ2,""))</f>
        <v/>
      </c>
      <c r="KC2" s="110" t="str">
        <f t="shared" ref="KC2:KC33" si="74">IF(ISNUMBER(IG2),IG2,IF(ISNUMBER(GK2),GK2,""))</f>
        <v/>
      </c>
      <c r="KD2" s="110" t="str">
        <f t="shared" ref="KD2:KD33" si="75">IF(ISNUMBER(IH2),IH2,IF(ISNUMBER(GL2),GL2,""))</f>
        <v/>
      </c>
      <c r="KE2" s="110" t="str">
        <f t="shared" ref="KE2:KE33" si="76">IF(ISNUMBER(II2),II2,IF(ISNUMBER(GM2),GM2,""))</f>
        <v/>
      </c>
      <c r="KF2" s="110" t="str">
        <f t="shared" ref="KF2:KF33" si="77">IF(ISNUMBER(IJ2),IJ2,IF(ISNUMBER(GN2),GN2,""))</f>
        <v/>
      </c>
      <c r="KG2" s="121" t="str">
        <f t="shared" ref="KG2:KG33" si="78">IF(ISNUMBER(IK2),IK2,IF(ISNUMBER(GO2),GO2,""))</f>
        <v/>
      </c>
      <c r="KH2" s="83" t="str">
        <f t="shared" ref="KH2:KH33" si="79">IF(AND(ISNUMBER(IL2),ISNUMBER(CX2)),IL2-CX2,"")</f>
        <v/>
      </c>
      <c r="KI2" s="4" t="str">
        <f t="shared" ref="KI2:KI33" si="80">IF(AND(ISNUMBER(IM2),ISNUMBER(CY2)),IM2-CY2,"")</f>
        <v/>
      </c>
      <c r="KJ2" s="4" t="str">
        <f t="shared" ref="KJ2:KJ33" si="81">IF(AND(ISNUMBER(IN2),ISNUMBER(CZ2)),IN2-CZ2,"")</f>
        <v/>
      </c>
      <c r="KK2" s="4" t="str">
        <f t="shared" ref="KK2:KK33" si="82">IF(AND(ISNUMBER(IO2),ISNUMBER(DA2)),IO2-DA2,"")</f>
        <v/>
      </c>
      <c r="KL2" s="4" t="str">
        <f t="shared" ref="KL2:KL33" si="83">IF(AND(ISNUMBER(IP2),ISNUMBER(DB2)),IP2-DB2,"")</f>
        <v/>
      </c>
      <c r="KM2" s="4" t="str">
        <f t="shared" ref="KM2:KM33" si="84">IF(AND(ISNUMBER(IQ2),ISNUMBER(DC2)),IQ2-DC2,"")</f>
        <v/>
      </c>
      <c r="KN2" s="4" t="str">
        <f t="shared" ref="KN2:KN33" si="85">IF(AND(ISNUMBER(IR2),ISNUMBER(DD2)),IR2-DD2,"")</f>
        <v/>
      </c>
      <c r="KO2" s="4" t="str">
        <f t="shared" ref="KO2:KO33" si="86">IF(AND(ISNUMBER(IS2),ISNUMBER(DE2)),IS2-DE2,"")</f>
        <v/>
      </c>
      <c r="KP2" s="4" t="str">
        <f t="shared" ref="KP2:KP33" si="87">IF(AND(ISNUMBER(IT2),ISNUMBER(DF2)),IT2-DF2,"")</f>
        <v/>
      </c>
      <c r="KQ2" s="4" t="str">
        <f t="shared" ref="KQ2:KQ33" si="88">IF(AND(ISNUMBER(IU2),ISNUMBER(DG2)),IU2-DG2,"")</f>
        <v/>
      </c>
      <c r="KR2" s="4" t="str">
        <f t="shared" ref="KR2:KR33" si="89">IF(AND(ISNUMBER(IV2),ISNUMBER(DH2)),IV2-DH2,"")</f>
        <v/>
      </c>
      <c r="KS2" s="4" t="str">
        <f t="shared" ref="KS2:KS33" si="90">IF(AND(ISNUMBER(IW2),ISNUMBER(DI2)),IW2-DI2,"")</f>
        <v/>
      </c>
      <c r="KT2" s="4" t="str">
        <f t="shared" ref="KT2:KT33" si="91">IF(AND(ISNUMBER(IX2),ISNUMBER(DJ2)),IX2-DJ2,"")</f>
        <v/>
      </c>
      <c r="KU2" s="4" t="str">
        <f t="shared" ref="KU2:KU33" si="92">IF(AND(ISNUMBER(IY2),ISNUMBER(DK2)),IY2-DK2,"")</f>
        <v/>
      </c>
      <c r="KV2" s="4" t="str">
        <f t="shared" ref="KV2:KV33" si="93">IF(AND(ISNUMBER(IZ2),ISNUMBER(DL2)),IZ2-DL2,"")</f>
        <v/>
      </c>
      <c r="KW2" s="4" t="str">
        <f t="shared" ref="KW2:KW33" si="94">IF(AND(ISNUMBER(JA2),ISNUMBER(DM2)),JA2-DM2,"")</f>
        <v/>
      </c>
      <c r="KX2" s="4" t="str">
        <f t="shared" ref="KX2:KX33" si="95">IF(AND(ISNUMBER(JB2),ISNUMBER(DN2)),JB2-DN2,"")</f>
        <v/>
      </c>
      <c r="KY2" s="4" t="str">
        <f t="shared" ref="KY2:KY33" si="96">IF(AND(ISNUMBER(JC2),ISNUMBER(DO2)),JC2-DO2,"")</f>
        <v/>
      </c>
      <c r="KZ2" s="4" t="str">
        <f t="shared" ref="KZ2:KZ33" si="97">IF(AND(ISNUMBER(JD2),ISNUMBER(DP2)),JD2-DP2,"")</f>
        <v/>
      </c>
      <c r="LA2" s="4" t="str">
        <f t="shared" ref="LA2:LA33" si="98">IF(AND(ISNUMBER(JE2),ISNUMBER(DQ2)),JE2-DQ2,"")</f>
        <v/>
      </c>
      <c r="LB2" s="4" t="str">
        <f t="shared" ref="LB2:LB33" si="99">IF(AND(ISNUMBER(JF2),ISNUMBER(DR2)),JF2-DR2,"")</f>
        <v/>
      </c>
      <c r="LC2" s="4" t="str">
        <f t="shared" ref="LC2:LC33" si="100">IF(AND(ISNUMBER(JG2),ISNUMBER(DS2)),JG2-DS2,"")</f>
        <v/>
      </c>
      <c r="LD2" s="4" t="str">
        <f t="shared" ref="LD2:LD33" si="101">IF(AND(ISNUMBER(JH2),ISNUMBER(DT2)),JH2-DT2,"")</f>
        <v/>
      </c>
      <c r="LE2" s="4" t="str">
        <f t="shared" ref="LE2:LE33" si="102">IF(AND(ISNUMBER(JI2),ISNUMBER(DU2)),JI2-DU2,"")</f>
        <v/>
      </c>
      <c r="LF2" s="4" t="str">
        <f t="shared" ref="LF2:LF33" si="103">IF(AND(ISNUMBER(JJ2),ISNUMBER(DV2)),JJ2-DV2,"")</f>
        <v/>
      </c>
      <c r="LG2" s="4" t="str">
        <f t="shared" ref="LG2:LG33" si="104">IF(AND(ISNUMBER(JK2),ISNUMBER(DW2)),JK2-DW2,"")</f>
        <v/>
      </c>
      <c r="LH2" s="4" t="str">
        <f t="shared" ref="LH2:LH33" si="105">IF(AND(ISNUMBER(JL2),ISNUMBER(DX2)),JL2-DX2,"")</f>
        <v/>
      </c>
      <c r="LI2" s="4" t="str">
        <f t="shared" ref="LI2:LI33" si="106">IF(AND(ISNUMBER(JM2),ISNUMBER(DY2)),JM2-DY2,"")</f>
        <v/>
      </c>
      <c r="LJ2" s="4" t="str">
        <f t="shared" ref="LJ2:LJ33" si="107">IF(AND(ISNUMBER(JN2),ISNUMBER(DZ2)),JN2-DZ2,"")</f>
        <v/>
      </c>
      <c r="LK2" s="4" t="str">
        <f t="shared" ref="LK2:LK33" si="108">IF(AND(ISNUMBER(JO2),ISNUMBER(EA2)),JO2-EA2,"")</f>
        <v/>
      </c>
      <c r="LL2" s="4" t="str">
        <f t="shared" ref="LL2:LL33" si="109">IF(AND(ISNUMBER(JP2),ISNUMBER(EB2)),JP2-EB2,"")</f>
        <v/>
      </c>
      <c r="LM2" s="4" t="str">
        <f t="shared" ref="LM2:LM33" si="110">IF(AND(ISNUMBER(JQ2),ISNUMBER(EC2)),JQ2-EC2,"")</f>
        <v/>
      </c>
      <c r="LN2" s="4" t="str">
        <f t="shared" ref="LN2:LN33" si="111">IF(AND(ISNUMBER(JR2),ISNUMBER(ED2)),JR2-ED2,"")</f>
        <v/>
      </c>
      <c r="LO2" s="4" t="str">
        <f t="shared" ref="LO2:LO33" si="112">IF(AND(ISNUMBER(JS2),ISNUMBER(EE2)),JS2-EE2,"")</f>
        <v/>
      </c>
      <c r="LP2" s="4" t="str">
        <f t="shared" ref="LP2:LP33" si="113">IF(AND(ISNUMBER(JT2),ISNUMBER(EF2)),JT2-EF2,"")</f>
        <v/>
      </c>
      <c r="LQ2" s="4" t="str">
        <f t="shared" ref="LQ2:LQ33" si="114">IF(AND(ISNUMBER(JU2),ISNUMBER(EG2)),JU2-EG2,"")</f>
        <v/>
      </c>
      <c r="LR2" s="4" t="str">
        <f t="shared" ref="LR2:LR33" si="115">IF(AND(ISNUMBER(JV2),ISNUMBER(EH2)),JV2-EH2,"")</f>
        <v/>
      </c>
      <c r="LS2" s="4" t="str">
        <f t="shared" ref="LS2:LS33" si="116">IF(AND(ISNUMBER(JW2),ISNUMBER(EI2)),JW2-EI2,"")</f>
        <v/>
      </c>
      <c r="LT2" s="4" t="str">
        <f t="shared" ref="LT2:LT33" si="117">IF(AND(ISNUMBER(JX2),ISNUMBER(EJ2)),JX2-EJ2,"")</f>
        <v/>
      </c>
      <c r="LU2" s="4" t="str">
        <f t="shared" ref="LU2:LU33" si="118">IF(AND(ISNUMBER(JY2),ISNUMBER(EK2)),JY2-EK2,"")</f>
        <v/>
      </c>
      <c r="LV2" s="4" t="str">
        <f t="shared" ref="LV2:LV33" si="119">IF(AND(ISNUMBER(JZ2),ISNUMBER(EL2)),JZ2-EL2,"")</f>
        <v/>
      </c>
      <c r="LW2" s="4" t="str">
        <f t="shared" ref="LW2:LW33" si="120">IF(AND(ISNUMBER(KA2),ISNUMBER(EM2)),KA2-EM2,"")</f>
        <v/>
      </c>
      <c r="LX2" s="4" t="str">
        <f t="shared" ref="LX2:LX33" si="121">IF(AND(ISNUMBER(KB2),ISNUMBER(EN2)),KB2-EN2,"")</f>
        <v/>
      </c>
      <c r="LY2" s="4" t="str">
        <f t="shared" ref="LY2:LY33" si="122">IF(AND(ISNUMBER(KC2),ISNUMBER(EO2)),KC2-EO2,"")</f>
        <v/>
      </c>
      <c r="LZ2" s="4" t="str">
        <f t="shared" ref="LZ2:LZ33" si="123">IF(AND(ISNUMBER(KD2),ISNUMBER(EP2)),KD2-EP2,"")</f>
        <v/>
      </c>
      <c r="MA2" s="4" t="str">
        <f t="shared" ref="MA2:MA33" si="124">IF(AND(ISNUMBER(KE2),ISNUMBER(EQ2)),KE2-EQ2,"")</f>
        <v/>
      </c>
      <c r="MB2" s="4" t="str">
        <f t="shared" ref="MB2:MB33" si="125">IF(AND(ISNUMBER(KF2),ISNUMBER(ER2)),KF2-ER2,"")</f>
        <v/>
      </c>
      <c r="MC2" s="4" t="str">
        <f t="shared" ref="MC2:MC33" si="126">IF(AND(ISNUMBER(KG2),ISNUMBER(ES2)),KG2-ES2,"")</f>
        <v/>
      </c>
      <c r="MD2" s="4" t="str">
        <f t="shared" ref="MD2:MD33" si="127">IF(AND(ISNUMBER(HW2),ISNUMBER(GA2)),HW2-GA2,"")</f>
        <v/>
      </c>
      <c r="ME2" s="4" t="str">
        <f t="shared" ref="ME2:ME33" si="128">IF(AND(ISNUMBER(HX2),ISNUMBER(GB2)),HX2-GB2,"")</f>
        <v/>
      </c>
      <c r="MF2" s="4" t="str">
        <f t="shared" ref="MF2:MF33" si="129">IF(AND(ISNUMBER(IB2),ISNUMBER(GF2)),IB2-GF2,"")</f>
        <v/>
      </c>
      <c r="MG2" s="4">
        <f t="shared" ref="MG2:MG33" si="130">IC2-GG2</f>
        <v>0</v>
      </c>
    </row>
    <row r="3" spans="1:345" ht="26.25" customHeight="1" thickBot="1" x14ac:dyDescent="0.25">
      <c r="A3" s="44">
        <v>41451</v>
      </c>
      <c r="B3" s="36" t="s">
        <v>269</v>
      </c>
      <c r="C3" s="36" t="s">
        <v>270</v>
      </c>
      <c r="D3" s="31" t="s">
        <v>110</v>
      </c>
      <c r="E3" s="4">
        <v>67</v>
      </c>
      <c r="F3" s="3">
        <v>16959</v>
      </c>
      <c r="G3" s="4" t="s">
        <v>87</v>
      </c>
      <c r="H3" s="4" t="s">
        <v>108</v>
      </c>
      <c r="I3" s="4">
        <v>1822626</v>
      </c>
      <c r="J3" s="2" t="s">
        <v>309</v>
      </c>
      <c r="L3" s="229">
        <v>1</v>
      </c>
      <c r="M3" s="229">
        <v>1</v>
      </c>
      <c r="N3" s="225" t="s">
        <v>615</v>
      </c>
      <c r="O3" s="52" t="s">
        <v>614</v>
      </c>
      <c r="P3" s="51" t="s">
        <v>616</v>
      </c>
      <c r="R3" s="33">
        <v>-0.5</v>
      </c>
      <c r="S3" s="4">
        <v>-0.73</v>
      </c>
      <c r="T3" s="4" t="s">
        <v>249</v>
      </c>
      <c r="U3" s="67">
        <v>16.75</v>
      </c>
      <c r="V3" s="125">
        <v>41417</v>
      </c>
      <c r="W3" s="67">
        <v>-2</v>
      </c>
      <c r="X3" s="67">
        <v>0.25</v>
      </c>
      <c r="Y3" s="4">
        <v>67</v>
      </c>
      <c r="Z3" s="4">
        <v>40</v>
      </c>
      <c r="AA3" s="4">
        <v>12</v>
      </c>
      <c r="AB3" s="4">
        <v>614</v>
      </c>
      <c r="AC3" s="4">
        <v>24.58</v>
      </c>
      <c r="AD3" s="4">
        <v>12.1</v>
      </c>
      <c r="AE3" s="4">
        <v>4.7699999999999996</v>
      </c>
      <c r="AF3" s="4">
        <v>3.51</v>
      </c>
      <c r="AG3" s="4">
        <v>44.29</v>
      </c>
      <c r="AH3" s="4">
        <v>169</v>
      </c>
      <c r="AI3" s="4">
        <v>45</v>
      </c>
      <c r="AJ3" s="4">
        <v>79</v>
      </c>
      <c r="AK3" s="4">
        <v>0</v>
      </c>
      <c r="AL3" s="4" t="b">
        <f t="shared" si="0"/>
        <v>0</v>
      </c>
      <c r="AN3" s="3">
        <v>41631</v>
      </c>
      <c r="AO3" s="56">
        <v>25</v>
      </c>
      <c r="AP3" s="67">
        <v>-0.25</v>
      </c>
      <c r="AQ3" s="67">
        <v>0.5</v>
      </c>
      <c r="AR3" s="4">
        <v>47</v>
      </c>
      <c r="AS3" s="4">
        <v>25</v>
      </c>
      <c r="AT3" s="4">
        <v>10</v>
      </c>
      <c r="AU3" s="4">
        <v>468</v>
      </c>
      <c r="AV3" s="4">
        <v>1855</v>
      </c>
      <c r="AW3" s="4" t="s">
        <v>282</v>
      </c>
      <c r="AX3" s="4" t="s">
        <v>282</v>
      </c>
      <c r="AY3" s="4" t="s">
        <v>282</v>
      </c>
      <c r="AZ3" s="4" t="s">
        <v>282</v>
      </c>
      <c r="BA3" s="4" t="s">
        <v>282</v>
      </c>
      <c r="BB3" s="4" t="s">
        <v>282</v>
      </c>
      <c r="BC3" s="4">
        <f t="shared" si="1"/>
        <v>0</v>
      </c>
      <c r="BD3" s="4">
        <f t="shared" si="2"/>
        <v>0.73</v>
      </c>
      <c r="BE3" s="4">
        <f t="shared" si="3"/>
        <v>-146</v>
      </c>
      <c r="BF3" s="137">
        <v>41809</v>
      </c>
      <c r="BG3" s="59"/>
      <c r="BV3" s="4" t="str">
        <f t="shared" si="4"/>
        <v/>
      </c>
      <c r="BW3" s="4" t="str">
        <f t="shared" si="5"/>
        <v/>
      </c>
      <c r="BX3" s="4">
        <f t="shared" si="6"/>
        <v>1</v>
      </c>
      <c r="BY3" s="4">
        <f t="shared" si="7"/>
        <v>0</v>
      </c>
      <c r="BZ3" s="4" t="str">
        <f t="shared" si="8"/>
        <v/>
      </c>
      <c r="CA3" s="4" t="str">
        <f t="shared" si="9"/>
        <v/>
      </c>
      <c r="CB3" s="4" t="str">
        <f t="shared" si="10"/>
        <v/>
      </c>
      <c r="CC3" s="53">
        <f t="shared" si="11"/>
        <v>180</v>
      </c>
      <c r="CD3" s="55">
        <f t="shared" si="12"/>
        <v>6</v>
      </c>
      <c r="CE3" s="4" t="str">
        <f t="shared" si="13"/>
        <v/>
      </c>
      <c r="CF3" s="4" t="str">
        <f t="shared" si="14"/>
        <v/>
      </c>
      <c r="CG3" s="4" t="str">
        <f t="shared" si="15"/>
        <v/>
      </c>
      <c r="CH3" s="4" t="str">
        <f t="shared" si="16"/>
        <v/>
      </c>
      <c r="CI3" s="4">
        <f t="shared" si="17"/>
        <v>-1.875</v>
      </c>
      <c r="CJ3" s="4">
        <f t="shared" si="18"/>
        <v>0</v>
      </c>
      <c r="CK3" s="93">
        <f t="shared" si="19"/>
        <v>0.73</v>
      </c>
      <c r="CL3" s="83">
        <f t="shared" si="20"/>
        <v>-146</v>
      </c>
      <c r="CM3" s="4" t="str">
        <f t="shared" si="21"/>
        <v/>
      </c>
      <c r="CN3" s="96">
        <f t="shared" si="22"/>
        <v>-0.73</v>
      </c>
      <c r="CO3" s="96">
        <f>IF(AND(OR(ISNUMBER(BK3),ISNUMBER(AS3)),ISNUMBER(Z3)),-LOG(20/Z3)--LOG(20/IF(ISNUMBER(BK3),BK3,AS3)),"")</f>
        <v>0.20411998265592479</v>
      </c>
      <c r="CP3" s="127">
        <f t="shared" si="23"/>
        <v>0.5</v>
      </c>
      <c r="CQ3" s="127">
        <f t="shared" si="24"/>
        <v>0.25</v>
      </c>
      <c r="CR3" s="136">
        <f t="shared" si="25"/>
        <v>25</v>
      </c>
      <c r="CS3" s="136">
        <f t="shared" si="26"/>
        <v>40</v>
      </c>
      <c r="CT3" s="135">
        <f t="shared" si="27"/>
        <v>25</v>
      </c>
      <c r="CU3" s="139" t="str">
        <f t="shared" si="28"/>
        <v/>
      </c>
      <c r="CV3" s="96" t="str">
        <f t="shared" si="29"/>
        <v/>
      </c>
      <c r="CW3" s="141" t="str">
        <f t="shared" si="30"/>
        <v/>
      </c>
      <c r="EE3" s="110">
        <v>43.9</v>
      </c>
      <c r="EF3" s="110">
        <v>44.5</v>
      </c>
      <c r="EG3" s="110">
        <v>44.2</v>
      </c>
      <c r="EH3" s="110">
        <v>5.9</v>
      </c>
      <c r="EI3" s="110">
        <v>0.6</v>
      </c>
      <c r="EJ3" s="110">
        <v>-6</v>
      </c>
      <c r="EK3" s="110">
        <v>-6.3</v>
      </c>
      <c r="EL3" s="110">
        <v>-6.1</v>
      </c>
      <c r="EM3" s="110">
        <v>104.1</v>
      </c>
      <c r="EN3" s="110">
        <v>0.3</v>
      </c>
      <c r="EO3" s="110">
        <v>4.5</v>
      </c>
      <c r="EP3" s="110">
        <v>12.9</v>
      </c>
      <c r="EQ3" s="110">
        <v>27.2</v>
      </c>
      <c r="ER3" s="110">
        <v>63.8</v>
      </c>
      <c r="ES3" s="114">
        <v>18</v>
      </c>
      <c r="IL3" s="83" t="str">
        <f t="shared" si="31"/>
        <v/>
      </c>
      <c r="IM3" s="4" t="str">
        <f t="shared" si="32"/>
        <v/>
      </c>
      <c r="IN3" s="4" t="str">
        <f t="shared" si="33"/>
        <v/>
      </c>
      <c r="IO3" s="4" t="str">
        <f t="shared" si="34"/>
        <v/>
      </c>
      <c r="IP3" s="4" t="str">
        <f t="shared" si="35"/>
        <v/>
      </c>
      <c r="IQ3" s="4" t="str">
        <f t="shared" si="36"/>
        <v/>
      </c>
      <c r="IR3" s="4" t="str">
        <f t="shared" si="37"/>
        <v/>
      </c>
      <c r="IS3" s="4" t="str">
        <f t="shared" si="38"/>
        <v/>
      </c>
      <c r="IT3" s="4" t="str">
        <f t="shared" si="39"/>
        <v/>
      </c>
      <c r="IU3" s="4" t="str">
        <f t="shared" si="40"/>
        <v/>
      </c>
      <c r="IV3" s="4" t="str">
        <f t="shared" si="41"/>
        <v/>
      </c>
      <c r="IW3" s="4" t="str">
        <f t="shared" si="42"/>
        <v/>
      </c>
      <c r="IX3" s="4" t="str">
        <f t="shared" si="43"/>
        <v/>
      </c>
      <c r="IY3" s="4" t="str">
        <f t="shared" si="44"/>
        <v/>
      </c>
      <c r="IZ3" s="4" t="str">
        <f t="shared" si="45"/>
        <v/>
      </c>
      <c r="JA3" s="4" t="str">
        <f t="shared" si="46"/>
        <v/>
      </c>
      <c r="JB3" s="4" t="str">
        <f t="shared" si="47"/>
        <v/>
      </c>
      <c r="JC3" s="4" t="str">
        <f t="shared" si="48"/>
        <v/>
      </c>
      <c r="JD3" s="4" t="str">
        <f t="shared" si="49"/>
        <v/>
      </c>
      <c r="JE3" s="4" t="str">
        <f t="shared" si="50"/>
        <v/>
      </c>
      <c r="JF3" s="4" t="str">
        <f t="shared" si="51"/>
        <v/>
      </c>
      <c r="JG3" s="4" t="str">
        <f t="shared" si="52"/>
        <v/>
      </c>
      <c r="JH3" s="4" t="str">
        <f t="shared" si="53"/>
        <v/>
      </c>
      <c r="JI3" s="4" t="str">
        <f t="shared" si="54"/>
        <v/>
      </c>
      <c r="JJ3" s="4" t="str">
        <f t="shared" si="55"/>
        <v/>
      </c>
      <c r="JK3" s="4" t="str">
        <f t="shared" si="56"/>
        <v/>
      </c>
      <c r="JL3" s="4" t="str">
        <f t="shared" si="57"/>
        <v/>
      </c>
      <c r="JM3" s="4" t="str">
        <f t="shared" si="58"/>
        <v/>
      </c>
      <c r="JN3" s="4" t="str">
        <f t="shared" si="59"/>
        <v/>
      </c>
      <c r="JO3" s="4" t="str">
        <f t="shared" si="60"/>
        <v/>
      </c>
      <c r="JP3" s="4" t="str">
        <f t="shared" si="61"/>
        <v/>
      </c>
      <c r="JQ3" s="117" t="str">
        <f t="shared" si="62"/>
        <v/>
      </c>
      <c r="JR3" s="110" t="str">
        <f t="shared" si="63"/>
        <v/>
      </c>
      <c r="JS3" s="110" t="str">
        <f t="shared" si="64"/>
        <v/>
      </c>
      <c r="JT3" s="110" t="str">
        <f t="shared" si="65"/>
        <v/>
      </c>
      <c r="JU3" s="110" t="str">
        <f t="shared" si="66"/>
        <v/>
      </c>
      <c r="JV3" s="110" t="str">
        <f t="shared" si="67"/>
        <v/>
      </c>
      <c r="JW3" s="110" t="str">
        <f t="shared" si="68"/>
        <v/>
      </c>
      <c r="JX3" s="110" t="str">
        <f t="shared" si="69"/>
        <v/>
      </c>
      <c r="JY3" s="110" t="str">
        <f t="shared" si="70"/>
        <v/>
      </c>
      <c r="JZ3" s="110" t="str">
        <f t="shared" si="71"/>
        <v/>
      </c>
      <c r="KA3" s="110" t="str">
        <f t="shared" si="72"/>
        <v/>
      </c>
      <c r="KB3" s="110" t="str">
        <f t="shared" si="73"/>
        <v/>
      </c>
      <c r="KC3" s="110" t="str">
        <f t="shared" si="74"/>
        <v/>
      </c>
      <c r="KD3" s="110" t="str">
        <f t="shared" si="75"/>
        <v/>
      </c>
      <c r="KE3" s="110" t="str">
        <f t="shared" si="76"/>
        <v/>
      </c>
      <c r="KF3" s="110" t="str">
        <f t="shared" si="77"/>
        <v/>
      </c>
      <c r="KG3" s="121" t="str">
        <f t="shared" si="78"/>
        <v/>
      </c>
      <c r="KH3" s="83" t="str">
        <f t="shared" si="79"/>
        <v/>
      </c>
      <c r="KI3" s="4" t="str">
        <f t="shared" si="80"/>
        <v/>
      </c>
      <c r="KJ3" s="4" t="str">
        <f t="shared" si="81"/>
        <v/>
      </c>
      <c r="KK3" s="4" t="str">
        <f t="shared" si="82"/>
        <v/>
      </c>
      <c r="KL3" s="4" t="str">
        <f t="shared" si="83"/>
        <v/>
      </c>
      <c r="KM3" s="4" t="str">
        <f t="shared" si="84"/>
        <v/>
      </c>
      <c r="KN3" s="4" t="str">
        <f t="shared" si="85"/>
        <v/>
      </c>
      <c r="KO3" s="4" t="str">
        <f t="shared" si="86"/>
        <v/>
      </c>
      <c r="KP3" s="4" t="str">
        <f t="shared" si="87"/>
        <v/>
      </c>
      <c r="KQ3" s="4" t="str">
        <f t="shared" si="88"/>
        <v/>
      </c>
      <c r="KR3" s="4" t="str">
        <f t="shared" si="89"/>
        <v/>
      </c>
      <c r="KS3" s="4" t="str">
        <f t="shared" si="90"/>
        <v/>
      </c>
      <c r="KT3" s="4" t="str">
        <f t="shared" si="91"/>
        <v/>
      </c>
      <c r="KU3" s="4" t="str">
        <f t="shared" si="92"/>
        <v/>
      </c>
      <c r="KV3" s="4" t="str">
        <f t="shared" si="93"/>
        <v/>
      </c>
      <c r="KW3" s="4" t="str">
        <f t="shared" si="94"/>
        <v/>
      </c>
      <c r="KX3" s="4" t="str">
        <f t="shared" si="95"/>
        <v/>
      </c>
      <c r="KY3" s="4" t="str">
        <f t="shared" si="96"/>
        <v/>
      </c>
      <c r="KZ3" s="4" t="str">
        <f t="shared" si="97"/>
        <v/>
      </c>
      <c r="LA3" s="4" t="str">
        <f t="shared" si="98"/>
        <v/>
      </c>
      <c r="LB3" s="4" t="str">
        <f t="shared" si="99"/>
        <v/>
      </c>
      <c r="LC3" s="4" t="str">
        <f t="shared" si="100"/>
        <v/>
      </c>
      <c r="LD3" s="4" t="str">
        <f t="shared" si="101"/>
        <v/>
      </c>
      <c r="LE3" s="4" t="str">
        <f t="shared" si="102"/>
        <v/>
      </c>
      <c r="LF3" s="4" t="str">
        <f t="shared" si="103"/>
        <v/>
      </c>
      <c r="LG3" s="4" t="str">
        <f t="shared" si="104"/>
        <v/>
      </c>
      <c r="LH3" s="4" t="str">
        <f t="shared" si="105"/>
        <v/>
      </c>
      <c r="LI3" s="4" t="str">
        <f t="shared" si="106"/>
        <v/>
      </c>
      <c r="LJ3" s="4" t="str">
        <f t="shared" si="107"/>
        <v/>
      </c>
      <c r="LK3" s="4" t="str">
        <f t="shared" si="108"/>
        <v/>
      </c>
      <c r="LL3" s="4" t="str">
        <f t="shared" si="109"/>
        <v/>
      </c>
      <c r="LM3" s="4" t="str">
        <f t="shared" si="110"/>
        <v/>
      </c>
      <c r="LN3" s="4" t="str">
        <f t="shared" si="111"/>
        <v/>
      </c>
      <c r="LO3" s="4" t="str">
        <f t="shared" si="112"/>
        <v/>
      </c>
      <c r="LP3" s="4" t="str">
        <f t="shared" si="113"/>
        <v/>
      </c>
      <c r="LQ3" s="4" t="str">
        <f t="shared" si="114"/>
        <v/>
      </c>
      <c r="LR3" s="4" t="str">
        <f t="shared" si="115"/>
        <v/>
      </c>
      <c r="LS3" s="4" t="str">
        <f t="shared" si="116"/>
        <v/>
      </c>
      <c r="LT3" s="4" t="str">
        <f t="shared" si="117"/>
        <v/>
      </c>
      <c r="LU3" s="4" t="str">
        <f t="shared" si="118"/>
        <v/>
      </c>
      <c r="LV3" s="4" t="str">
        <f t="shared" si="119"/>
        <v/>
      </c>
      <c r="LW3" s="4" t="str">
        <f t="shared" si="120"/>
        <v/>
      </c>
      <c r="LX3" s="4" t="str">
        <f t="shared" si="121"/>
        <v/>
      </c>
      <c r="LY3" s="4" t="str">
        <f t="shared" si="122"/>
        <v/>
      </c>
      <c r="LZ3" s="4" t="str">
        <f t="shared" si="123"/>
        <v/>
      </c>
      <c r="MA3" s="4" t="str">
        <f t="shared" si="124"/>
        <v/>
      </c>
      <c r="MB3" s="4" t="str">
        <f t="shared" si="125"/>
        <v/>
      </c>
      <c r="MC3" s="4" t="str">
        <f t="shared" si="126"/>
        <v/>
      </c>
      <c r="MD3" s="4" t="str">
        <f t="shared" si="127"/>
        <v/>
      </c>
      <c r="ME3" s="4" t="str">
        <f t="shared" si="128"/>
        <v/>
      </c>
      <c r="MF3" s="4" t="str">
        <f t="shared" si="129"/>
        <v/>
      </c>
      <c r="MG3" s="4">
        <f t="shared" si="130"/>
        <v>0</v>
      </c>
    </row>
    <row r="4" spans="1:345" ht="26.25" customHeight="1" thickBot="1" x14ac:dyDescent="0.25">
      <c r="A4" s="35">
        <v>41213</v>
      </c>
      <c r="B4" s="36" t="s">
        <v>182</v>
      </c>
      <c r="C4" s="36" t="s">
        <v>14</v>
      </c>
      <c r="D4" s="31" t="s">
        <v>110</v>
      </c>
      <c r="E4" s="4">
        <v>73</v>
      </c>
      <c r="F4" s="3">
        <v>14247</v>
      </c>
      <c r="G4" s="4" t="s">
        <v>87</v>
      </c>
      <c r="H4" s="4" t="s">
        <v>112</v>
      </c>
      <c r="I4" s="4">
        <v>1824311</v>
      </c>
      <c r="J4" s="2" t="s">
        <v>309</v>
      </c>
      <c r="K4" s="230"/>
      <c r="L4" s="231">
        <v>1</v>
      </c>
      <c r="M4" s="231"/>
      <c r="N4" s="231"/>
      <c r="O4" s="261"/>
      <c r="P4" s="231"/>
      <c r="Q4" s="231"/>
      <c r="R4" s="4">
        <v>-0.5</v>
      </c>
      <c r="S4" s="4">
        <v>-0.55000000000000004</v>
      </c>
      <c r="T4" s="4" t="s">
        <v>249</v>
      </c>
      <c r="U4" s="67">
        <v>14.5</v>
      </c>
      <c r="V4" s="124">
        <v>41127</v>
      </c>
      <c r="W4" s="67">
        <v>-4.5</v>
      </c>
      <c r="X4" s="67">
        <v>0.5</v>
      </c>
      <c r="Y4" s="4">
        <v>30</v>
      </c>
      <c r="Z4" s="4">
        <v>25</v>
      </c>
      <c r="AA4" s="4">
        <v>12</v>
      </c>
      <c r="AB4" s="4">
        <v>605</v>
      </c>
      <c r="AC4" s="4">
        <v>25.32</v>
      </c>
      <c r="AD4" s="4">
        <v>12</v>
      </c>
      <c r="AE4" s="4">
        <v>4.4400000000000004</v>
      </c>
      <c r="AF4" s="4">
        <v>3.24</v>
      </c>
      <c r="AG4" s="4">
        <v>44.41</v>
      </c>
      <c r="AH4" s="4">
        <v>9</v>
      </c>
      <c r="AI4" s="4">
        <v>44.76</v>
      </c>
      <c r="AJ4" s="4">
        <v>99</v>
      </c>
      <c r="AK4" s="4">
        <v>2</v>
      </c>
      <c r="AL4" s="4" t="b">
        <f t="shared" si="0"/>
        <v>1</v>
      </c>
      <c r="AN4" s="32">
        <v>41334</v>
      </c>
      <c r="AO4" s="60">
        <v>40</v>
      </c>
      <c r="AP4" s="67">
        <v>-0.75</v>
      </c>
      <c r="AQ4" s="67">
        <v>1.75</v>
      </c>
      <c r="AR4" s="4">
        <v>75</v>
      </c>
      <c r="AS4" s="4">
        <v>30</v>
      </c>
      <c r="AT4" s="4">
        <v>15</v>
      </c>
      <c r="AU4" s="4">
        <v>566</v>
      </c>
      <c r="AV4" s="4">
        <v>1996</v>
      </c>
      <c r="BC4" s="4">
        <f t="shared" si="1"/>
        <v>0.125</v>
      </c>
      <c r="BD4" s="4">
        <f t="shared" si="2"/>
        <v>0.67500000000000004</v>
      </c>
      <c r="BE4" s="4">
        <f t="shared" si="3"/>
        <v>-39</v>
      </c>
      <c r="BF4" s="3">
        <v>41561</v>
      </c>
      <c r="BG4" s="56">
        <v>25</v>
      </c>
      <c r="BH4" s="67">
        <v>-0.5</v>
      </c>
      <c r="BI4" s="67">
        <v>1.25</v>
      </c>
      <c r="BJ4" s="4">
        <v>74</v>
      </c>
      <c r="BK4" s="4">
        <v>25</v>
      </c>
      <c r="BL4" s="4">
        <v>11</v>
      </c>
      <c r="BM4" s="4">
        <v>569</v>
      </c>
      <c r="BN4" s="4">
        <v>1729</v>
      </c>
      <c r="BO4" s="4">
        <v>25.27</v>
      </c>
      <c r="BP4" s="4">
        <v>6.25</v>
      </c>
      <c r="BQ4" s="4">
        <v>43.89</v>
      </c>
      <c r="BR4" s="4">
        <v>169</v>
      </c>
      <c r="BS4" s="4">
        <v>44.82</v>
      </c>
      <c r="BT4" s="4">
        <v>79</v>
      </c>
      <c r="BU4" s="4">
        <f t="shared" ref="BU4:BU28" si="131">IF(ISNUMBER(BH4),BH4+0.5*BI4,"")</f>
        <v>0.125</v>
      </c>
      <c r="BV4" s="4">
        <f t="shared" si="4"/>
        <v>0.67500000000000004</v>
      </c>
      <c r="BW4" s="4">
        <f t="shared" si="5"/>
        <v>-36</v>
      </c>
      <c r="BX4" s="4">
        <f t="shared" si="6"/>
        <v>1</v>
      </c>
      <c r="BY4" s="4">
        <f t="shared" si="7"/>
        <v>1</v>
      </c>
      <c r="BZ4" s="4">
        <f t="shared" si="8"/>
        <v>-4.25</v>
      </c>
      <c r="CA4" s="4">
        <f t="shared" si="9"/>
        <v>0.125</v>
      </c>
      <c r="CB4" s="4">
        <f t="shared" si="10"/>
        <v>0.125</v>
      </c>
      <c r="CC4" s="53">
        <f t="shared" si="11"/>
        <v>348</v>
      </c>
      <c r="CD4" s="55">
        <f t="shared" si="12"/>
        <v>11.6</v>
      </c>
      <c r="CE4" s="4">
        <f t="shared" si="13"/>
        <v>0</v>
      </c>
      <c r="CF4" s="4" t="str">
        <f t="shared" si="14"/>
        <v/>
      </c>
      <c r="CG4" s="4">
        <f t="shared" si="15"/>
        <v>-0.22999999999998977</v>
      </c>
      <c r="CH4" s="4">
        <f t="shared" si="16"/>
        <v>-0.22999999999998977</v>
      </c>
      <c r="CI4" s="4">
        <f t="shared" si="17"/>
        <v>-4.25</v>
      </c>
      <c r="CJ4" s="4">
        <f t="shared" si="18"/>
        <v>0.125</v>
      </c>
      <c r="CK4" s="93">
        <f t="shared" si="19"/>
        <v>0.67500000000000004</v>
      </c>
      <c r="CL4" s="83">
        <f t="shared" si="20"/>
        <v>-36</v>
      </c>
      <c r="CM4" s="4">
        <f t="shared" si="21"/>
        <v>-5.0000000000000711E-2</v>
      </c>
      <c r="CN4" s="96">
        <f t="shared" si="22"/>
        <v>-0.55000000000000004</v>
      </c>
      <c r="CO4" s="96">
        <f>IF(AND(OR(ISNUMBER(BCVA_12),ISNUMBER(BCVA_6)),ISNUMBER(BCVA_PREOP)),-LOG(20/BCVA_PREOP)-(-LOG(20/IF(ISNUMBER(BCVA_12),BCVA_12,BCVA_6))),"")</f>
        <v>0</v>
      </c>
      <c r="CP4" s="127">
        <f t="shared" si="23"/>
        <v>1.25</v>
      </c>
      <c r="CQ4" s="127">
        <f t="shared" si="24"/>
        <v>0.75</v>
      </c>
      <c r="CR4" s="136">
        <f t="shared" si="25"/>
        <v>25</v>
      </c>
      <c r="CS4" s="136">
        <f t="shared" si="26"/>
        <v>25</v>
      </c>
      <c r="CT4" s="135">
        <f t="shared" si="27"/>
        <v>25</v>
      </c>
      <c r="CU4" s="139">
        <f t="shared" si="28"/>
        <v>1</v>
      </c>
      <c r="CV4" s="96">
        <f t="shared" si="29"/>
        <v>0</v>
      </c>
      <c r="CW4" s="141" t="b">
        <f t="shared" si="30"/>
        <v>0</v>
      </c>
      <c r="CX4">
        <v>7.8</v>
      </c>
      <c r="CY4" s="4">
        <v>7.54</v>
      </c>
      <c r="CZ4" s="4">
        <v>165.4</v>
      </c>
      <c r="DA4" s="4">
        <v>-1.5</v>
      </c>
      <c r="DB4" s="4">
        <v>0.23</v>
      </c>
      <c r="DC4" s="4">
        <v>0.49</v>
      </c>
      <c r="DD4" s="4">
        <v>2.81</v>
      </c>
      <c r="DE4" s="4">
        <v>3.45</v>
      </c>
      <c r="DF4" s="4">
        <v>642</v>
      </c>
      <c r="DG4" s="4">
        <v>648</v>
      </c>
      <c r="DH4" s="4">
        <v>709</v>
      </c>
      <c r="DI4" s="4">
        <v>749</v>
      </c>
      <c r="DJ4" s="4">
        <v>748</v>
      </c>
      <c r="DK4" s="4">
        <v>685</v>
      </c>
      <c r="DL4" s="4">
        <v>640</v>
      </c>
      <c r="DM4" s="4">
        <v>0.36</v>
      </c>
      <c r="DN4" s="4">
        <v>-0.21</v>
      </c>
      <c r="DO4" s="4">
        <v>7.64</v>
      </c>
      <c r="DP4" s="4">
        <v>7.65</v>
      </c>
      <c r="DQ4" s="4">
        <v>7.67</v>
      </c>
      <c r="DR4" s="4">
        <v>7.79</v>
      </c>
      <c r="DS4" s="4">
        <v>8.17</v>
      </c>
      <c r="DT4" s="4">
        <v>8.67</v>
      </c>
      <c r="DU4" s="4">
        <v>0</v>
      </c>
      <c r="DV4" s="4">
        <v>1.3</v>
      </c>
      <c r="DW4" s="4">
        <v>6.25</v>
      </c>
      <c r="DX4" s="4">
        <v>6.24</v>
      </c>
      <c r="DY4" s="4">
        <v>6.41</v>
      </c>
      <c r="DZ4" s="4">
        <v>6.82</v>
      </c>
      <c r="EA4" s="4">
        <v>7.29</v>
      </c>
      <c r="EB4" s="4">
        <v>7.46</v>
      </c>
      <c r="EC4" s="4">
        <v>0</v>
      </c>
      <c r="ED4" s="89">
        <v>1.3</v>
      </c>
      <c r="EE4" s="110">
        <v>43.3</v>
      </c>
      <c r="EF4" s="110">
        <v>44.8</v>
      </c>
      <c r="EG4" s="110">
        <v>44</v>
      </c>
      <c r="EH4" s="110">
        <v>165.4</v>
      </c>
      <c r="EI4" s="110">
        <v>1.5</v>
      </c>
      <c r="EJ4" s="110">
        <v>-6.2</v>
      </c>
      <c r="EK4" s="110">
        <v>-6.6</v>
      </c>
      <c r="EL4" s="110">
        <v>-6.4</v>
      </c>
      <c r="EM4" s="110">
        <v>152.6</v>
      </c>
      <c r="EN4" s="110">
        <v>0.3</v>
      </c>
      <c r="EO4" s="110">
        <v>4.5999999999999996</v>
      </c>
      <c r="EP4" s="110">
        <v>13.5</v>
      </c>
      <c r="EQ4" s="110">
        <v>28.6</v>
      </c>
      <c r="ER4" s="110">
        <v>66.599999999999994</v>
      </c>
      <c r="ES4" s="114">
        <v>13</v>
      </c>
      <c r="GP4" s="83">
        <v>7.71</v>
      </c>
      <c r="GQ4" s="4">
        <v>7.55</v>
      </c>
      <c r="GR4" s="4">
        <v>157.6</v>
      </c>
      <c r="GS4" s="4">
        <v>-0.9</v>
      </c>
      <c r="GT4" s="4">
        <v>0.66</v>
      </c>
      <c r="GU4" s="4">
        <v>0.67</v>
      </c>
      <c r="GV4" s="4">
        <v>-0.61</v>
      </c>
      <c r="GW4" s="4">
        <v>-0.04</v>
      </c>
      <c r="GX4" s="4">
        <v>567</v>
      </c>
      <c r="GY4" s="4">
        <v>568</v>
      </c>
      <c r="GZ4" s="4">
        <v>688</v>
      </c>
      <c r="HA4" s="4">
        <v>693</v>
      </c>
      <c r="HB4" s="4">
        <v>661</v>
      </c>
      <c r="HC4" s="4">
        <v>675</v>
      </c>
      <c r="HD4" s="4">
        <v>564</v>
      </c>
      <c r="HE4" s="4">
        <v>0.32</v>
      </c>
      <c r="HF4" s="4">
        <v>-0.32</v>
      </c>
      <c r="HG4" s="4">
        <v>7.63</v>
      </c>
      <c r="HH4" s="4">
        <v>7.62</v>
      </c>
      <c r="HI4" s="4">
        <v>7.73</v>
      </c>
      <c r="HJ4" s="4">
        <v>7.98</v>
      </c>
      <c r="HK4" s="4">
        <v>8.36</v>
      </c>
      <c r="HL4" s="4">
        <v>8.75</v>
      </c>
      <c r="HM4" s="4">
        <v>0</v>
      </c>
      <c r="HN4" s="4">
        <v>1.6</v>
      </c>
      <c r="HO4" s="4">
        <v>6.02</v>
      </c>
      <c r="HP4" s="4">
        <v>5.97</v>
      </c>
      <c r="HQ4" s="4">
        <v>6.11</v>
      </c>
      <c r="HR4" s="4">
        <v>6.58</v>
      </c>
      <c r="HS4" s="4">
        <v>7.01</v>
      </c>
      <c r="HT4" s="4">
        <v>0</v>
      </c>
      <c r="HU4" s="4">
        <v>0</v>
      </c>
      <c r="HV4" s="93">
        <v>1.6</v>
      </c>
      <c r="HW4" s="110">
        <v>43.8</v>
      </c>
      <c r="HX4" s="110">
        <v>44.7</v>
      </c>
      <c r="HY4" s="110">
        <v>44.2</v>
      </c>
      <c r="HZ4" s="110">
        <v>157.6</v>
      </c>
      <c r="IA4" s="110">
        <v>0.9</v>
      </c>
      <c r="IB4" s="110">
        <v>-6.5</v>
      </c>
      <c r="IC4" s="110">
        <v>-6.8</v>
      </c>
      <c r="ID4" s="110">
        <v>-6.6</v>
      </c>
      <c r="IE4" s="110">
        <v>156</v>
      </c>
      <c r="IF4" s="110">
        <v>0.4</v>
      </c>
      <c r="IG4" s="110">
        <v>4.0999999999999996</v>
      </c>
      <c r="IH4" s="110">
        <v>12.2</v>
      </c>
      <c r="II4" s="110">
        <v>26.7</v>
      </c>
      <c r="IJ4" s="110">
        <v>66.400000000000006</v>
      </c>
      <c r="IK4" s="121">
        <v>24</v>
      </c>
      <c r="IL4" s="83">
        <f t="shared" si="31"/>
        <v>7.71</v>
      </c>
      <c r="IM4" s="4">
        <f t="shared" si="32"/>
        <v>7.55</v>
      </c>
      <c r="IN4" s="4">
        <f t="shared" si="33"/>
        <v>157.6</v>
      </c>
      <c r="IO4" s="4">
        <f t="shared" si="34"/>
        <v>-0.9</v>
      </c>
      <c r="IP4" s="4">
        <f t="shared" si="35"/>
        <v>0.66</v>
      </c>
      <c r="IQ4" s="4">
        <f t="shared" si="36"/>
        <v>0.67</v>
      </c>
      <c r="IR4" s="4">
        <f t="shared" si="37"/>
        <v>-0.61</v>
      </c>
      <c r="IS4" s="4">
        <f t="shared" si="38"/>
        <v>-0.04</v>
      </c>
      <c r="IT4" s="4">
        <f t="shared" si="39"/>
        <v>567</v>
      </c>
      <c r="IU4" s="4">
        <f t="shared" si="40"/>
        <v>568</v>
      </c>
      <c r="IV4" s="4">
        <f t="shared" si="41"/>
        <v>688</v>
      </c>
      <c r="IW4" s="4">
        <f t="shared" si="42"/>
        <v>693</v>
      </c>
      <c r="IX4" s="4">
        <f t="shared" si="43"/>
        <v>661</v>
      </c>
      <c r="IY4" s="4">
        <f t="shared" si="44"/>
        <v>675</v>
      </c>
      <c r="IZ4" s="4">
        <f t="shared" si="45"/>
        <v>564</v>
      </c>
      <c r="JA4" s="4">
        <f t="shared" si="46"/>
        <v>0.32</v>
      </c>
      <c r="JB4" s="4">
        <f t="shared" si="47"/>
        <v>-0.32</v>
      </c>
      <c r="JC4" s="4">
        <f t="shared" si="48"/>
        <v>7.63</v>
      </c>
      <c r="JD4" s="4">
        <f t="shared" si="49"/>
        <v>7.62</v>
      </c>
      <c r="JE4" s="4">
        <f t="shared" si="50"/>
        <v>7.73</v>
      </c>
      <c r="JF4" s="4">
        <f t="shared" si="51"/>
        <v>7.98</v>
      </c>
      <c r="JG4" s="4">
        <f t="shared" si="52"/>
        <v>8.36</v>
      </c>
      <c r="JH4" s="4">
        <f t="shared" si="53"/>
        <v>8.75</v>
      </c>
      <c r="JI4" s="4">
        <f t="shared" si="54"/>
        <v>0</v>
      </c>
      <c r="JJ4" s="4">
        <f t="shared" si="55"/>
        <v>1.6</v>
      </c>
      <c r="JK4" s="4">
        <f t="shared" si="56"/>
        <v>6.02</v>
      </c>
      <c r="JL4" s="4">
        <f t="shared" si="57"/>
        <v>5.97</v>
      </c>
      <c r="JM4" s="4">
        <f t="shared" si="58"/>
        <v>6.11</v>
      </c>
      <c r="JN4" s="4">
        <f t="shared" si="59"/>
        <v>6.58</v>
      </c>
      <c r="JO4" s="4">
        <f t="shared" si="60"/>
        <v>7.01</v>
      </c>
      <c r="JP4" s="4">
        <f t="shared" si="61"/>
        <v>0</v>
      </c>
      <c r="JQ4" s="117">
        <f t="shared" si="62"/>
        <v>0</v>
      </c>
      <c r="JR4" s="110">
        <f t="shared" si="63"/>
        <v>1.6</v>
      </c>
      <c r="JS4" s="110">
        <f t="shared" si="64"/>
        <v>43.8</v>
      </c>
      <c r="JT4" s="110">
        <f t="shared" si="65"/>
        <v>44.7</v>
      </c>
      <c r="JU4" s="110">
        <f t="shared" si="66"/>
        <v>44.2</v>
      </c>
      <c r="JV4" s="110">
        <f t="shared" si="67"/>
        <v>157.6</v>
      </c>
      <c r="JW4" s="110">
        <f t="shared" si="68"/>
        <v>0.9</v>
      </c>
      <c r="JX4" s="110">
        <f t="shared" si="69"/>
        <v>-6.5</v>
      </c>
      <c r="JY4" s="110">
        <f t="shared" si="70"/>
        <v>-6.8</v>
      </c>
      <c r="JZ4" s="110">
        <f t="shared" si="71"/>
        <v>-6.6</v>
      </c>
      <c r="KA4" s="110">
        <f t="shared" si="72"/>
        <v>156</v>
      </c>
      <c r="KB4" s="110">
        <f t="shared" si="73"/>
        <v>0.4</v>
      </c>
      <c r="KC4" s="110">
        <f t="shared" si="74"/>
        <v>4.0999999999999996</v>
      </c>
      <c r="KD4" s="110">
        <f t="shared" si="75"/>
        <v>12.2</v>
      </c>
      <c r="KE4" s="110">
        <f t="shared" si="76"/>
        <v>26.7</v>
      </c>
      <c r="KF4" s="110">
        <f t="shared" si="77"/>
        <v>66.400000000000006</v>
      </c>
      <c r="KG4" s="121">
        <f t="shared" si="78"/>
        <v>24</v>
      </c>
      <c r="KH4" s="83">
        <f t="shared" si="79"/>
        <v>-8.9999999999999858E-2</v>
      </c>
      <c r="KI4" s="4">
        <f t="shared" si="80"/>
        <v>9.9999999999997868E-3</v>
      </c>
      <c r="KJ4" s="4">
        <f t="shared" si="81"/>
        <v>-7.8000000000000114</v>
      </c>
      <c r="KK4" s="4">
        <f t="shared" si="82"/>
        <v>0.6</v>
      </c>
      <c r="KL4" s="4">
        <f t="shared" si="83"/>
        <v>0.43000000000000005</v>
      </c>
      <c r="KM4" s="4">
        <f t="shared" si="84"/>
        <v>0.18000000000000005</v>
      </c>
      <c r="KN4" s="4">
        <f t="shared" si="85"/>
        <v>-3.42</v>
      </c>
      <c r="KO4" s="4">
        <f t="shared" si="86"/>
        <v>-3.49</v>
      </c>
      <c r="KP4" s="4">
        <f t="shared" si="87"/>
        <v>-75</v>
      </c>
      <c r="KQ4" s="4">
        <f t="shared" si="88"/>
        <v>-80</v>
      </c>
      <c r="KR4" s="4">
        <f t="shared" si="89"/>
        <v>-21</v>
      </c>
      <c r="KS4" s="4">
        <f t="shared" si="90"/>
        <v>-56</v>
      </c>
      <c r="KT4" s="4">
        <f t="shared" si="91"/>
        <v>-87</v>
      </c>
      <c r="KU4" s="4">
        <f t="shared" si="92"/>
        <v>-10</v>
      </c>
      <c r="KV4" s="4">
        <f t="shared" si="93"/>
        <v>-76</v>
      </c>
      <c r="KW4" s="4">
        <f t="shared" si="94"/>
        <v>-3.999999999999998E-2</v>
      </c>
      <c r="KX4" s="4">
        <f t="shared" si="95"/>
        <v>-0.11000000000000001</v>
      </c>
      <c r="KY4" s="4">
        <f t="shared" si="96"/>
        <v>-9.9999999999997868E-3</v>
      </c>
      <c r="KZ4" s="4">
        <f t="shared" si="97"/>
        <v>-3.0000000000000249E-2</v>
      </c>
      <c r="LA4" s="4">
        <f t="shared" si="98"/>
        <v>6.0000000000000497E-2</v>
      </c>
      <c r="LB4" s="4">
        <f t="shared" si="99"/>
        <v>0.19000000000000039</v>
      </c>
      <c r="LC4" s="4">
        <f t="shared" si="100"/>
        <v>0.1899999999999995</v>
      </c>
      <c r="LD4" s="4">
        <f t="shared" si="101"/>
        <v>8.0000000000000071E-2</v>
      </c>
      <c r="LE4" s="4">
        <f t="shared" si="102"/>
        <v>0</v>
      </c>
      <c r="LF4" s="4">
        <f t="shared" si="103"/>
        <v>0.30000000000000004</v>
      </c>
      <c r="LG4" s="4">
        <f t="shared" si="104"/>
        <v>-0.23000000000000043</v>
      </c>
      <c r="LH4" s="4">
        <f t="shared" si="105"/>
        <v>-0.27000000000000046</v>
      </c>
      <c r="LI4" s="4">
        <f t="shared" si="106"/>
        <v>-0.29999999999999982</v>
      </c>
      <c r="LJ4" s="4">
        <f t="shared" si="107"/>
        <v>-0.24000000000000021</v>
      </c>
      <c r="LK4" s="4">
        <f t="shared" si="108"/>
        <v>-0.28000000000000025</v>
      </c>
      <c r="LL4" s="4">
        <f t="shared" si="109"/>
        <v>-7.46</v>
      </c>
      <c r="LM4" s="4">
        <f t="shared" si="110"/>
        <v>0</v>
      </c>
      <c r="LN4" s="4">
        <f t="shared" si="111"/>
        <v>0.30000000000000004</v>
      </c>
      <c r="LO4" s="4">
        <f t="shared" si="112"/>
        <v>0.5</v>
      </c>
      <c r="LP4" s="4">
        <f t="shared" si="113"/>
        <v>-9.9999999999994316E-2</v>
      </c>
      <c r="LQ4" s="4">
        <f t="shared" si="114"/>
        <v>0.20000000000000284</v>
      </c>
      <c r="LR4" s="4">
        <f t="shared" si="115"/>
        <v>-7.8000000000000114</v>
      </c>
      <c r="LS4" s="4">
        <f t="shared" si="116"/>
        <v>-0.6</v>
      </c>
      <c r="LT4" s="4">
        <f t="shared" si="117"/>
        <v>-0.29999999999999982</v>
      </c>
      <c r="LU4" s="4">
        <f t="shared" si="118"/>
        <v>-0.20000000000000018</v>
      </c>
      <c r="LV4" s="4">
        <f t="shared" si="119"/>
        <v>-0.19999999999999929</v>
      </c>
      <c r="LW4" s="4">
        <f t="shared" si="120"/>
        <v>3.4000000000000057</v>
      </c>
      <c r="LX4" s="4">
        <f t="shared" si="121"/>
        <v>0.10000000000000003</v>
      </c>
      <c r="LY4" s="4">
        <f t="shared" si="122"/>
        <v>-0.5</v>
      </c>
      <c r="LZ4" s="4">
        <f t="shared" si="123"/>
        <v>-1.3000000000000007</v>
      </c>
      <c r="MA4" s="4">
        <f t="shared" si="124"/>
        <v>-1.9000000000000021</v>
      </c>
      <c r="MB4" s="4">
        <f t="shared" si="125"/>
        <v>-0.19999999999998863</v>
      </c>
      <c r="MC4" s="4">
        <f t="shared" si="126"/>
        <v>11</v>
      </c>
      <c r="MD4" s="4" t="str">
        <f t="shared" si="127"/>
        <v/>
      </c>
      <c r="ME4" s="4" t="str">
        <f t="shared" si="128"/>
        <v/>
      </c>
      <c r="MF4" s="4" t="str">
        <f t="shared" si="129"/>
        <v/>
      </c>
      <c r="MG4" s="4">
        <f t="shared" si="130"/>
        <v>-6.8</v>
      </c>
    </row>
    <row r="5" spans="1:345" ht="26.25" customHeight="1" thickBot="1" x14ac:dyDescent="0.25">
      <c r="A5" s="35">
        <v>41206</v>
      </c>
      <c r="B5" s="36" t="s">
        <v>217</v>
      </c>
      <c r="C5" s="36" t="s">
        <v>12</v>
      </c>
      <c r="D5" s="31" t="s">
        <v>111</v>
      </c>
      <c r="E5" s="4">
        <v>53</v>
      </c>
      <c r="F5" s="3">
        <v>21519</v>
      </c>
      <c r="G5" s="4" t="s">
        <v>243</v>
      </c>
      <c r="H5" s="4" t="s">
        <v>108</v>
      </c>
      <c r="I5" s="4">
        <v>1824933</v>
      </c>
      <c r="J5" s="2" t="s">
        <v>309</v>
      </c>
      <c r="K5" s="230"/>
      <c r="L5" s="231">
        <v>1</v>
      </c>
      <c r="M5" s="231"/>
      <c r="N5" s="231"/>
      <c r="O5" s="261"/>
      <c r="P5" s="231"/>
      <c r="Q5" s="231"/>
      <c r="R5" s="4">
        <v>-0.5</v>
      </c>
      <c r="S5" s="4">
        <v>-0.52</v>
      </c>
      <c r="T5" s="4" t="s">
        <v>249</v>
      </c>
      <c r="U5" s="67">
        <v>17</v>
      </c>
      <c r="V5" s="124">
        <v>41186</v>
      </c>
      <c r="W5" s="67">
        <v>-3.5</v>
      </c>
      <c r="X5" s="67">
        <v>3</v>
      </c>
      <c r="Y5" s="4">
        <v>137</v>
      </c>
      <c r="Z5" s="4">
        <v>30</v>
      </c>
      <c r="AA5" s="4">
        <v>11</v>
      </c>
      <c r="AB5" s="4">
        <v>615</v>
      </c>
      <c r="AC5" s="4">
        <v>24.04</v>
      </c>
      <c r="AD5" s="4">
        <v>11.8</v>
      </c>
      <c r="AE5" s="4">
        <v>4.21</v>
      </c>
      <c r="AF5" s="4">
        <v>3.71</v>
      </c>
      <c r="AG5" s="4">
        <v>44.7</v>
      </c>
      <c r="AH5" s="4">
        <v>22</v>
      </c>
      <c r="AI5" s="4">
        <v>46.62</v>
      </c>
      <c r="AJ5" s="4">
        <v>112</v>
      </c>
      <c r="AK5" s="4">
        <v>1</v>
      </c>
      <c r="AL5" s="4" t="b">
        <f t="shared" si="0"/>
        <v>1</v>
      </c>
      <c r="AN5" s="32">
        <v>41360</v>
      </c>
      <c r="AO5" s="60">
        <v>30</v>
      </c>
      <c r="AP5" s="67">
        <v>-0.5</v>
      </c>
      <c r="AQ5" s="67">
        <v>1.25</v>
      </c>
      <c r="AR5" s="4">
        <v>180</v>
      </c>
      <c r="AS5" s="4">
        <v>25</v>
      </c>
      <c r="AT5" s="4">
        <v>17</v>
      </c>
      <c r="AU5" s="4">
        <v>487</v>
      </c>
      <c r="AV5" s="4">
        <v>2347</v>
      </c>
      <c r="BC5" s="4">
        <f t="shared" si="1"/>
        <v>0.125</v>
      </c>
      <c r="BD5" s="4">
        <f t="shared" si="2"/>
        <v>0.64500000000000002</v>
      </c>
      <c r="BE5" s="4">
        <f t="shared" si="3"/>
        <v>-128</v>
      </c>
      <c r="BF5" s="3">
        <v>41549</v>
      </c>
      <c r="BG5" s="56">
        <v>25</v>
      </c>
      <c r="BH5" s="67">
        <v>-0.5</v>
      </c>
      <c r="BI5" s="67">
        <v>0.75</v>
      </c>
      <c r="BJ5" s="4">
        <v>155</v>
      </c>
      <c r="BK5" s="4">
        <v>20</v>
      </c>
      <c r="BL5" s="4">
        <v>20</v>
      </c>
      <c r="BM5" s="4">
        <v>486</v>
      </c>
      <c r="BN5" s="4">
        <v>2179</v>
      </c>
      <c r="BO5" s="4">
        <v>23.98</v>
      </c>
      <c r="BP5" s="4">
        <v>2.72</v>
      </c>
      <c r="BQ5" s="4">
        <v>44.58</v>
      </c>
      <c r="BR5" s="4">
        <v>1</v>
      </c>
      <c r="BS5" s="4">
        <v>45.36</v>
      </c>
      <c r="BT5" s="4">
        <v>91</v>
      </c>
      <c r="BU5" s="4">
        <f t="shared" si="131"/>
        <v>-0.125</v>
      </c>
      <c r="BV5" s="4">
        <f t="shared" si="4"/>
        <v>0.39500000000000002</v>
      </c>
      <c r="BW5" s="4">
        <f t="shared" si="5"/>
        <v>-129</v>
      </c>
      <c r="BX5" s="4">
        <f t="shared" si="6"/>
        <v>1</v>
      </c>
      <c r="BY5" s="4">
        <f t="shared" si="7"/>
        <v>1</v>
      </c>
      <c r="BZ5" s="4">
        <f t="shared" si="8"/>
        <v>-2</v>
      </c>
      <c r="CA5" s="4">
        <f t="shared" si="9"/>
        <v>0.125</v>
      </c>
      <c r="CB5" s="4">
        <f t="shared" si="10"/>
        <v>-0.125</v>
      </c>
      <c r="CC5" s="53">
        <f t="shared" si="11"/>
        <v>343</v>
      </c>
      <c r="CD5" s="55">
        <f t="shared" si="12"/>
        <v>11.433333333333334</v>
      </c>
      <c r="CE5" s="4">
        <f t="shared" si="13"/>
        <v>-0.25</v>
      </c>
      <c r="CF5" s="4" t="str">
        <f t="shared" si="14"/>
        <v/>
      </c>
      <c r="CG5" s="4">
        <f t="shared" si="15"/>
        <v>-0.68999999999999773</v>
      </c>
      <c r="CH5" s="4">
        <f t="shared" si="16"/>
        <v>-0.68999999999999773</v>
      </c>
      <c r="CI5" s="4">
        <f t="shared" si="17"/>
        <v>-2</v>
      </c>
      <c r="CJ5" s="4">
        <f t="shared" si="18"/>
        <v>-0.125</v>
      </c>
      <c r="CK5" s="93">
        <f t="shared" si="19"/>
        <v>0.39500000000000002</v>
      </c>
      <c r="CL5" s="83">
        <f t="shared" si="20"/>
        <v>-129</v>
      </c>
      <c r="CM5" s="4">
        <f t="shared" si="21"/>
        <v>-5.9999999999998721E-2</v>
      </c>
      <c r="CN5" s="96">
        <f t="shared" si="22"/>
        <v>-0.52</v>
      </c>
      <c r="CO5" s="96">
        <f t="shared" ref="CO5:CO32" si="132">IF(AND(OR(ISNUMBER(BK5),ISNUMBER(AS5)),ISNUMBER(Z5)),-LOG(20/Z5)--LOG(20/IF(ISNUMBER(BK5),BK5,AS5)),"")</f>
        <v>0.17609125905568127</v>
      </c>
      <c r="CP5" s="127">
        <f t="shared" si="23"/>
        <v>0.75</v>
      </c>
      <c r="CQ5" s="127">
        <f t="shared" si="24"/>
        <v>-2.25</v>
      </c>
      <c r="CR5" s="136">
        <f t="shared" si="25"/>
        <v>20</v>
      </c>
      <c r="CS5" s="136">
        <f t="shared" si="26"/>
        <v>30</v>
      </c>
      <c r="CT5" s="135">
        <f t="shared" si="27"/>
        <v>25</v>
      </c>
      <c r="CU5" s="139" t="str">
        <f t="shared" si="28"/>
        <v/>
      </c>
      <c r="CV5" s="96" t="str">
        <f t="shared" si="29"/>
        <v/>
      </c>
      <c r="CW5" s="141" t="str">
        <f t="shared" si="30"/>
        <v/>
      </c>
      <c r="EE5" s="96"/>
      <c r="EF5" s="96"/>
      <c r="EG5" s="96"/>
      <c r="EH5" s="96"/>
      <c r="EI5" s="96"/>
      <c r="EJ5" s="96"/>
      <c r="EK5" s="96"/>
      <c r="EL5" s="96"/>
      <c r="EM5" s="96"/>
      <c r="EN5" s="96"/>
      <c r="EO5" s="96"/>
      <c r="EP5" s="96"/>
      <c r="EQ5" s="96"/>
      <c r="ER5" s="96"/>
      <c r="ES5" s="115"/>
      <c r="ET5" s="108">
        <v>7.64</v>
      </c>
      <c r="EU5" s="4">
        <v>7.49</v>
      </c>
      <c r="EV5" s="4">
        <v>163.4</v>
      </c>
      <c r="EW5" s="4">
        <v>-0.9</v>
      </c>
      <c r="EX5" s="4">
        <v>0.64</v>
      </c>
      <c r="EY5" s="4">
        <v>0.67</v>
      </c>
      <c r="EZ5" s="4">
        <v>5.13</v>
      </c>
      <c r="FA5" s="4">
        <v>5.62</v>
      </c>
      <c r="FB5" s="4">
        <v>491</v>
      </c>
      <c r="FC5" s="4">
        <v>484</v>
      </c>
      <c r="FD5" s="4">
        <v>673</v>
      </c>
      <c r="FE5" s="4">
        <v>557</v>
      </c>
      <c r="FF5" s="4">
        <v>616</v>
      </c>
      <c r="FG5" s="4">
        <v>545</v>
      </c>
      <c r="FH5" s="4">
        <v>474</v>
      </c>
      <c r="FI5" s="4">
        <v>-1.1599999999999999</v>
      </c>
      <c r="FJ5" s="4">
        <v>-0.91</v>
      </c>
      <c r="FK5" s="4">
        <v>7.58</v>
      </c>
      <c r="FL5" s="4">
        <v>7.55</v>
      </c>
      <c r="FM5" s="4">
        <v>7.66</v>
      </c>
      <c r="FN5" s="4">
        <v>7.92</v>
      </c>
      <c r="FO5" s="4">
        <v>8.1199999999999992</v>
      </c>
      <c r="FP5" s="4">
        <v>8.35</v>
      </c>
      <c r="FQ5" s="4">
        <v>0</v>
      </c>
      <c r="FR5" s="4">
        <v>1.2</v>
      </c>
      <c r="FS5" s="4">
        <v>6.24</v>
      </c>
      <c r="FT5" s="4">
        <v>6</v>
      </c>
      <c r="FU5" s="4">
        <v>6.19</v>
      </c>
      <c r="FV5" s="4">
        <v>6.8</v>
      </c>
      <c r="FW5" s="4">
        <v>6.83</v>
      </c>
      <c r="FX5" s="4">
        <v>0</v>
      </c>
      <c r="FY5" s="4">
        <v>0</v>
      </c>
      <c r="FZ5" s="89">
        <v>1.2</v>
      </c>
      <c r="GP5" s="83">
        <v>7.62</v>
      </c>
      <c r="GQ5" s="4">
        <v>7.45</v>
      </c>
      <c r="GR5" s="4">
        <v>178.3</v>
      </c>
      <c r="GS5" s="4">
        <v>-1</v>
      </c>
      <c r="GT5" s="4">
        <v>0.67</v>
      </c>
      <c r="GU5" s="4">
        <v>0.73</v>
      </c>
      <c r="GV5" s="4">
        <v>4.83</v>
      </c>
      <c r="GW5" s="4">
        <v>5.31</v>
      </c>
      <c r="GX5" s="4">
        <v>489</v>
      </c>
      <c r="GY5" s="4">
        <v>486</v>
      </c>
      <c r="GZ5" s="4">
        <v>628</v>
      </c>
      <c r="HA5" s="4">
        <v>552</v>
      </c>
      <c r="HB5" s="4">
        <v>584</v>
      </c>
      <c r="HC5" s="4">
        <v>553</v>
      </c>
      <c r="HD5" s="4">
        <v>478</v>
      </c>
      <c r="HE5" s="4">
        <v>-1.01</v>
      </c>
      <c r="HF5" s="4">
        <v>-1.08</v>
      </c>
      <c r="HG5" s="4">
        <v>7.53</v>
      </c>
      <c r="HH5" s="4">
        <v>7.53</v>
      </c>
      <c r="HI5" s="4">
        <v>7.64</v>
      </c>
      <c r="HJ5" s="4">
        <v>7.94</v>
      </c>
      <c r="HK5" s="4">
        <v>8.23</v>
      </c>
      <c r="HL5" s="4">
        <v>8.43</v>
      </c>
      <c r="HM5" s="4">
        <v>0</v>
      </c>
      <c r="HN5" s="4">
        <v>1.2</v>
      </c>
      <c r="HO5" s="4">
        <v>6.29</v>
      </c>
      <c r="HP5" s="4">
        <v>6.14</v>
      </c>
      <c r="HQ5" s="4">
        <v>6.31</v>
      </c>
      <c r="HR5" s="4">
        <v>6.79</v>
      </c>
      <c r="HS5" s="4">
        <v>6.95</v>
      </c>
      <c r="HT5" s="4">
        <v>0</v>
      </c>
      <c r="HU5" s="4">
        <v>0</v>
      </c>
      <c r="HV5" s="93">
        <v>1.2</v>
      </c>
      <c r="IL5" s="83">
        <f t="shared" si="31"/>
        <v>7.62</v>
      </c>
      <c r="IM5" s="4">
        <f t="shared" si="32"/>
        <v>7.45</v>
      </c>
      <c r="IN5" s="4">
        <f t="shared" si="33"/>
        <v>178.3</v>
      </c>
      <c r="IO5" s="4">
        <f t="shared" si="34"/>
        <v>-1</v>
      </c>
      <c r="IP5" s="4">
        <f t="shared" si="35"/>
        <v>0.67</v>
      </c>
      <c r="IQ5" s="4">
        <f t="shared" si="36"/>
        <v>0.73</v>
      </c>
      <c r="IR5" s="4">
        <f t="shared" si="37"/>
        <v>4.83</v>
      </c>
      <c r="IS5" s="4">
        <f t="shared" si="38"/>
        <v>5.31</v>
      </c>
      <c r="IT5" s="4">
        <f t="shared" si="39"/>
        <v>489</v>
      </c>
      <c r="IU5" s="4">
        <f t="shared" si="40"/>
        <v>486</v>
      </c>
      <c r="IV5" s="4">
        <f t="shared" si="41"/>
        <v>628</v>
      </c>
      <c r="IW5" s="4">
        <f t="shared" si="42"/>
        <v>552</v>
      </c>
      <c r="IX5" s="4">
        <f t="shared" si="43"/>
        <v>584</v>
      </c>
      <c r="IY5" s="4">
        <f t="shared" si="44"/>
        <v>553</v>
      </c>
      <c r="IZ5" s="4">
        <f t="shared" si="45"/>
        <v>478</v>
      </c>
      <c r="JA5" s="4">
        <f t="shared" si="46"/>
        <v>-1.01</v>
      </c>
      <c r="JB5" s="4">
        <f t="shared" si="47"/>
        <v>-1.08</v>
      </c>
      <c r="JC5" s="4">
        <f t="shared" si="48"/>
        <v>7.53</v>
      </c>
      <c r="JD5" s="4">
        <f t="shared" si="49"/>
        <v>7.53</v>
      </c>
      <c r="JE5" s="4">
        <f t="shared" si="50"/>
        <v>7.64</v>
      </c>
      <c r="JF5" s="4">
        <f t="shared" si="51"/>
        <v>7.94</v>
      </c>
      <c r="JG5" s="4">
        <f t="shared" si="52"/>
        <v>8.23</v>
      </c>
      <c r="JH5" s="4">
        <f t="shared" si="53"/>
        <v>8.43</v>
      </c>
      <c r="JI5" s="4">
        <f t="shared" si="54"/>
        <v>0</v>
      </c>
      <c r="JJ5" s="4">
        <f t="shared" si="55"/>
        <v>1.2</v>
      </c>
      <c r="JK5" s="4">
        <f t="shared" si="56"/>
        <v>6.29</v>
      </c>
      <c r="JL5" s="4">
        <f t="shared" si="57"/>
        <v>6.14</v>
      </c>
      <c r="JM5" s="4">
        <f t="shared" si="58"/>
        <v>6.31</v>
      </c>
      <c r="JN5" s="4">
        <f t="shared" si="59"/>
        <v>6.79</v>
      </c>
      <c r="JO5" s="4">
        <f t="shared" si="60"/>
        <v>6.95</v>
      </c>
      <c r="JP5" s="4">
        <f t="shared" si="61"/>
        <v>0</v>
      </c>
      <c r="JQ5" s="117">
        <f t="shared" si="62"/>
        <v>0</v>
      </c>
      <c r="JR5" s="110">
        <f t="shared" si="63"/>
        <v>1.2</v>
      </c>
      <c r="JS5" s="110" t="str">
        <f t="shared" si="64"/>
        <v/>
      </c>
      <c r="JT5" s="110" t="str">
        <f t="shared" si="65"/>
        <v/>
      </c>
      <c r="JU5" s="110" t="str">
        <f t="shared" si="66"/>
        <v/>
      </c>
      <c r="JV5" s="110" t="str">
        <f t="shared" si="67"/>
        <v/>
      </c>
      <c r="JW5" s="110" t="str">
        <f t="shared" si="68"/>
        <v/>
      </c>
      <c r="JX5" s="110" t="str">
        <f t="shared" si="69"/>
        <v/>
      </c>
      <c r="JY5" s="110" t="str">
        <f t="shared" si="70"/>
        <v/>
      </c>
      <c r="JZ5" s="110" t="str">
        <f t="shared" si="71"/>
        <v/>
      </c>
      <c r="KA5" s="110" t="str">
        <f t="shared" si="72"/>
        <v/>
      </c>
      <c r="KB5" s="110" t="str">
        <f t="shared" si="73"/>
        <v/>
      </c>
      <c r="KC5" s="110" t="str">
        <f t="shared" si="74"/>
        <v/>
      </c>
      <c r="KD5" s="110" t="str">
        <f t="shared" si="75"/>
        <v/>
      </c>
      <c r="KE5" s="110" t="str">
        <f t="shared" si="76"/>
        <v/>
      </c>
      <c r="KF5" s="110" t="str">
        <f t="shared" si="77"/>
        <v/>
      </c>
      <c r="KG5" s="121" t="str">
        <f t="shared" si="78"/>
        <v/>
      </c>
      <c r="KH5" s="83" t="str">
        <f t="shared" si="79"/>
        <v/>
      </c>
      <c r="KI5" s="4" t="str">
        <f t="shared" si="80"/>
        <v/>
      </c>
      <c r="KJ5" s="4" t="str">
        <f t="shared" si="81"/>
        <v/>
      </c>
      <c r="KK5" s="4" t="str">
        <f t="shared" si="82"/>
        <v/>
      </c>
      <c r="KL5" s="4" t="str">
        <f t="shared" si="83"/>
        <v/>
      </c>
      <c r="KM5" s="4" t="str">
        <f t="shared" si="84"/>
        <v/>
      </c>
      <c r="KN5" s="4" t="str">
        <f t="shared" si="85"/>
        <v/>
      </c>
      <c r="KO5" s="4" t="str">
        <f t="shared" si="86"/>
        <v/>
      </c>
      <c r="KP5" s="4" t="str">
        <f t="shared" si="87"/>
        <v/>
      </c>
      <c r="KQ5" s="4" t="str">
        <f t="shared" si="88"/>
        <v/>
      </c>
      <c r="KR5" s="4" t="str">
        <f t="shared" si="89"/>
        <v/>
      </c>
      <c r="KS5" s="4" t="str">
        <f t="shared" si="90"/>
        <v/>
      </c>
      <c r="KT5" s="4" t="str">
        <f t="shared" si="91"/>
        <v/>
      </c>
      <c r="KU5" s="4" t="str">
        <f t="shared" si="92"/>
        <v/>
      </c>
      <c r="KV5" s="4" t="str">
        <f t="shared" si="93"/>
        <v/>
      </c>
      <c r="KW5" s="4" t="str">
        <f t="shared" si="94"/>
        <v/>
      </c>
      <c r="KX5" s="4" t="str">
        <f t="shared" si="95"/>
        <v/>
      </c>
      <c r="KY5" s="4" t="str">
        <f t="shared" si="96"/>
        <v/>
      </c>
      <c r="KZ5" s="4" t="str">
        <f t="shared" si="97"/>
        <v/>
      </c>
      <c r="LA5" s="4" t="str">
        <f t="shared" si="98"/>
        <v/>
      </c>
      <c r="LB5" s="4" t="str">
        <f t="shared" si="99"/>
        <v/>
      </c>
      <c r="LC5" s="4" t="str">
        <f t="shared" si="100"/>
        <v/>
      </c>
      <c r="LD5" s="4" t="str">
        <f t="shared" si="101"/>
        <v/>
      </c>
      <c r="LE5" s="4" t="str">
        <f t="shared" si="102"/>
        <v/>
      </c>
      <c r="LF5" s="4" t="str">
        <f t="shared" si="103"/>
        <v/>
      </c>
      <c r="LG5" s="4" t="str">
        <f t="shared" si="104"/>
        <v/>
      </c>
      <c r="LH5" s="4" t="str">
        <f t="shared" si="105"/>
        <v/>
      </c>
      <c r="LI5" s="4" t="str">
        <f t="shared" si="106"/>
        <v/>
      </c>
      <c r="LJ5" s="4" t="str">
        <f t="shared" si="107"/>
        <v/>
      </c>
      <c r="LK5" s="4" t="str">
        <f t="shared" si="108"/>
        <v/>
      </c>
      <c r="LL5" s="4" t="str">
        <f t="shared" si="109"/>
        <v/>
      </c>
      <c r="LM5" s="4" t="str">
        <f t="shared" si="110"/>
        <v/>
      </c>
      <c r="LN5" s="4" t="str">
        <f t="shared" si="111"/>
        <v/>
      </c>
      <c r="LO5" s="4" t="str">
        <f t="shared" si="112"/>
        <v/>
      </c>
      <c r="LP5" s="4" t="str">
        <f t="shared" si="113"/>
        <v/>
      </c>
      <c r="LQ5" s="4" t="str">
        <f t="shared" si="114"/>
        <v/>
      </c>
      <c r="LR5" s="4" t="str">
        <f t="shared" si="115"/>
        <v/>
      </c>
      <c r="LS5" s="4" t="str">
        <f t="shared" si="116"/>
        <v/>
      </c>
      <c r="LT5" s="4" t="str">
        <f t="shared" si="117"/>
        <v/>
      </c>
      <c r="LU5" s="4" t="str">
        <f t="shared" si="118"/>
        <v/>
      </c>
      <c r="LV5" s="4" t="str">
        <f t="shared" si="119"/>
        <v/>
      </c>
      <c r="LW5" s="4" t="str">
        <f t="shared" si="120"/>
        <v/>
      </c>
      <c r="LX5" s="4" t="str">
        <f t="shared" si="121"/>
        <v/>
      </c>
      <c r="LY5" s="4" t="str">
        <f t="shared" si="122"/>
        <v/>
      </c>
      <c r="LZ5" s="4" t="str">
        <f t="shared" si="123"/>
        <v/>
      </c>
      <c r="MA5" s="4" t="str">
        <f t="shared" si="124"/>
        <v/>
      </c>
      <c r="MB5" s="4" t="str">
        <f t="shared" si="125"/>
        <v/>
      </c>
      <c r="MC5" s="4" t="str">
        <f t="shared" si="126"/>
        <v/>
      </c>
      <c r="MD5" s="4" t="str">
        <f t="shared" si="127"/>
        <v/>
      </c>
      <c r="ME5" s="4" t="str">
        <f t="shared" si="128"/>
        <v/>
      </c>
      <c r="MF5" s="4" t="str">
        <f t="shared" si="129"/>
        <v/>
      </c>
      <c r="MG5" s="4">
        <f t="shared" si="130"/>
        <v>0</v>
      </c>
    </row>
    <row r="6" spans="1:345" ht="26.25" customHeight="1" thickBot="1" x14ac:dyDescent="0.25">
      <c r="A6" s="35">
        <v>41234</v>
      </c>
      <c r="B6" s="36" t="s">
        <v>217</v>
      </c>
      <c r="C6" s="36" t="s">
        <v>12</v>
      </c>
      <c r="D6" s="31" t="s">
        <v>110</v>
      </c>
      <c r="E6" s="4">
        <v>53</v>
      </c>
      <c r="F6" s="3">
        <v>21519</v>
      </c>
      <c r="G6" s="4" t="s">
        <v>243</v>
      </c>
      <c r="H6" s="4" t="s">
        <v>108</v>
      </c>
      <c r="I6" s="4">
        <v>1824933</v>
      </c>
      <c r="J6" s="2" t="s">
        <v>309</v>
      </c>
      <c r="K6" s="230"/>
      <c r="L6" s="231">
        <v>1</v>
      </c>
      <c r="M6" s="231"/>
      <c r="N6" s="231"/>
      <c r="O6" s="261"/>
      <c r="P6" s="231"/>
      <c r="Q6" s="231"/>
      <c r="R6" s="4">
        <v>-0.5</v>
      </c>
      <c r="S6" s="4">
        <v>-0.47</v>
      </c>
      <c r="T6" s="4" t="s">
        <v>249</v>
      </c>
      <c r="U6" s="67">
        <v>19.25</v>
      </c>
      <c r="V6" s="124">
        <v>41186</v>
      </c>
      <c r="W6" s="67">
        <v>-1</v>
      </c>
      <c r="X6" s="67">
        <v>0.5</v>
      </c>
      <c r="Y6" s="4">
        <v>44</v>
      </c>
      <c r="Z6" s="4">
        <v>30</v>
      </c>
      <c r="AA6" s="4">
        <v>12</v>
      </c>
      <c r="AB6" s="4">
        <v>618</v>
      </c>
      <c r="AC6" s="4">
        <v>23.4</v>
      </c>
      <c r="AD6" s="4">
        <v>11.7</v>
      </c>
      <c r="AE6" s="4">
        <v>4.8499999999999996</v>
      </c>
      <c r="AF6" s="4">
        <v>3.09</v>
      </c>
      <c r="AG6" s="4">
        <v>45.06</v>
      </c>
      <c r="AH6" s="4">
        <v>158</v>
      </c>
      <c r="AI6" s="4">
        <v>46.04</v>
      </c>
      <c r="AJ6" s="4">
        <v>68</v>
      </c>
      <c r="AK6" s="4">
        <v>0</v>
      </c>
      <c r="AL6" s="4" t="b">
        <f t="shared" si="0"/>
        <v>0</v>
      </c>
      <c r="AN6" s="4" t="s">
        <v>78</v>
      </c>
      <c r="AO6" s="59" t="s">
        <v>282</v>
      </c>
      <c r="BC6" s="4" t="str">
        <f t="shared" si="1"/>
        <v/>
      </c>
      <c r="BD6" s="4" t="str">
        <f t="shared" si="2"/>
        <v/>
      </c>
      <c r="BE6" s="4" t="str">
        <f t="shared" si="3"/>
        <v/>
      </c>
      <c r="BF6" s="3">
        <v>41549</v>
      </c>
      <c r="BG6" s="56">
        <v>30</v>
      </c>
      <c r="BH6" s="67">
        <v>-0.25</v>
      </c>
      <c r="BI6" s="67">
        <v>1</v>
      </c>
      <c r="BJ6" s="4">
        <v>145</v>
      </c>
      <c r="BK6" s="4">
        <v>25</v>
      </c>
      <c r="BL6" s="4">
        <v>18</v>
      </c>
      <c r="BM6" s="4">
        <v>482</v>
      </c>
      <c r="BN6" s="4">
        <v>1642</v>
      </c>
      <c r="BO6" s="4">
        <v>27.31</v>
      </c>
      <c r="BP6" s="4">
        <v>2.66</v>
      </c>
      <c r="BQ6" s="4">
        <v>44.41</v>
      </c>
      <c r="BR6" s="4">
        <v>17</v>
      </c>
      <c r="BS6" s="4">
        <v>45.98</v>
      </c>
      <c r="BT6" s="4">
        <v>107</v>
      </c>
      <c r="BU6" s="4">
        <f t="shared" si="131"/>
        <v>0.25</v>
      </c>
      <c r="BV6" s="4">
        <f t="shared" si="4"/>
        <v>0.72</v>
      </c>
      <c r="BW6" s="4">
        <f t="shared" si="5"/>
        <v>-136</v>
      </c>
      <c r="BX6" s="4">
        <f t="shared" si="6"/>
        <v>1</v>
      </c>
      <c r="BY6" s="4">
        <f t="shared" si="7"/>
        <v>0</v>
      </c>
      <c r="BZ6" s="4" t="str">
        <f t="shared" si="8"/>
        <v/>
      </c>
      <c r="CA6" s="4" t="str">
        <f t="shared" si="9"/>
        <v/>
      </c>
      <c r="CB6" s="4" t="str">
        <f t="shared" si="10"/>
        <v/>
      </c>
      <c r="CC6" s="53">
        <f t="shared" si="11"/>
        <v>315</v>
      </c>
      <c r="CD6" s="55">
        <f t="shared" si="12"/>
        <v>10.5</v>
      </c>
      <c r="CE6" s="4" t="str">
        <f t="shared" si="13"/>
        <v/>
      </c>
      <c r="CF6" s="4" t="str">
        <f t="shared" si="14"/>
        <v/>
      </c>
      <c r="CG6" s="4">
        <f t="shared" si="15"/>
        <v>-0.35500000000000398</v>
      </c>
      <c r="CH6" s="4">
        <f t="shared" si="16"/>
        <v>-0.35500000000000398</v>
      </c>
      <c r="CI6" s="4">
        <f t="shared" si="17"/>
        <v>-0.75</v>
      </c>
      <c r="CJ6" s="4">
        <f t="shared" si="18"/>
        <v>0.25</v>
      </c>
      <c r="CK6" s="93">
        <f t="shared" si="19"/>
        <v>0.72</v>
      </c>
      <c r="CL6" s="83">
        <f t="shared" si="20"/>
        <v>-136</v>
      </c>
      <c r="CM6" s="2">
        <f t="shared" si="21"/>
        <v>3.91</v>
      </c>
      <c r="CN6" s="96">
        <f t="shared" si="22"/>
        <v>-0.47</v>
      </c>
      <c r="CO6" s="96">
        <f t="shared" si="132"/>
        <v>7.9181246047624873E-2</v>
      </c>
      <c r="CP6" s="127">
        <f t="shared" si="23"/>
        <v>1</v>
      </c>
      <c r="CQ6" s="127">
        <f t="shared" si="24"/>
        <v>0.5</v>
      </c>
      <c r="CR6" s="136">
        <f t="shared" si="25"/>
        <v>25</v>
      </c>
      <c r="CS6" s="136">
        <f t="shared" si="26"/>
        <v>30</v>
      </c>
      <c r="CT6" s="135">
        <f t="shared" si="27"/>
        <v>30</v>
      </c>
      <c r="CU6" s="139" t="str">
        <f t="shared" si="28"/>
        <v/>
      </c>
      <c r="CV6" s="96" t="str">
        <f t="shared" si="29"/>
        <v/>
      </c>
      <c r="CW6" s="141" t="str">
        <f t="shared" si="30"/>
        <v/>
      </c>
      <c r="IL6" s="83" t="str">
        <f t="shared" si="31"/>
        <v/>
      </c>
      <c r="IM6" s="4" t="str">
        <f t="shared" si="32"/>
        <v/>
      </c>
      <c r="IN6" s="4" t="str">
        <f t="shared" si="33"/>
        <v/>
      </c>
      <c r="IO6" s="4" t="str">
        <f t="shared" si="34"/>
        <v/>
      </c>
      <c r="IP6" s="4" t="str">
        <f t="shared" si="35"/>
        <v/>
      </c>
      <c r="IQ6" s="4" t="str">
        <f t="shared" si="36"/>
        <v/>
      </c>
      <c r="IR6" s="4" t="str">
        <f t="shared" si="37"/>
        <v/>
      </c>
      <c r="IS6" s="4" t="str">
        <f t="shared" si="38"/>
        <v/>
      </c>
      <c r="IT6" s="4" t="str">
        <f t="shared" si="39"/>
        <v/>
      </c>
      <c r="IU6" s="4" t="str">
        <f t="shared" si="40"/>
        <v/>
      </c>
      <c r="IV6" s="4" t="str">
        <f t="shared" si="41"/>
        <v/>
      </c>
      <c r="IW6" s="4" t="str">
        <f t="shared" si="42"/>
        <v/>
      </c>
      <c r="IX6" s="4" t="str">
        <f t="shared" si="43"/>
        <v/>
      </c>
      <c r="IY6" s="4" t="str">
        <f t="shared" si="44"/>
        <v/>
      </c>
      <c r="IZ6" s="4" t="str">
        <f t="shared" si="45"/>
        <v/>
      </c>
      <c r="JA6" s="4" t="str">
        <f t="shared" si="46"/>
        <v/>
      </c>
      <c r="JB6" s="4" t="str">
        <f t="shared" si="47"/>
        <v/>
      </c>
      <c r="JC6" s="4" t="str">
        <f t="shared" si="48"/>
        <v/>
      </c>
      <c r="JD6" s="4" t="str">
        <f t="shared" si="49"/>
        <v/>
      </c>
      <c r="JE6" s="4" t="str">
        <f t="shared" si="50"/>
        <v/>
      </c>
      <c r="JF6" s="4" t="str">
        <f t="shared" si="51"/>
        <v/>
      </c>
      <c r="JG6" s="4" t="str">
        <f t="shared" si="52"/>
        <v/>
      </c>
      <c r="JH6" s="4" t="str">
        <f t="shared" si="53"/>
        <v/>
      </c>
      <c r="JI6" s="4" t="str">
        <f t="shared" si="54"/>
        <v/>
      </c>
      <c r="JJ6" s="4" t="str">
        <f t="shared" si="55"/>
        <v/>
      </c>
      <c r="JK6" s="4" t="str">
        <f t="shared" si="56"/>
        <v/>
      </c>
      <c r="JL6" s="4" t="str">
        <f t="shared" si="57"/>
        <v/>
      </c>
      <c r="JM6" s="4" t="str">
        <f t="shared" si="58"/>
        <v/>
      </c>
      <c r="JN6" s="4" t="str">
        <f t="shared" si="59"/>
        <v/>
      </c>
      <c r="JO6" s="4" t="str">
        <f t="shared" si="60"/>
        <v/>
      </c>
      <c r="JP6" s="4" t="str">
        <f t="shared" si="61"/>
        <v/>
      </c>
      <c r="JQ6" s="117" t="str">
        <f t="shared" si="62"/>
        <v/>
      </c>
      <c r="JR6" s="110" t="str">
        <f t="shared" si="63"/>
        <v/>
      </c>
      <c r="JS6" s="110" t="str">
        <f t="shared" si="64"/>
        <v/>
      </c>
      <c r="JT6" s="110" t="str">
        <f t="shared" si="65"/>
        <v/>
      </c>
      <c r="JU6" s="110" t="str">
        <f t="shared" si="66"/>
        <v/>
      </c>
      <c r="JV6" s="110" t="str">
        <f t="shared" si="67"/>
        <v/>
      </c>
      <c r="JW6" s="110" t="str">
        <f t="shared" si="68"/>
        <v/>
      </c>
      <c r="JX6" s="110" t="str">
        <f t="shared" si="69"/>
        <v/>
      </c>
      <c r="JY6" s="110" t="str">
        <f t="shared" si="70"/>
        <v/>
      </c>
      <c r="JZ6" s="110" t="str">
        <f t="shared" si="71"/>
        <v/>
      </c>
      <c r="KA6" s="110" t="str">
        <f t="shared" si="72"/>
        <v/>
      </c>
      <c r="KB6" s="110" t="str">
        <f t="shared" si="73"/>
        <v/>
      </c>
      <c r="KC6" s="110" t="str">
        <f t="shared" si="74"/>
        <v/>
      </c>
      <c r="KD6" s="110" t="str">
        <f t="shared" si="75"/>
        <v/>
      </c>
      <c r="KE6" s="110" t="str">
        <f t="shared" si="76"/>
        <v/>
      </c>
      <c r="KF6" s="110" t="str">
        <f t="shared" si="77"/>
        <v/>
      </c>
      <c r="KG6" s="121" t="str">
        <f t="shared" si="78"/>
        <v/>
      </c>
      <c r="KH6" s="83" t="str">
        <f t="shared" si="79"/>
        <v/>
      </c>
      <c r="KI6" s="4" t="str">
        <f t="shared" si="80"/>
        <v/>
      </c>
      <c r="KJ6" s="4" t="str">
        <f t="shared" si="81"/>
        <v/>
      </c>
      <c r="KK6" s="4" t="str">
        <f t="shared" si="82"/>
        <v/>
      </c>
      <c r="KL6" s="4" t="str">
        <f t="shared" si="83"/>
        <v/>
      </c>
      <c r="KM6" s="4" t="str">
        <f t="shared" si="84"/>
        <v/>
      </c>
      <c r="KN6" s="4" t="str">
        <f t="shared" si="85"/>
        <v/>
      </c>
      <c r="KO6" s="4" t="str">
        <f t="shared" si="86"/>
        <v/>
      </c>
      <c r="KP6" s="4" t="str">
        <f t="shared" si="87"/>
        <v/>
      </c>
      <c r="KQ6" s="4" t="str">
        <f t="shared" si="88"/>
        <v/>
      </c>
      <c r="KR6" s="4" t="str">
        <f t="shared" si="89"/>
        <v/>
      </c>
      <c r="KS6" s="4" t="str">
        <f t="shared" si="90"/>
        <v/>
      </c>
      <c r="KT6" s="4" t="str">
        <f t="shared" si="91"/>
        <v/>
      </c>
      <c r="KU6" s="4" t="str">
        <f t="shared" si="92"/>
        <v/>
      </c>
      <c r="KV6" s="4" t="str">
        <f t="shared" si="93"/>
        <v/>
      </c>
      <c r="KW6" s="4" t="str">
        <f t="shared" si="94"/>
        <v/>
      </c>
      <c r="KX6" s="4" t="str">
        <f t="shared" si="95"/>
        <v/>
      </c>
      <c r="KY6" s="4" t="str">
        <f t="shared" si="96"/>
        <v/>
      </c>
      <c r="KZ6" s="4" t="str">
        <f t="shared" si="97"/>
        <v/>
      </c>
      <c r="LA6" s="4" t="str">
        <f t="shared" si="98"/>
        <v/>
      </c>
      <c r="LB6" s="4" t="str">
        <f t="shared" si="99"/>
        <v/>
      </c>
      <c r="LC6" s="4" t="str">
        <f t="shared" si="100"/>
        <v/>
      </c>
      <c r="LD6" s="4" t="str">
        <f t="shared" si="101"/>
        <v/>
      </c>
      <c r="LE6" s="4" t="str">
        <f t="shared" si="102"/>
        <v/>
      </c>
      <c r="LF6" s="4" t="str">
        <f t="shared" si="103"/>
        <v/>
      </c>
      <c r="LG6" s="4" t="str">
        <f t="shared" si="104"/>
        <v/>
      </c>
      <c r="LH6" s="4" t="str">
        <f t="shared" si="105"/>
        <v/>
      </c>
      <c r="LI6" s="4" t="str">
        <f t="shared" si="106"/>
        <v/>
      </c>
      <c r="LJ6" s="4" t="str">
        <f t="shared" si="107"/>
        <v/>
      </c>
      <c r="LK6" s="4" t="str">
        <f t="shared" si="108"/>
        <v/>
      </c>
      <c r="LL6" s="4" t="str">
        <f t="shared" si="109"/>
        <v/>
      </c>
      <c r="LM6" s="4" t="str">
        <f t="shared" si="110"/>
        <v/>
      </c>
      <c r="LN6" s="4" t="str">
        <f t="shared" si="111"/>
        <v/>
      </c>
      <c r="LO6" s="4" t="str">
        <f t="shared" si="112"/>
        <v/>
      </c>
      <c r="LP6" s="4" t="str">
        <f t="shared" si="113"/>
        <v/>
      </c>
      <c r="LQ6" s="4" t="str">
        <f t="shared" si="114"/>
        <v/>
      </c>
      <c r="LR6" s="4" t="str">
        <f t="shared" si="115"/>
        <v/>
      </c>
      <c r="LS6" s="4" t="str">
        <f t="shared" si="116"/>
        <v/>
      </c>
      <c r="LT6" s="4" t="str">
        <f t="shared" si="117"/>
        <v/>
      </c>
      <c r="LU6" s="4" t="str">
        <f t="shared" si="118"/>
        <v/>
      </c>
      <c r="LV6" s="4" t="str">
        <f t="shared" si="119"/>
        <v/>
      </c>
      <c r="LW6" s="4" t="str">
        <f t="shared" si="120"/>
        <v/>
      </c>
      <c r="LX6" s="4" t="str">
        <f t="shared" si="121"/>
        <v/>
      </c>
      <c r="LY6" s="4" t="str">
        <f t="shared" si="122"/>
        <v/>
      </c>
      <c r="LZ6" s="4" t="str">
        <f t="shared" si="123"/>
        <v/>
      </c>
      <c r="MA6" s="4" t="str">
        <f t="shared" si="124"/>
        <v/>
      </c>
      <c r="MB6" s="4" t="str">
        <f t="shared" si="125"/>
        <v/>
      </c>
      <c r="MC6" s="4" t="str">
        <f t="shared" si="126"/>
        <v/>
      </c>
      <c r="MD6" s="4" t="str">
        <f t="shared" si="127"/>
        <v/>
      </c>
      <c r="ME6" s="4" t="str">
        <f t="shared" si="128"/>
        <v/>
      </c>
      <c r="MF6" s="4" t="str">
        <f t="shared" si="129"/>
        <v/>
      </c>
      <c r="MG6" s="4">
        <f t="shared" si="130"/>
        <v>0</v>
      </c>
    </row>
    <row r="7" spans="1:345" ht="26.25" customHeight="1" thickBot="1" x14ac:dyDescent="0.25">
      <c r="A7" s="35">
        <v>41199</v>
      </c>
      <c r="B7" s="36" t="s">
        <v>151</v>
      </c>
      <c r="C7" s="36" t="s">
        <v>11</v>
      </c>
      <c r="D7" s="31" t="s">
        <v>110</v>
      </c>
      <c r="E7" s="4">
        <v>63</v>
      </c>
      <c r="F7" s="3">
        <v>18043</v>
      </c>
      <c r="G7" s="4" t="s">
        <v>87</v>
      </c>
      <c r="H7" s="4" t="s">
        <v>108</v>
      </c>
      <c r="I7" s="4">
        <v>1827255</v>
      </c>
      <c r="J7" s="2" t="s">
        <v>309</v>
      </c>
      <c r="K7" s="230"/>
      <c r="L7" s="231">
        <v>1</v>
      </c>
      <c r="M7" s="231"/>
      <c r="N7" s="231"/>
      <c r="O7" s="261"/>
      <c r="P7" s="231"/>
      <c r="Q7" s="231"/>
      <c r="R7" s="33">
        <v>-0.5</v>
      </c>
      <c r="S7" s="4">
        <v>-0.87</v>
      </c>
      <c r="T7" s="4" t="s">
        <v>249</v>
      </c>
      <c r="U7" s="67">
        <v>24.5</v>
      </c>
      <c r="V7" s="124">
        <v>41151</v>
      </c>
      <c r="W7" s="67">
        <v>0.5</v>
      </c>
      <c r="X7" s="67">
        <v>1.5</v>
      </c>
      <c r="Y7" s="4">
        <v>90</v>
      </c>
      <c r="Z7" s="4">
        <v>40</v>
      </c>
      <c r="AA7" s="4">
        <v>12</v>
      </c>
      <c r="AB7" s="4">
        <v>661</v>
      </c>
      <c r="AC7" s="4">
        <v>23.08</v>
      </c>
      <c r="AD7" s="4">
        <v>12.1</v>
      </c>
      <c r="AE7" s="4">
        <v>5.05</v>
      </c>
      <c r="AF7" s="4">
        <v>2.97</v>
      </c>
      <c r="AG7" s="4">
        <v>41.46</v>
      </c>
      <c r="AH7" s="4">
        <v>8</v>
      </c>
      <c r="AI7" s="4">
        <v>42.94</v>
      </c>
      <c r="AJ7" s="4">
        <v>98</v>
      </c>
      <c r="AK7" s="4">
        <v>0</v>
      </c>
      <c r="AL7" s="4" t="b">
        <f t="shared" si="0"/>
        <v>0</v>
      </c>
      <c r="AN7" s="3">
        <v>41318</v>
      </c>
      <c r="AO7" s="56">
        <v>40</v>
      </c>
      <c r="AP7" s="67">
        <v>-0.25</v>
      </c>
      <c r="AQ7" s="67">
        <v>1.5</v>
      </c>
      <c r="AR7" s="4">
        <v>165</v>
      </c>
      <c r="AS7" s="4">
        <v>30</v>
      </c>
      <c r="AT7" s="4">
        <v>10</v>
      </c>
      <c r="AU7" s="4">
        <v>464</v>
      </c>
      <c r="AV7" s="4">
        <v>2000</v>
      </c>
      <c r="BC7" s="4">
        <f t="shared" si="1"/>
        <v>0.5</v>
      </c>
      <c r="BD7" s="4">
        <f t="shared" si="2"/>
        <v>1.37</v>
      </c>
      <c r="BE7" s="4">
        <f t="shared" si="3"/>
        <v>-197</v>
      </c>
      <c r="BF7" s="3">
        <v>41562</v>
      </c>
      <c r="BH7" s="67">
        <v>-1</v>
      </c>
      <c r="BI7" s="67">
        <v>1</v>
      </c>
      <c r="BJ7" s="4">
        <v>90</v>
      </c>
      <c r="BK7" s="4">
        <v>20</v>
      </c>
      <c r="BL7" s="4">
        <v>10</v>
      </c>
      <c r="BM7" s="4">
        <v>484</v>
      </c>
      <c r="BN7" s="4">
        <v>1761</v>
      </c>
      <c r="BO7" s="4" t="s">
        <v>282</v>
      </c>
      <c r="BP7" s="4" t="s">
        <v>282</v>
      </c>
      <c r="BQ7" s="4">
        <v>40.369999999999997</v>
      </c>
      <c r="BR7" s="4">
        <v>165</v>
      </c>
      <c r="BS7" s="4">
        <v>43.77</v>
      </c>
      <c r="BT7" s="4">
        <v>75</v>
      </c>
      <c r="BU7" s="4">
        <f t="shared" si="131"/>
        <v>-0.5</v>
      </c>
      <c r="BV7" s="4">
        <f t="shared" si="4"/>
        <v>0.37</v>
      </c>
      <c r="BW7" s="4">
        <f t="shared" si="5"/>
        <v>-177</v>
      </c>
      <c r="BX7" s="4">
        <f t="shared" si="6"/>
        <v>1</v>
      </c>
      <c r="BY7" s="4">
        <f t="shared" si="7"/>
        <v>1</v>
      </c>
      <c r="BZ7" s="4">
        <f t="shared" si="8"/>
        <v>1.25</v>
      </c>
      <c r="CA7" s="4">
        <f t="shared" si="9"/>
        <v>0.5</v>
      </c>
      <c r="CB7" s="4">
        <f t="shared" si="10"/>
        <v>-0.5</v>
      </c>
      <c r="CC7" s="53">
        <f t="shared" si="11"/>
        <v>363</v>
      </c>
      <c r="CD7" s="55">
        <f t="shared" si="12"/>
        <v>12.1</v>
      </c>
      <c r="CE7" s="4">
        <f t="shared" si="13"/>
        <v>-1</v>
      </c>
      <c r="CF7" s="4" t="str">
        <f t="shared" si="14"/>
        <v/>
      </c>
      <c r="CG7" s="4">
        <f t="shared" si="15"/>
        <v>-0.13000000000000256</v>
      </c>
      <c r="CH7" s="4">
        <f t="shared" si="16"/>
        <v>-0.13000000000000256</v>
      </c>
      <c r="CI7" s="4">
        <f t="shared" si="17"/>
        <v>1.25</v>
      </c>
      <c r="CJ7" s="4">
        <f t="shared" si="18"/>
        <v>-0.5</v>
      </c>
      <c r="CK7" s="93">
        <f t="shared" si="19"/>
        <v>0.37</v>
      </c>
      <c r="CL7" s="83">
        <f t="shared" si="20"/>
        <v>-177</v>
      </c>
      <c r="CM7" s="4" t="str">
        <f t="shared" si="21"/>
        <v/>
      </c>
      <c r="CN7" s="96">
        <f t="shared" si="22"/>
        <v>-0.87</v>
      </c>
      <c r="CO7" s="96">
        <f t="shared" si="132"/>
        <v>0.3010299956639812</v>
      </c>
      <c r="CP7" s="127">
        <f t="shared" si="23"/>
        <v>1</v>
      </c>
      <c r="CQ7" s="127">
        <f t="shared" si="24"/>
        <v>-0.5</v>
      </c>
      <c r="CR7" s="136">
        <f t="shared" si="25"/>
        <v>20</v>
      </c>
      <c r="CS7" s="136">
        <f t="shared" si="26"/>
        <v>40</v>
      </c>
      <c r="CT7" s="135">
        <f t="shared" si="27"/>
        <v>40</v>
      </c>
      <c r="CU7" s="139" t="str">
        <f t="shared" si="28"/>
        <v/>
      </c>
      <c r="CV7" s="96" t="str">
        <f t="shared" si="29"/>
        <v/>
      </c>
      <c r="CW7" s="141" t="str">
        <f t="shared" si="30"/>
        <v/>
      </c>
      <c r="IL7" s="83" t="str">
        <f t="shared" si="31"/>
        <v/>
      </c>
      <c r="IM7" s="4" t="str">
        <f t="shared" si="32"/>
        <v/>
      </c>
      <c r="IN7" s="4" t="str">
        <f t="shared" si="33"/>
        <v/>
      </c>
      <c r="IO7" s="4" t="str">
        <f t="shared" si="34"/>
        <v/>
      </c>
      <c r="IP7" s="4" t="str">
        <f t="shared" si="35"/>
        <v/>
      </c>
      <c r="IQ7" s="4" t="str">
        <f t="shared" si="36"/>
        <v/>
      </c>
      <c r="IR7" s="4" t="str">
        <f t="shared" si="37"/>
        <v/>
      </c>
      <c r="IS7" s="4" t="str">
        <f t="shared" si="38"/>
        <v/>
      </c>
      <c r="IT7" s="4" t="str">
        <f t="shared" si="39"/>
        <v/>
      </c>
      <c r="IU7" s="4" t="str">
        <f t="shared" si="40"/>
        <v/>
      </c>
      <c r="IV7" s="4" t="str">
        <f t="shared" si="41"/>
        <v/>
      </c>
      <c r="IW7" s="4" t="str">
        <f t="shared" si="42"/>
        <v/>
      </c>
      <c r="IX7" s="4" t="str">
        <f t="shared" si="43"/>
        <v/>
      </c>
      <c r="IY7" s="4" t="str">
        <f t="shared" si="44"/>
        <v/>
      </c>
      <c r="IZ7" s="4" t="str">
        <f t="shared" si="45"/>
        <v/>
      </c>
      <c r="JA7" s="4" t="str">
        <f t="shared" si="46"/>
        <v/>
      </c>
      <c r="JB7" s="4" t="str">
        <f t="shared" si="47"/>
        <v/>
      </c>
      <c r="JC7" s="4" t="str">
        <f t="shared" si="48"/>
        <v/>
      </c>
      <c r="JD7" s="4" t="str">
        <f t="shared" si="49"/>
        <v/>
      </c>
      <c r="JE7" s="4" t="str">
        <f t="shared" si="50"/>
        <v/>
      </c>
      <c r="JF7" s="4" t="str">
        <f t="shared" si="51"/>
        <v/>
      </c>
      <c r="JG7" s="4" t="str">
        <f t="shared" si="52"/>
        <v/>
      </c>
      <c r="JH7" s="4" t="str">
        <f t="shared" si="53"/>
        <v/>
      </c>
      <c r="JI7" s="4" t="str">
        <f t="shared" si="54"/>
        <v/>
      </c>
      <c r="JJ7" s="4" t="str">
        <f t="shared" si="55"/>
        <v/>
      </c>
      <c r="JK7" s="4" t="str">
        <f t="shared" si="56"/>
        <v/>
      </c>
      <c r="JL7" s="4" t="str">
        <f t="shared" si="57"/>
        <v/>
      </c>
      <c r="JM7" s="4" t="str">
        <f t="shared" si="58"/>
        <v/>
      </c>
      <c r="JN7" s="4" t="str">
        <f t="shared" si="59"/>
        <v/>
      </c>
      <c r="JO7" s="4" t="str">
        <f t="shared" si="60"/>
        <v/>
      </c>
      <c r="JP7" s="4" t="str">
        <f t="shared" si="61"/>
        <v/>
      </c>
      <c r="JQ7" s="117" t="str">
        <f t="shared" si="62"/>
        <v/>
      </c>
      <c r="JR7" s="110" t="str">
        <f t="shared" si="63"/>
        <v/>
      </c>
      <c r="JS7" s="110" t="str">
        <f t="shared" si="64"/>
        <v/>
      </c>
      <c r="JT7" s="110" t="str">
        <f t="shared" si="65"/>
        <v/>
      </c>
      <c r="JU7" s="110" t="str">
        <f t="shared" si="66"/>
        <v/>
      </c>
      <c r="JV7" s="110" t="str">
        <f t="shared" si="67"/>
        <v/>
      </c>
      <c r="JW7" s="110" t="str">
        <f t="shared" si="68"/>
        <v/>
      </c>
      <c r="JX7" s="110" t="str">
        <f t="shared" si="69"/>
        <v/>
      </c>
      <c r="JY7" s="110" t="str">
        <f t="shared" si="70"/>
        <v/>
      </c>
      <c r="JZ7" s="110" t="str">
        <f t="shared" si="71"/>
        <v/>
      </c>
      <c r="KA7" s="110" t="str">
        <f t="shared" si="72"/>
        <v/>
      </c>
      <c r="KB7" s="110" t="str">
        <f t="shared" si="73"/>
        <v/>
      </c>
      <c r="KC7" s="110" t="str">
        <f t="shared" si="74"/>
        <v/>
      </c>
      <c r="KD7" s="110" t="str">
        <f t="shared" si="75"/>
        <v/>
      </c>
      <c r="KE7" s="110" t="str">
        <f t="shared" si="76"/>
        <v/>
      </c>
      <c r="KF7" s="110" t="str">
        <f t="shared" si="77"/>
        <v/>
      </c>
      <c r="KG7" s="121" t="str">
        <f t="shared" si="78"/>
        <v/>
      </c>
      <c r="KH7" s="83" t="str">
        <f t="shared" si="79"/>
        <v/>
      </c>
      <c r="KI7" s="4" t="str">
        <f t="shared" si="80"/>
        <v/>
      </c>
      <c r="KJ7" s="4" t="str">
        <f t="shared" si="81"/>
        <v/>
      </c>
      <c r="KK7" s="4" t="str">
        <f t="shared" si="82"/>
        <v/>
      </c>
      <c r="KL7" s="4" t="str">
        <f t="shared" si="83"/>
        <v/>
      </c>
      <c r="KM7" s="4" t="str">
        <f t="shared" si="84"/>
        <v/>
      </c>
      <c r="KN7" s="4" t="str">
        <f t="shared" si="85"/>
        <v/>
      </c>
      <c r="KO7" s="4" t="str">
        <f t="shared" si="86"/>
        <v/>
      </c>
      <c r="KP7" s="4" t="str">
        <f t="shared" si="87"/>
        <v/>
      </c>
      <c r="KQ7" s="4" t="str">
        <f t="shared" si="88"/>
        <v/>
      </c>
      <c r="KR7" s="4" t="str">
        <f t="shared" si="89"/>
        <v/>
      </c>
      <c r="KS7" s="4" t="str">
        <f t="shared" si="90"/>
        <v/>
      </c>
      <c r="KT7" s="4" t="str">
        <f t="shared" si="91"/>
        <v/>
      </c>
      <c r="KU7" s="4" t="str">
        <f t="shared" si="92"/>
        <v/>
      </c>
      <c r="KV7" s="4" t="str">
        <f t="shared" si="93"/>
        <v/>
      </c>
      <c r="KW7" s="4" t="str">
        <f t="shared" si="94"/>
        <v/>
      </c>
      <c r="KX7" s="4" t="str">
        <f t="shared" si="95"/>
        <v/>
      </c>
      <c r="KY7" s="4" t="str">
        <f t="shared" si="96"/>
        <v/>
      </c>
      <c r="KZ7" s="4" t="str">
        <f t="shared" si="97"/>
        <v/>
      </c>
      <c r="LA7" s="4" t="str">
        <f t="shared" si="98"/>
        <v/>
      </c>
      <c r="LB7" s="4" t="str">
        <f t="shared" si="99"/>
        <v/>
      </c>
      <c r="LC7" s="4" t="str">
        <f t="shared" si="100"/>
        <v/>
      </c>
      <c r="LD7" s="4" t="str">
        <f t="shared" si="101"/>
        <v/>
      </c>
      <c r="LE7" s="4" t="str">
        <f t="shared" si="102"/>
        <v/>
      </c>
      <c r="LF7" s="4" t="str">
        <f t="shared" si="103"/>
        <v/>
      </c>
      <c r="LG7" s="4" t="str">
        <f t="shared" si="104"/>
        <v/>
      </c>
      <c r="LH7" s="4" t="str">
        <f t="shared" si="105"/>
        <v/>
      </c>
      <c r="LI7" s="4" t="str">
        <f t="shared" si="106"/>
        <v/>
      </c>
      <c r="LJ7" s="4" t="str">
        <f t="shared" si="107"/>
        <v/>
      </c>
      <c r="LK7" s="4" t="str">
        <f t="shared" si="108"/>
        <v/>
      </c>
      <c r="LL7" s="4" t="str">
        <f t="shared" si="109"/>
        <v/>
      </c>
      <c r="LM7" s="4" t="str">
        <f t="shared" si="110"/>
        <v/>
      </c>
      <c r="LN7" s="4" t="str">
        <f t="shared" si="111"/>
        <v/>
      </c>
      <c r="LO7" s="4" t="str">
        <f t="shared" si="112"/>
        <v/>
      </c>
      <c r="LP7" s="4" t="str">
        <f t="shared" si="113"/>
        <v/>
      </c>
      <c r="LQ7" s="4" t="str">
        <f t="shared" si="114"/>
        <v/>
      </c>
      <c r="LR7" s="4" t="str">
        <f t="shared" si="115"/>
        <v/>
      </c>
      <c r="LS7" s="4" t="str">
        <f t="shared" si="116"/>
        <v/>
      </c>
      <c r="LT7" s="4" t="str">
        <f t="shared" si="117"/>
        <v/>
      </c>
      <c r="LU7" s="4" t="str">
        <f t="shared" si="118"/>
        <v/>
      </c>
      <c r="LV7" s="4" t="str">
        <f t="shared" si="119"/>
        <v/>
      </c>
      <c r="LW7" s="4" t="str">
        <f t="shared" si="120"/>
        <v/>
      </c>
      <c r="LX7" s="4" t="str">
        <f t="shared" si="121"/>
        <v/>
      </c>
      <c r="LY7" s="4" t="str">
        <f t="shared" si="122"/>
        <v/>
      </c>
      <c r="LZ7" s="4" t="str">
        <f t="shared" si="123"/>
        <v/>
      </c>
      <c r="MA7" s="4" t="str">
        <f t="shared" si="124"/>
        <v/>
      </c>
      <c r="MB7" s="4" t="str">
        <f t="shared" si="125"/>
        <v/>
      </c>
      <c r="MC7" s="4" t="str">
        <f t="shared" si="126"/>
        <v/>
      </c>
      <c r="MD7" s="4" t="str">
        <f t="shared" si="127"/>
        <v/>
      </c>
      <c r="ME7" s="4" t="str">
        <f t="shared" si="128"/>
        <v/>
      </c>
      <c r="MF7" s="4" t="str">
        <f t="shared" si="129"/>
        <v/>
      </c>
      <c r="MG7" s="4">
        <f t="shared" si="130"/>
        <v>0</v>
      </c>
    </row>
    <row r="8" spans="1:345" ht="26.25" customHeight="1" thickBot="1" x14ac:dyDescent="0.25">
      <c r="A8" s="35">
        <v>41220</v>
      </c>
      <c r="B8" s="36" t="s">
        <v>151</v>
      </c>
      <c r="C8" s="36" t="s">
        <v>11</v>
      </c>
      <c r="D8" s="31" t="s">
        <v>111</v>
      </c>
      <c r="E8" s="4">
        <v>63</v>
      </c>
      <c r="F8" s="3">
        <v>18043</v>
      </c>
      <c r="G8" s="4" t="s">
        <v>87</v>
      </c>
      <c r="H8" s="4" t="s">
        <v>108</v>
      </c>
      <c r="I8" s="4">
        <v>1827255</v>
      </c>
      <c r="J8" s="2" t="s">
        <v>309</v>
      </c>
      <c r="K8" s="227"/>
      <c r="L8" s="228">
        <v>1</v>
      </c>
      <c r="M8" s="228"/>
      <c r="N8" s="228"/>
      <c r="O8" s="258"/>
      <c r="P8" s="228"/>
      <c r="Q8" s="228"/>
      <c r="R8" s="4">
        <v>-0.5</v>
      </c>
      <c r="S8" s="4">
        <v>-0.56000000000000005</v>
      </c>
      <c r="T8" s="4" t="s">
        <v>249</v>
      </c>
      <c r="U8" s="67">
        <v>23.75</v>
      </c>
      <c r="V8" s="124">
        <v>41151</v>
      </c>
      <c r="W8" s="67">
        <v>1.5</v>
      </c>
      <c r="X8" s="67">
        <v>0</v>
      </c>
      <c r="Y8" s="4">
        <v>0</v>
      </c>
      <c r="Z8" s="4">
        <v>30</v>
      </c>
      <c r="AA8" s="4">
        <v>10</v>
      </c>
      <c r="AB8" s="4">
        <v>664</v>
      </c>
      <c r="AC8" s="4">
        <v>23.22</v>
      </c>
      <c r="AD8" s="4">
        <v>12</v>
      </c>
      <c r="AE8" s="4">
        <v>5.05</v>
      </c>
      <c r="AF8" s="4">
        <v>2.97</v>
      </c>
      <c r="AG8" s="4">
        <v>41.77</v>
      </c>
      <c r="AH8" s="4">
        <v>159</v>
      </c>
      <c r="AI8" s="4">
        <v>42.61</v>
      </c>
      <c r="AJ8" s="4">
        <v>69</v>
      </c>
      <c r="AK8" s="4">
        <v>0</v>
      </c>
      <c r="AL8" s="4" t="b">
        <f t="shared" si="0"/>
        <v>0</v>
      </c>
      <c r="AN8" s="32">
        <v>41381</v>
      </c>
      <c r="AO8" s="60">
        <v>25</v>
      </c>
      <c r="AP8" s="67">
        <v>0</v>
      </c>
      <c r="AQ8" s="67">
        <v>1</v>
      </c>
      <c r="AR8" s="4">
        <v>155</v>
      </c>
      <c r="AS8" s="4">
        <v>25</v>
      </c>
      <c r="AT8" s="4">
        <v>12</v>
      </c>
      <c r="AU8" s="4">
        <v>514</v>
      </c>
      <c r="BC8" s="4">
        <f t="shared" si="1"/>
        <v>0.5</v>
      </c>
      <c r="BD8" s="4">
        <f t="shared" si="2"/>
        <v>1.06</v>
      </c>
      <c r="BE8" s="4">
        <f t="shared" si="3"/>
        <v>-150</v>
      </c>
      <c r="BF8" s="3">
        <v>41562</v>
      </c>
      <c r="BH8" s="67">
        <v>0.25</v>
      </c>
      <c r="BI8" s="67">
        <v>0.5</v>
      </c>
      <c r="BJ8" s="4">
        <v>161</v>
      </c>
      <c r="BK8" s="4">
        <v>20</v>
      </c>
      <c r="BL8" s="4">
        <v>10</v>
      </c>
      <c r="BM8" s="4">
        <v>514</v>
      </c>
      <c r="BN8" s="4">
        <v>1701</v>
      </c>
      <c r="BO8" s="4" t="s">
        <v>282</v>
      </c>
      <c r="BP8" s="4" t="s">
        <v>282</v>
      </c>
      <c r="BQ8" s="4">
        <v>41.77</v>
      </c>
      <c r="BR8" s="4">
        <v>149</v>
      </c>
      <c r="BS8" s="4">
        <v>42.51</v>
      </c>
      <c r="BT8" s="4">
        <v>59</v>
      </c>
      <c r="BU8" s="4">
        <f t="shared" si="131"/>
        <v>0.5</v>
      </c>
      <c r="BV8" s="4">
        <f t="shared" si="4"/>
        <v>1.06</v>
      </c>
      <c r="BW8" s="4">
        <f t="shared" si="5"/>
        <v>-150</v>
      </c>
      <c r="BX8" s="4">
        <f t="shared" si="6"/>
        <v>1</v>
      </c>
      <c r="BY8" s="4">
        <f t="shared" si="7"/>
        <v>1</v>
      </c>
      <c r="BZ8" s="4">
        <f t="shared" si="8"/>
        <v>1.5</v>
      </c>
      <c r="CA8" s="4">
        <f t="shared" si="9"/>
        <v>0.5</v>
      </c>
      <c r="CB8" s="4">
        <f t="shared" si="10"/>
        <v>0.5</v>
      </c>
      <c r="CC8" s="53">
        <f t="shared" si="11"/>
        <v>342</v>
      </c>
      <c r="CD8" s="55">
        <f t="shared" si="12"/>
        <v>11.4</v>
      </c>
      <c r="CE8" s="4">
        <f t="shared" si="13"/>
        <v>0</v>
      </c>
      <c r="CF8" s="4" t="str">
        <f t="shared" si="14"/>
        <v/>
      </c>
      <c r="CG8" s="4">
        <f t="shared" si="15"/>
        <v>-4.9999999999997158E-2</v>
      </c>
      <c r="CH8" s="4">
        <f t="shared" si="16"/>
        <v>-4.9999999999997158E-2</v>
      </c>
      <c r="CI8" s="4">
        <f t="shared" si="17"/>
        <v>1.5</v>
      </c>
      <c r="CJ8" s="4">
        <f t="shared" si="18"/>
        <v>0.5</v>
      </c>
      <c r="CK8" s="93">
        <f t="shared" si="19"/>
        <v>1.06</v>
      </c>
      <c r="CL8" s="83">
        <f t="shared" si="20"/>
        <v>-150</v>
      </c>
      <c r="CM8" s="4" t="str">
        <f t="shared" si="21"/>
        <v/>
      </c>
      <c r="CN8" s="96">
        <f t="shared" si="22"/>
        <v>-0.56000000000000005</v>
      </c>
      <c r="CO8" s="96">
        <f t="shared" si="132"/>
        <v>0.17609125905568127</v>
      </c>
      <c r="CP8" s="127">
        <f t="shared" si="23"/>
        <v>0.5</v>
      </c>
      <c r="CQ8" s="127">
        <f t="shared" si="24"/>
        <v>0.5</v>
      </c>
      <c r="CR8" s="136">
        <f t="shared" si="25"/>
        <v>20</v>
      </c>
      <c r="CS8" s="136">
        <f t="shared" si="26"/>
        <v>30</v>
      </c>
      <c r="CT8" s="135">
        <f t="shared" si="27"/>
        <v>25</v>
      </c>
      <c r="CU8" s="139" t="str">
        <f t="shared" si="28"/>
        <v/>
      </c>
      <c r="CV8" s="96" t="str">
        <f t="shared" si="29"/>
        <v/>
      </c>
      <c r="CW8" s="141" t="str">
        <f t="shared" si="30"/>
        <v/>
      </c>
      <c r="IL8" s="83" t="str">
        <f t="shared" si="31"/>
        <v/>
      </c>
      <c r="IM8" s="4" t="str">
        <f t="shared" si="32"/>
        <v/>
      </c>
      <c r="IN8" s="4" t="str">
        <f t="shared" si="33"/>
        <v/>
      </c>
      <c r="IO8" s="4" t="str">
        <f t="shared" si="34"/>
        <v/>
      </c>
      <c r="IP8" s="4" t="str">
        <f t="shared" si="35"/>
        <v/>
      </c>
      <c r="IQ8" s="4" t="str">
        <f t="shared" si="36"/>
        <v/>
      </c>
      <c r="IR8" s="4" t="str">
        <f t="shared" si="37"/>
        <v/>
      </c>
      <c r="IS8" s="4" t="str">
        <f t="shared" si="38"/>
        <v/>
      </c>
      <c r="IT8" s="4" t="str">
        <f t="shared" si="39"/>
        <v/>
      </c>
      <c r="IU8" s="4" t="str">
        <f t="shared" si="40"/>
        <v/>
      </c>
      <c r="IV8" s="4" t="str">
        <f t="shared" si="41"/>
        <v/>
      </c>
      <c r="IW8" s="4" t="str">
        <f t="shared" si="42"/>
        <v/>
      </c>
      <c r="IX8" s="4" t="str">
        <f t="shared" si="43"/>
        <v/>
      </c>
      <c r="IY8" s="4" t="str">
        <f t="shared" si="44"/>
        <v/>
      </c>
      <c r="IZ8" s="4" t="str">
        <f t="shared" si="45"/>
        <v/>
      </c>
      <c r="JA8" s="4" t="str">
        <f t="shared" si="46"/>
        <v/>
      </c>
      <c r="JB8" s="4" t="str">
        <f t="shared" si="47"/>
        <v/>
      </c>
      <c r="JC8" s="4" t="str">
        <f t="shared" si="48"/>
        <v/>
      </c>
      <c r="JD8" s="4" t="str">
        <f t="shared" si="49"/>
        <v/>
      </c>
      <c r="JE8" s="4" t="str">
        <f t="shared" si="50"/>
        <v/>
      </c>
      <c r="JF8" s="4" t="str">
        <f t="shared" si="51"/>
        <v/>
      </c>
      <c r="JG8" s="4" t="str">
        <f t="shared" si="52"/>
        <v/>
      </c>
      <c r="JH8" s="4" t="str">
        <f t="shared" si="53"/>
        <v/>
      </c>
      <c r="JI8" s="4" t="str">
        <f t="shared" si="54"/>
        <v/>
      </c>
      <c r="JJ8" s="4" t="str">
        <f t="shared" si="55"/>
        <v/>
      </c>
      <c r="JK8" s="4" t="str">
        <f t="shared" si="56"/>
        <v/>
      </c>
      <c r="JL8" s="4" t="str">
        <f t="shared" si="57"/>
        <v/>
      </c>
      <c r="JM8" s="4" t="str">
        <f t="shared" si="58"/>
        <v/>
      </c>
      <c r="JN8" s="4" t="str">
        <f t="shared" si="59"/>
        <v/>
      </c>
      <c r="JO8" s="4" t="str">
        <f t="shared" si="60"/>
        <v/>
      </c>
      <c r="JP8" s="4" t="str">
        <f t="shared" si="61"/>
        <v/>
      </c>
      <c r="JQ8" s="117" t="str">
        <f t="shared" si="62"/>
        <v/>
      </c>
      <c r="JR8" s="110" t="str">
        <f t="shared" si="63"/>
        <v/>
      </c>
      <c r="JS8" s="110" t="str">
        <f t="shared" si="64"/>
        <v/>
      </c>
      <c r="JT8" s="110" t="str">
        <f t="shared" si="65"/>
        <v/>
      </c>
      <c r="JU8" s="110" t="str">
        <f t="shared" si="66"/>
        <v/>
      </c>
      <c r="JV8" s="110" t="str">
        <f t="shared" si="67"/>
        <v/>
      </c>
      <c r="JW8" s="110" t="str">
        <f t="shared" si="68"/>
        <v/>
      </c>
      <c r="JX8" s="110" t="str">
        <f t="shared" si="69"/>
        <v/>
      </c>
      <c r="JY8" s="110" t="str">
        <f t="shared" si="70"/>
        <v/>
      </c>
      <c r="JZ8" s="110" t="str">
        <f t="shared" si="71"/>
        <v/>
      </c>
      <c r="KA8" s="110" t="str">
        <f t="shared" si="72"/>
        <v/>
      </c>
      <c r="KB8" s="110" t="str">
        <f t="shared" si="73"/>
        <v/>
      </c>
      <c r="KC8" s="110" t="str">
        <f t="shared" si="74"/>
        <v/>
      </c>
      <c r="KD8" s="110" t="str">
        <f t="shared" si="75"/>
        <v/>
      </c>
      <c r="KE8" s="110" t="str">
        <f t="shared" si="76"/>
        <v/>
      </c>
      <c r="KF8" s="110" t="str">
        <f t="shared" si="77"/>
        <v/>
      </c>
      <c r="KG8" s="121" t="str">
        <f t="shared" si="78"/>
        <v/>
      </c>
      <c r="KH8" s="83" t="str">
        <f t="shared" si="79"/>
        <v/>
      </c>
      <c r="KI8" s="4" t="str">
        <f t="shared" si="80"/>
        <v/>
      </c>
      <c r="KJ8" s="4" t="str">
        <f t="shared" si="81"/>
        <v/>
      </c>
      <c r="KK8" s="4" t="str">
        <f t="shared" si="82"/>
        <v/>
      </c>
      <c r="KL8" s="4" t="str">
        <f t="shared" si="83"/>
        <v/>
      </c>
      <c r="KM8" s="4" t="str">
        <f t="shared" si="84"/>
        <v/>
      </c>
      <c r="KN8" s="4" t="str">
        <f t="shared" si="85"/>
        <v/>
      </c>
      <c r="KO8" s="4" t="str">
        <f t="shared" si="86"/>
        <v/>
      </c>
      <c r="KP8" s="4" t="str">
        <f t="shared" si="87"/>
        <v/>
      </c>
      <c r="KQ8" s="4" t="str">
        <f t="shared" si="88"/>
        <v/>
      </c>
      <c r="KR8" s="4" t="str">
        <f t="shared" si="89"/>
        <v/>
      </c>
      <c r="KS8" s="4" t="str">
        <f t="shared" si="90"/>
        <v/>
      </c>
      <c r="KT8" s="4" t="str">
        <f t="shared" si="91"/>
        <v/>
      </c>
      <c r="KU8" s="4" t="str">
        <f t="shared" si="92"/>
        <v/>
      </c>
      <c r="KV8" s="4" t="str">
        <f t="shared" si="93"/>
        <v/>
      </c>
      <c r="KW8" s="4" t="str">
        <f t="shared" si="94"/>
        <v/>
      </c>
      <c r="KX8" s="4" t="str">
        <f t="shared" si="95"/>
        <v/>
      </c>
      <c r="KY8" s="4" t="str">
        <f t="shared" si="96"/>
        <v/>
      </c>
      <c r="KZ8" s="4" t="str">
        <f t="shared" si="97"/>
        <v/>
      </c>
      <c r="LA8" s="4" t="str">
        <f t="shared" si="98"/>
        <v/>
      </c>
      <c r="LB8" s="4" t="str">
        <f t="shared" si="99"/>
        <v/>
      </c>
      <c r="LC8" s="4" t="str">
        <f t="shared" si="100"/>
        <v/>
      </c>
      <c r="LD8" s="4" t="str">
        <f t="shared" si="101"/>
        <v/>
      </c>
      <c r="LE8" s="4" t="str">
        <f t="shared" si="102"/>
        <v/>
      </c>
      <c r="LF8" s="4" t="str">
        <f t="shared" si="103"/>
        <v/>
      </c>
      <c r="LG8" s="4" t="str">
        <f t="shared" si="104"/>
        <v/>
      </c>
      <c r="LH8" s="4" t="str">
        <f t="shared" si="105"/>
        <v/>
      </c>
      <c r="LI8" s="4" t="str">
        <f t="shared" si="106"/>
        <v/>
      </c>
      <c r="LJ8" s="4" t="str">
        <f t="shared" si="107"/>
        <v/>
      </c>
      <c r="LK8" s="4" t="str">
        <f t="shared" si="108"/>
        <v/>
      </c>
      <c r="LL8" s="4" t="str">
        <f t="shared" si="109"/>
        <v/>
      </c>
      <c r="LM8" s="4" t="str">
        <f t="shared" si="110"/>
        <v/>
      </c>
      <c r="LN8" s="4" t="str">
        <f t="shared" si="111"/>
        <v/>
      </c>
      <c r="LO8" s="4" t="str">
        <f t="shared" si="112"/>
        <v/>
      </c>
      <c r="LP8" s="4" t="str">
        <f t="shared" si="113"/>
        <v/>
      </c>
      <c r="LQ8" s="4" t="str">
        <f t="shared" si="114"/>
        <v/>
      </c>
      <c r="LR8" s="4" t="str">
        <f t="shared" si="115"/>
        <v/>
      </c>
      <c r="LS8" s="4" t="str">
        <f t="shared" si="116"/>
        <v/>
      </c>
      <c r="LT8" s="4" t="str">
        <f t="shared" si="117"/>
        <v/>
      </c>
      <c r="LU8" s="4" t="str">
        <f t="shared" si="118"/>
        <v/>
      </c>
      <c r="LV8" s="4" t="str">
        <f t="shared" si="119"/>
        <v/>
      </c>
      <c r="LW8" s="4" t="str">
        <f t="shared" si="120"/>
        <v/>
      </c>
      <c r="LX8" s="4" t="str">
        <f t="shared" si="121"/>
        <v/>
      </c>
      <c r="LY8" s="4" t="str">
        <f t="shared" si="122"/>
        <v/>
      </c>
      <c r="LZ8" s="4" t="str">
        <f t="shared" si="123"/>
        <v/>
      </c>
      <c r="MA8" s="4" t="str">
        <f t="shared" si="124"/>
        <v/>
      </c>
      <c r="MB8" s="4" t="str">
        <f t="shared" si="125"/>
        <v/>
      </c>
      <c r="MC8" s="4" t="str">
        <f t="shared" si="126"/>
        <v/>
      </c>
      <c r="MD8" s="4" t="str">
        <f t="shared" si="127"/>
        <v/>
      </c>
      <c r="ME8" s="4" t="str">
        <f t="shared" si="128"/>
        <v/>
      </c>
      <c r="MF8" s="4" t="str">
        <f t="shared" si="129"/>
        <v/>
      </c>
      <c r="MG8" s="4">
        <f t="shared" si="130"/>
        <v>0</v>
      </c>
    </row>
    <row r="9" spans="1:345" s="195" customFormat="1" ht="26.25" customHeight="1" thickBot="1" x14ac:dyDescent="0.25">
      <c r="A9" s="194">
        <v>41213</v>
      </c>
      <c r="B9" s="195" t="s">
        <v>141</v>
      </c>
      <c r="C9" s="195" t="s">
        <v>15</v>
      </c>
      <c r="D9" s="196" t="s">
        <v>111</v>
      </c>
      <c r="E9" s="195">
        <v>65</v>
      </c>
      <c r="F9" s="194">
        <v>17133</v>
      </c>
      <c r="G9" s="195" t="s">
        <v>87</v>
      </c>
      <c r="H9" s="195" t="s">
        <v>108</v>
      </c>
      <c r="I9" s="195">
        <v>1827528</v>
      </c>
      <c r="J9" s="195" t="s">
        <v>309</v>
      </c>
      <c r="K9" s="232" t="s">
        <v>620</v>
      </c>
      <c r="L9" s="233">
        <v>1</v>
      </c>
      <c r="M9" s="233"/>
      <c r="N9" s="234"/>
      <c r="O9" s="262" t="s">
        <v>619</v>
      </c>
      <c r="P9" s="233"/>
      <c r="Q9" s="234"/>
      <c r="R9" s="195">
        <v>-0.5</v>
      </c>
      <c r="S9" s="195">
        <v>-0.53</v>
      </c>
      <c r="T9" s="197" t="s">
        <v>249</v>
      </c>
      <c r="U9" s="198">
        <v>25.5</v>
      </c>
      <c r="V9" s="194">
        <v>41038</v>
      </c>
      <c r="W9" s="198">
        <v>1</v>
      </c>
      <c r="X9" s="198">
        <v>2</v>
      </c>
      <c r="Y9" s="195">
        <v>166</v>
      </c>
      <c r="Z9" s="195">
        <v>100</v>
      </c>
      <c r="AA9" s="195">
        <v>10</v>
      </c>
      <c r="AB9" s="195">
        <v>516</v>
      </c>
      <c r="AC9" s="195">
        <v>22.7</v>
      </c>
      <c r="AF9" s="195">
        <v>2.59</v>
      </c>
      <c r="AG9" s="195">
        <v>41.82</v>
      </c>
      <c r="AH9" s="195">
        <v>164</v>
      </c>
      <c r="AI9" s="195">
        <v>43.27</v>
      </c>
      <c r="AJ9" s="195">
        <v>74</v>
      </c>
      <c r="AK9" s="195">
        <v>2</v>
      </c>
      <c r="AL9" s="195" t="b">
        <f t="shared" si="0"/>
        <v>1</v>
      </c>
      <c r="AM9" s="199"/>
      <c r="AN9" s="200">
        <v>41409</v>
      </c>
      <c r="AO9" s="201">
        <v>200</v>
      </c>
      <c r="AP9" s="198">
        <v>-3.75</v>
      </c>
      <c r="AQ9" s="198">
        <v>3.25</v>
      </c>
      <c r="AR9" s="195">
        <v>75</v>
      </c>
      <c r="AS9" s="195">
        <v>50</v>
      </c>
      <c r="AT9" s="195">
        <v>10</v>
      </c>
      <c r="AU9" s="195">
        <v>469</v>
      </c>
      <c r="AV9" s="195">
        <v>1304</v>
      </c>
      <c r="BC9" s="195">
        <f t="shared" si="1"/>
        <v>-2.125</v>
      </c>
      <c r="BD9" s="195">
        <f t="shared" si="2"/>
        <v>-1.595</v>
      </c>
      <c r="BE9" s="195">
        <f t="shared" si="3"/>
        <v>-47</v>
      </c>
      <c r="BF9" s="194">
        <v>41563</v>
      </c>
      <c r="BG9" s="223">
        <v>100</v>
      </c>
      <c r="BH9" s="198"/>
      <c r="BI9" s="198"/>
      <c r="BL9" s="195">
        <v>11</v>
      </c>
      <c r="BM9" s="195">
        <v>474</v>
      </c>
      <c r="BN9" s="195">
        <v>1256</v>
      </c>
      <c r="BO9" s="195">
        <v>22.77</v>
      </c>
      <c r="BP9" s="195">
        <v>4.3099999999999996</v>
      </c>
      <c r="BQ9" s="195">
        <v>41.62</v>
      </c>
      <c r="BR9" s="195">
        <v>159</v>
      </c>
      <c r="BS9" s="195">
        <v>44.82</v>
      </c>
      <c r="BT9" s="195">
        <v>69</v>
      </c>
      <c r="BU9" s="195" t="str">
        <f t="shared" si="131"/>
        <v/>
      </c>
      <c r="BV9" s="195" t="str">
        <f t="shared" si="4"/>
        <v/>
      </c>
      <c r="BW9" s="195">
        <f t="shared" si="5"/>
        <v>-42</v>
      </c>
      <c r="BX9" s="195">
        <f t="shared" si="6"/>
        <v>1</v>
      </c>
      <c r="BY9" s="195">
        <f t="shared" si="7"/>
        <v>0</v>
      </c>
      <c r="BZ9" s="195" t="str">
        <f t="shared" si="8"/>
        <v/>
      </c>
      <c r="CA9" s="195" t="str">
        <f t="shared" si="9"/>
        <v/>
      </c>
      <c r="CB9" s="195" t="str">
        <f t="shared" si="10"/>
        <v/>
      </c>
      <c r="CC9" s="204">
        <f t="shared" si="11"/>
        <v>196</v>
      </c>
      <c r="CD9" s="205">
        <f t="shared" si="12"/>
        <v>6.5333333333333332</v>
      </c>
      <c r="CE9" s="195" t="str">
        <f t="shared" si="13"/>
        <v/>
      </c>
      <c r="CF9" s="195" t="str">
        <f t="shared" si="14"/>
        <v/>
      </c>
      <c r="CG9" s="195">
        <f t="shared" si="15"/>
        <v>0.67499999999999716</v>
      </c>
      <c r="CH9" s="195">
        <f t="shared" si="16"/>
        <v>0.67499999999999716</v>
      </c>
      <c r="CI9" s="195">
        <f t="shared" si="17"/>
        <v>2</v>
      </c>
      <c r="CJ9" s="195">
        <f t="shared" si="18"/>
        <v>-2.125</v>
      </c>
      <c r="CK9" s="206">
        <f t="shared" si="19"/>
        <v>-1.595</v>
      </c>
      <c r="CL9" s="207">
        <f t="shared" si="20"/>
        <v>-42</v>
      </c>
      <c r="CM9" s="195">
        <f t="shared" si="21"/>
        <v>7.0000000000000284E-2</v>
      </c>
      <c r="CN9" s="208">
        <f t="shared" si="22"/>
        <v>-0.53</v>
      </c>
      <c r="CO9" s="208">
        <f t="shared" si="132"/>
        <v>0.30102999566398114</v>
      </c>
      <c r="CP9" s="209">
        <f t="shared" si="23"/>
        <v>3.25</v>
      </c>
      <c r="CQ9" s="209">
        <f t="shared" si="24"/>
        <v>1.25</v>
      </c>
      <c r="CR9" s="210">
        <f t="shared" si="25"/>
        <v>50</v>
      </c>
      <c r="CS9" s="210">
        <f t="shared" si="26"/>
        <v>100</v>
      </c>
      <c r="CT9" s="211">
        <f t="shared" si="27"/>
        <v>100</v>
      </c>
      <c r="CU9" s="212" t="str">
        <f t="shared" si="28"/>
        <v/>
      </c>
      <c r="CV9" s="208" t="str">
        <f t="shared" si="29"/>
        <v/>
      </c>
      <c r="CW9" s="213" t="str">
        <f t="shared" si="30"/>
        <v/>
      </c>
      <c r="CX9" s="214"/>
      <c r="ED9" s="215"/>
      <c r="EE9" s="216"/>
      <c r="EF9" s="216"/>
      <c r="EG9" s="216"/>
      <c r="EH9" s="216"/>
      <c r="EI9" s="216"/>
      <c r="EJ9" s="216"/>
      <c r="EK9" s="216"/>
      <c r="EL9" s="216"/>
      <c r="EM9" s="216"/>
      <c r="EN9" s="216"/>
      <c r="EO9" s="216"/>
      <c r="EP9" s="216"/>
      <c r="EQ9" s="216"/>
      <c r="ER9" s="216"/>
      <c r="ES9" s="217"/>
      <c r="ET9" s="207"/>
      <c r="FZ9" s="218"/>
      <c r="GA9" s="216"/>
      <c r="GB9" s="216"/>
      <c r="GC9" s="216"/>
      <c r="GD9" s="216"/>
      <c r="GE9" s="216"/>
      <c r="GF9" s="216"/>
      <c r="GG9" s="216"/>
      <c r="GH9" s="216"/>
      <c r="GI9" s="216"/>
      <c r="GJ9" s="216"/>
      <c r="GK9" s="216"/>
      <c r="GL9" s="216"/>
      <c r="GM9" s="216"/>
      <c r="GN9" s="216"/>
      <c r="GO9" s="219"/>
      <c r="GP9" s="207"/>
      <c r="HV9" s="206"/>
      <c r="HW9" s="216"/>
      <c r="HX9" s="216"/>
      <c r="HY9" s="216"/>
      <c r="HZ9" s="216"/>
      <c r="IA9" s="216"/>
      <c r="IB9" s="216"/>
      <c r="IC9" s="216"/>
      <c r="ID9" s="216"/>
      <c r="IE9" s="216"/>
      <c r="IF9" s="216"/>
      <c r="IG9" s="216"/>
      <c r="IH9" s="216"/>
      <c r="II9" s="216"/>
      <c r="IJ9" s="216"/>
      <c r="IK9" s="220"/>
      <c r="IL9" s="207" t="str">
        <f t="shared" si="31"/>
        <v/>
      </c>
      <c r="IM9" s="195" t="str">
        <f t="shared" si="32"/>
        <v/>
      </c>
      <c r="IN9" s="195" t="str">
        <f t="shared" si="33"/>
        <v/>
      </c>
      <c r="IO9" s="195" t="str">
        <f t="shared" si="34"/>
        <v/>
      </c>
      <c r="IP9" s="195" t="str">
        <f t="shared" si="35"/>
        <v/>
      </c>
      <c r="IQ9" s="195" t="str">
        <f t="shared" si="36"/>
        <v/>
      </c>
      <c r="IR9" s="195" t="str">
        <f t="shared" si="37"/>
        <v/>
      </c>
      <c r="IS9" s="195" t="str">
        <f t="shared" si="38"/>
        <v/>
      </c>
      <c r="IT9" s="195" t="str">
        <f t="shared" si="39"/>
        <v/>
      </c>
      <c r="IU9" s="195" t="str">
        <f t="shared" si="40"/>
        <v/>
      </c>
      <c r="IV9" s="195" t="str">
        <f t="shared" si="41"/>
        <v/>
      </c>
      <c r="IW9" s="195" t="str">
        <f t="shared" si="42"/>
        <v/>
      </c>
      <c r="IX9" s="195" t="str">
        <f t="shared" si="43"/>
        <v/>
      </c>
      <c r="IY9" s="195" t="str">
        <f t="shared" si="44"/>
        <v/>
      </c>
      <c r="IZ9" s="195" t="str">
        <f t="shared" si="45"/>
        <v/>
      </c>
      <c r="JA9" s="195" t="str">
        <f t="shared" si="46"/>
        <v/>
      </c>
      <c r="JB9" s="195" t="str">
        <f t="shared" si="47"/>
        <v/>
      </c>
      <c r="JC9" s="195" t="str">
        <f t="shared" si="48"/>
        <v/>
      </c>
      <c r="JD9" s="195" t="str">
        <f t="shared" si="49"/>
        <v/>
      </c>
      <c r="JE9" s="195" t="str">
        <f t="shared" si="50"/>
        <v/>
      </c>
      <c r="JF9" s="195" t="str">
        <f t="shared" si="51"/>
        <v/>
      </c>
      <c r="JG9" s="195" t="str">
        <f t="shared" si="52"/>
        <v/>
      </c>
      <c r="JH9" s="195" t="str">
        <f t="shared" si="53"/>
        <v/>
      </c>
      <c r="JI9" s="195" t="str">
        <f t="shared" si="54"/>
        <v/>
      </c>
      <c r="JJ9" s="195" t="str">
        <f t="shared" si="55"/>
        <v/>
      </c>
      <c r="JK9" s="195" t="str">
        <f t="shared" si="56"/>
        <v/>
      </c>
      <c r="JL9" s="195" t="str">
        <f t="shared" si="57"/>
        <v/>
      </c>
      <c r="JM9" s="195" t="str">
        <f t="shared" si="58"/>
        <v/>
      </c>
      <c r="JN9" s="195" t="str">
        <f t="shared" si="59"/>
        <v/>
      </c>
      <c r="JO9" s="195" t="str">
        <f t="shared" si="60"/>
        <v/>
      </c>
      <c r="JP9" s="195" t="str">
        <f t="shared" si="61"/>
        <v/>
      </c>
      <c r="JQ9" s="221" t="str">
        <f t="shared" si="62"/>
        <v/>
      </c>
      <c r="JR9" s="216" t="str">
        <f t="shared" si="63"/>
        <v/>
      </c>
      <c r="JS9" s="216" t="str">
        <f t="shared" si="64"/>
        <v/>
      </c>
      <c r="JT9" s="216" t="str">
        <f t="shared" si="65"/>
        <v/>
      </c>
      <c r="JU9" s="216" t="str">
        <f t="shared" si="66"/>
        <v/>
      </c>
      <c r="JV9" s="216" t="str">
        <f t="shared" si="67"/>
        <v/>
      </c>
      <c r="JW9" s="216" t="str">
        <f t="shared" si="68"/>
        <v/>
      </c>
      <c r="JX9" s="216" t="str">
        <f t="shared" si="69"/>
        <v/>
      </c>
      <c r="JY9" s="216" t="str">
        <f t="shared" si="70"/>
        <v/>
      </c>
      <c r="JZ9" s="216" t="str">
        <f t="shared" si="71"/>
        <v/>
      </c>
      <c r="KA9" s="216" t="str">
        <f t="shared" si="72"/>
        <v/>
      </c>
      <c r="KB9" s="216" t="str">
        <f t="shared" si="73"/>
        <v/>
      </c>
      <c r="KC9" s="216" t="str">
        <f t="shared" si="74"/>
        <v/>
      </c>
      <c r="KD9" s="216" t="str">
        <f t="shared" si="75"/>
        <v/>
      </c>
      <c r="KE9" s="216" t="str">
        <f t="shared" si="76"/>
        <v/>
      </c>
      <c r="KF9" s="216" t="str">
        <f t="shared" si="77"/>
        <v/>
      </c>
      <c r="KG9" s="220" t="str">
        <f t="shared" si="78"/>
        <v/>
      </c>
      <c r="KH9" s="207" t="str">
        <f t="shared" si="79"/>
        <v/>
      </c>
      <c r="KI9" s="195" t="str">
        <f t="shared" si="80"/>
        <v/>
      </c>
      <c r="KJ9" s="195" t="str">
        <f t="shared" si="81"/>
        <v/>
      </c>
      <c r="KK9" s="195" t="str">
        <f t="shared" si="82"/>
        <v/>
      </c>
      <c r="KL9" s="195" t="str">
        <f t="shared" si="83"/>
        <v/>
      </c>
      <c r="KM9" s="195" t="str">
        <f t="shared" si="84"/>
        <v/>
      </c>
      <c r="KN9" s="195" t="str">
        <f t="shared" si="85"/>
        <v/>
      </c>
      <c r="KO9" s="195" t="str">
        <f t="shared" si="86"/>
        <v/>
      </c>
      <c r="KP9" s="195" t="str">
        <f t="shared" si="87"/>
        <v/>
      </c>
      <c r="KQ9" s="195" t="str">
        <f t="shared" si="88"/>
        <v/>
      </c>
      <c r="KR9" s="195" t="str">
        <f t="shared" si="89"/>
        <v/>
      </c>
      <c r="KS9" s="195" t="str">
        <f t="shared" si="90"/>
        <v/>
      </c>
      <c r="KT9" s="195" t="str">
        <f t="shared" si="91"/>
        <v/>
      </c>
      <c r="KU9" s="195" t="str">
        <f t="shared" si="92"/>
        <v/>
      </c>
      <c r="KV9" s="195" t="str">
        <f t="shared" si="93"/>
        <v/>
      </c>
      <c r="KW9" s="195" t="str">
        <f t="shared" si="94"/>
        <v/>
      </c>
      <c r="KX9" s="195" t="str">
        <f t="shared" si="95"/>
        <v/>
      </c>
      <c r="KY9" s="195" t="str">
        <f t="shared" si="96"/>
        <v/>
      </c>
      <c r="KZ9" s="195" t="str">
        <f t="shared" si="97"/>
        <v/>
      </c>
      <c r="LA9" s="195" t="str">
        <f t="shared" si="98"/>
        <v/>
      </c>
      <c r="LB9" s="195" t="str">
        <f t="shared" si="99"/>
        <v/>
      </c>
      <c r="LC9" s="195" t="str">
        <f t="shared" si="100"/>
        <v/>
      </c>
      <c r="LD9" s="195" t="str">
        <f t="shared" si="101"/>
        <v/>
      </c>
      <c r="LE9" s="195" t="str">
        <f t="shared" si="102"/>
        <v/>
      </c>
      <c r="LF9" s="195" t="str">
        <f t="shared" si="103"/>
        <v/>
      </c>
      <c r="LG9" s="195" t="str">
        <f t="shared" si="104"/>
        <v/>
      </c>
      <c r="LH9" s="195" t="str">
        <f t="shared" si="105"/>
        <v/>
      </c>
      <c r="LI9" s="195" t="str">
        <f t="shared" si="106"/>
        <v/>
      </c>
      <c r="LJ9" s="195" t="str">
        <f t="shared" si="107"/>
        <v/>
      </c>
      <c r="LK9" s="195" t="str">
        <f t="shared" si="108"/>
        <v/>
      </c>
      <c r="LL9" s="195" t="str">
        <f t="shared" si="109"/>
        <v/>
      </c>
      <c r="LM9" s="195" t="str">
        <f t="shared" si="110"/>
        <v/>
      </c>
      <c r="LN9" s="195" t="str">
        <f t="shared" si="111"/>
        <v/>
      </c>
      <c r="LO9" s="195" t="str">
        <f t="shared" si="112"/>
        <v/>
      </c>
      <c r="LP9" s="195" t="str">
        <f t="shared" si="113"/>
        <v/>
      </c>
      <c r="LQ9" s="195" t="str">
        <f t="shared" si="114"/>
        <v/>
      </c>
      <c r="LR9" s="195" t="str">
        <f t="shared" si="115"/>
        <v/>
      </c>
      <c r="LS9" s="195" t="str">
        <f t="shared" si="116"/>
        <v/>
      </c>
      <c r="LT9" s="195" t="str">
        <f t="shared" si="117"/>
        <v/>
      </c>
      <c r="LU9" s="195" t="str">
        <f t="shared" si="118"/>
        <v/>
      </c>
      <c r="LV9" s="195" t="str">
        <f t="shared" si="119"/>
        <v/>
      </c>
      <c r="LW9" s="195" t="str">
        <f t="shared" si="120"/>
        <v/>
      </c>
      <c r="LX9" s="195" t="str">
        <f t="shared" si="121"/>
        <v/>
      </c>
      <c r="LY9" s="195" t="str">
        <f t="shared" si="122"/>
        <v/>
      </c>
      <c r="LZ9" s="195" t="str">
        <f t="shared" si="123"/>
        <v/>
      </c>
      <c r="MA9" s="195" t="str">
        <f t="shared" si="124"/>
        <v/>
      </c>
      <c r="MB9" s="195" t="str">
        <f t="shared" si="125"/>
        <v/>
      </c>
      <c r="MC9" s="195" t="str">
        <f t="shared" si="126"/>
        <v/>
      </c>
      <c r="MD9" s="195" t="str">
        <f t="shared" si="127"/>
        <v/>
      </c>
      <c r="ME9" s="195" t="str">
        <f t="shared" si="128"/>
        <v/>
      </c>
      <c r="MF9" s="195" t="str">
        <f t="shared" si="129"/>
        <v/>
      </c>
      <c r="MG9" s="195">
        <f t="shared" si="130"/>
        <v>0</v>
      </c>
    </row>
    <row r="10" spans="1:345" ht="26.25" customHeight="1" thickBot="1" x14ac:dyDescent="0.25">
      <c r="A10" s="35">
        <v>41367</v>
      </c>
      <c r="B10" s="36" t="s">
        <v>180</v>
      </c>
      <c r="C10" s="36" t="s">
        <v>44</v>
      </c>
      <c r="D10" s="31" t="s">
        <v>111</v>
      </c>
      <c r="E10" s="4">
        <v>67</v>
      </c>
      <c r="F10" s="3">
        <v>16661</v>
      </c>
      <c r="G10" s="4" t="s">
        <v>87</v>
      </c>
      <c r="H10" s="4" t="s">
        <v>108</v>
      </c>
      <c r="I10" s="4">
        <v>1828136</v>
      </c>
      <c r="J10" s="2" t="s">
        <v>309</v>
      </c>
      <c r="K10" s="230" t="s">
        <v>621</v>
      </c>
      <c r="L10" s="231"/>
      <c r="M10" s="231"/>
      <c r="N10" s="231"/>
      <c r="O10" s="261"/>
      <c r="P10" s="231"/>
      <c r="Q10" s="231"/>
      <c r="R10" s="33">
        <v>-0.5</v>
      </c>
      <c r="S10" s="4">
        <v>-0.59</v>
      </c>
      <c r="T10" s="4" t="s">
        <v>249</v>
      </c>
      <c r="U10" s="67">
        <v>21.5</v>
      </c>
      <c r="V10" s="124">
        <v>41365</v>
      </c>
      <c r="W10" s="67">
        <v>-1</v>
      </c>
      <c r="X10" s="67">
        <v>1.5</v>
      </c>
      <c r="Y10" s="4">
        <v>23</v>
      </c>
      <c r="Z10" s="4">
        <v>60</v>
      </c>
      <c r="AA10" s="4">
        <v>16</v>
      </c>
      <c r="AB10" s="4">
        <v>647</v>
      </c>
      <c r="AC10" s="4">
        <v>22.95</v>
      </c>
      <c r="AF10" s="4">
        <v>2.67</v>
      </c>
      <c r="AG10" s="4">
        <v>44.12</v>
      </c>
      <c r="AH10" s="4">
        <v>150</v>
      </c>
      <c r="AI10" s="4">
        <v>46.75</v>
      </c>
      <c r="AJ10" s="4">
        <v>60</v>
      </c>
      <c r="AK10" s="4">
        <v>2</v>
      </c>
      <c r="AL10" s="4" t="b">
        <f t="shared" si="0"/>
        <v>1</v>
      </c>
      <c r="AM10" s="54"/>
      <c r="AN10" s="32">
        <v>41562</v>
      </c>
      <c r="AO10" s="59"/>
      <c r="AP10" s="67">
        <v>-1.25</v>
      </c>
      <c r="AQ10" s="67">
        <v>1</v>
      </c>
      <c r="AR10" s="4">
        <v>30</v>
      </c>
      <c r="AS10" s="4">
        <v>30</v>
      </c>
      <c r="AT10" s="4">
        <v>20</v>
      </c>
      <c r="AU10" s="4">
        <v>530</v>
      </c>
      <c r="AV10" s="4">
        <v>2288</v>
      </c>
      <c r="AW10" s="4">
        <v>23.05</v>
      </c>
      <c r="AX10" s="4">
        <v>2.99</v>
      </c>
      <c r="AY10" s="4">
        <v>43.77</v>
      </c>
      <c r="AZ10" s="4">
        <v>126</v>
      </c>
      <c r="BA10" s="4">
        <v>45.73</v>
      </c>
      <c r="BB10" s="4">
        <v>36</v>
      </c>
      <c r="BC10" s="4">
        <f t="shared" si="1"/>
        <v>-0.75</v>
      </c>
      <c r="BD10" s="4">
        <f t="shared" si="2"/>
        <v>-0.16000000000000003</v>
      </c>
      <c r="BE10" s="4">
        <f t="shared" si="3"/>
        <v>-117</v>
      </c>
      <c r="BF10" s="40">
        <v>41758</v>
      </c>
      <c r="BG10" s="58"/>
      <c r="BU10" s="4" t="str">
        <f t="shared" si="131"/>
        <v/>
      </c>
      <c r="BV10" s="4" t="str">
        <f t="shared" si="4"/>
        <v/>
      </c>
      <c r="BW10" s="4" t="str">
        <f t="shared" si="5"/>
        <v/>
      </c>
      <c r="BX10" s="4">
        <f t="shared" si="6"/>
        <v>1</v>
      </c>
      <c r="BY10" s="4">
        <f t="shared" si="7"/>
        <v>0</v>
      </c>
      <c r="BZ10" s="4" t="str">
        <f t="shared" si="8"/>
        <v/>
      </c>
      <c r="CA10" s="4" t="str">
        <f t="shared" si="9"/>
        <v/>
      </c>
      <c r="CB10" s="4" t="str">
        <f t="shared" si="10"/>
        <v/>
      </c>
      <c r="CC10" s="53">
        <f t="shared" si="11"/>
        <v>195</v>
      </c>
      <c r="CD10" s="55">
        <f t="shared" si="12"/>
        <v>6.5</v>
      </c>
      <c r="CE10" s="4" t="str">
        <f t="shared" si="13"/>
        <v/>
      </c>
      <c r="CF10" s="4">
        <f t="shared" si="14"/>
        <v>-0.68500000000000227</v>
      </c>
      <c r="CG10" s="4" t="str">
        <f t="shared" si="15"/>
        <v/>
      </c>
      <c r="CH10" s="4">
        <f t="shared" si="16"/>
        <v>-0.68500000000000227</v>
      </c>
      <c r="CI10" s="4">
        <f t="shared" si="17"/>
        <v>-0.25</v>
      </c>
      <c r="CJ10" s="4">
        <f t="shared" si="18"/>
        <v>-0.75</v>
      </c>
      <c r="CK10" s="93">
        <f t="shared" si="19"/>
        <v>-0.16000000000000003</v>
      </c>
      <c r="CL10" s="83">
        <f t="shared" si="20"/>
        <v>-117</v>
      </c>
      <c r="CM10" s="4">
        <f t="shared" si="21"/>
        <v>0.10000000000000142</v>
      </c>
      <c r="CN10" s="96">
        <f t="shared" si="22"/>
        <v>-0.59</v>
      </c>
      <c r="CO10" s="96">
        <f t="shared" si="132"/>
        <v>0.30102999566398114</v>
      </c>
      <c r="CP10" s="127">
        <f t="shared" si="23"/>
        <v>1</v>
      </c>
      <c r="CQ10" s="127">
        <f t="shared" si="24"/>
        <v>-0.5</v>
      </c>
      <c r="CR10" s="136">
        <f t="shared" si="25"/>
        <v>30</v>
      </c>
      <c r="CS10" s="136">
        <f t="shared" si="26"/>
        <v>60</v>
      </c>
      <c r="CT10" s="135" t="str">
        <f t="shared" si="27"/>
        <v/>
      </c>
      <c r="CU10" s="139">
        <f t="shared" si="28"/>
        <v>0</v>
      </c>
      <c r="CV10" s="96" t="str">
        <f t="shared" si="29"/>
        <v/>
      </c>
      <c r="CW10" s="141" t="b">
        <f t="shared" si="30"/>
        <v>0</v>
      </c>
      <c r="CX10">
        <v>7.42</v>
      </c>
      <c r="CY10" s="4">
        <v>7.98</v>
      </c>
      <c r="CZ10" s="4">
        <v>120.3</v>
      </c>
      <c r="DA10" s="4">
        <v>3.2</v>
      </c>
      <c r="DB10" s="4">
        <v>0.38</v>
      </c>
      <c r="DC10" s="4">
        <v>0.55000000000000004</v>
      </c>
      <c r="DD10" s="4">
        <v>2.2599999999999998</v>
      </c>
      <c r="DE10" s="4">
        <v>2.92</v>
      </c>
      <c r="DF10" s="4">
        <v>660</v>
      </c>
      <c r="DG10" s="4">
        <v>660</v>
      </c>
      <c r="DH10" s="4">
        <v>736</v>
      </c>
      <c r="DI10" s="4">
        <v>707</v>
      </c>
      <c r="DJ10" s="4">
        <v>731</v>
      </c>
      <c r="DK10" s="4">
        <v>722</v>
      </c>
      <c r="DL10" s="4">
        <v>634</v>
      </c>
      <c r="DM10" s="4">
        <v>-0.94</v>
      </c>
      <c r="DN10" s="4">
        <v>1.4</v>
      </c>
      <c r="DO10" s="4">
        <v>7.63</v>
      </c>
      <c r="DP10" s="4">
        <v>7.89</v>
      </c>
      <c r="DQ10" s="4">
        <v>7.93</v>
      </c>
      <c r="DR10" s="4">
        <v>8.01</v>
      </c>
      <c r="DS10" s="4">
        <v>8.2100000000000009</v>
      </c>
      <c r="DT10" s="4">
        <v>8.23</v>
      </c>
      <c r="DU10" s="4">
        <v>0</v>
      </c>
      <c r="DV10" s="4">
        <v>0.7</v>
      </c>
      <c r="DW10" s="4">
        <v>7.02</v>
      </c>
      <c r="DX10" s="4">
        <v>6.51</v>
      </c>
      <c r="DY10" s="4">
        <v>6.44</v>
      </c>
      <c r="DZ10" s="4">
        <v>6.73</v>
      </c>
      <c r="EA10" s="4">
        <v>6.77</v>
      </c>
      <c r="EB10" s="4">
        <v>0</v>
      </c>
      <c r="EC10" s="4">
        <v>0</v>
      </c>
      <c r="ED10" s="89">
        <v>0.7</v>
      </c>
      <c r="EE10" s="110">
        <v>42.3</v>
      </c>
      <c r="EF10" s="110">
        <v>45.5</v>
      </c>
      <c r="EG10" s="110">
        <v>43.8</v>
      </c>
      <c r="EH10" s="110">
        <v>120.3</v>
      </c>
      <c r="EI10" s="110">
        <v>3.2</v>
      </c>
      <c r="EJ10" s="110">
        <v>-5.4</v>
      </c>
      <c r="EK10" s="110">
        <v>-6.4</v>
      </c>
      <c r="EL10" s="110">
        <v>-5.9</v>
      </c>
      <c r="EM10" s="110">
        <v>115.2</v>
      </c>
      <c r="EN10" s="110">
        <v>1</v>
      </c>
      <c r="EO10" s="110">
        <v>4.7</v>
      </c>
      <c r="EP10" s="110">
        <v>13.5</v>
      </c>
      <c r="EQ10" s="110">
        <v>28.8</v>
      </c>
      <c r="ER10" s="110">
        <v>68.900000000000006</v>
      </c>
      <c r="ES10" s="114">
        <v>54</v>
      </c>
      <c r="ET10" s="83">
        <v>7.72</v>
      </c>
      <c r="EU10" s="4">
        <v>7.38</v>
      </c>
      <c r="EV10" s="4">
        <v>141.5</v>
      </c>
      <c r="EW10" s="4">
        <v>-2</v>
      </c>
      <c r="EX10" s="4">
        <v>0.73</v>
      </c>
      <c r="EY10" s="4">
        <v>0.75</v>
      </c>
      <c r="EZ10" s="4">
        <v>4.3600000000000003</v>
      </c>
      <c r="FA10" s="4">
        <v>4.87</v>
      </c>
      <c r="FB10" s="4">
        <v>506</v>
      </c>
      <c r="FC10" s="4">
        <v>494</v>
      </c>
      <c r="FD10" s="4">
        <v>667</v>
      </c>
      <c r="FE10" s="4">
        <v>589</v>
      </c>
      <c r="FF10" s="4">
        <v>618</v>
      </c>
      <c r="FG10" s="4">
        <v>606</v>
      </c>
      <c r="FH10" s="4">
        <v>462</v>
      </c>
      <c r="FI10" s="4">
        <v>-0.93</v>
      </c>
      <c r="FJ10" s="4">
        <v>-1.33</v>
      </c>
      <c r="FK10" s="4">
        <v>7.52</v>
      </c>
      <c r="FL10" s="4">
        <v>7.69</v>
      </c>
      <c r="FM10" s="4">
        <v>7.82</v>
      </c>
      <c r="FN10" s="4">
        <v>8.02</v>
      </c>
      <c r="FO10" s="4">
        <v>8.4</v>
      </c>
      <c r="FP10" s="4">
        <v>8.61</v>
      </c>
      <c r="FQ10" s="4">
        <v>0</v>
      </c>
      <c r="FR10" s="4">
        <v>1.3</v>
      </c>
      <c r="FS10" s="4">
        <v>6.13</v>
      </c>
      <c r="FT10" s="4">
        <v>5.99</v>
      </c>
      <c r="FU10" s="4">
        <v>6.09</v>
      </c>
      <c r="FV10" s="4">
        <v>6.37</v>
      </c>
      <c r="FW10" s="4">
        <v>6.63</v>
      </c>
      <c r="FX10" s="4">
        <v>0</v>
      </c>
      <c r="FY10" s="4">
        <v>0</v>
      </c>
      <c r="FZ10" s="86">
        <v>1.3</v>
      </c>
      <c r="GA10" s="110">
        <v>43.7</v>
      </c>
      <c r="GB10" s="110">
        <v>45.7</v>
      </c>
      <c r="GC10" s="110">
        <v>44.7</v>
      </c>
      <c r="GD10" s="110">
        <v>141.5</v>
      </c>
      <c r="GE10" s="110">
        <v>2</v>
      </c>
      <c r="GF10" s="110">
        <v>-6.5</v>
      </c>
      <c r="GG10" s="110">
        <v>-6.7</v>
      </c>
      <c r="GH10" s="110">
        <v>-6.6</v>
      </c>
      <c r="GI10" s="110">
        <v>29.9</v>
      </c>
      <c r="GJ10" s="110">
        <v>0.1</v>
      </c>
      <c r="GK10" s="110">
        <v>3.7</v>
      </c>
      <c r="GL10" s="110">
        <v>10.9</v>
      </c>
      <c r="GM10" s="110">
        <v>24.2</v>
      </c>
      <c r="GN10" s="110">
        <v>62.1</v>
      </c>
      <c r="GO10" s="119">
        <v>37</v>
      </c>
      <c r="IL10" s="83">
        <f t="shared" si="31"/>
        <v>7.72</v>
      </c>
      <c r="IM10" s="4">
        <f t="shared" si="32"/>
        <v>7.38</v>
      </c>
      <c r="IN10" s="4">
        <f t="shared" si="33"/>
        <v>141.5</v>
      </c>
      <c r="IO10" s="4">
        <f t="shared" si="34"/>
        <v>-2</v>
      </c>
      <c r="IP10" s="4">
        <f t="shared" si="35"/>
        <v>0.73</v>
      </c>
      <c r="IQ10" s="4">
        <f t="shared" si="36"/>
        <v>0.75</v>
      </c>
      <c r="IR10" s="4">
        <f t="shared" si="37"/>
        <v>4.3600000000000003</v>
      </c>
      <c r="IS10" s="4">
        <f t="shared" si="38"/>
        <v>4.87</v>
      </c>
      <c r="IT10" s="4">
        <f t="shared" si="39"/>
        <v>506</v>
      </c>
      <c r="IU10" s="4">
        <f t="shared" si="40"/>
        <v>494</v>
      </c>
      <c r="IV10" s="4">
        <f t="shared" si="41"/>
        <v>667</v>
      </c>
      <c r="IW10" s="4">
        <f t="shared" si="42"/>
        <v>589</v>
      </c>
      <c r="IX10" s="4">
        <f t="shared" si="43"/>
        <v>618</v>
      </c>
      <c r="IY10" s="4">
        <f t="shared" si="44"/>
        <v>606</v>
      </c>
      <c r="IZ10" s="4">
        <f t="shared" si="45"/>
        <v>462</v>
      </c>
      <c r="JA10" s="4">
        <f t="shared" si="46"/>
        <v>-0.93</v>
      </c>
      <c r="JB10" s="4">
        <f t="shared" si="47"/>
        <v>-1.33</v>
      </c>
      <c r="JC10" s="4">
        <f t="shared" si="48"/>
        <v>7.52</v>
      </c>
      <c r="JD10" s="4">
        <f t="shared" si="49"/>
        <v>7.69</v>
      </c>
      <c r="JE10" s="4">
        <f t="shared" si="50"/>
        <v>7.82</v>
      </c>
      <c r="JF10" s="4">
        <f t="shared" si="51"/>
        <v>8.02</v>
      </c>
      <c r="JG10" s="4">
        <f t="shared" si="52"/>
        <v>8.4</v>
      </c>
      <c r="JH10" s="4">
        <f t="shared" si="53"/>
        <v>8.61</v>
      </c>
      <c r="JI10" s="4">
        <f t="shared" si="54"/>
        <v>0</v>
      </c>
      <c r="JJ10" s="4">
        <f t="shared" si="55"/>
        <v>1.3</v>
      </c>
      <c r="JK10" s="4">
        <f t="shared" si="56"/>
        <v>6.13</v>
      </c>
      <c r="JL10" s="4">
        <f t="shared" si="57"/>
        <v>5.99</v>
      </c>
      <c r="JM10" s="4">
        <f t="shared" si="58"/>
        <v>6.09</v>
      </c>
      <c r="JN10" s="4">
        <f t="shared" si="59"/>
        <v>6.37</v>
      </c>
      <c r="JO10" s="4">
        <f t="shared" si="60"/>
        <v>6.63</v>
      </c>
      <c r="JP10" s="4">
        <f t="shared" si="61"/>
        <v>0</v>
      </c>
      <c r="JQ10" s="117">
        <f t="shared" si="62"/>
        <v>0</v>
      </c>
      <c r="JR10" s="110">
        <f t="shared" si="63"/>
        <v>1.3</v>
      </c>
      <c r="JS10" s="110">
        <f t="shared" si="64"/>
        <v>43.7</v>
      </c>
      <c r="JT10" s="110">
        <f t="shared" si="65"/>
        <v>45.7</v>
      </c>
      <c r="JU10" s="110">
        <f t="shared" si="66"/>
        <v>44.7</v>
      </c>
      <c r="JV10" s="110">
        <f t="shared" si="67"/>
        <v>141.5</v>
      </c>
      <c r="JW10" s="110">
        <f t="shared" si="68"/>
        <v>2</v>
      </c>
      <c r="JX10" s="110">
        <f t="shared" si="69"/>
        <v>-6.5</v>
      </c>
      <c r="JY10" s="110">
        <f t="shared" si="70"/>
        <v>-6.7</v>
      </c>
      <c r="JZ10" s="110">
        <f t="shared" si="71"/>
        <v>-6.6</v>
      </c>
      <c r="KA10" s="110">
        <f t="shared" si="72"/>
        <v>29.9</v>
      </c>
      <c r="KB10" s="110">
        <f t="shared" si="73"/>
        <v>0.1</v>
      </c>
      <c r="KC10" s="110">
        <f t="shared" si="74"/>
        <v>3.7</v>
      </c>
      <c r="KD10" s="110">
        <f t="shared" si="75"/>
        <v>10.9</v>
      </c>
      <c r="KE10" s="110">
        <f t="shared" si="76"/>
        <v>24.2</v>
      </c>
      <c r="KF10" s="110">
        <f t="shared" si="77"/>
        <v>62.1</v>
      </c>
      <c r="KG10" s="121">
        <f t="shared" si="78"/>
        <v>37</v>
      </c>
      <c r="KH10" s="83">
        <f t="shared" si="79"/>
        <v>0.29999999999999982</v>
      </c>
      <c r="KI10" s="4">
        <f t="shared" si="80"/>
        <v>-0.60000000000000053</v>
      </c>
      <c r="KJ10" s="4">
        <f t="shared" si="81"/>
        <v>21.200000000000003</v>
      </c>
      <c r="KK10" s="4">
        <f t="shared" si="82"/>
        <v>-5.2</v>
      </c>
      <c r="KL10" s="4">
        <f t="shared" si="83"/>
        <v>0.35</v>
      </c>
      <c r="KM10" s="4">
        <f t="shared" si="84"/>
        <v>0.19999999999999996</v>
      </c>
      <c r="KN10" s="4">
        <f t="shared" si="85"/>
        <v>2.1000000000000005</v>
      </c>
      <c r="KO10" s="4">
        <f t="shared" si="86"/>
        <v>1.9500000000000002</v>
      </c>
      <c r="KP10" s="4">
        <f t="shared" si="87"/>
        <v>-154</v>
      </c>
      <c r="KQ10" s="4">
        <f t="shared" si="88"/>
        <v>-166</v>
      </c>
      <c r="KR10" s="4">
        <f t="shared" si="89"/>
        <v>-69</v>
      </c>
      <c r="KS10" s="4">
        <f t="shared" si="90"/>
        <v>-118</v>
      </c>
      <c r="KT10" s="4">
        <f t="shared" si="91"/>
        <v>-113</v>
      </c>
      <c r="KU10" s="4">
        <f t="shared" si="92"/>
        <v>-116</v>
      </c>
      <c r="KV10" s="4">
        <f t="shared" si="93"/>
        <v>-172</v>
      </c>
      <c r="KW10" s="4">
        <f t="shared" si="94"/>
        <v>9.9999999999998979E-3</v>
      </c>
      <c r="KX10" s="4">
        <f t="shared" si="95"/>
        <v>-2.73</v>
      </c>
      <c r="KY10" s="4">
        <f t="shared" si="96"/>
        <v>-0.11000000000000032</v>
      </c>
      <c r="KZ10" s="4">
        <f t="shared" si="97"/>
        <v>-0.19999999999999929</v>
      </c>
      <c r="LA10" s="4">
        <f t="shared" si="98"/>
        <v>-0.10999999999999943</v>
      </c>
      <c r="LB10" s="4">
        <f t="shared" si="99"/>
        <v>9.9999999999997868E-3</v>
      </c>
      <c r="LC10" s="4">
        <f t="shared" si="100"/>
        <v>0.1899999999999995</v>
      </c>
      <c r="LD10" s="4">
        <f t="shared" si="101"/>
        <v>0.37999999999999901</v>
      </c>
      <c r="LE10" s="4">
        <f t="shared" si="102"/>
        <v>0</v>
      </c>
      <c r="LF10" s="4">
        <f t="shared" si="103"/>
        <v>0.60000000000000009</v>
      </c>
      <c r="LG10" s="4">
        <f t="shared" si="104"/>
        <v>-0.88999999999999968</v>
      </c>
      <c r="LH10" s="4">
        <f t="shared" si="105"/>
        <v>-0.51999999999999957</v>
      </c>
      <c r="LI10" s="4">
        <f t="shared" si="106"/>
        <v>-0.35000000000000053</v>
      </c>
      <c r="LJ10" s="4">
        <f t="shared" si="107"/>
        <v>-0.36000000000000032</v>
      </c>
      <c r="LK10" s="4">
        <f t="shared" si="108"/>
        <v>-0.13999999999999968</v>
      </c>
      <c r="LL10" s="4">
        <f t="shared" si="109"/>
        <v>0</v>
      </c>
      <c r="LM10" s="4">
        <f t="shared" si="110"/>
        <v>0</v>
      </c>
      <c r="LN10" s="4">
        <f t="shared" si="111"/>
        <v>0.60000000000000009</v>
      </c>
      <c r="LO10" s="4">
        <f t="shared" si="112"/>
        <v>1.4000000000000057</v>
      </c>
      <c r="LP10" s="4">
        <f t="shared" si="113"/>
        <v>0.20000000000000284</v>
      </c>
      <c r="LQ10" s="4">
        <f t="shared" si="114"/>
        <v>0.90000000000000568</v>
      </c>
      <c r="LR10" s="4">
        <f t="shared" si="115"/>
        <v>21.200000000000003</v>
      </c>
      <c r="LS10" s="4">
        <f t="shared" si="116"/>
        <v>-1.2000000000000002</v>
      </c>
      <c r="LT10" s="4">
        <f t="shared" si="117"/>
        <v>-1.0999999999999996</v>
      </c>
      <c r="LU10" s="4">
        <f t="shared" si="118"/>
        <v>-0.29999999999999982</v>
      </c>
      <c r="LV10" s="4">
        <f t="shared" si="119"/>
        <v>-0.69999999999999929</v>
      </c>
      <c r="LW10" s="4">
        <f t="shared" si="120"/>
        <v>-85.300000000000011</v>
      </c>
      <c r="LX10" s="4">
        <f t="shared" si="121"/>
        <v>-0.9</v>
      </c>
      <c r="LY10" s="4">
        <f t="shared" si="122"/>
        <v>-1</v>
      </c>
      <c r="LZ10" s="4">
        <f t="shared" si="123"/>
        <v>-2.5999999999999996</v>
      </c>
      <c r="MA10" s="4">
        <f t="shared" si="124"/>
        <v>-4.6000000000000014</v>
      </c>
      <c r="MB10" s="4">
        <f t="shared" si="125"/>
        <v>-6.8000000000000043</v>
      </c>
      <c r="MC10" s="4">
        <f t="shared" si="126"/>
        <v>-17</v>
      </c>
      <c r="MD10" s="4" t="str">
        <f t="shared" si="127"/>
        <v/>
      </c>
      <c r="ME10" s="4" t="str">
        <f t="shared" si="128"/>
        <v/>
      </c>
      <c r="MF10" s="4" t="str">
        <f t="shared" si="129"/>
        <v/>
      </c>
      <c r="MG10" s="4">
        <f t="shared" si="130"/>
        <v>6.7</v>
      </c>
    </row>
    <row r="11" spans="1:345" ht="26.25" customHeight="1" thickBot="1" x14ac:dyDescent="0.25">
      <c r="A11" s="35">
        <v>41185</v>
      </c>
      <c r="B11" s="36" t="s">
        <v>180</v>
      </c>
      <c r="C11" s="36" t="s">
        <v>6</v>
      </c>
      <c r="D11" s="31" t="s">
        <v>110</v>
      </c>
      <c r="E11" s="4">
        <v>67</v>
      </c>
      <c r="F11" s="3">
        <v>16661</v>
      </c>
      <c r="G11" s="4" t="s">
        <v>87</v>
      </c>
      <c r="H11" s="4" t="s">
        <v>108</v>
      </c>
      <c r="I11" s="4">
        <v>1828136</v>
      </c>
      <c r="J11" s="2" t="s">
        <v>309</v>
      </c>
      <c r="K11" s="54" t="s">
        <v>622</v>
      </c>
      <c r="L11" s="229"/>
      <c r="M11" s="229"/>
      <c r="N11" s="231"/>
      <c r="O11" s="261"/>
      <c r="P11" s="231"/>
      <c r="Q11" s="231"/>
      <c r="R11" s="33">
        <v>-0.5</v>
      </c>
      <c r="S11" s="4">
        <v>-0.52</v>
      </c>
      <c r="T11" s="4" t="s">
        <v>249</v>
      </c>
      <c r="U11" s="67">
        <v>23.25</v>
      </c>
      <c r="V11" s="124">
        <v>41113</v>
      </c>
      <c r="W11" s="67">
        <v>-0.25</v>
      </c>
      <c r="X11" s="67">
        <v>1.25</v>
      </c>
      <c r="Y11" s="4">
        <v>166</v>
      </c>
      <c r="Z11" s="4">
        <v>60</v>
      </c>
      <c r="AA11" s="4">
        <v>22</v>
      </c>
      <c r="AB11" s="4">
        <v>684</v>
      </c>
      <c r="AC11" s="4">
        <v>23.02</v>
      </c>
      <c r="AF11" s="4" t="s">
        <v>82</v>
      </c>
      <c r="AG11" s="4">
        <v>42.92</v>
      </c>
      <c r="AH11" s="4">
        <v>66</v>
      </c>
      <c r="AI11" s="4">
        <v>44.1</v>
      </c>
      <c r="AJ11" s="4">
        <v>156</v>
      </c>
      <c r="AK11" s="4">
        <v>1</v>
      </c>
      <c r="AL11" s="4" t="b">
        <f t="shared" si="0"/>
        <v>1</v>
      </c>
      <c r="AM11" s="54"/>
      <c r="AN11" s="32">
        <v>41365</v>
      </c>
      <c r="AO11" s="60">
        <v>40</v>
      </c>
      <c r="AP11" s="67">
        <v>-3</v>
      </c>
      <c r="AQ11" s="67">
        <v>1</v>
      </c>
      <c r="AR11" s="4">
        <v>112</v>
      </c>
      <c r="AS11" s="4">
        <v>25</v>
      </c>
      <c r="AT11" s="4">
        <v>20</v>
      </c>
      <c r="AU11" s="4">
        <v>519</v>
      </c>
      <c r="AV11" s="4">
        <v>2395</v>
      </c>
      <c r="AW11" s="4">
        <v>23.12</v>
      </c>
      <c r="AX11" s="4">
        <v>3.34</v>
      </c>
      <c r="AY11" s="4">
        <v>44.23</v>
      </c>
      <c r="AZ11" s="4">
        <v>52</v>
      </c>
      <c r="BA11" s="4">
        <v>45.18</v>
      </c>
      <c r="BB11" s="4">
        <v>142</v>
      </c>
      <c r="BC11" s="4">
        <f t="shared" si="1"/>
        <v>-2.5</v>
      </c>
      <c r="BD11" s="4">
        <f t="shared" si="2"/>
        <v>-1.98</v>
      </c>
      <c r="BE11" s="4">
        <f t="shared" si="3"/>
        <v>-165</v>
      </c>
      <c r="BF11" s="3">
        <v>41562</v>
      </c>
      <c r="BH11" s="67">
        <v>-3.25</v>
      </c>
      <c r="BI11" s="67">
        <v>1</v>
      </c>
      <c r="BJ11" s="4">
        <v>108</v>
      </c>
      <c r="BK11" s="4">
        <v>30</v>
      </c>
      <c r="BL11" s="4">
        <v>16</v>
      </c>
      <c r="BM11" s="4">
        <v>514</v>
      </c>
      <c r="BN11" s="4">
        <v>2309</v>
      </c>
      <c r="BO11" s="4">
        <v>23.06</v>
      </c>
      <c r="BP11" s="4">
        <v>3.65</v>
      </c>
      <c r="BQ11" s="4">
        <v>43.55</v>
      </c>
      <c r="BR11" s="4">
        <v>65</v>
      </c>
      <c r="BS11" s="4">
        <v>44.88</v>
      </c>
      <c r="BT11" s="4">
        <v>155</v>
      </c>
      <c r="BU11" s="4">
        <f t="shared" si="131"/>
        <v>-2.75</v>
      </c>
      <c r="BV11" s="4">
        <f t="shared" si="4"/>
        <v>-2.23</v>
      </c>
      <c r="BW11" s="4">
        <f t="shared" si="5"/>
        <v>-170</v>
      </c>
      <c r="BX11" s="4">
        <f t="shared" si="6"/>
        <v>1</v>
      </c>
      <c r="BY11" s="4">
        <f t="shared" si="7"/>
        <v>1</v>
      </c>
      <c r="BZ11" s="4">
        <f t="shared" si="8"/>
        <v>0.375</v>
      </c>
      <c r="CA11" s="4">
        <f t="shared" si="9"/>
        <v>-2.5</v>
      </c>
      <c r="CB11" s="4">
        <f t="shared" si="10"/>
        <v>-2.75</v>
      </c>
      <c r="CC11" s="53">
        <f t="shared" si="11"/>
        <v>377</v>
      </c>
      <c r="CD11" s="55">
        <f t="shared" si="12"/>
        <v>12.566666666666666</v>
      </c>
      <c r="CE11" s="4">
        <f t="shared" si="13"/>
        <v>-0.25</v>
      </c>
      <c r="CF11" s="4">
        <f t="shared" si="14"/>
        <v>1.1949999999999932</v>
      </c>
      <c r="CG11" s="4">
        <f t="shared" si="15"/>
        <v>0.70499999999999829</v>
      </c>
      <c r="CH11" s="4">
        <f t="shared" si="16"/>
        <v>0.70499999999999829</v>
      </c>
      <c r="CI11" s="4">
        <f t="shared" si="17"/>
        <v>0.375</v>
      </c>
      <c r="CJ11" s="4">
        <f t="shared" si="18"/>
        <v>-2.75</v>
      </c>
      <c r="CK11" s="93">
        <f t="shared" si="19"/>
        <v>-2.23</v>
      </c>
      <c r="CL11" s="83">
        <f t="shared" si="20"/>
        <v>-170</v>
      </c>
      <c r="CM11" s="4">
        <f t="shared" si="21"/>
        <v>0.10000000000000142</v>
      </c>
      <c r="CN11" s="96">
        <f t="shared" si="22"/>
        <v>-0.52</v>
      </c>
      <c r="CO11" s="96">
        <f t="shared" si="132"/>
        <v>0.30102999566398114</v>
      </c>
      <c r="CP11" s="127">
        <f t="shared" si="23"/>
        <v>1</v>
      </c>
      <c r="CQ11" s="127">
        <f t="shared" si="24"/>
        <v>-0.25</v>
      </c>
      <c r="CR11" s="136">
        <f t="shared" si="25"/>
        <v>30</v>
      </c>
      <c r="CS11" s="136">
        <f t="shared" si="26"/>
        <v>60</v>
      </c>
      <c r="CT11" s="135">
        <f t="shared" si="27"/>
        <v>40</v>
      </c>
      <c r="CU11" s="139" t="str">
        <f t="shared" si="28"/>
        <v/>
      </c>
      <c r="CV11" s="96" t="str">
        <f t="shared" si="29"/>
        <v/>
      </c>
      <c r="CW11" s="141" t="str">
        <f t="shared" si="30"/>
        <v/>
      </c>
      <c r="ET11" s="83">
        <v>7.5</v>
      </c>
      <c r="EU11" s="4">
        <v>7.7</v>
      </c>
      <c r="EV11" s="4">
        <v>57.9</v>
      </c>
      <c r="EW11" s="4">
        <v>1.1000000000000001</v>
      </c>
      <c r="EX11" s="4">
        <v>0.73</v>
      </c>
      <c r="EY11" s="4">
        <v>0.73</v>
      </c>
      <c r="EZ11" s="4">
        <v>-0.54</v>
      </c>
      <c r="FA11" s="4">
        <v>0.01</v>
      </c>
      <c r="FB11" s="4">
        <v>546</v>
      </c>
      <c r="FC11" s="4">
        <v>545</v>
      </c>
      <c r="FD11" s="4">
        <v>726</v>
      </c>
      <c r="FE11" s="4">
        <v>635</v>
      </c>
      <c r="FF11" s="4">
        <v>721</v>
      </c>
      <c r="FG11" s="4">
        <v>639</v>
      </c>
      <c r="FH11" s="4">
        <v>525</v>
      </c>
      <c r="FI11" s="4">
        <v>1.0900000000000001</v>
      </c>
      <c r="FJ11" s="4">
        <v>-1.0900000000000001</v>
      </c>
      <c r="FK11" s="4">
        <v>7.58</v>
      </c>
      <c r="FL11" s="4">
        <v>7.68</v>
      </c>
      <c r="FM11" s="4">
        <v>7.85</v>
      </c>
      <c r="FN11" s="4">
        <v>8.09</v>
      </c>
      <c r="FO11" s="4">
        <v>8.3000000000000007</v>
      </c>
      <c r="FP11" s="4">
        <v>0</v>
      </c>
      <c r="FQ11" s="4">
        <v>0</v>
      </c>
      <c r="FR11" s="4">
        <v>1.1000000000000001</v>
      </c>
      <c r="FS11" s="4">
        <v>6.22</v>
      </c>
      <c r="FT11" s="4">
        <v>5.82</v>
      </c>
      <c r="FU11" s="4">
        <v>5.99</v>
      </c>
      <c r="FV11" s="4">
        <v>6.62</v>
      </c>
      <c r="FW11" s="4">
        <v>6.59</v>
      </c>
      <c r="FX11" s="4">
        <v>0</v>
      </c>
      <c r="FY11" s="4">
        <v>0</v>
      </c>
      <c r="FZ11" s="86">
        <v>1.1000000000000001</v>
      </c>
      <c r="IL11" s="83">
        <f t="shared" si="31"/>
        <v>7.5</v>
      </c>
      <c r="IM11" s="4">
        <f t="shared" si="32"/>
        <v>7.7</v>
      </c>
      <c r="IN11" s="4">
        <f t="shared" si="33"/>
        <v>57.9</v>
      </c>
      <c r="IO11" s="4">
        <f t="shared" si="34"/>
        <v>1.1000000000000001</v>
      </c>
      <c r="IP11" s="4">
        <f t="shared" si="35"/>
        <v>0.73</v>
      </c>
      <c r="IQ11" s="4">
        <f t="shared" si="36"/>
        <v>0.73</v>
      </c>
      <c r="IR11" s="4">
        <f t="shared" si="37"/>
        <v>-0.54</v>
      </c>
      <c r="IS11" s="4">
        <f t="shared" si="38"/>
        <v>0.01</v>
      </c>
      <c r="IT11" s="4">
        <f t="shared" si="39"/>
        <v>546</v>
      </c>
      <c r="IU11" s="4">
        <f t="shared" si="40"/>
        <v>545</v>
      </c>
      <c r="IV11" s="4">
        <f t="shared" si="41"/>
        <v>726</v>
      </c>
      <c r="IW11" s="4">
        <f t="shared" si="42"/>
        <v>635</v>
      </c>
      <c r="IX11" s="4">
        <f t="shared" si="43"/>
        <v>721</v>
      </c>
      <c r="IY11" s="4">
        <f t="shared" si="44"/>
        <v>639</v>
      </c>
      <c r="IZ11" s="4">
        <f t="shared" si="45"/>
        <v>525</v>
      </c>
      <c r="JA11" s="4">
        <f t="shared" si="46"/>
        <v>1.0900000000000001</v>
      </c>
      <c r="JB11" s="4">
        <f t="shared" si="47"/>
        <v>-1.0900000000000001</v>
      </c>
      <c r="JC11" s="4">
        <f t="shared" si="48"/>
        <v>7.58</v>
      </c>
      <c r="JD11" s="4">
        <f t="shared" si="49"/>
        <v>7.68</v>
      </c>
      <c r="JE11" s="4">
        <f t="shared" si="50"/>
        <v>7.85</v>
      </c>
      <c r="JF11" s="4">
        <f t="shared" si="51"/>
        <v>8.09</v>
      </c>
      <c r="JG11" s="4">
        <f t="shared" si="52"/>
        <v>8.3000000000000007</v>
      </c>
      <c r="JH11" s="4">
        <f t="shared" si="53"/>
        <v>0</v>
      </c>
      <c r="JI11" s="4">
        <f t="shared" si="54"/>
        <v>0</v>
      </c>
      <c r="JJ11" s="4">
        <f t="shared" si="55"/>
        <v>1.1000000000000001</v>
      </c>
      <c r="JK11" s="4">
        <f t="shared" si="56"/>
        <v>6.22</v>
      </c>
      <c r="JL11" s="4">
        <f t="shared" si="57"/>
        <v>5.82</v>
      </c>
      <c r="JM11" s="4">
        <f t="shared" si="58"/>
        <v>5.99</v>
      </c>
      <c r="JN11" s="4">
        <f t="shared" si="59"/>
        <v>6.62</v>
      </c>
      <c r="JO11" s="4">
        <f t="shared" si="60"/>
        <v>6.59</v>
      </c>
      <c r="JP11" s="4">
        <f t="shared" si="61"/>
        <v>0</v>
      </c>
      <c r="JQ11" s="117">
        <f t="shared" si="62"/>
        <v>0</v>
      </c>
      <c r="JR11" s="110">
        <f t="shared" si="63"/>
        <v>1.1000000000000001</v>
      </c>
      <c r="JS11" s="110" t="str">
        <f t="shared" si="64"/>
        <v/>
      </c>
      <c r="JT11" s="110" t="str">
        <f t="shared" si="65"/>
        <v/>
      </c>
      <c r="JU11" s="110" t="str">
        <f t="shared" si="66"/>
        <v/>
      </c>
      <c r="JV11" s="110" t="str">
        <f t="shared" si="67"/>
        <v/>
      </c>
      <c r="JW11" s="110" t="str">
        <f t="shared" si="68"/>
        <v/>
      </c>
      <c r="JX11" s="110" t="str">
        <f t="shared" si="69"/>
        <v/>
      </c>
      <c r="JY11" s="110" t="str">
        <f t="shared" si="70"/>
        <v/>
      </c>
      <c r="JZ11" s="110" t="str">
        <f t="shared" si="71"/>
        <v/>
      </c>
      <c r="KA11" s="110" t="str">
        <f t="shared" si="72"/>
        <v/>
      </c>
      <c r="KB11" s="110" t="str">
        <f t="shared" si="73"/>
        <v/>
      </c>
      <c r="KC11" s="110" t="str">
        <f t="shared" si="74"/>
        <v/>
      </c>
      <c r="KD11" s="110" t="str">
        <f t="shared" si="75"/>
        <v/>
      </c>
      <c r="KE11" s="110" t="str">
        <f t="shared" si="76"/>
        <v/>
      </c>
      <c r="KF11" s="110" t="str">
        <f t="shared" si="77"/>
        <v/>
      </c>
      <c r="KG11" s="121" t="str">
        <f t="shared" si="78"/>
        <v/>
      </c>
      <c r="KH11" s="83" t="str">
        <f t="shared" si="79"/>
        <v/>
      </c>
      <c r="KI11" s="4" t="str">
        <f t="shared" si="80"/>
        <v/>
      </c>
      <c r="KJ11" s="4" t="str">
        <f t="shared" si="81"/>
        <v/>
      </c>
      <c r="KK11" s="4" t="str">
        <f t="shared" si="82"/>
        <v/>
      </c>
      <c r="KL11" s="4" t="str">
        <f t="shared" si="83"/>
        <v/>
      </c>
      <c r="KM11" s="4" t="str">
        <f t="shared" si="84"/>
        <v/>
      </c>
      <c r="KN11" s="4" t="str">
        <f t="shared" si="85"/>
        <v/>
      </c>
      <c r="KO11" s="4" t="str">
        <f t="shared" si="86"/>
        <v/>
      </c>
      <c r="KP11" s="4" t="str">
        <f t="shared" si="87"/>
        <v/>
      </c>
      <c r="KQ11" s="4" t="str">
        <f t="shared" si="88"/>
        <v/>
      </c>
      <c r="KR11" s="4" t="str">
        <f t="shared" si="89"/>
        <v/>
      </c>
      <c r="KS11" s="4" t="str">
        <f t="shared" si="90"/>
        <v/>
      </c>
      <c r="KT11" s="4" t="str">
        <f t="shared" si="91"/>
        <v/>
      </c>
      <c r="KU11" s="4" t="str">
        <f t="shared" si="92"/>
        <v/>
      </c>
      <c r="KV11" s="4" t="str">
        <f t="shared" si="93"/>
        <v/>
      </c>
      <c r="KW11" s="4" t="str">
        <f t="shared" si="94"/>
        <v/>
      </c>
      <c r="KX11" s="4" t="str">
        <f t="shared" si="95"/>
        <v/>
      </c>
      <c r="KY11" s="4" t="str">
        <f t="shared" si="96"/>
        <v/>
      </c>
      <c r="KZ11" s="4" t="str">
        <f t="shared" si="97"/>
        <v/>
      </c>
      <c r="LA11" s="4" t="str">
        <f t="shared" si="98"/>
        <v/>
      </c>
      <c r="LB11" s="4" t="str">
        <f t="shared" si="99"/>
        <v/>
      </c>
      <c r="LC11" s="4" t="str">
        <f t="shared" si="100"/>
        <v/>
      </c>
      <c r="LD11" s="4" t="str">
        <f t="shared" si="101"/>
        <v/>
      </c>
      <c r="LE11" s="4" t="str">
        <f t="shared" si="102"/>
        <v/>
      </c>
      <c r="LF11" s="4" t="str">
        <f t="shared" si="103"/>
        <v/>
      </c>
      <c r="LG11" s="4" t="str">
        <f t="shared" si="104"/>
        <v/>
      </c>
      <c r="LH11" s="4" t="str">
        <f t="shared" si="105"/>
        <v/>
      </c>
      <c r="LI11" s="4" t="str">
        <f t="shared" si="106"/>
        <v/>
      </c>
      <c r="LJ11" s="4" t="str">
        <f t="shared" si="107"/>
        <v/>
      </c>
      <c r="LK11" s="4" t="str">
        <f t="shared" si="108"/>
        <v/>
      </c>
      <c r="LL11" s="4" t="str">
        <f t="shared" si="109"/>
        <v/>
      </c>
      <c r="LM11" s="4" t="str">
        <f t="shared" si="110"/>
        <v/>
      </c>
      <c r="LN11" s="4" t="str">
        <f t="shared" si="111"/>
        <v/>
      </c>
      <c r="LO11" s="4" t="str">
        <f t="shared" si="112"/>
        <v/>
      </c>
      <c r="LP11" s="4" t="str">
        <f t="shared" si="113"/>
        <v/>
      </c>
      <c r="LQ11" s="4" t="str">
        <f t="shared" si="114"/>
        <v/>
      </c>
      <c r="LR11" s="4" t="str">
        <f t="shared" si="115"/>
        <v/>
      </c>
      <c r="LS11" s="4" t="str">
        <f t="shared" si="116"/>
        <v/>
      </c>
      <c r="LT11" s="4" t="str">
        <f t="shared" si="117"/>
        <v/>
      </c>
      <c r="LU11" s="4" t="str">
        <f t="shared" si="118"/>
        <v/>
      </c>
      <c r="LV11" s="4" t="str">
        <f t="shared" si="119"/>
        <v/>
      </c>
      <c r="LW11" s="4" t="str">
        <f t="shared" si="120"/>
        <v/>
      </c>
      <c r="LX11" s="4" t="str">
        <f t="shared" si="121"/>
        <v/>
      </c>
      <c r="LY11" s="4" t="str">
        <f t="shared" si="122"/>
        <v/>
      </c>
      <c r="LZ11" s="4" t="str">
        <f t="shared" si="123"/>
        <v/>
      </c>
      <c r="MA11" s="4" t="str">
        <f t="shared" si="124"/>
        <v/>
      </c>
      <c r="MB11" s="4" t="str">
        <f t="shared" si="125"/>
        <v/>
      </c>
      <c r="MC11" s="4" t="str">
        <f t="shared" si="126"/>
        <v/>
      </c>
      <c r="MD11" s="4" t="str">
        <f t="shared" si="127"/>
        <v/>
      </c>
      <c r="ME11" s="4" t="str">
        <f t="shared" si="128"/>
        <v/>
      </c>
      <c r="MF11" s="4" t="str">
        <f t="shared" si="129"/>
        <v/>
      </c>
      <c r="MG11" s="4">
        <f t="shared" si="130"/>
        <v>0</v>
      </c>
    </row>
    <row r="12" spans="1:345" ht="26.25" customHeight="1" thickBot="1" x14ac:dyDescent="0.25">
      <c r="A12" s="35">
        <v>41367</v>
      </c>
      <c r="B12" s="36" t="s">
        <v>147</v>
      </c>
      <c r="C12" s="36" t="s">
        <v>232</v>
      </c>
      <c r="D12" s="31" t="s">
        <v>110</v>
      </c>
      <c r="E12" s="4">
        <v>65</v>
      </c>
      <c r="F12" s="3">
        <v>17231</v>
      </c>
      <c r="G12" s="4" t="s">
        <v>87</v>
      </c>
      <c r="H12" s="4" t="s">
        <v>108</v>
      </c>
      <c r="I12" s="4">
        <v>1828940</v>
      </c>
      <c r="J12" s="2" t="s">
        <v>309</v>
      </c>
      <c r="K12" s="230"/>
      <c r="L12" s="231">
        <v>1</v>
      </c>
      <c r="M12" s="231"/>
      <c r="N12" s="231"/>
      <c r="O12" s="261"/>
      <c r="P12" s="231"/>
      <c r="Q12" s="231"/>
      <c r="R12" s="33">
        <v>-0.5</v>
      </c>
      <c r="S12" s="4">
        <v>-0.48</v>
      </c>
      <c r="T12" s="4" t="s">
        <v>249</v>
      </c>
      <c r="U12" s="67">
        <v>17.5</v>
      </c>
      <c r="V12" s="124">
        <v>41316</v>
      </c>
      <c r="W12" s="67">
        <v>-3</v>
      </c>
      <c r="X12" s="67">
        <v>1.5</v>
      </c>
      <c r="Y12" s="4">
        <v>25</v>
      </c>
      <c r="Z12" s="4">
        <v>30</v>
      </c>
      <c r="AA12" s="4">
        <v>13</v>
      </c>
      <c r="AB12" s="4">
        <v>553</v>
      </c>
      <c r="AC12" s="4">
        <v>23.91</v>
      </c>
      <c r="AF12" s="4">
        <v>2.5099999999999998</v>
      </c>
      <c r="AG12" s="4">
        <v>45.36</v>
      </c>
      <c r="AH12" s="4">
        <v>115</v>
      </c>
      <c r="AI12" s="4">
        <v>46.23</v>
      </c>
      <c r="AJ12" s="4">
        <v>25</v>
      </c>
      <c r="AK12" s="4">
        <v>0</v>
      </c>
      <c r="AL12" s="4" t="b">
        <f t="shared" si="0"/>
        <v>0</v>
      </c>
      <c r="AN12" s="32">
        <v>41561</v>
      </c>
      <c r="AO12" s="60">
        <v>30</v>
      </c>
      <c r="AP12" s="67">
        <v>-0.5</v>
      </c>
      <c r="AQ12" s="67">
        <v>1</v>
      </c>
      <c r="AR12" s="4">
        <v>165</v>
      </c>
      <c r="AS12" s="4">
        <v>25</v>
      </c>
      <c r="AT12" s="4">
        <v>14</v>
      </c>
      <c r="AU12" s="4">
        <v>537</v>
      </c>
      <c r="AV12" s="4">
        <v>2151</v>
      </c>
      <c r="AW12" s="4">
        <v>24</v>
      </c>
      <c r="AX12" s="4">
        <v>4.88</v>
      </c>
      <c r="AY12" s="4">
        <v>44.35</v>
      </c>
      <c r="AZ12" s="4">
        <v>70</v>
      </c>
      <c r="BA12" s="4">
        <v>45.67</v>
      </c>
      <c r="BB12" s="4">
        <v>160</v>
      </c>
      <c r="BC12" s="4">
        <f t="shared" si="1"/>
        <v>0</v>
      </c>
      <c r="BD12" s="4">
        <f t="shared" si="2"/>
        <v>0.48</v>
      </c>
      <c r="BE12" s="4">
        <f t="shared" si="3"/>
        <v>-16</v>
      </c>
      <c r="BF12" s="40">
        <v>41743</v>
      </c>
      <c r="BG12" s="59" t="s">
        <v>282</v>
      </c>
      <c r="BU12" s="4" t="str">
        <f t="shared" si="131"/>
        <v/>
      </c>
      <c r="BV12" s="4" t="str">
        <f t="shared" si="4"/>
        <v/>
      </c>
      <c r="BW12" s="4" t="str">
        <f t="shared" si="5"/>
        <v/>
      </c>
      <c r="BX12" s="4">
        <f t="shared" si="6"/>
        <v>1</v>
      </c>
      <c r="BY12" s="4">
        <f t="shared" si="7"/>
        <v>0</v>
      </c>
      <c r="BZ12" s="4" t="str">
        <f t="shared" si="8"/>
        <v/>
      </c>
      <c r="CA12" s="4" t="str">
        <f t="shared" si="9"/>
        <v/>
      </c>
      <c r="CB12" s="4" t="str">
        <f t="shared" si="10"/>
        <v/>
      </c>
      <c r="CC12" s="53">
        <f t="shared" si="11"/>
        <v>194</v>
      </c>
      <c r="CD12" s="55">
        <f t="shared" si="12"/>
        <v>6.4666666666666668</v>
      </c>
      <c r="CE12" s="4" t="str">
        <f t="shared" si="13"/>
        <v/>
      </c>
      <c r="CF12" s="4">
        <f t="shared" si="14"/>
        <v>-0.78499999999999659</v>
      </c>
      <c r="CG12" s="4" t="str">
        <f t="shared" si="15"/>
        <v/>
      </c>
      <c r="CH12" s="4">
        <f t="shared" si="16"/>
        <v>-0.78499999999999659</v>
      </c>
      <c r="CI12" s="4">
        <f t="shared" si="17"/>
        <v>-2.25</v>
      </c>
      <c r="CJ12" s="4">
        <f t="shared" si="18"/>
        <v>0</v>
      </c>
      <c r="CK12" s="93">
        <f t="shared" si="19"/>
        <v>0.48</v>
      </c>
      <c r="CL12" s="83">
        <f t="shared" si="20"/>
        <v>-16</v>
      </c>
      <c r="CM12" s="4">
        <f t="shared" si="21"/>
        <v>8.9999999999999858E-2</v>
      </c>
      <c r="CN12" s="96">
        <f t="shared" si="22"/>
        <v>-0.48</v>
      </c>
      <c r="CO12" s="96">
        <f t="shared" si="132"/>
        <v>7.9181246047624873E-2</v>
      </c>
      <c r="CP12" s="127">
        <f t="shared" si="23"/>
        <v>1</v>
      </c>
      <c r="CQ12" s="127">
        <f t="shared" si="24"/>
        <v>-0.5</v>
      </c>
      <c r="CR12" s="136">
        <f t="shared" si="25"/>
        <v>25</v>
      </c>
      <c r="CS12" s="136">
        <f t="shared" si="26"/>
        <v>30</v>
      </c>
      <c r="CT12" s="135">
        <f t="shared" si="27"/>
        <v>30</v>
      </c>
      <c r="CU12" s="139">
        <f t="shared" si="28"/>
        <v>0</v>
      </c>
      <c r="CV12" s="96" t="str">
        <f t="shared" si="29"/>
        <v/>
      </c>
      <c r="CW12" s="141" t="b">
        <f t="shared" si="30"/>
        <v>0</v>
      </c>
      <c r="CX12">
        <v>7.49</v>
      </c>
      <c r="CY12" s="4">
        <v>7.65</v>
      </c>
      <c r="CZ12" s="4">
        <v>82.8</v>
      </c>
      <c r="DA12" s="4">
        <v>0.9</v>
      </c>
      <c r="DB12" s="4">
        <v>7.0000000000000007E-2</v>
      </c>
      <c r="DC12" s="4">
        <v>0.51</v>
      </c>
      <c r="DD12" s="4">
        <v>3.42</v>
      </c>
      <c r="DE12" s="4">
        <v>3.99</v>
      </c>
      <c r="DF12" s="4">
        <v>578</v>
      </c>
      <c r="DG12" s="4">
        <v>579</v>
      </c>
      <c r="DH12" s="4">
        <v>661</v>
      </c>
      <c r="DI12" s="4">
        <v>601</v>
      </c>
      <c r="DJ12" s="4">
        <v>637</v>
      </c>
      <c r="DK12" s="4">
        <v>629</v>
      </c>
      <c r="DL12" s="4">
        <v>572</v>
      </c>
      <c r="DM12" s="4">
        <v>-1.03</v>
      </c>
      <c r="DN12" s="4">
        <v>-0.96</v>
      </c>
      <c r="DO12" s="4">
        <v>7.6</v>
      </c>
      <c r="DP12" s="4">
        <v>7.53</v>
      </c>
      <c r="DQ12" s="4">
        <v>7.53</v>
      </c>
      <c r="DR12" s="4">
        <v>7.71</v>
      </c>
      <c r="DS12" s="4">
        <v>8.14</v>
      </c>
      <c r="DT12" s="4">
        <v>8.5</v>
      </c>
      <c r="DU12" s="4">
        <v>0</v>
      </c>
      <c r="DV12" s="4">
        <v>0.9</v>
      </c>
      <c r="DW12" s="4">
        <v>6.67</v>
      </c>
      <c r="DX12" s="4">
        <v>6.42</v>
      </c>
      <c r="DY12" s="4">
        <v>6.38</v>
      </c>
      <c r="DZ12" s="4">
        <v>6.56</v>
      </c>
      <c r="EA12" s="4">
        <v>6.84</v>
      </c>
      <c r="EB12" s="4">
        <v>6.89</v>
      </c>
      <c r="EC12" s="4">
        <v>0</v>
      </c>
      <c r="ED12" s="89">
        <v>0.9</v>
      </c>
      <c r="EE12" s="110">
        <v>44.1</v>
      </c>
      <c r="EF12" s="110">
        <v>45</v>
      </c>
      <c r="EG12" s="110">
        <v>44.6</v>
      </c>
      <c r="EH12" s="110">
        <v>82.8</v>
      </c>
      <c r="EI12" s="110">
        <v>0.9</v>
      </c>
      <c r="EJ12" s="110">
        <v>-5.9</v>
      </c>
      <c r="EK12" s="110">
        <v>-6.3</v>
      </c>
      <c r="EL12" s="110">
        <v>-6.1</v>
      </c>
      <c r="EM12" s="110">
        <v>57.9</v>
      </c>
      <c r="EN12" s="110">
        <v>0.4</v>
      </c>
      <c r="EO12" s="110">
        <v>4.0999999999999996</v>
      </c>
      <c r="EP12" s="110">
        <v>11.9</v>
      </c>
      <c r="EQ12" s="110">
        <v>25.3</v>
      </c>
      <c r="ER12" s="110">
        <v>60.7</v>
      </c>
      <c r="ES12" s="114">
        <v>11</v>
      </c>
      <c r="ET12" s="83">
        <v>7.47</v>
      </c>
      <c r="EU12" s="4">
        <v>7.61</v>
      </c>
      <c r="EV12" s="4">
        <v>68.2</v>
      </c>
      <c r="EW12" s="4">
        <v>0.8</v>
      </c>
      <c r="EX12" s="4">
        <v>0.34</v>
      </c>
      <c r="EY12" s="4">
        <v>0.53</v>
      </c>
      <c r="EZ12" s="4">
        <v>4.75</v>
      </c>
      <c r="FA12" s="4">
        <v>5.27</v>
      </c>
      <c r="FB12" s="4">
        <v>515</v>
      </c>
      <c r="FC12" s="4">
        <v>512</v>
      </c>
      <c r="FD12" s="4">
        <v>639</v>
      </c>
      <c r="FE12" s="4">
        <v>586</v>
      </c>
      <c r="FF12" s="4">
        <v>614</v>
      </c>
      <c r="FG12" s="4">
        <v>589</v>
      </c>
      <c r="FH12" s="4">
        <v>503</v>
      </c>
      <c r="FI12" s="4">
        <v>0.83</v>
      </c>
      <c r="FJ12" s="4">
        <v>-0.56999999999999995</v>
      </c>
      <c r="FK12" s="4">
        <v>7.53</v>
      </c>
      <c r="FL12" s="4">
        <v>7.56</v>
      </c>
      <c r="FM12" s="4">
        <v>7.59</v>
      </c>
      <c r="FN12" s="4">
        <v>7.74</v>
      </c>
      <c r="FO12" s="4">
        <v>8.02</v>
      </c>
      <c r="FP12" s="4">
        <v>8.27</v>
      </c>
      <c r="FQ12" s="4">
        <v>0</v>
      </c>
      <c r="FR12" s="4">
        <v>1.2</v>
      </c>
      <c r="FS12" s="4">
        <v>6.22</v>
      </c>
      <c r="FT12" s="4">
        <v>6.1</v>
      </c>
      <c r="FU12" s="4">
        <v>6.14</v>
      </c>
      <c r="FV12" s="4">
        <v>6.34</v>
      </c>
      <c r="FW12" s="4">
        <v>6.57</v>
      </c>
      <c r="FX12" s="4">
        <v>0</v>
      </c>
      <c r="FY12" s="4">
        <v>0</v>
      </c>
      <c r="FZ12" s="86">
        <v>1.2</v>
      </c>
      <c r="GA12" s="110">
        <v>44.4</v>
      </c>
      <c r="GB12" s="110">
        <v>45.2</v>
      </c>
      <c r="GC12" s="110">
        <v>44.8</v>
      </c>
      <c r="GD12" s="110">
        <v>68.2</v>
      </c>
      <c r="GE12" s="110">
        <v>0.8</v>
      </c>
      <c r="GF12" s="110">
        <v>-6.4</v>
      </c>
      <c r="GG12" s="110">
        <v>-6.5</v>
      </c>
      <c r="GH12" s="110">
        <v>-6.5</v>
      </c>
      <c r="GI12" s="110">
        <v>174.1</v>
      </c>
      <c r="GJ12" s="110">
        <v>0.1</v>
      </c>
      <c r="GK12" s="110">
        <v>3.7</v>
      </c>
      <c r="GL12" s="110">
        <v>11</v>
      </c>
      <c r="GM12" s="110">
        <v>24</v>
      </c>
      <c r="GN12" s="110">
        <v>60.8</v>
      </c>
      <c r="GO12" s="119">
        <v>16</v>
      </c>
      <c r="IL12" s="83">
        <f t="shared" si="31"/>
        <v>7.47</v>
      </c>
      <c r="IM12" s="4">
        <f t="shared" si="32"/>
        <v>7.61</v>
      </c>
      <c r="IN12" s="4">
        <f t="shared" si="33"/>
        <v>68.2</v>
      </c>
      <c r="IO12" s="4">
        <f t="shared" si="34"/>
        <v>0.8</v>
      </c>
      <c r="IP12" s="4">
        <f t="shared" si="35"/>
        <v>0.34</v>
      </c>
      <c r="IQ12" s="4">
        <f t="shared" si="36"/>
        <v>0.53</v>
      </c>
      <c r="IR12" s="4">
        <f t="shared" si="37"/>
        <v>4.75</v>
      </c>
      <c r="IS12" s="4">
        <f t="shared" si="38"/>
        <v>5.27</v>
      </c>
      <c r="IT12" s="4">
        <f t="shared" si="39"/>
        <v>515</v>
      </c>
      <c r="IU12" s="4">
        <f t="shared" si="40"/>
        <v>512</v>
      </c>
      <c r="IV12" s="4">
        <f t="shared" si="41"/>
        <v>639</v>
      </c>
      <c r="IW12" s="4">
        <f t="shared" si="42"/>
        <v>586</v>
      </c>
      <c r="IX12" s="4">
        <f t="shared" si="43"/>
        <v>614</v>
      </c>
      <c r="IY12" s="4">
        <f t="shared" si="44"/>
        <v>589</v>
      </c>
      <c r="IZ12" s="4">
        <f t="shared" si="45"/>
        <v>503</v>
      </c>
      <c r="JA12" s="4">
        <f t="shared" si="46"/>
        <v>0.83</v>
      </c>
      <c r="JB12" s="4">
        <f t="shared" si="47"/>
        <v>-0.56999999999999995</v>
      </c>
      <c r="JC12" s="4">
        <f t="shared" si="48"/>
        <v>7.53</v>
      </c>
      <c r="JD12" s="4">
        <f t="shared" si="49"/>
        <v>7.56</v>
      </c>
      <c r="JE12" s="4">
        <f t="shared" si="50"/>
        <v>7.59</v>
      </c>
      <c r="JF12" s="4">
        <f t="shared" si="51"/>
        <v>7.74</v>
      </c>
      <c r="JG12" s="4">
        <f t="shared" si="52"/>
        <v>8.02</v>
      </c>
      <c r="JH12" s="4">
        <f t="shared" si="53"/>
        <v>8.27</v>
      </c>
      <c r="JI12" s="4">
        <f t="shared" si="54"/>
        <v>0</v>
      </c>
      <c r="JJ12" s="4">
        <f t="shared" si="55"/>
        <v>1.2</v>
      </c>
      <c r="JK12" s="4">
        <f t="shared" si="56"/>
        <v>6.22</v>
      </c>
      <c r="JL12" s="4">
        <f t="shared" si="57"/>
        <v>6.1</v>
      </c>
      <c r="JM12" s="4">
        <f t="shared" si="58"/>
        <v>6.14</v>
      </c>
      <c r="JN12" s="4">
        <f t="shared" si="59"/>
        <v>6.34</v>
      </c>
      <c r="JO12" s="4">
        <f t="shared" si="60"/>
        <v>6.57</v>
      </c>
      <c r="JP12" s="4">
        <f t="shared" si="61"/>
        <v>0</v>
      </c>
      <c r="JQ12" s="117">
        <f t="shared" si="62"/>
        <v>0</v>
      </c>
      <c r="JR12" s="110">
        <f t="shared" si="63"/>
        <v>1.2</v>
      </c>
      <c r="JS12" s="110">
        <f t="shared" si="64"/>
        <v>44.4</v>
      </c>
      <c r="JT12" s="110">
        <f t="shared" si="65"/>
        <v>45.2</v>
      </c>
      <c r="JU12" s="110">
        <f t="shared" si="66"/>
        <v>44.8</v>
      </c>
      <c r="JV12" s="110">
        <f t="shared" si="67"/>
        <v>68.2</v>
      </c>
      <c r="JW12" s="110">
        <f t="shared" si="68"/>
        <v>0.8</v>
      </c>
      <c r="JX12" s="110">
        <f t="shared" si="69"/>
        <v>-6.4</v>
      </c>
      <c r="JY12" s="110">
        <f t="shared" si="70"/>
        <v>-6.5</v>
      </c>
      <c r="JZ12" s="110">
        <f t="shared" si="71"/>
        <v>-6.5</v>
      </c>
      <c r="KA12" s="110">
        <f t="shared" si="72"/>
        <v>174.1</v>
      </c>
      <c r="KB12" s="110">
        <f t="shared" si="73"/>
        <v>0.1</v>
      </c>
      <c r="KC12" s="110">
        <f t="shared" si="74"/>
        <v>3.7</v>
      </c>
      <c r="KD12" s="110">
        <f t="shared" si="75"/>
        <v>11</v>
      </c>
      <c r="KE12" s="110">
        <f t="shared" si="76"/>
        <v>24</v>
      </c>
      <c r="KF12" s="110">
        <f t="shared" si="77"/>
        <v>60.8</v>
      </c>
      <c r="KG12" s="121">
        <f t="shared" si="78"/>
        <v>16</v>
      </c>
      <c r="KH12" s="83">
        <f t="shared" si="79"/>
        <v>-2.0000000000000462E-2</v>
      </c>
      <c r="KI12" s="4">
        <f t="shared" si="80"/>
        <v>-4.0000000000000036E-2</v>
      </c>
      <c r="KJ12" s="4">
        <f t="shared" si="81"/>
        <v>-14.599999999999994</v>
      </c>
      <c r="KK12" s="4">
        <f t="shared" si="82"/>
        <v>-9.9999999999999978E-2</v>
      </c>
      <c r="KL12" s="4">
        <f t="shared" si="83"/>
        <v>0.27</v>
      </c>
      <c r="KM12" s="4">
        <f t="shared" si="84"/>
        <v>2.0000000000000018E-2</v>
      </c>
      <c r="KN12" s="4">
        <f t="shared" si="85"/>
        <v>1.33</v>
      </c>
      <c r="KO12" s="4">
        <f t="shared" si="86"/>
        <v>1.2799999999999994</v>
      </c>
      <c r="KP12" s="4">
        <f t="shared" si="87"/>
        <v>-63</v>
      </c>
      <c r="KQ12" s="4">
        <f t="shared" si="88"/>
        <v>-67</v>
      </c>
      <c r="KR12" s="4">
        <f t="shared" si="89"/>
        <v>-22</v>
      </c>
      <c r="KS12" s="4">
        <f t="shared" si="90"/>
        <v>-15</v>
      </c>
      <c r="KT12" s="4">
        <f t="shared" si="91"/>
        <v>-23</v>
      </c>
      <c r="KU12" s="4">
        <f t="shared" si="92"/>
        <v>-40</v>
      </c>
      <c r="KV12" s="4">
        <f t="shared" si="93"/>
        <v>-69</v>
      </c>
      <c r="KW12" s="4">
        <f t="shared" si="94"/>
        <v>1.8599999999999999</v>
      </c>
      <c r="KX12" s="4">
        <f t="shared" si="95"/>
        <v>0.39</v>
      </c>
      <c r="KY12" s="4">
        <f t="shared" si="96"/>
        <v>-6.9999999999999396E-2</v>
      </c>
      <c r="KZ12" s="4">
        <f t="shared" si="97"/>
        <v>2.9999999999999361E-2</v>
      </c>
      <c r="LA12" s="4">
        <f t="shared" si="98"/>
        <v>5.9999999999999609E-2</v>
      </c>
      <c r="LB12" s="4">
        <f t="shared" si="99"/>
        <v>3.0000000000000249E-2</v>
      </c>
      <c r="LC12" s="4">
        <f t="shared" si="100"/>
        <v>-0.12000000000000099</v>
      </c>
      <c r="LD12" s="4">
        <f t="shared" si="101"/>
        <v>-0.23000000000000043</v>
      </c>
      <c r="LE12" s="4">
        <f t="shared" si="102"/>
        <v>0</v>
      </c>
      <c r="LF12" s="4">
        <f t="shared" si="103"/>
        <v>0.29999999999999993</v>
      </c>
      <c r="LG12" s="4">
        <f t="shared" si="104"/>
        <v>-0.45000000000000018</v>
      </c>
      <c r="LH12" s="4">
        <f t="shared" si="105"/>
        <v>-0.32000000000000028</v>
      </c>
      <c r="LI12" s="4">
        <f t="shared" si="106"/>
        <v>-0.24000000000000021</v>
      </c>
      <c r="LJ12" s="4">
        <f t="shared" si="107"/>
        <v>-0.21999999999999975</v>
      </c>
      <c r="LK12" s="4">
        <f t="shared" si="108"/>
        <v>-0.26999999999999957</v>
      </c>
      <c r="LL12" s="4">
        <f t="shared" si="109"/>
        <v>-6.89</v>
      </c>
      <c r="LM12" s="4">
        <f t="shared" si="110"/>
        <v>0</v>
      </c>
      <c r="LN12" s="4">
        <f t="shared" si="111"/>
        <v>0.29999999999999993</v>
      </c>
      <c r="LO12" s="4">
        <f t="shared" si="112"/>
        <v>0.29999999999999716</v>
      </c>
      <c r="LP12" s="4">
        <f t="shared" si="113"/>
        <v>0.20000000000000284</v>
      </c>
      <c r="LQ12" s="4">
        <f t="shared" si="114"/>
        <v>0.19999999999999574</v>
      </c>
      <c r="LR12" s="4">
        <f t="shared" si="115"/>
        <v>-14.599999999999994</v>
      </c>
      <c r="LS12" s="4">
        <f t="shared" si="116"/>
        <v>-9.9999999999999978E-2</v>
      </c>
      <c r="LT12" s="4">
        <f t="shared" si="117"/>
        <v>-0.5</v>
      </c>
      <c r="LU12" s="4">
        <f t="shared" si="118"/>
        <v>-0.20000000000000018</v>
      </c>
      <c r="LV12" s="4">
        <f t="shared" si="119"/>
        <v>-0.40000000000000036</v>
      </c>
      <c r="LW12" s="4">
        <f t="shared" si="120"/>
        <v>116.19999999999999</v>
      </c>
      <c r="LX12" s="4">
        <f t="shared" si="121"/>
        <v>-0.30000000000000004</v>
      </c>
      <c r="LY12" s="4">
        <f t="shared" si="122"/>
        <v>-0.39999999999999947</v>
      </c>
      <c r="LZ12" s="4">
        <f t="shared" si="123"/>
        <v>-0.90000000000000036</v>
      </c>
      <c r="MA12" s="4">
        <f t="shared" si="124"/>
        <v>-1.3000000000000007</v>
      </c>
      <c r="MB12" s="4">
        <f t="shared" si="125"/>
        <v>9.9999999999994316E-2</v>
      </c>
      <c r="MC12" s="4">
        <f t="shared" si="126"/>
        <v>5</v>
      </c>
      <c r="MD12" s="4" t="str">
        <f t="shared" si="127"/>
        <v/>
      </c>
      <c r="ME12" s="4" t="str">
        <f t="shared" si="128"/>
        <v/>
      </c>
      <c r="MF12" s="4" t="str">
        <f t="shared" si="129"/>
        <v/>
      </c>
      <c r="MG12" s="4">
        <f t="shared" si="130"/>
        <v>6.5</v>
      </c>
    </row>
    <row r="13" spans="1:345" ht="26.25" customHeight="1" thickBot="1" x14ac:dyDescent="0.25">
      <c r="A13" s="35">
        <v>41199</v>
      </c>
      <c r="B13" s="36" t="s">
        <v>158</v>
      </c>
      <c r="C13" s="36" t="s">
        <v>9</v>
      </c>
      <c r="D13" s="31" t="s">
        <v>111</v>
      </c>
      <c r="E13" s="4">
        <v>58</v>
      </c>
      <c r="F13" s="3">
        <v>19701</v>
      </c>
      <c r="G13" s="4" t="s">
        <v>87</v>
      </c>
      <c r="H13" s="4" t="s">
        <v>108</v>
      </c>
      <c r="I13" s="4">
        <v>1829576</v>
      </c>
      <c r="J13" s="2" t="s">
        <v>309</v>
      </c>
      <c r="K13" s="230"/>
      <c r="L13" s="231">
        <v>1</v>
      </c>
      <c r="M13" s="231"/>
      <c r="N13" s="98" t="s">
        <v>623</v>
      </c>
      <c r="O13" s="262" t="s">
        <v>619</v>
      </c>
      <c r="P13" s="231"/>
      <c r="Q13" s="231"/>
      <c r="R13" s="4">
        <v>-0.5</v>
      </c>
      <c r="S13" s="4">
        <v>-0.81</v>
      </c>
      <c r="T13" s="4" t="s">
        <v>249</v>
      </c>
      <c r="U13" s="67">
        <v>11</v>
      </c>
      <c r="V13" s="124">
        <v>41169</v>
      </c>
      <c r="W13" s="67">
        <v>-8.5</v>
      </c>
      <c r="X13" s="67">
        <v>1.25</v>
      </c>
      <c r="Y13" s="4">
        <v>105</v>
      </c>
      <c r="Z13" s="4">
        <v>30</v>
      </c>
      <c r="AA13" s="4">
        <v>14</v>
      </c>
      <c r="AC13" s="4">
        <v>26.19</v>
      </c>
      <c r="AF13" s="4">
        <v>3.06</v>
      </c>
      <c r="AG13" s="4">
        <v>44.12</v>
      </c>
      <c r="AH13" s="4">
        <v>8</v>
      </c>
      <c r="AI13" s="4">
        <v>46.3</v>
      </c>
      <c r="AJ13" s="4">
        <v>98</v>
      </c>
      <c r="AK13" s="4">
        <v>0</v>
      </c>
      <c r="AL13" s="4" t="b">
        <f t="shared" si="0"/>
        <v>0</v>
      </c>
      <c r="AM13" s="54" t="s">
        <v>300</v>
      </c>
      <c r="AN13" s="37">
        <v>41380</v>
      </c>
      <c r="AO13" s="59">
        <v>30</v>
      </c>
      <c r="AP13" s="67">
        <v>-0.5</v>
      </c>
      <c r="AQ13" s="67">
        <v>0</v>
      </c>
      <c r="AR13" s="4">
        <v>0</v>
      </c>
      <c r="AS13" s="4">
        <v>20</v>
      </c>
      <c r="AT13" s="4">
        <v>12</v>
      </c>
      <c r="BC13" s="4">
        <f t="shared" si="1"/>
        <v>-0.5</v>
      </c>
      <c r="BD13" s="4">
        <f t="shared" si="2"/>
        <v>0.31000000000000005</v>
      </c>
      <c r="BE13" s="4" t="str">
        <f t="shared" si="3"/>
        <v/>
      </c>
      <c r="BF13" s="3">
        <v>41562</v>
      </c>
      <c r="BG13" s="56">
        <v>20</v>
      </c>
      <c r="BH13" s="67">
        <v>0</v>
      </c>
      <c r="BI13" s="67">
        <v>0.5</v>
      </c>
      <c r="BJ13" s="4">
        <v>88</v>
      </c>
      <c r="BK13" s="4">
        <v>20</v>
      </c>
      <c r="BL13" s="4">
        <v>10</v>
      </c>
      <c r="BM13" s="4">
        <v>530</v>
      </c>
      <c r="BO13" s="4">
        <v>26.15</v>
      </c>
      <c r="BP13" s="4">
        <v>2.52</v>
      </c>
      <c r="BQ13" s="4">
        <v>43.27</v>
      </c>
      <c r="BR13" s="4">
        <v>9</v>
      </c>
      <c r="BS13" s="4">
        <v>44.64</v>
      </c>
      <c r="BT13" s="4">
        <v>99</v>
      </c>
      <c r="BU13" s="4">
        <f t="shared" si="131"/>
        <v>0.25</v>
      </c>
      <c r="BV13" s="4">
        <f t="shared" si="4"/>
        <v>1.06</v>
      </c>
      <c r="BW13" s="4" t="str">
        <f t="shared" si="5"/>
        <v>MISSING</v>
      </c>
      <c r="BX13" s="4">
        <f t="shared" si="6"/>
        <v>1</v>
      </c>
      <c r="BY13" s="4">
        <f t="shared" si="7"/>
        <v>1</v>
      </c>
      <c r="BZ13" s="4">
        <f t="shared" si="8"/>
        <v>-7.875</v>
      </c>
      <c r="CA13" s="4">
        <f t="shared" si="9"/>
        <v>-0.5</v>
      </c>
      <c r="CB13" s="4">
        <f t="shared" si="10"/>
        <v>0.25</v>
      </c>
      <c r="CC13" s="53">
        <f t="shared" si="11"/>
        <v>363</v>
      </c>
      <c r="CD13" s="55">
        <f t="shared" si="12"/>
        <v>12.1</v>
      </c>
      <c r="CE13" s="4">
        <f t="shared" si="13"/>
        <v>0.75</v>
      </c>
      <c r="CF13" s="4" t="str">
        <f t="shared" si="14"/>
        <v/>
      </c>
      <c r="CG13" s="4">
        <f t="shared" si="15"/>
        <v>-1.2549999999999955</v>
      </c>
      <c r="CH13" s="4">
        <f t="shared" si="16"/>
        <v>-1.2549999999999955</v>
      </c>
      <c r="CI13" s="4">
        <f t="shared" si="17"/>
        <v>-7.875</v>
      </c>
      <c r="CJ13" s="4">
        <f t="shared" si="18"/>
        <v>0.25</v>
      </c>
      <c r="CK13" s="93">
        <f t="shared" si="19"/>
        <v>1.06</v>
      </c>
      <c r="CL13" s="83" t="str">
        <f t="shared" si="20"/>
        <v/>
      </c>
      <c r="CM13" s="4">
        <f t="shared" si="21"/>
        <v>-4.00000000000027E-2</v>
      </c>
      <c r="CN13" s="96">
        <f t="shared" si="22"/>
        <v>-0.81</v>
      </c>
      <c r="CO13" s="96">
        <f t="shared" si="132"/>
        <v>0.17609125905568127</v>
      </c>
      <c r="CP13" s="127">
        <f t="shared" si="23"/>
        <v>0.5</v>
      </c>
      <c r="CQ13" s="127">
        <f t="shared" si="24"/>
        <v>-0.75</v>
      </c>
      <c r="CR13" s="136">
        <f t="shared" si="25"/>
        <v>20</v>
      </c>
      <c r="CS13" s="136">
        <f t="shared" si="26"/>
        <v>30</v>
      </c>
      <c r="CT13" s="135">
        <f t="shared" si="27"/>
        <v>20</v>
      </c>
      <c r="CU13" s="139">
        <f t="shared" si="28"/>
        <v>1</v>
      </c>
      <c r="CV13" s="96">
        <f t="shared" si="29"/>
        <v>0</v>
      </c>
      <c r="CW13" s="141" t="b">
        <f t="shared" si="30"/>
        <v>0</v>
      </c>
      <c r="CX13">
        <v>7.87</v>
      </c>
      <c r="CY13" s="4">
        <v>7.53</v>
      </c>
      <c r="CZ13" s="4">
        <v>17.899999999999999</v>
      </c>
      <c r="DA13" s="4">
        <v>-2</v>
      </c>
      <c r="DB13" s="4">
        <v>0.05</v>
      </c>
      <c r="DC13" s="4">
        <v>0.53</v>
      </c>
      <c r="DD13" s="4">
        <v>2.2999999999999998</v>
      </c>
      <c r="DE13" s="4">
        <v>2.89</v>
      </c>
      <c r="DF13" s="4">
        <v>590</v>
      </c>
      <c r="DG13" s="4">
        <v>588</v>
      </c>
      <c r="DH13" s="4">
        <v>669</v>
      </c>
      <c r="DI13" s="4">
        <v>628</v>
      </c>
      <c r="DJ13" s="4">
        <v>644</v>
      </c>
      <c r="DK13" s="4">
        <v>647</v>
      </c>
      <c r="DL13" s="4">
        <v>581</v>
      </c>
      <c r="DM13" s="4">
        <v>-7.0000000000000007E-2</v>
      </c>
      <c r="DN13" s="4">
        <v>0.98</v>
      </c>
      <c r="DO13" s="4">
        <v>7.72</v>
      </c>
      <c r="DP13" s="4">
        <v>7.64</v>
      </c>
      <c r="DQ13" s="4">
        <v>7.65</v>
      </c>
      <c r="DR13" s="4">
        <v>7.84</v>
      </c>
      <c r="DS13" s="4">
        <v>8.1199999999999992</v>
      </c>
      <c r="DT13" s="4">
        <v>8.5399999999999991</v>
      </c>
      <c r="DU13" s="4">
        <v>0</v>
      </c>
      <c r="DV13" s="4">
        <v>0.7</v>
      </c>
      <c r="DW13" s="4">
        <v>6.85</v>
      </c>
      <c r="DX13" s="4">
        <v>6.46</v>
      </c>
      <c r="DY13" s="4">
        <v>6.4</v>
      </c>
      <c r="DZ13" s="4">
        <v>6.75</v>
      </c>
      <c r="EA13" s="4">
        <v>7.06</v>
      </c>
      <c r="EB13" s="4">
        <v>7.18</v>
      </c>
      <c r="EC13" s="4">
        <v>0</v>
      </c>
      <c r="ED13" s="89">
        <v>0.7</v>
      </c>
      <c r="EE13" s="110">
        <v>42.9</v>
      </c>
      <c r="EF13" s="110">
        <v>44.8</v>
      </c>
      <c r="EG13" s="110">
        <v>43.8</v>
      </c>
      <c r="EH13" s="110">
        <v>17.899999999999999</v>
      </c>
      <c r="EI13" s="110">
        <v>2</v>
      </c>
      <c r="EJ13" s="110">
        <v>-5.9</v>
      </c>
      <c r="EK13" s="110">
        <v>-6</v>
      </c>
      <c r="EL13" s="110">
        <v>-6</v>
      </c>
      <c r="EM13" s="110">
        <v>163.19999999999999</v>
      </c>
      <c r="EN13" s="110">
        <v>0.2</v>
      </c>
      <c r="EO13" s="110">
        <v>4.2</v>
      </c>
      <c r="EP13" s="110">
        <v>12.1</v>
      </c>
      <c r="EQ13" s="110">
        <v>25.8</v>
      </c>
      <c r="ER13" s="110">
        <v>61.3</v>
      </c>
      <c r="ES13" s="114">
        <v>16</v>
      </c>
      <c r="GP13" s="83">
        <v>7.84</v>
      </c>
      <c r="GQ13" s="4">
        <v>7.58</v>
      </c>
      <c r="GR13" s="4">
        <v>8.5</v>
      </c>
      <c r="GS13" s="4">
        <v>-1.5</v>
      </c>
      <c r="GT13" s="4">
        <v>0.55000000000000004</v>
      </c>
      <c r="GU13" s="4">
        <v>0.55000000000000004</v>
      </c>
      <c r="GV13" s="4">
        <v>4.49</v>
      </c>
      <c r="GW13" s="4">
        <v>5.0199999999999996</v>
      </c>
      <c r="GX13" s="4">
        <v>529</v>
      </c>
      <c r="GY13" s="4">
        <v>529</v>
      </c>
      <c r="GZ13" s="4">
        <v>655</v>
      </c>
      <c r="HA13" s="4">
        <v>604</v>
      </c>
      <c r="HB13" s="4">
        <v>644</v>
      </c>
      <c r="HC13" s="4">
        <v>600</v>
      </c>
      <c r="HD13" s="4">
        <v>522</v>
      </c>
      <c r="HE13" s="4">
        <v>-0.92</v>
      </c>
      <c r="HF13" s="4">
        <v>-0.2</v>
      </c>
      <c r="HG13" s="4">
        <v>7.79</v>
      </c>
      <c r="HH13" s="4">
        <v>7.64</v>
      </c>
      <c r="HI13" s="4">
        <v>7.67</v>
      </c>
      <c r="HJ13" s="4">
        <v>7.87</v>
      </c>
      <c r="HK13" s="4">
        <v>8.1199999999999992</v>
      </c>
      <c r="HL13" s="4">
        <v>8.32</v>
      </c>
      <c r="HM13" s="4">
        <v>0</v>
      </c>
      <c r="HN13" s="4">
        <v>1.5</v>
      </c>
      <c r="HO13" s="4">
        <v>6.25</v>
      </c>
      <c r="HP13" s="4">
        <v>6.19</v>
      </c>
      <c r="HQ13" s="4">
        <v>6.23</v>
      </c>
      <c r="HR13" s="4">
        <v>6.43</v>
      </c>
      <c r="HS13" s="4">
        <v>6.65</v>
      </c>
      <c r="HT13" s="4">
        <v>0</v>
      </c>
      <c r="HU13" s="4">
        <v>0</v>
      </c>
      <c r="HV13" s="93">
        <v>1.5</v>
      </c>
      <c r="HW13" s="110">
        <v>43.1</v>
      </c>
      <c r="HX13" s="110">
        <v>44.5</v>
      </c>
      <c r="HY13" s="110">
        <v>43.8</v>
      </c>
      <c r="HZ13" s="110">
        <v>8.5</v>
      </c>
      <c r="IA13" s="110">
        <v>1.5</v>
      </c>
      <c r="IB13" s="110">
        <v>-6.3</v>
      </c>
      <c r="IC13" s="110">
        <v>-6.7</v>
      </c>
      <c r="ID13" s="110">
        <v>-6.4</v>
      </c>
      <c r="IE13" s="110">
        <v>9.1999999999999993</v>
      </c>
      <c r="IF13" s="110">
        <v>0.4</v>
      </c>
      <c r="IG13" s="110">
        <v>3.8</v>
      </c>
      <c r="IH13" s="110">
        <v>11.3</v>
      </c>
      <c r="II13" s="110">
        <v>24.5</v>
      </c>
      <c r="IJ13" s="110">
        <v>61.2</v>
      </c>
      <c r="IK13" s="121">
        <v>18</v>
      </c>
      <c r="IL13" s="83">
        <f t="shared" si="31"/>
        <v>7.84</v>
      </c>
      <c r="IM13" s="4">
        <f t="shared" si="32"/>
        <v>7.58</v>
      </c>
      <c r="IN13" s="4">
        <f t="shared" si="33"/>
        <v>8.5</v>
      </c>
      <c r="IO13" s="4">
        <f t="shared" si="34"/>
        <v>-1.5</v>
      </c>
      <c r="IP13" s="4">
        <f t="shared" si="35"/>
        <v>0.55000000000000004</v>
      </c>
      <c r="IQ13" s="4">
        <f t="shared" si="36"/>
        <v>0.55000000000000004</v>
      </c>
      <c r="IR13" s="4">
        <f t="shared" si="37"/>
        <v>4.49</v>
      </c>
      <c r="IS13" s="4">
        <f t="shared" si="38"/>
        <v>5.0199999999999996</v>
      </c>
      <c r="IT13" s="4">
        <f t="shared" si="39"/>
        <v>529</v>
      </c>
      <c r="IU13" s="4">
        <f t="shared" si="40"/>
        <v>529</v>
      </c>
      <c r="IV13" s="4">
        <f t="shared" si="41"/>
        <v>655</v>
      </c>
      <c r="IW13" s="4">
        <f t="shared" si="42"/>
        <v>604</v>
      </c>
      <c r="IX13" s="4">
        <f t="shared" si="43"/>
        <v>644</v>
      </c>
      <c r="IY13" s="4">
        <f t="shared" si="44"/>
        <v>600</v>
      </c>
      <c r="IZ13" s="4">
        <f t="shared" si="45"/>
        <v>522</v>
      </c>
      <c r="JA13" s="4">
        <f t="shared" si="46"/>
        <v>-0.92</v>
      </c>
      <c r="JB13" s="4">
        <f t="shared" si="47"/>
        <v>-0.2</v>
      </c>
      <c r="JC13" s="4">
        <f t="shared" si="48"/>
        <v>7.79</v>
      </c>
      <c r="JD13" s="4">
        <f t="shared" si="49"/>
        <v>7.64</v>
      </c>
      <c r="JE13" s="4">
        <f t="shared" si="50"/>
        <v>7.67</v>
      </c>
      <c r="JF13" s="4">
        <f t="shared" si="51"/>
        <v>7.87</v>
      </c>
      <c r="JG13" s="4">
        <f t="shared" si="52"/>
        <v>8.1199999999999992</v>
      </c>
      <c r="JH13" s="4">
        <f t="shared" si="53"/>
        <v>8.32</v>
      </c>
      <c r="JI13" s="4">
        <f t="shared" si="54"/>
        <v>0</v>
      </c>
      <c r="JJ13" s="4">
        <f t="shared" si="55"/>
        <v>1.5</v>
      </c>
      <c r="JK13" s="4">
        <f t="shared" si="56"/>
        <v>6.25</v>
      </c>
      <c r="JL13" s="4">
        <f t="shared" si="57"/>
        <v>6.19</v>
      </c>
      <c r="JM13" s="4">
        <f t="shared" si="58"/>
        <v>6.23</v>
      </c>
      <c r="JN13" s="4">
        <f t="shared" si="59"/>
        <v>6.43</v>
      </c>
      <c r="JO13" s="4">
        <f t="shared" si="60"/>
        <v>6.65</v>
      </c>
      <c r="JP13" s="4">
        <f t="shared" si="61"/>
        <v>0</v>
      </c>
      <c r="JQ13" s="117">
        <f t="shared" si="62"/>
        <v>0</v>
      </c>
      <c r="JR13" s="110">
        <f t="shared" si="63"/>
        <v>1.5</v>
      </c>
      <c r="JS13" s="110">
        <f t="shared" si="64"/>
        <v>43.1</v>
      </c>
      <c r="JT13" s="110">
        <f t="shared" si="65"/>
        <v>44.5</v>
      </c>
      <c r="JU13" s="110">
        <f t="shared" si="66"/>
        <v>43.8</v>
      </c>
      <c r="JV13" s="110">
        <f t="shared" si="67"/>
        <v>8.5</v>
      </c>
      <c r="JW13" s="110">
        <f t="shared" si="68"/>
        <v>1.5</v>
      </c>
      <c r="JX13" s="110">
        <f t="shared" si="69"/>
        <v>-6.3</v>
      </c>
      <c r="JY13" s="110">
        <f t="shared" si="70"/>
        <v>-6.7</v>
      </c>
      <c r="JZ13" s="110">
        <f t="shared" si="71"/>
        <v>-6.4</v>
      </c>
      <c r="KA13" s="110">
        <f t="shared" si="72"/>
        <v>9.1999999999999993</v>
      </c>
      <c r="KB13" s="110">
        <f t="shared" si="73"/>
        <v>0.4</v>
      </c>
      <c r="KC13" s="110">
        <f t="shared" si="74"/>
        <v>3.8</v>
      </c>
      <c r="KD13" s="110">
        <f t="shared" si="75"/>
        <v>11.3</v>
      </c>
      <c r="KE13" s="110">
        <f t="shared" si="76"/>
        <v>24.5</v>
      </c>
      <c r="KF13" s="110">
        <f t="shared" si="77"/>
        <v>61.2</v>
      </c>
      <c r="KG13" s="121">
        <f t="shared" si="78"/>
        <v>18</v>
      </c>
      <c r="KH13" s="83">
        <f t="shared" si="79"/>
        <v>-3.0000000000000249E-2</v>
      </c>
      <c r="KI13" s="4">
        <f t="shared" si="80"/>
        <v>4.9999999999999822E-2</v>
      </c>
      <c r="KJ13" s="4">
        <f t="shared" si="81"/>
        <v>-9.3999999999999986</v>
      </c>
      <c r="KK13" s="4">
        <f t="shared" si="82"/>
        <v>0.5</v>
      </c>
      <c r="KL13" s="4">
        <f t="shared" si="83"/>
        <v>0.5</v>
      </c>
      <c r="KM13" s="4">
        <f t="shared" si="84"/>
        <v>2.0000000000000018E-2</v>
      </c>
      <c r="KN13" s="4">
        <f t="shared" si="85"/>
        <v>2.1900000000000004</v>
      </c>
      <c r="KO13" s="4">
        <f t="shared" si="86"/>
        <v>2.1299999999999994</v>
      </c>
      <c r="KP13" s="4">
        <f t="shared" si="87"/>
        <v>-61</v>
      </c>
      <c r="KQ13" s="4">
        <f t="shared" si="88"/>
        <v>-59</v>
      </c>
      <c r="KR13" s="4">
        <f t="shared" si="89"/>
        <v>-14</v>
      </c>
      <c r="KS13" s="4">
        <f t="shared" si="90"/>
        <v>-24</v>
      </c>
      <c r="KT13" s="4">
        <f t="shared" si="91"/>
        <v>0</v>
      </c>
      <c r="KU13" s="4">
        <f t="shared" si="92"/>
        <v>-47</v>
      </c>
      <c r="KV13" s="4">
        <f t="shared" si="93"/>
        <v>-59</v>
      </c>
      <c r="KW13" s="4">
        <f t="shared" si="94"/>
        <v>-0.85000000000000009</v>
      </c>
      <c r="KX13" s="4">
        <f t="shared" si="95"/>
        <v>-1.18</v>
      </c>
      <c r="KY13" s="4">
        <f t="shared" si="96"/>
        <v>7.0000000000000284E-2</v>
      </c>
      <c r="KZ13" s="4">
        <f t="shared" si="97"/>
        <v>0</v>
      </c>
      <c r="LA13" s="4">
        <f t="shared" si="98"/>
        <v>1.9999999999999574E-2</v>
      </c>
      <c r="LB13" s="4">
        <f t="shared" si="99"/>
        <v>3.0000000000000249E-2</v>
      </c>
      <c r="LC13" s="4">
        <f t="shared" si="100"/>
        <v>0</v>
      </c>
      <c r="LD13" s="4">
        <f t="shared" si="101"/>
        <v>-0.21999999999999886</v>
      </c>
      <c r="LE13" s="4">
        <f t="shared" si="102"/>
        <v>0</v>
      </c>
      <c r="LF13" s="4">
        <f t="shared" si="103"/>
        <v>0.8</v>
      </c>
      <c r="LG13" s="4">
        <f t="shared" si="104"/>
        <v>-0.59999999999999964</v>
      </c>
      <c r="LH13" s="4">
        <f t="shared" si="105"/>
        <v>-0.26999999999999957</v>
      </c>
      <c r="LI13" s="4">
        <f t="shared" si="106"/>
        <v>-0.16999999999999993</v>
      </c>
      <c r="LJ13" s="4">
        <f t="shared" si="107"/>
        <v>-0.32000000000000028</v>
      </c>
      <c r="LK13" s="4">
        <f t="shared" si="108"/>
        <v>-0.40999999999999925</v>
      </c>
      <c r="LL13" s="4">
        <f t="shared" si="109"/>
        <v>-7.18</v>
      </c>
      <c r="LM13" s="4">
        <f t="shared" si="110"/>
        <v>0</v>
      </c>
      <c r="LN13" s="4">
        <f t="shared" si="111"/>
        <v>0.8</v>
      </c>
      <c r="LO13" s="4">
        <f t="shared" si="112"/>
        <v>0.20000000000000284</v>
      </c>
      <c r="LP13" s="4">
        <f t="shared" si="113"/>
        <v>-0.29999999999999716</v>
      </c>
      <c r="LQ13" s="4">
        <f t="shared" si="114"/>
        <v>0</v>
      </c>
      <c r="LR13" s="4">
        <f t="shared" si="115"/>
        <v>-9.3999999999999986</v>
      </c>
      <c r="LS13" s="4">
        <f t="shared" si="116"/>
        <v>-0.5</v>
      </c>
      <c r="LT13" s="4">
        <f t="shared" si="117"/>
        <v>-0.39999999999999947</v>
      </c>
      <c r="LU13" s="4">
        <f t="shared" si="118"/>
        <v>-0.70000000000000018</v>
      </c>
      <c r="LV13" s="4">
        <f t="shared" si="119"/>
        <v>-0.40000000000000036</v>
      </c>
      <c r="LW13" s="4">
        <f t="shared" si="120"/>
        <v>-154</v>
      </c>
      <c r="LX13" s="4">
        <f t="shared" si="121"/>
        <v>0.2</v>
      </c>
      <c r="LY13" s="4">
        <f t="shared" si="122"/>
        <v>-0.40000000000000036</v>
      </c>
      <c r="LZ13" s="4">
        <f t="shared" si="123"/>
        <v>-0.79999999999999893</v>
      </c>
      <c r="MA13" s="4">
        <f t="shared" si="124"/>
        <v>-1.3000000000000007</v>
      </c>
      <c r="MB13" s="4">
        <f t="shared" si="125"/>
        <v>-9.9999999999994316E-2</v>
      </c>
      <c r="MC13" s="4">
        <f t="shared" si="126"/>
        <v>2</v>
      </c>
      <c r="MD13" s="4" t="str">
        <f t="shared" si="127"/>
        <v/>
      </c>
      <c r="ME13" s="4" t="str">
        <f t="shared" si="128"/>
        <v/>
      </c>
      <c r="MF13" s="4" t="str">
        <f t="shared" si="129"/>
        <v/>
      </c>
      <c r="MG13" s="4">
        <f t="shared" si="130"/>
        <v>-6.7</v>
      </c>
    </row>
    <row r="14" spans="1:345" ht="26.25" customHeight="1" thickBot="1" x14ac:dyDescent="0.25">
      <c r="A14" s="35">
        <v>41206</v>
      </c>
      <c r="B14" s="36" t="s">
        <v>221</v>
      </c>
      <c r="C14" s="36" t="s">
        <v>13</v>
      </c>
      <c r="D14" s="31" t="s">
        <v>111</v>
      </c>
      <c r="E14" s="4">
        <v>60</v>
      </c>
      <c r="F14" s="3">
        <v>18907</v>
      </c>
      <c r="G14" s="4" t="s">
        <v>87</v>
      </c>
      <c r="H14" s="4" t="s">
        <v>108</v>
      </c>
      <c r="I14" s="4">
        <v>1831350</v>
      </c>
      <c r="J14" s="2" t="s">
        <v>309</v>
      </c>
      <c r="K14" s="230"/>
      <c r="L14" s="231">
        <v>1</v>
      </c>
      <c r="M14" s="231"/>
      <c r="N14" s="98" t="s">
        <v>624</v>
      </c>
      <c r="O14" s="261" t="s">
        <v>625</v>
      </c>
      <c r="P14" s="231"/>
      <c r="Q14" s="231"/>
      <c r="R14" s="33">
        <v>-1.5</v>
      </c>
      <c r="S14" s="33">
        <v>-1.51</v>
      </c>
      <c r="T14" s="4" t="s">
        <v>249</v>
      </c>
      <c r="U14" s="67">
        <v>22.75</v>
      </c>
      <c r="V14" s="124">
        <v>41165</v>
      </c>
      <c r="W14" s="67">
        <v>1.75</v>
      </c>
      <c r="X14" s="67">
        <v>0.25</v>
      </c>
      <c r="Y14" s="4">
        <v>120</v>
      </c>
      <c r="Z14" s="4">
        <v>50</v>
      </c>
      <c r="AA14" s="4">
        <v>12</v>
      </c>
      <c r="AB14" s="4">
        <v>644</v>
      </c>
      <c r="AC14" s="4">
        <v>23.13</v>
      </c>
      <c r="AF14" s="4">
        <v>2.81</v>
      </c>
      <c r="AG14" s="4">
        <v>42.83</v>
      </c>
      <c r="AH14" s="4">
        <v>176</v>
      </c>
      <c r="AI14" s="4">
        <v>44.12</v>
      </c>
      <c r="AJ14" s="4">
        <v>86</v>
      </c>
      <c r="AK14" s="4">
        <v>1</v>
      </c>
      <c r="AL14" s="4" t="b">
        <f t="shared" si="0"/>
        <v>1</v>
      </c>
      <c r="AM14" s="54"/>
      <c r="AN14" s="3">
        <v>41324</v>
      </c>
      <c r="AO14" s="56">
        <v>25</v>
      </c>
      <c r="AP14" s="67">
        <v>-1</v>
      </c>
      <c r="AQ14" s="67">
        <v>1</v>
      </c>
      <c r="AR14" s="4">
        <v>30</v>
      </c>
      <c r="AS14" s="4">
        <v>30</v>
      </c>
      <c r="AT14" s="4">
        <v>16</v>
      </c>
      <c r="AU14" s="4">
        <v>583</v>
      </c>
      <c r="AV14" s="4">
        <v>2176</v>
      </c>
      <c r="BC14" s="4">
        <f t="shared" si="1"/>
        <v>-0.5</v>
      </c>
      <c r="BD14" s="4">
        <f t="shared" si="2"/>
        <v>1.01</v>
      </c>
      <c r="BE14" s="4">
        <f t="shared" si="3"/>
        <v>-61</v>
      </c>
      <c r="BF14" s="3">
        <v>41542</v>
      </c>
      <c r="BG14" s="56">
        <v>20</v>
      </c>
      <c r="BH14" s="67">
        <v>-1</v>
      </c>
      <c r="BI14" s="67">
        <v>0.75</v>
      </c>
      <c r="BJ14" s="4">
        <v>28</v>
      </c>
      <c r="BK14" s="4">
        <v>20</v>
      </c>
      <c r="BL14" s="4">
        <v>15</v>
      </c>
      <c r="BM14" s="4">
        <v>542</v>
      </c>
      <c r="BN14" s="4">
        <v>1447</v>
      </c>
      <c r="BO14" s="4">
        <v>22.98</v>
      </c>
      <c r="BP14" s="4">
        <v>4.38</v>
      </c>
      <c r="BQ14" s="4">
        <v>42.88</v>
      </c>
      <c r="BR14" s="4">
        <v>0</v>
      </c>
      <c r="BS14" s="4">
        <v>44.06</v>
      </c>
      <c r="BT14" s="4">
        <v>90</v>
      </c>
      <c r="BU14" s="4">
        <f t="shared" si="131"/>
        <v>-0.625</v>
      </c>
      <c r="BV14" s="4">
        <f t="shared" si="4"/>
        <v>0.88500000000000001</v>
      </c>
      <c r="BW14" s="4">
        <f t="shared" si="5"/>
        <v>-102</v>
      </c>
      <c r="BX14" s="4">
        <f t="shared" si="6"/>
        <v>1</v>
      </c>
      <c r="BY14" s="4">
        <f t="shared" si="7"/>
        <v>1</v>
      </c>
      <c r="BZ14" s="4">
        <f t="shared" si="8"/>
        <v>1.875</v>
      </c>
      <c r="CA14" s="4">
        <f t="shared" si="9"/>
        <v>-0.5</v>
      </c>
      <c r="CB14" s="4">
        <f t="shared" si="10"/>
        <v>-0.625</v>
      </c>
      <c r="CC14" s="53">
        <f t="shared" si="11"/>
        <v>336</v>
      </c>
      <c r="CD14" s="55">
        <f t="shared" si="12"/>
        <v>11.2</v>
      </c>
      <c r="CE14" s="4">
        <f t="shared" si="13"/>
        <v>-0.125</v>
      </c>
      <c r="CF14" s="4" t="str">
        <f t="shared" si="14"/>
        <v/>
      </c>
      <c r="CG14" s="4">
        <f t="shared" si="15"/>
        <v>-4.9999999999954525E-3</v>
      </c>
      <c r="CH14" s="4">
        <f t="shared" si="16"/>
        <v>-4.9999999999954525E-3</v>
      </c>
      <c r="CI14" s="4">
        <f t="shared" si="17"/>
        <v>1.875</v>
      </c>
      <c r="CJ14" s="4">
        <f t="shared" si="18"/>
        <v>-0.625</v>
      </c>
      <c r="CK14" s="93">
        <f t="shared" si="19"/>
        <v>0.88500000000000001</v>
      </c>
      <c r="CL14" s="83">
        <f t="shared" si="20"/>
        <v>-102</v>
      </c>
      <c r="CM14" s="4">
        <f t="shared" si="21"/>
        <v>-0.14999999999999858</v>
      </c>
      <c r="CN14" s="96">
        <f t="shared" si="22"/>
        <v>-1.51</v>
      </c>
      <c r="CO14" s="96">
        <f t="shared" si="132"/>
        <v>0.3979400086720376</v>
      </c>
      <c r="CP14" s="127">
        <f t="shared" si="23"/>
        <v>0.75</v>
      </c>
      <c r="CQ14" s="127">
        <f t="shared" si="24"/>
        <v>0.5</v>
      </c>
      <c r="CR14" s="136">
        <f t="shared" si="25"/>
        <v>20</v>
      </c>
      <c r="CS14" s="136">
        <f t="shared" si="26"/>
        <v>50</v>
      </c>
      <c r="CT14" s="135" t="str">
        <f t="shared" si="27"/>
        <v/>
      </c>
      <c r="CU14" s="139" t="str">
        <f t="shared" si="28"/>
        <v/>
      </c>
      <c r="CV14" s="96" t="str">
        <f t="shared" si="29"/>
        <v/>
      </c>
      <c r="CW14" s="141" t="str">
        <f t="shared" si="30"/>
        <v/>
      </c>
      <c r="GP14" s="83">
        <v>7.88</v>
      </c>
      <c r="GQ14" s="4">
        <v>7.71</v>
      </c>
      <c r="GR14" s="4">
        <v>2.9</v>
      </c>
      <c r="GS14" s="4">
        <v>-1</v>
      </c>
      <c r="GT14" s="4">
        <v>0.61</v>
      </c>
      <c r="GU14" s="4">
        <v>0.62</v>
      </c>
      <c r="GV14" s="4">
        <v>3.68</v>
      </c>
      <c r="GW14" s="4">
        <v>4.2300000000000004</v>
      </c>
      <c r="GX14" s="4">
        <v>551</v>
      </c>
      <c r="GY14" s="4">
        <v>548</v>
      </c>
      <c r="GZ14" s="4">
        <v>693</v>
      </c>
      <c r="HA14" s="4">
        <v>637</v>
      </c>
      <c r="HB14" s="4">
        <v>683</v>
      </c>
      <c r="HC14" s="4">
        <v>602</v>
      </c>
      <c r="HD14" s="4">
        <v>543</v>
      </c>
      <c r="HE14" s="4">
        <v>-1.04</v>
      </c>
      <c r="HF14" s="4">
        <v>-0.14000000000000001</v>
      </c>
      <c r="HG14" s="4">
        <v>7.75</v>
      </c>
      <c r="HH14" s="4">
        <v>7.86</v>
      </c>
      <c r="HI14" s="4">
        <v>7.94</v>
      </c>
      <c r="HJ14" s="4">
        <v>8.09</v>
      </c>
      <c r="HK14" s="4">
        <v>8.26</v>
      </c>
      <c r="HL14" s="4">
        <v>8.39</v>
      </c>
      <c r="HM14" s="4">
        <v>0</v>
      </c>
      <c r="HN14" s="4">
        <v>1.4</v>
      </c>
      <c r="HO14" s="4">
        <v>6.25</v>
      </c>
      <c r="HP14" s="4">
        <v>6.15</v>
      </c>
      <c r="HQ14" s="4">
        <v>6.2</v>
      </c>
      <c r="HR14" s="4">
        <v>6.41</v>
      </c>
      <c r="HS14" s="4">
        <v>6.66</v>
      </c>
      <c r="HT14" s="4">
        <v>6.97</v>
      </c>
      <c r="HU14" s="4">
        <v>0</v>
      </c>
      <c r="HV14" s="93">
        <v>1.4</v>
      </c>
      <c r="IL14" s="83">
        <f t="shared" si="31"/>
        <v>7.88</v>
      </c>
      <c r="IM14" s="4">
        <f t="shared" si="32"/>
        <v>7.71</v>
      </c>
      <c r="IN14" s="4">
        <f t="shared" si="33"/>
        <v>2.9</v>
      </c>
      <c r="IO14" s="4">
        <f t="shared" si="34"/>
        <v>-1</v>
      </c>
      <c r="IP14" s="4">
        <f t="shared" si="35"/>
        <v>0.61</v>
      </c>
      <c r="IQ14" s="4">
        <f t="shared" si="36"/>
        <v>0.62</v>
      </c>
      <c r="IR14" s="4">
        <f t="shared" si="37"/>
        <v>3.68</v>
      </c>
      <c r="IS14" s="4">
        <f t="shared" si="38"/>
        <v>4.2300000000000004</v>
      </c>
      <c r="IT14" s="4">
        <f t="shared" si="39"/>
        <v>551</v>
      </c>
      <c r="IU14" s="4">
        <f t="shared" si="40"/>
        <v>548</v>
      </c>
      <c r="IV14" s="4">
        <f t="shared" si="41"/>
        <v>693</v>
      </c>
      <c r="IW14" s="4">
        <f t="shared" si="42"/>
        <v>637</v>
      </c>
      <c r="IX14" s="4">
        <f t="shared" si="43"/>
        <v>683</v>
      </c>
      <c r="IY14" s="4">
        <f t="shared" si="44"/>
        <v>602</v>
      </c>
      <c r="IZ14" s="4">
        <f t="shared" si="45"/>
        <v>543</v>
      </c>
      <c r="JA14" s="4">
        <f t="shared" si="46"/>
        <v>-1.04</v>
      </c>
      <c r="JB14" s="4">
        <f t="shared" si="47"/>
        <v>-0.14000000000000001</v>
      </c>
      <c r="JC14" s="4">
        <f t="shared" si="48"/>
        <v>7.75</v>
      </c>
      <c r="JD14" s="4">
        <f t="shared" si="49"/>
        <v>7.86</v>
      </c>
      <c r="JE14" s="4">
        <f t="shared" si="50"/>
        <v>7.94</v>
      </c>
      <c r="JF14" s="4">
        <f t="shared" si="51"/>
        <v>8.09</v>
      </c>
      <c r="JG14" s="4">
        <f t="shared" si="52"/>
        <v>8.26</v>
      </c>
      <c r="JH14" s="4">
        <f t="shared" si="53"/>
        <v>8.39</v>
      </c>
      <c r="JI14" s="4">
        <f t="shared" si="54"/>
        <v>0</v>
      </c>
      <c r="JJ14" s="4">
        <f t="shared" si="55"/>
        <v>1.4</v>
      </c>
      <c r="JK14" s="4">
        <f t="shared" si="56"/>
        <v>6.25</v>
      </c>
      <c r="JL14" s="4">
        <f t="shared" si="57"/>
        <v>6.15</v>
      </c>
      <c r="JM14" s="4">
        <f t="shared" si="58"/>
        <v>6.2</v>
      </c>
      <c r="JN14" s="4">
        <f t="shared" si="59"/>
        <v>6.41</v>
      </c>
      <c r="JO14" s="4">
        <f t="shared" si="60"/>
        <v>6.66</v>
      </c>
      <c r="JP14" s="4">
        <f t="shared" si="61"/>
        <v>6.97</v>
      </c>
      <c r="JQ14" s="117">
        <f t="shared" si="62"/>
        <v>0</v>
      </c>
      <c r="JR14" s="110">
        <f t="shared" si="63"/>
        <v>1.4</v>
      </c>
      <c r="JS14" s="110" t="str">
        <f t="shared" si="64"/>
        <v/>
      </c>
      <c r="JT14" s="110" t="str">
        <f t="shared" si="65"/>
        <v/>
      </c>
      <c r="JU14" s="110" t="str">
        <f t="shared" si="66"/>
        <v/>
      </c>
      <c r="JV14" s="110" t="str">
        <f t="shared" si="67"/>
        <v/>
      </c>
      <c r="JW14" s="110" t="str">
        <f t="shared" si="68"/>
        <v/>
      </c>
      <c r="JX14" s="110" t="str">
        <f t="shared" si="69"/>
        <v/>
      </c>
      <c r="JY14" s="110" t="str">
        <f t="shared" si="70"/>
        <v/>
      </c>
      <c r="JZ14" s="110" t="str">
        <f t="shared" si="71"/>
        <v/>
      </c>
      <c r="KA14" s="110" t="str">
        <f t="shared" si="72"/>
        <v/>
      </c>
      <c r="KB14" s="110" t="str">
        <f t="shared" si="73"/>
        <v/>
      </c>
      <c r="KC14" s="110" t="str">
        <f t="shared" si="74"/>
        <v/>
      </c>
      <c r="KD14" s="110" t="str">
        <f t="shared" si="75"/>
        <v/>
      </c>
      <c r="KE14" s="110" t="str">
        <f t="shared" si="76"/>
        <v/>
      </c>
      <c r="KF14" s="110" t="str">
        <f t="shared" si="77"/>
        <v/>
      </c>
      <c r="KG14" s="121" t="str">
        <f t="shared" si="78"/>
        <v/>
      </c>
      <c r="KH14" s="83" t="str">
        <f t="shared" si="79"/>
        <v/>
      </c>
      <c r="KI14" s="4" t="str">
        <f t="shared" si="80"/>
        <v/>
      </c>
      <c r="KJ14" s="4" t="str">
        <f t="shared" si="81"/>
        <v/>
      </c>
      <c r="KK14" s="4" t="str">
        <f t="shared" si="82"/>
        <v/>
      </c>
      <c r="KL14" s="4" t="str">
        <f t="shared" si="83"/>
        <v/>
      </c>
      <c r="KM14" s="4" t="str">
        <f t="shared" si="84"/>
        <v/>
      </c>
      <c r="KN14" s="4" t="str">
        <f t="shared" si="85"/>
        <v/>
      </c>
      <c r="KO14" s="4" t="str">
        <f t="shared" si="86"/>
        <v/>
      </c>
      <c r="KP14" s="4" t="str">
        <f t="shared" si="87"/>
        <v/>
      </c>
      <c r="KQ14" s="4" t="str">
        <f t="shared" si="88"/>
        <v/>
      </c>
      <c r="KR14" s="4" t="str">
        <f t="shared" si="89"/>
        <v/>
      </c>
      <c r="KS14" s="4" t="str">
        <f t="shared" si="90"/>
        <v/>
      </c>
      <c r="KT14" s="4" t="str">
        <f t="shared" si="91"/>
        <v/>
      </c>
      <c r="KU14" s="4" t="str">
        <f t="shared" si="92"/>
        <v/>
      </c>
      <c r="KV14" s="4" t="str">
        <f t="shared" si="93"/>
        <v/>
      </c>
      <c r="KW14" s="4" t="str">
        <f t="shared" si="94"/>
        <v/>
      </c>
      <c r="KX14" s="4" t="str">
        <f t="shared" si="95"/>
        <v/>
      </c>
      <c r="KY14" s="4" t="str">
        <f t="shared" si="96"/>
        <v/>
      </c>
      <c r="KZ14" s="4" t="str">
        <f t="shared" si="97"/>
        <v/>
      </c>
      <c r="LA14" s="4" t="str">
        <f t="shared" si="98"/>
        <v/>
      </c>
      <c r="LB14" s="4" t="str">
        <f t="shared" si="99"/>
        <v/>
      </c>
      <c r="LC14" s="4" t="str">
        <f t="shared" si="100"/>
        <v/>
      </c>
      <c r="LD14" s="4" t="str">
        <f t="shared" si="101"/>
        <v/>
      </c>
      <c r="LE14" s="4" t="str">
        <f t="shared" si="102"/>
        <v/>
      </c>
      <c r="LF14" s="4" t="str">
        <f t="shared" si="103"/>
        <v/>
      </c>
      <c r="LG14" s="4" t="str">
        <f t="shared" si="104"/>
        <v/>
      </c>
      <c r="LH14" s="4" t="str">
        <f t="shared" si="105"/>
        <v/>
      </c>
      <c r="LI14" s="4" t="str">
        <f t="shared" si="106"/>
        <v/>
      </c>
      <c r="LJ14" s="4" t="str">
        <f t="shared" si="107"/>
        <v/>
      </c>
      <c r="LK14" s="4" t="str">
        <f t="shared" si="108"/>
        <v/>
      </c>
      <c r="LL14" s="4" t="str">
        <f t="shared" si="109"/>
        <v/>
      </c>
      <c r="LM14" s="4" t="str">
        <f t="shared" si="110"/>
        <v/>
      </c>
      <c r="LN14" s="4" t="str">
        <f t="shared" si="111"/>
        <v/>
      </c>
      <c r="LO14" s="4" t="str">
        <f t="shared" si="112"/>
        <v/>
      </c>
      <c r="LP14" s="4" t="str">
        <f t="shared" si="113"/>
        <v/>
      </c>
      <c r="LQ14" s="4" t="str">
        <f t="shared" si="114"/>
        <v/>
      </c>
      <c r="LR14" s="4" t="str">
        <f t="shared" si="115"/>
        <v/>
      </c>
      <c r="LS14" s="4" t="str">
        <f t="shared" si="116"/>
        <v/>
      </c>
      <c r="LT14" s="4" t="str">
        <f t="shared" si="117"/>
        <v/>
      </c>
      <c r="LU14" s="4" t="str">
        <f t="shared" si="118"/>
        <v/>
      </c>
      <c r="LV14" s="4" t="str">
        <f t="shared" si="119"/>
        <v/>
      </c>
      <c r="LW14" s="4" t="str">
        <f t="shared" si="120"/>
        <v/>
      </c>
      <c r="LX14" s="4" t="str">
        <f t="shared" si="121"/>
        <v/>
      </c>
      <c r="LY14" s="4" t="str">
        <f t="shared" si="122"/>
        <v/>
      </c>
      <c r="LZ14" s="4" t="str">
        <f t="shared" si="123"/>
        <v/>
      </c>
      <c r="MA14" s="4" t="str">
        <f t="shared" si="124"/>
        <v/>
      </c>
      <c r="MB14" s="4" t="str">
        <f t="shared" si="125"/>
        <v/>
      </c>
      <c r="MC14" s="4" t="str">
        <f t="shared" si="126"/>
        <v/>
      </c>
      <c r="MD14" s="4" t="str">
        <f t="shared" si="127"/>
        <v/>
      </c>
      <c r="ME14" s="4" t="str">
        <f t="shared" si="128"/>
        <v/>
      </c>
      <c r="MF14" s="4" t="str">
        <f t="shared" si="129"/>
        <v/>
      </c>
      <c r="MG14" s="4">
        <f t="shared" si="130"/>
        <v>0</v>
      </c>
    </row>
    <row r="15" spans="1:345" ht="26.25" customHeight="1" thickBot="1" x14ac:dyDescent="0.25">
      <c r="A15" s="35">
        <v>41192</v>
      </c>
      <c r="B15" s="36" t="s">
        <v>149</v>
      </c>
      <c r="C15" s="36" t="s">
        <v>86</v>
      </c>
      <c r="D15" s="31" t="s">
        <v>111</v>
      </c>
      <c r="E15" s="4">
        <v>59</v>
      </c>
      <c r="F15" s="35">
        <v>19557</v>
      </c>
      <c r="G15" s="36" t="s">
        <v>87</v>
      </c>
      <c r="H15" s="36" t="s">
        <v>112</v>
      </c>
      <c r="I15" s="36">
        <v>1831459</v>
      </c>
      <c r="J15" s="2" t="s">
        <v>309</v>
      </c>
      <c r="N15" s="98" t="s">
        <v>628</v>
      </c>
      <c r="O15" s="54" t="s">
        <v>626</v>
      </c>
      <c r="R15" s="33">
        <v>-0.5</v>
      </c>
      <c r="S15" s="4">
        <v>-0.53</v>
      </c>
      <c r="T15" s="4" t="s">
        <v>249</v>
      </c>
      <c r="U15" s="67">
        <v>14</v>
      </c>
      <c r="V15" s="124">
        <v>41117</v>
      </c>
      <c r="W15" s="67">
        <v>-5.25</v>
      </c>
      <c r="X15" s="67">
        <v>1.75</v>
      </c>
      <c r="Y15" s="4">
        <v>91</v>
      </c>
      <c r="Z15" s="4">
        <v>25</v>
      </c>
      <c r="AA15" s="4">
        <v>15</v>
      </c>
      <c r="AB15" s="4">
        <v>586</v>
      </c>
      <c r="AC15" s="4">
        <v>25.84</v>
      </c>
      <c r="AF15" s="4">
        <v>3.62</v>
      </c>
      <c r="AG15" s="4">
        <v>43.49</v>
      </c>
      <c r="AH15" s="4">
        <v>170</v>
      </c>
      <c r="AI15" s="4">
        <v>44.47</v>
      </c>
      <c r="AJ15" s="4">
        <v>80</v>
      </c>
      <c r="AK15" s="4">
        <v>0</v>
      </c>
      <c r="AL15" s="4" t="b">
        <f t="shared" si="0"/>
        <v>0</v>
      </c>
      <c r="AN15" s="32">
        <v>41366</v>
      </c>
      <c r="AO15" s="60"/>
      <c r="AP15" s="67">
        <v>0</v>
      </c>
      <c r="AQ15" s="67">
        <v>0.75</v>
      </c>
      <c r="AR15" s="4">
        <v>55</v>
      </c>
      <c r="AS15" s="4">
        <v>25</v>
      </c>
      <c r="AT15" s="4">
        <v>14</v>
      </c>
      <c r="AU15" s="4">
        <v>537</v>
      </c>
      <c r="AV15" s="4">
        <v>2674</v>
      </c>
      <c r="BC15" s="4">
        <f t="shared" si="1"/>
        <v>0.375</v>
      </c>
      <c r="BD15" s="4">
        <f t="shared" si="2"/>
        <v>0.90500000000000003</v>
      </c>
      <c r="BE15" s="4">
        <f t="shared" si="3"/>
        <v>-49</v>
      </c>
      <c r="BF15" s="3">
        <v>41551</v>
      </c>
      <c r="BG15" s="56">
        <v>40</v>
      </c>
      <c r="BH15" s="67">
        <v>0</v>
      </c>
      <c r="BI15" s="67">
        <v>1</v>
      </c>
      <c r="BJ15" s="4">
        <v>65</v>
      </c>
      <c r="BK15" s="4">
        <v>30</v>
      </c>
      <c r="BL15" s="4">
        <v>16</v>
      </c>
      <c r="BM15" s="4">
        <v>551</v>
      </c>
      <c r="BN15" s="4">
        <v>2618</v>
      </c>
      <c r="BO15" s="4">
        <v>25.74</v>
      </c>
      <c r="BP15" s="4">
        <v>4.28</v>
      </c>
      <c r="BQ15" s="4">
        <v>42.56</v>
      </c>
      <c r="BR15" s="4">
        <v>169</v>
      </c>
      <c r="BS15" s="4">
        <v>43.83</v>
      </c>
      <c r="BT15" s="4">
        <v>79</v>
      </c>
      <c r="BU15" s="4">
        <f t="shared" si="131"/>
        <v>0.5</v>
      </c>
      <c r="BV15" s="4">
        <f t="shared" si="4"/>
        <v>1.03</v>
      </c>
      <c r="BW15" s="4">
        <f t="shared" si="5"/>
        <v>-35</v>
      </c>
      <c r="BX15" s="4">
        <f t="shared" si="6"/>
        <v>1</v>
      </c>
      <c r="BY15" s="4">
        <f t="shared" si="7"/>
        <v>1</v>
      </c>
      <c r="BZ15" s="4">
        <f t="shared" si="8"/>
        <v>-4.375</v>
      </c>
      <c r="CA15" s="4">
        <f t="shared" si="9"/>
        <v>0.375</v>
      </c>
      <c r="CB15" s="4">
        <f t="shared" si="10"/>
        <v>0.5</v>
      </c>
      <c r="CC15" s="53">
        <f t="shared" si="11"/>
        <v>359</v>
      </c>
      <c r="CD15" s="55">
        <f t="shared" si="12"/>
        <v>11.966666666666667</v>
      </c>
      <c r="CE15" s="4">
        <f t="shared" si="13"/>
        <v>0.125</v>
      </c>
      <c r="CF15" s="4" t="str">
        <f t="shared" si="14"/>
        <v/>
      </c>
      <c r="CG15" s="4">
        <f t="shared" si="15"/>
        <v>-0.78500000000000369</v>
      </c>
      <c r="CH15" s="4">
        <f t="shared" si="16"/>
        <v>-0.78500000000000369</v>
      </c>
      <c r="CI15" s="4">
        <f t="shared" si="17"/>
        <v>-4.375</v>
      </c>
      <c r="CJ15" s="4">
        <f t="shared" si="18"/>
        <v>0.5</v>
      </c>
      <c r="CK15" s="93">
        <f t="shared" si="19"/>
        <v>1.03</v>
      </c>
      <c r="CL15" s="83">
        <f t="shared" si="20"/>
        <v>-35</v>
      </c>
      <c r="CM15" s="4">
        <f t="shared" si="21"/>
        <v>-0.10000000000000142</v>
      </c>
      <c r="CN15" s="96">
        <f t="shared" si="22"/>
        <v>-0.53</v>
      </c>
      <c r="CO15" s="96">
        <f t="shared" si="132"/>
        <v>-7.9181246047624873E-2</v>
      </c>
      <c r="CP15" s="127">
        <f t="shared" si="23"/>
        <v>1</v>
      </c>
      <c r="CQ15" s="127">
        <f t="shared" si="24"/>
        <v>-0.75</v>
      </c>
      <c r="CR15" s="136">
        <f t="shared" si="25"/>
        <v>30</v>
      </c>
      <c r="CS15" s="136">
        <f t="shared" si="26"/>
        <v>25</v>
      </c>
      <c r="CT15" s="135">
        <f t="shared" si="27"/>
        <v>40</v>
      </c>
      <c r="CU15" s="139">
        <f t="shared" si="28"/>
        <v>1</v>
      </c>
      <c r="CV15" s="96">
        <f t="shared" si="29"/>
        <v>0</v>
      </c>
      <c r="CW15" s="141" t="b">
        <f t="shared" si="30"/>
        <v>0</v>
      </c>
      <c r="CX15">
        <v>7.91</v>
      </c>
      <c r="CY15" s="4">
        <v>7.75</v>
      </c>
      <c r="CZ15" s="4">
        <v>165.5</v>
      </c>
      <c r="DA15" s="4">
        <v>-0.9</v>
      </c>
      <c r="DB15" s="4">
        <v>0.15</v>
      </c>
      <c r="DC15" s="4">
        <v>0.51</v>
      </c>
      <c r="DD15" s="4">
        <v>3.09</v>
      </c>
      <c r="DE15" s="4">
        <v>3.73</v>
      </c>
      <c r="DF15" s="4">
        <v>645</v>
      </c>
      <c r="DG15" s="4">
        <v>647</v>
      </c>
      <c r="DH15" s="4">
        <v>630</v>
      </c>
      <c r="DI15" s="4">
        <v>667</v>
      </c>
      <c r="DJ15" s="4">
        <v>629</v>
      </c>
      <c r="DK15" s="4">
        <v>653</v>
      </c>
      <c r="DL15" s="4">
        <v>559</v>
      </c>
      <c r="DM15" s="4">
        <v>-3.14</v>
      </c>
      <c r="DN15" s="4">
        <v>-3.14</v>
      </c>
      <c r="DO15" s="4">
        <v>7.83</v>
      </c>
      <c r="DP15" s="4">
        <v>7.8</v>
      </c>
      <c r="DQ15" s="4">
        <v>7.82</v>
      </c>
      <c r="DR15" s="4">
        <v>7.98</v>
      </c>
      <c r="DS15" s="4">
        <v>8.34</v>
      </c>
      <c r="DT15" s="4">
        <v>8.84</v>
      </c>
      <c r="DU15" s="4">
        <v>0</v>
      </c>
      <c r="DV15" s="4">
        <v>0.5</v>
      </c>
      <c r="DW15" s="4">
        <v>7.69</v>
      </c>
      <c r="DX15" s="4">
        <v>7.32</v>
      </c>
      <c r="DY15" s="4">
        <v>7.13</v>
      </c>
      <c r="DZ15" s="4">
        <v>7.14</v>
      </c>
      <c r="EA15" s="4">
        <v>7.47</v>
      </c>
      <c r="EB15" s="4">
        <v>7.64</v>
      </c>
      <c r="EC15" s="4">
        <v>0</v>
      </c>
      <c r="ED15" s="89">
        <v>0.5</v>
      </c>
      <c r="EE15" s="110">
        <v>42.7</v>
      </c>
      <c r="EF15" s="110">
        <v>43.5</v>
      </c>
      <c r="EG15" s="110">
        <v>43.1</v>
      </c>
      <c r="EH15" s="110">
        <v>165.5</v>
      </c>
      <c r="EI15" s="110">
        <v>0.9</v>
      </c>
      <c r="EJ15" s="110">
        <v>-4.9000000000000004</v>
      </c>
      <c r="EK15" s="110">
        <v>-5.6</v>
      </c>
      <c r="EL15" s="110">
        <v>-5.2</v>
      </c>
      <c r="EM15" s="110">
        <v>140.1</v>
      </c>
      <c r="EN15" s="110">
        <v>0.6</v>
      </c>
      <c r="EO15" s="110">
        <v>4.5</v>
      </c>
      <c r="EP15" s="110">
        <v>12.8</v>
      </c>
      <c r="EQ15" s="110">
        <v>26</v>
      </c>
      <c r="ER15" s="110">
        <v>58.4</v>
      </c>
      <c r="ES15" s="114">
        <v>16</v>
      </c>
      <c r="ET15" s="96"/>
      <c r="EU15" s="96"/>
      <c r="EV15" s="96"/>
      <c r="EW15" s="96"/>
      <c r="EX15" s="96"/>
      <c r="EY15" s="96"/>
      <c r="EZ15" s="96"/>
      <c r="FA15" s="96"/>
      <c r="FB15" s="96"/>
      <c r="FC15" s="96"/>
      <c r="FD15" s="96"/>
      <c r="FE15" s="96"/>
      <c r="FF15" s="96"/>
      <c r="FG15" s="96"/>
      <c r="FH15" s="96"/>
      <c r="FI15" s="96"/>
      <c r="FJ15" s="96"/>
      <c r="FK15" s="96"/>
      <c r="FL15" s="96"/>
      <c r="FM15" s="96"/>
      <c r="FN15" s="96"/>
      <c r="FO15" s="96"/>
      <c r="FP15" s="96"/>
      <c r="FQ15" s="96"/>
      <c r="FR15" s="96"/>
      <c r="FS15" s="96"/>
      <c r="FT15" s="96"/>
      <c r="FU15" s="96"/>
      <c r="FV15" s="96"/>
      <c r="FW15" s="96"/>
      <c r="FX15" s="96"/>
      <c r="FY15" s="96"/>
      <c r="FZ15" s="96"/>
      <c r="GA15" s="96"/>
      <c r="GB15" s="96"/>
      <c r="GC15" s="96"/>
      <c r="GD15" s="96"/>
      <c r="GE15" s="96"/>
      <c r="GF15" s="96"/>
      <c r="GG15" s="96"/>
      <c r="GH15" s="96"/>
      <c r="GI15" s="96"/>
      <c r="GJ15" s="96"/>
      <c r="GK15" s="96"/>
      <c r="GL15" s="96"/>
      <c r="GM15" s="96"/>
      <c r="GN15" s="96"/>
      <c r="GO15" s="96"/>
      <c r="GP15" s="83">
        <v>7.96</v>
      </c>
      <c r="GQ15" s="4">
        <v>7.72</v>
      </c>
      <c r="GR15" s="4">
        <v>171.4</v>
      </c>
      <c r="GS15" s="4">
        <v>-1.3</v>
      </c>
      <c r="GT15" s="4">
        <v>0.47</v>
      </c>
      <c r="GU15" s="4">
        <v>0.5</v>
      </c>
      <c r="GV15" s="4">
        <v>3.98</v>
      </c>
      <c r="GW15" s="4">
        <v>4.51</v>
      </c>
      <c r="GX15" s="4">
        <v>528</v>
      </c>
      <c r="GY15" s="4">
        <v>528</v>
      </c>
      <c r="GZ15" s="4">
        <v>636</v>
      </c>
      <c r="HA15" s="4">
        <v>579</v>
      </c>
      <c r="HB15" s="4">
        <v>594</v>
      </c>
      <c r="HC15" s="4">
        <v>609</v>
      </c>
      <c r="HD15" s="4">
        <v>520</v>
      </c>
      <c r="HE15" s="4">
        <v>-0.69</v>
      </c>
      <c r="HF15" s="4">
        <v>-0.9</v>
      </c>
      <c r="HG15" s="4">
        <v>7.85</v>
      </c>
      <c r="HH15" s="4">
        <v>7.81</v>
      </c>
      <c r="HI15" s="4">
        <v>7.85</v>
      </c>
      <c r="HJ15" s="4">
        <v>7.99</v>
      </c>
      <c r="HK15" s="4">
        <v>8.3000000000000007</v>
      </c>
      <c r="HL15" s="4">
        <v>8.65</v>
      </c>
      <c r="HM15" s="4">
        <v>0</v>
      </c>
      <c r="HN15" s="4">
        <v>1.1000000000000001</v>
      </c>
      <c r="HO15" s="4">
        <v>6.58</v>
      </c>
      <c r="HP15" s="4">
        <v>6.48</v>
      </c>
      <c r="HQ15" s="4">
        <v>6.6</v>
      </c>
      <c r="HR15" s="4">
        <v>6.99</v>
      </c>
      <c r="HS15" s="4">
        <v>7.41</v>
      </c>
      <c r="HT15" s="4">
        <v>7.63</v>
      </c>
      <c r="HU15" s="4">
        <v>0</v>
      </c>
      <c r="HV15" s="93">
        <v>1.1000000000000001</v>
      </c>
      <c r="HW15" s="110">
        <v>42.4</v>
      </c>
      <c r="HX15" s="110">
        <v>43.7</v>
      </c>
      <c r="HY15" s="110">
        <v>43.1</v>
      </c>
      <c r="HZ15" s="110">
        <v>171.4</v>
      </c>
      <c r="IA15" s="110">
        <v>1.3</v>
      </c>
      <c r="IB15" s="110">
        <v>-6</v>
      </c>
      <c r="IC15" s="110">
        <v>-6.3</v>
      </c>
      <c r="ID15" s="110">
        <v>-6.2</v>
      </c>
      <c r="IE15" s="110">
        <v>17.3</v>
      </c>
      <c r="IF15" s="110">
        <v>0.3</v>
      </c>
      <c r="IG15" s="110">
        <v>3.8</v>
      </c>
      <c r="IH15" s="110">
        <v>11.1</v>
      </c>
      <c r="II15" s="110">
        <v>23.7</v>
      </c>
      <c r="IJ15" s="110">
        <v>56.1</v>
      </c>
      <c r="IK15" s="121">
        <v>19</v>
      </c>
      <c r="IL15" s="83">
        <f t="shared" si="31"/>
        <v>7.96</v>
      </c>
      <c r="IM15" s="4">
        <f t="shared" si="32"/>
        <v>7.72</v>
      </c>
      <c r="IN15" s="4">
        <f t="shared" si="33"/>
        <v>171.4</v>
      </c>
      <c r="IO15" s="4">
        <f t="shared" si="34"/>
        <v>-1.3</v>
      </c>
      <c r="IP15" s="4">
        <f t="shared" si="35"/>
        <v>0.47</v>
      </c>
      <c r="IQ15" s="4">
        <f t="shared" si="36"/>
        <v>0.5</v>
      </c>
      <c r="IR15" s="4">
        <f t="shared" si="37"/>
        <v>3.98</v>
      </c>
      <c r="IS15" s="4">
        <f t="shared" si="38"/>
        <v>4.51</v>
      </c>
      <c r="IT15" s="4">
        <f t="shared" si="39"/>
        <v>528</v>
      </c>
      <c r="IU15" s="4">
        <f t="shared" si="40"/>
        <v>528</v>
      </c>
      <c r="IV15" s="4">
        <f t="shared" si="41"/>
        <v>636</v>
      </c>
      <c r="IW15" s="4">
        <f t="shared" si="42"/>
        <v>579</v>
      </c>
      <c r="IX15" s="4">
        <f t="shared" si="43"/>
        <v>594</v>
      </c>
      <c r="IY15" s="4">
        <f t="shared" si="44"/>
        <v>609</v>
      </c>
      <c r="IZ15" s="4">
        <f t="shared" si="45"/>
        <v>520</v>
      </c>
      <c r="JA15" s="4">
        <f t="shared" si="46"/>
        <v>-0.69</v>
      </c>
      <c r="JB15" s="4">
        <f t="shared" si="47"/>
        <v>-0.9</v>
      </c>
      <c r="JC15" s="4">
        <f t="shared" si="48"/>
        <v>7.85</v>
      </c>
      <c r="JD15" s="4">
        <f t="shared" si="49"/>
        <v>7.81</v>
      </c>
      <c r="JE15" s="4">
        <f t="shared" si="50"/>
        <v>7.85</v>
      </c>
      <c r="JF15" s="4">
        <f t="shared" si="51"/>
        <v>7.99</v>
      </c>
      <c r="JG15" s="4">
        <f t="shared" si="52"/>
        <v>8.3000000000000007</v>
      </c>
      <c r="JH15" s="4">
        <f t="shared" si="53"/>
        <v>8.65</v>
      </c>
      <c r="JI15" s="4">
        <f t="shared" si="54"/>
        <v>0</v>
      </c>
      <c r="JJ15" s="4">
        <f t="shared" si="55"/>
        <v>1.1000000000000001</v>
      </c>
      <c r="JK15" s="4">
        <f t="shared" si="56"/>
        <v>6.58</v>
      </c>
      <c r="JL15" s="4">
        <f t="shared" si="57"/>
        <v>6.48</v>
      </c>
      <c r="JM15" s="4">
        <f t="shared" si="58"/>
        <v>6.6</v>
      </c>
      <c r="JN15" s="4">
        <f t="shared" si="59"/>
        <v>6.99</v>
      </c>
      <c r="JO15" s="4">
        <f t="shared" si="60"/>
        <v>7.41</v>
      </c>
      <c r="JP15" s="4">
        <f t="shared" si="61"/>
        <v>7.63</v>
      </c>
      <c r="JQ15" s="117">
        <f t="shared" si="62"/>
        <v>0</v>
      </c>
      <c r="JR15" s="110">
        <f t="shared" si="63"/>
        <v>1.1000000000000001</v>
      </c>
      <c r="JS15" s="110">
        <f t="shared" si="64"/>
        <v>42.4</v>
      </c>
      <c r="JT15" s="110">
        <f t="shared" si="65"/>
        <v>43.7</v>
      </c>
      <c r="JU15" s="110">
        <f t="shared" si="66"/>
        <v>43.1</v>
      </c>
      <c r="JV15" s="110">
        <f t="shared" si="67"/>
        <v>171.4</v>
      </c>
      <c r="JW15" s="110">
        <f t="shared" si="68"/>
        <v>1.3</v>
      </c>
      <c r="JX15" s="110">
        <f t="shared" si="69"/>
        <v>-6</v>
      </c>
      <c r="JY15" s="110">
        <f t="shared" si="70"/>
        <v>-6.3</v>
      </c>
      <c r="JZ15" s="110">
        <f t="shared" si="71"/>
        <v>-6.2</v>
      </c>
      <c r="KA15" s="110">
        <f t="shared" si="72"/>
        <v>17.3</v>
      </c>
      <c r="KB15" s="110">
        <f t="shared" si="73"/>
        <v>0.3</v>
      </c>
      <c r="KC15" s="110">
        <f t="shared" si="74"/>
        <v>3.8</v>
      </c>
      <c r="KD15" s="110">
        <f t="shared" si="75"/>
        <v>11.1</v>
      </c>
      <c r="KE15" s="110">
        <f t="shared" si="76"/>
        <v>23.7</v>
      </c>
      <c r="KF15" s="110">
        <f t="shared" si="77"/>
        <v>56.1</v>
      </c>
      <c r="KG15" s="121">
        <f t="shared" si="78"/>
        <v>19</v>
      </c>
      <c r="KH15" s="83">
        <f t="shared" si="79"/>
        <v>4.9999999999999822E-2</v>
      </c>
      <c r="KI15" s="4">
        <f t="shared" si="80"/>
        <v>-3.0000000000000249E-2</v>
      </c>
      <c r="KJ15" s="4">
        <f t="shared" si="81"/>
        <v>5.9000000000000057</v>
      </c>
      <c r="KK15" s="4">
        <f t="shared" si="82"/>
        <v>-0.4</v>
      </c>
      <c r="KL15" s="4">
        <f t="shared" si="83"/>
        <v>0.31999999999999995</v>
      </c>
      <c r="KM15" s="4">
        <f t="shared" si="84"/>
        <v>-1.0000000000000009E-2</v>
      </c>
      <c r="KN15" s="4">
        <f t="shared" si="85"/>
        <v>0.89000000000000012</v>
      </c>
      <c r="KO15" s="4">
        <f t="shared" si="86"/>
        <v>0.7799999999999998</v>
      </c>
      <c r="KP15" s="4">
        <f t="shared" si="87"/>
        <v>-117</v>
      </c>
      <c r="KQ15" s="4">
        <f t="shared" si="88"/>
        <v>-119</v>
      </c>
      <c r="KR15" s="4">
        <f t="shared" si="89"/>
        <v>6</v>
      </c>
      <c r="KS15" s="4">
        <f t="shared" si="90"/>
        <v>-88</v>
      </c>
      <c r="KT15" s="4">
        <f t="shared" si="91"/>
        <v>-35</v>
      </c>
      <c r="KU15" s="4">
        <f t="shared" si="92"/>
        <v>-44</v>
      </c>
      <c r="KV15" s="4">
        <f t="shared" si="93"/>
        <v>-39</v>
      </c>
      <c r="KW15" s="4">
        <f t="shared" si="94"/>
        <v>2.4500000000000002</v>
      </c>
      <c r="KX15" s="4">
        <f t="shared" si="95"/>
        <v>2.2400000000000002</v>
      </c>
      <c r="KY15" s="4">
        <f t="shared" si="96"/>
        <v>1.9999999999999574E-2</v>
      </c>
      <c r="KZ15" s="4">
        <f t="shared" si="97"/>
        <v>9.9999999999997868E-3</v>
      </c>
      <c r="LA15" s="4">
        <f t="shared" si="98"/>
        <v>2.9999999999999361E-2</v>
      </c>
      <c r="LB15" s="4">
        <f t="shared" si="99"/>
        <v>9.9999999999997868E-3</v>
      </c>
      <c r="LC15" s="4">
        <f t="shared" si="100"/>
        <v>-3.9999999999999147E-2</v>
      </c>
      <c r="LD15" s="4">
        <f t="shared" si="101"/>
        <v>-0.1899999999999995</v>
      </c>
      <c r="LE15" s="4">
        <f t="shared" si="102"/>
        <v>0</v>
      </c>
      <c r="LF15" s="4">
        <f t="shared" si="103"/>
        <v>0.60000000000000009</v>
      </c>
      <c r="LG15" s="4">
        <f t="shared" si="104"/>
        <v>-1.1100000000000003</v>
      </c>
      <c r="LH15" s="4">
        <f t="shared" si="105"/>
        <v>-0.83999999999999986</v>
      </c>
      <c r="LI15" s="4">
        <f t="shared" si="106"/>
        <v>-0.53000000000000025</v>
      </c>
      <c r="LJ15" s="4">
        <f t="shared" si="107"/>
        <v>-0.14999999999999947</v>
      </c>
      <c r="LK15" s="4">
        <f t="shared" si="108"/>
        <v>-5.9999999999999609E-2</v>
      </c>
      <c r="LL15" s="4">
        <f t="shared" si="109"/>
        <v>-9.9999999999997868E-3</v>
      </c>
      <c r="LM15" s="4">
        <f t="shared" si="110"/>
        <v>0</v>
      </c>
      <c r="LN15" s="4">
        <f t="shared" si="111"/>
        <v>0.60000000000000009</v>
      </c>
      <c r="LO15" s="4">
        <f t="shared" si="112"/>
        <v>-0.30000000000000426</v>
      </c>
      <c r="LP15" s="4">
        <f t="shared" si="113"/>
        <v>0.20000000000000284</v>
      </c>
      <c r="LQ15" s="4">
        <f t="shared" si="114"/>
        <v>0</v>
      </c>
      <c r="LR15" s="4">
        <f t="shared" si="115"/>
        <v>5.9000000000000057</v>
      </c>
      <c r="LS15" s="4">
        <f t="shared" si="116"/>
        <v>0.4</v>
      </c>
      <c r="LT15" s="4">
        <f t="shared" si="117"/>
        <v>-1.0999999999999996</v>
      </c>
      <c r="LU15" s="4">
        <f t="shared" si="118"/>
        <v>-0.70000000000000018</v>
      </c>
      <c r="LV15" s="4">
        <f t="shared" si="119"/>
        <v>-1</v>
      </c>
      <c r="LW15" s="4">
        <f t="shared" si="120"/>
        <v>-122.8</v>
      </c>
      <c r="LX15" s="4">
        <f t="shared" si="121"/>
        <v>-0.3</v>
      </c>
      <c r="LY15" s="4">
        <f t="shared" si="122"/>
        <v>-0.70000000000000018</v>
      </c>
      <c r="LZ15" s="4">
        <f t="shared" si="123"/>
        <v>-1.7000000000000011</v>
      </c>
      <c r="MA15" s="4">
        <f t="shared" si="124"/>
        <v>-2.3000000000000007</v>
      </c>
      <c r="MB15" s="4">
        <f t="shared" si="125"/>
        <v>-2.2999999999999972</v>
      </c>
      <c r="MC15" s="4">
        <f t="shared" si="126"/>
        <v>3</v>
      </c>
      <c r="MD15" s="4" t="str">
        <f t="shared" si="127"/>
        <v/>
      </c>
      <c r="ME15" s="4" t="str">
        <f t="shared" si="128"/>
        <v/>
      </c>
      <c r="MF15" s="4" t="str">
        <f t="shared" si="129"/>
        <v/>
      </c>
      <c r="MG15" s="4">
        <f t="shared" si="130"/>
        <v>-6.3</v>
      </c>
    </row>
    <row r="16" spans="1:345" ht="26.25" customHeight="1" thickBot="1" x14ac:dyDescent="0.25">
      <c r="A16" s="35">
        <v>41199</v>
      </c>
      <c r="B16" s="36" t="s">
        <v>239</v>
      </c>
      <c r="C16" s="36" t="s">
        <v>240</v>
      </c>
      <c r="D16" s="31" t="s">
        <v>111</v>
      </c>
      <c r="E16" s="4">
        <v>72</v>
      </c>
      <c r="F16" s="3">
        <v>14857</v>
      </c>
      <c r="G16" s="4" t="s">
        <v>87</v>
      </c>
      <c r="H16" s="4" t="s">
        <v>108</v>
      </c>
      <c r="I16" s="4">
        <v>1831717</v>
      </c>
      <c r="J16" s="2" t="s">
        <v>309</v>
      </c>
      <c r="K16" s="230"/>
      <c r="L16" s="231">
        <v>1</v>
      </c>
      <c r="M16" s="231"/>
      <c r="N16" s="98" t="s">
        <v>627</v>
      </c>
      <c r="O16" s="261"/>
      <c r="P16" s="231"/>
      <c r="Q16" s="231"/>
      <c r="R16" s="33">
        <v>-0.5</v>
      </c>
      <c r="S16" s="33">
        <v>-0.55000000000000004</v>
      </c>
      <c r="T16" s="4" t="s">
        <v>249</v>
      </c>
      <c r="U16" s="67">
        <v>17.75</v>
      </c>
      <c r="V16" s="124">
        <v>41149</v>
      </c>
      <c r="W16" s="67">
        <v>-3.5</v>
      </c>
      <c r="X16" s="67">
        <v>0.25</v>
      </c>
      <c r="Y16" s="4">
        <v>75</v>
      </c>
      <c r="Z16" s="4">
        <v>25</v>
      </c>
      <c r="AA16" s="4">
        <v>16</v>
      </c>
      <c r="AB16" s="4">
        <v>613</v>
      </c>
      <c r="AC16" s="4">
        <v>24.03</v>
      </c>
      <c r="AF16" s="4">
        <v>3.06</v>
      </c>
      <c r="AG16" s="4">
        <v>44.82</v>
      </c>
      <c r="AH16" s="4">
        <v>170</v>
      </c>
      <c r="AI16" s="4">
        <v>45.42</v>
      </c>
      <c r="AJ16" s="4">
        <v>80</v>
      </c>
      <c r="AK16" s="4">
        <v>1</v>
      </c>
      <c r="AL16" s="4" t="b">
        <f t="shared" si="0"/>
        <v>1</v>
      </c>
      <c r="AM16" s="54"/>
      <c r="AN16" s="37">
        <v>41373</v>
      </c>
      <c r="AO16" s="59"/>
      <c r="AP16" s="67">
        <v>-1.25</v>
      </c>
      <c r="AQ16" s="67">
        <v>0.5</v>
      </c>
      <c r="AR16" s="4">
        <v>165</v>
      </c>
      <c r="AS16" s="4">
        <v>25</v>
      </c>
      <c r="AT16" s="4">
        <v>9</v>
      </c>
      <c r="AU16" s="4">
        <v>562</v>
      </c>
      <c r="AV16" s="4">
        <v>2591</v>
      </c>
      <c r="BC16" s="4">
        <f t="shared" si="1"/>
        <v>-1</v>
      </c>
      <c r="BD16" s="4">
        <f t="shared" si="2"/>
        <v>-0.44999999999999996</v>
      </c>
      <c r="BE16" s="4">
        <f t="shared" si="3"/>
        <v>-51</v>
      </c>
      <c r="BF16" s="3">
        <v>41562</v>
      </c>
      <c r="BH16" s="67">
        <v>-0.5</v>
      </c>
      <c r="BI16" s="67">
        <v>0</v>
      </c>
      <c r="BJ16" s="4">
        <v>0</v>
      </c>
      <c r="BK16" s="4">
        <v>20</v>
      </c>
      <c r="BL16" s="4">
        <v>11</v>
      </c>
      <c r="BM16" s="4">
        <v>538</v>
      </c>
      <c r="BN16" s="4">
        <v>2227</v>
      </c>
      <c r="BO16" s="4">
        <v>24.09</v>
      </c>
      <c r="BP16" s="4">
        <v>4.22</v>
      </c>
      <c r="BQ16" s="4">
        <v>44.47</v>
      </c>
      <c r="BR16" s="4">
        <v>152</v>
      </c>
      <c r="BS16" s="4">
        <v>45.06</v>
      </c>
      <c r="BT16" s="4">
        <v>62</v>
      </c>
      <c r="BU16" s="4">
        <f t="shared" si="131"/>
        <v>-0.5</v>
      </c>
      <c r="BV16" s="4">
        <f t="shared" si="4"/>
        <v>5.0000000000000044E-2</v>
      </c>
      <c r="BW16" s="4">
        <f t="shared" si="5"/>
        <v>-75</v>
      </c>
      <c r="BX16" s="4">
        <f t="shared" si="6"/>
        <v>1</v>
      </c>
      <c r="BY16" s="4">
        <f t="shared" si="7"/>
        <v>1</v>
      </c>
      <c r="BZ16" s="4">
        <f t="shared" si="8"/>
        <v>-3.375</v>
      </c>
      <c r="CA16" s="4">
        <f t="shared" si="9"/>
        <v>-1</v>
      </c>
      <c r="CB16" s="4">
        <f t="shared" si="10"/>
        <v>-0.5</v>
      </c>
      <c r="CC16" s="53">
        <f t="shared" si="11"/>
        <v>363</v>
      </c>
      <c r="CD16" s="55">
        <f t="shared" si="12"/>
        <v>12.1</v>
      </c>
      <c r="CE16" s="4">
        <f t="shared" si="13"/>
        <v>0.5</v>
      </c>
      <c r="CF16" s="4" t="str">
        <f t="shared" si="14"/>
        <v/>
      </c>
      <c r="CG16" s="4">
        <f t="shared" si="15"/>
        <v>-0.35500000000000398</v>
      </c>
      <c r="CH16" s="4">
        <f t="shared" si="16"/>
        <v>-0.35500000000000398</v>
      </c>
      <c r="CI16" s="4">
        <f t="shared" si="17"/>
        <v>-3.375</v>
      </c>
      <c r="CJ16" s="4">
        <f t="shared" si="18"/>
        <v>-0.5</v>
      </c>
      <c r="CK16" s="93">
        <f t="shared" si="19"/>
        <v>5.0000000000000044E-2</v>
      </c>
      <c r="CL16" s="83">
        <f t="shared" si="20"/>
        <v>-75</v>
      </c>
      <c r="CM16" s="4">
        <f t="shared" si="21"/>
        <v>5.9999999999998721E-2</v>
      </c>
      <c r="CN16" s="96">
        <f t="shared" si="22"/>
        <v>-0.55000000000000004</v>
      </c>
      <c r="CO16" s="96">
        <f t="shared" si="132"/>
        <v>9.6910013008056392E-2</v>
      </c>
      <c r="CP16" s="127">
        <f t="shared" si="23"/>
        <v>0</v>
      </c>
      <c r="CQ16" s="127">
        <f t="shared" si="24"/>
        <v>-0.25</v>
      </c>
      <c r="CR16" s="136">
        <f t="shared" si="25"/>
        <v>20</v>
      </c>
      <c r="CS16" s="136">
        <f t="shared" si="26"/>
        <v>25</v>
      </c>
      <c r="CT16" s="135" t="str">
        <f t="shared" si="27"/>
        <v/>
      </c>
      <c r="CU16" s="139">
        <f t="shared" si="28"/>
        <v>1</v>
      </c>
      <c r="CV16" s="96">
        <f t="shared" si="29"/>
        <v>0</v>
      </c>
      <c r="CW16" s="141" t="b">
        <f t="shared" si="30"/>
        <v>0</v>
      </c>
      <c r="CX16">
        <v>7.71</v>
      </c>
      <c r="CY16" s="4">
        <v>7.61</v>
      </c>
      <c r="CZ16" s="4">
        <v>176</v>
      </c>
      <c r="DA16" s="4">
        <v>-0.6</v>
      </c>
      <c r="DB16" s="4">
        <v>0.54</v>
      </c>
      <c r="DC16" s="4">
        <v>0.68</v>
      </c>
      <c r="DD16" s="4">
        <v>2.4300000000000002</v>
      </c>
      <c r="DE16" s="4">
        <v>3.02</v>
      </c>
      <c r="DF16" s="4">
        <v>596</v>
      </c>
      <c r="DG16" s="4">
        <v>598</v>
      </c>
      <c r="DH16" s="4">
        <v>669</v>
      </c>
      <c r="DI16" s="4">
        <v>662</v>
      </c>
      <c r="DJ16" s="4">
        <v>658</v>
      </c>
      <c r="DK16" s="4">
        <v>656</v>
      </c>
      <c r="DL16" s="4">
        <v>588</v>
      </c>
      <c r="DM16" s="4">
        <v>-0.68</v>
      </c>
      <c r="DN16" s="4">
        <v>0.61</v>
      </c>
      <c r="DO16" s="4">
        <v>7.66</v>
      </c>
      <c r="DP16" s="4">
        <v>7.64</v>
      </c>
      <c r="DQ16" s="4">
        <v>7.72</v>
      </c>
      <c r="DR16" s="4">
        <v>7.95</v>
      </c>
      <c r="DS16" s="4">
        <v>8.2799999999999994</v>
      </c>
      <c r="DT16" s="4">
        <v>8.61</v>
      </c>
      <c r="DU16" s="4">
        <v>0</v>
      </c>
      <c r="DV16" s="4">
        <v>1.2</v>
      </c>
      <c r="DW16" s="4">
        <v>6.43</v>
      </c>
      <c r="DX16" s="4">
        <v>6.43</v>
      </c>
      <c r="DY16" s="4">
        <v>6.63</v>
      </c>
      <c r="DZ16" s="4">
        <v>6.89</v>
      </c>
      <c r="EA16" s="4">
        <v>7.05</v>
      </c>
      <c r="EB16" s="4">
        <v>0</v>
      </c>
      <c r="EC16" s="4">
        <v>0</v>
      </c>
      <c r="ED16" s="89">
        <v>1.2</v>
      </c>
      <c r="EE16" s="110">
        <v>43.8</v>
      </c>
      <c r="EF16" s="110">
        <v>44.4</v>
      </c>
      <c r="EG16" s="110">
        <v>44.1</v>
      </c>
      <c r="EH16" s="110">
        <v>176</v>
      </c>
      <c r="EI16" s="110">
        <v>0.6</v>
      </c>
      <c r="EJ16" s="110">
        <v>-6.1</v>
      </c>
      <c r="EK16" s="110">
        <v>-6.4</v>
      </c>
      <c r="EL16" s="110">
        <v>-6.2</v>
      </c>
      <c r="EM16" s="110">
        <v>168.7</v>
      </c>
      <c r="EN16" s="110">
        <v>0.3</v>
      </c>
      <c r="EO16" s="110">
        <v>4.3</v>
      </c>
      <c r="EP16" s="110">
        <v>12.5</v>
      </c>
      <c r="EQ16" s="110">
        <v>26.3</v>
      </c>
      <c r="ER16" s="110">
        <v>61.6</v>
      </c>
      <c r="ES16" s="114">
        <v>19</v>
      </c>
      <c r="GP16" s="83">
        <v>7.61</v>
      </c>
      <c r="GQ16" s="4">
        <v>7.53</v>
      </c>
      <c r="GR16" s="4">
        <v>161.5</v>
      </c>
      <c r="GS16" s="4">
        <v>-0.5</v>
      </c>
      <c r="GT16" s="4">
        <v>0.67</v>
      </c>
      <c r="GU16" s="4">
        <v>0.71</v>
      </c>
      <c r="GV16" s="4">
        <v>4.58</v>
      </c>
      <c r="GW16" s="4">
        <v>5.13</v>
      </c>
      <c r="GX16" s="4">
        <v>547</v>
      </c>
      <c r="GY16" s="4">
        <v>544</v>
      </c>
      <c r="GZ16" s="4">
        <v>672</v>
      </c>
      <c r="HA16" s="4">
        <v>614</v>
      </c>
      <c r="HB16" s="4">
        <v>646</v>
      </c>
      <c r="HC16" s="4">
        <v>618</v>
      </c>
      <c r="HD16" s="4">
        <v>530</v>
      </c>
      <c r="HE16" s="4">
        <v>-0.87</v>
      </c>
      <c r="HF16" s="4">
        <v>-1.07</v>
      </c>
      <c r="HG16" s="4">
        <v>7.56</v>
      </c>
      <c r="HH16" s="4">
        <v>7.63</v>
      </c>
      <c r="HI16" s="4">
        <v>7.71</v>
      </c>
      <c r="HJ16" s="4">
        <v>7.96</v>
      </c>
      <c r="HK16" s="4">
        <v>8.2899999999999991</v>
      </c>
      <c r="HL16" s="4">
        <v>8.42</v>
      </c>
      <c r="HM16" s="4">
        <v>0</v>
      </c>
      <c r="HN16" s="4">
        <v>1.2</v>
      </c>
      <c r="HO16" s="4">
        <v>6.24</v>
      </c>
      <c r="HP16" s="4">
        <v>6.13</v>
      </c>
      <c r="HQ16" s="4">
        <v>6.31</v>
      </c>
      <c r="HR16" s="4">
        <v>6.61</v>
      </c>
      <c r="HS16" s="4">
        <v>6.82</v>
      </c>
      <c r="HT16" s="4">
        <v>0</v>
      </c>
      <c r="HU16" s="4">
        <v>0</v>
      </c>
      <c r="HV16" s="93">
        <v>1.2</v>
      </c>
      <c r="HW16" s="110">
        <v>44.3</v>
      </c>
      <c r="HX16" s="110">
        <v>44.8</v>
      </c>
      <c r="HY16" s="110">
        <v>44.6</v>
      </c>
      <c r="HZ16" s="110">
        <v>161.5</v>
      </c>
      <c r="IA16" s="110">
        <v>0.5</v>
      </c>
      <c r="IB16" s="110">
        <v>-6.4</v>
      </c>
      <c r="IC16" s="110">
        <v>-6.6</v>
      </c>
      <c r="ID16" s="110">
        <v>-6.5</v>
      </c>
      <c r="IE16" s="110">
        <v>16.600000000000001</v>
      </c>
      <c r="IF16" s="110">
        <v>0.2</v>
      </c>
      <c r="IG16" s="110">
        <v>4</v>
      </c>
      <c r="IH16" s="110">
        <v>11.6</v>
      </c>
      <c r="II16" s="110">
        <v>25.2</v>
      </c>
      <c r="IJ16" s="110">
        <v>61.7</v>
      </c>
      <c r="IK16" s="121">
        <v>21</v>
      </c>
      <c r="IL16" s="83">
        <f t="shared" si="31"/>
        <v>7.61</v>
      </c>
      <c r="IM16" s="4">
        <f t="shared" si="32"/>
        <v>7.53</v>
      </c>
      <c r="IN16" s="4">
        <f t="shared" si="33"/>
        <v>161.5</v>
      </c>
      <c r="IO16" s="4">
        <f t="shared" si="34"/>
        <v>-0.5</v>
      </c>
      <c r="IP16" s="4">
        <f t="shared" si="35"/>
        <v>0.67</v>
      </c>
      <c r="IQ16" s="4">
        <f t="shared" si="36"/>
        <v>0.71</v>
      </c>
      <c r="IR16" s="4">
        <f t="shared" si="37"/>
        <v>4.58</v>
      </c>
      <c r="IS16" s="4">
        <f t="shared" si="38"/>
        <v>5.13</v>
      </c>
      <c r="IT16" s="4">
        <f t="shared" si="39"/>
        <v>547</v>
      </c>
      <c r="IU16" s="4">
        <f t="shared" si="40"/>
        <v>544</v>
      </c>
      <c r="IV16" s="4">
        <f t="shared" si="41"/>
        <v>672</v>
      </c>
      <c r="IW16" s="4">
        <f t="shared" si="42"/>
        <v>614</v>
      </c>
      <c r="IX16" s="4">
        <f t="shared" si="43"/>
        <v>646</v>
      </c>
      <c r="IY16" s="4">
        <f t="shared" si="44"/>
        <v>618</v>
      </c>
      <c r="IZ16" s="4">
        <f t="shared" si="45"/>
        <v>530</v>
      </c>
      <c r="JA16" s="4">
        <f t="shared" si="46"/>
        <v>-0.87</v>
      </c>
      <c r="JB16" s="4">
        <f t="shared" si="47"/>
        <v>-1.07</v>
      </c>
      <c r="JC16" s="4">
        <f t="shared" si="48"/>
        <v>7.56</v>
      </c>
      <c r="JD16" s="4">
        <f t="shared" si="49"/>
        <v>7.63</v>
      </c>
      <c r="JE16" s="4">
        <f t="shared" si="50"/>
        <v>7.71</v>
      </c>
      <c r="JF16" s="4">
        <f t="shared" si="51"/>
        <v>7.96</v>
      </c>
      <c r="JG16" s="4">
        <f t="shared" si="52"/>
        <v>8.2899999999999991</v>
      </c>
      <c r="JH16" s="4">
        <f t="shared" si="53"/>
        <v>8.42</v>
      </c>
      <c r="JI16" s="4">
        <f t="shared" si="54"/>
        <v>0</v>
      </c>
      <c r="JJ16" s="4">
        <f t="shared" si="55"/>
        <v>1.2</v>
      </c>
      <c r="JK16" s="4">
        <f t="shared" si="56"/>
        <v>6.24</v>
      </c>
      <c r="JL16" s="4">
        <f t="shared" si="57"/>
        <v>6.13</v>
      </c>
      <c r="JM16" s="4">
        <f t="shared" si="58"/>
        <v>6.31</v>
      </c>
      <c r="JN16" s="4">
        <f t="shared" si="59"/>
        <v>6.61</v>
      </c>
      <c r="JO16" s="4">
        <f t="shared" si="60"/>
        <v>6.82</v>
      </c>
      <c r="JP16" s="4">
        <f t="shared" si="61"/>
        <v>0</v>
      </c>
      <c r="JQ16" s="117">
        <f t="shared" si="62"/>
        <v>0</v>
      </c>
      <c r="JR16" s="110">
        <f t="shared" si="63"/>
        <v>1.2</v>
      </c>
      <c r="JS16" s="110">
        <f t="shared" si="64"/>
        <v>44.3</v>
      </c>
      <c r="JT16" s="110">
        <f t="shared" si="65"/>
        <v>44.8</v>
      </c>
      <c r="JU16" s="110">
        <f t="shared" si="66"/>
        <v>44.6</v>
      </c>
      <c r="JV16" s="110">
        <f t="shared" si="67"/>
        <v>161.5</v>
      </c>
      <c r="JW16" s="110">
        <f t="shared" si="68"/>
        <v>0.5</v>
      </c>
      <c r="JX16" s="110">
        <f t="shared" si="69"/>
        <v>-6.4</v>
      </c>
      <c r="JY16" s="110">
        <f t="shared" si="70"/>
        <v>-6.6</v>
      </c>
      <c r="JZ16" s="110">
        <f t="shared" si="71"/>
        <v>-6.5</v>
      </c>
      <c r="KA16" s="110">
        <f t="shared" si="72"/>
        <v>16.600000000000001</v>
      </c>
      <c r="KB16" s="110">
        <f t="shared" si="73"/>
        <v>0.2</v>
      </c>
      <c r="KC16" s="110">
        <f t="shared" si="74"/>
        <v>4</v>
      </c>
      <c r="KD16" s="110">
        <f t="shared" si="75"/>
        <v>11.6</v>
      </c>
      <c r="KE16" s="110">
        <f t="shared" si="76"/>
        <v>25.2</v>
      </c>
      <c r="KF16" s="110">
        <f t="shared" si="77"/>
        <v>61.7</v>
      </c>
      <c r="KG16" s="121">
        <f t="shared" si="78"/>
        <v>21</v>
      </c>
      <c r="KH16" s="83">
        <f t="shared" si="79"/>
        <v>-9.9999999999999645E-2</v>
      </c>
      <c r="KI16" s="4">
        <f t="shared" si="80"/>
        <v>-8.0000000000000071E-2</v>
      </c>
      <c r="KJ16" s="4">
        <f t="shared" si="81"/>
        <v>-14.5</v>
      </c>
      <c r="KK16" s="4">
        <f t="shared" si="82"/>
        <v>9.9999999999999978E-2</v>
      </c>
      <c r="KL16" s="4">
        <f t="shared" si="83"/>
        <v>0.13</v>
      </c>
      <c r="KM16" s="4">
        <f t="shared" si="84"/>
        <v>2.9999999999999916E-2</v>
      </c>
      <c r="KN16" s="4">
        <f t="shared" si="85"/>
        <v>2.15</v>
      </c>
      <c r="KO16" s="4">
        <f t="shared" si="86"/>
        <v>2.11</v>
      </c>
      <c r="KP16" s="4">
        <f t="shared" si="87"/>
        <v>-49</v>
      </c>
      <c r="KQ16" s="4">
        <f t="shared" si="88"/>
        <v>-54</v>
      </c>
      <c r="KR16" s="4">
        <f t="shared" si="89"/>
        <v>3</v>
      </c>
      <c r="KS16" s="4">
        <f t="shared" si="90"/>
        <v>-48</v>
      </c>
      <c r="KT16" s="4">
        <f t="shared" si="91"/>
        <v>-12</v>
      </c>
      <c r="KU16" s="4">
        <f t="shared" si="92"/>
        <v>-38</v>
      </c>
      <c r="KV16" s="4">
        <f t="shared" si="93"/>
        <v>-58</v>
      </c>
      <c r="KW16" s="4">
        <f t="shared" si="94"/>
        <v>-0.18999999999999995</v>
      </c>
      <c r="KX16" s="4">
        <f t="shared" si="95"/>
        <v>-1.6800000000000002</v>
      </c>
      <c r="KY16" s="4">
        <f t="shared" si="96"/>
        <v>-0.10000000000000053</v>
      </c>
      <c r="KZ16" s="4">
        <f t="shared" si="97"/>
        <v>-9.9999999999997868E-3</v>
      </c>
      <c r="LA16" s="4">
        <f t="shared" si="98"/>
        <v>-9.9999999999997868E-3</v>
      </c>
      <c r="LB16" s="4">
        <f t="shared" si="99"/>
        <v>9.9999999999997868E-3</v>
      </c>
      <c r="LC16" s="4">
        <f t="shared" si="100"/>
        <v>9.9999999999997868E-3</v>
      </c>
      <c r="LD16" s="4">
        <f t="shared" si="101"/>
        <v>-0.1899999999999995</v>
      </c>
      <c r="LE16" s="4">
        <f t="shared" si="102"/>
        <v>0</v>
      </c>
      <c r="LF16" s="4">
        <f t="shared" si="103"/>
        <v>0</v>
      </c>
      <c r="LG16" s="4">
        <f t="shared" si="104"/>
        <v>-0.1899999999999995</v>
      </c>
      <c r="LH16" s="4">
        <f t="shared" si="105"/>
        <v>-0.29999999999999982</v>
      </c>
      <c r="LI16" s="4">
        <f t="shared" si="106"/>
        <v>-0.32000000000000028</v>
      </c>
      <c r="LJ16" s="4">
        <f t="shared" si="107"/>
        <v>-0.27999999999999936</v>
      </c>
      <c r="LK16" s="4">
        <f t="shared" si="108"/>
        <v>-0.22999999999999954</v>
      </c>
      <c r="LL16" s="4">
        <f t="shared" si="109"/>
        <v>0</v>
      </c>
      <c r="LM16" s="4">
        <f t="shared" si="110"/>
        <v>0</v>
      </c>
      <c r="LN16" s="4">
        <f t="shared" si="111"/>
        <v>0</v>
      </c>
      <c r="LO16" s="4">
        <f t="shared" si="112"/>
        <v>0.5</v>
      </c>
      <c r="LP16" s="4">
        <f t="shared" si="113"/>
        <v>0.39999999999999858</v>
      </c>
      <c r="LQ16" s="4">
        <f t="shared" si="114"/>
        <v>0.5</v>
      </c>
      <c r="LR16" s="4">
        <f t="shared" si="115"/>
        <v>-14.5</v>
      </c>
      <c r="LS16" s="4">
        <f t="shared" si="116"/>
        <v>-9.9999999999999978E-2</v>
      </c>
      <c r="LT16" s="4">
        <f t="shared" si="117"/>
        <v>-0.30000000000000071</v>
      </c>
      <c r="LU16" s="4">
        <f t="shared" si="118"/>
        <v>-0.19999999999999929</v>
      </c>
      <c r="LV16" s="4">
        <f t="shared" si="119"/>
        <v>-0.29999999999999982</v>
      </c>
      <c r="LW16" s="4">
        <f t="shared" si="120"/>
        <v>-152.1</v>
      </c>
      <c r="LX16" s="4">
        <f t="shared" si="121"/>
        <v>-9.9999999999999978E-2</v>
      </c>
      <c r="LY16" s="4">
        <f t="shared" si="122"/>
        <v>-0.29999999999999982</v>
      </c>
      <c r="LZ16" s="4">
        <f t="shared" si="123"/>
        <v>-0.90000000000000036</v>
      </c>
      <c r="MA16" s="4">
        <f t="shared" si="124"/>
        <v>-1.1000000000000014</v>
      </c>
      <c r="MB16" s="4">
        <f t="shared" si="125"/>
        <v>0.10000000000000142</v>
      </c>
      <c r="MC16" s="4">
        <f t="shared" si="126"/>
        <v>2</v>
      </c>
      <c r="MD16" s="4" t="str">
        <f t="shared" si="127"/>
        <v/>
      </c>
      <c r="ME16" s="4" t="str">
        <f t="shared" si="128"/>
        <v/>
      </c>
      <c r="MF16" s="4" t="str">
        <f t="shared" si="129"/>
        <v/>
      </c>
      <c r="MG16" s="4">
        <f t="shared" si="130"/>
        <v>-6.6</v>
      </c>
    </row>
    <row r="17" spans="1:345" ht="26.25" customHeight="1" thickBot="1" x14ac:dyDescent="0.25">
      <c r="A17" s="35">
        <v>41367</v>
      </c>
      <c r="B17" s="36" t="s">
        <v>184</v>
      </c>
      <c r="C17" s="36" t="s">
        <v>46</v>
      </c>
      <c r="D17" s="31" t="s">
        <v>110</v>
      </c>
      <c r="E17" s="4">
        <v>76</v>
      </c>
      <c r="F17" s="3">
        <v>13459</v>
      </c>
      <c r="G17" s="4" t="s">
        <v>87</v>
      </c>
      <c r="H17" s="4" t="s">
        <v>112</v>
      </c>
      <c r="I17" s="4">
        <v>1832258</v>
      </c>
      <c r="J17" s="2" t="s">
        <v>309</v>
      </c>
      <c r="K17" s="230"/>
      <c r="L17" s="231">
        <v>1</v>
      </c>
      <c r="M17" s="231">
        <v>1</v>
      </c>
      <c r="N17" s="98" t="s">
        <v>629</v>
      </c>
      <c r="O17" s="261"/>
      <c r="P17" s="231"/>
      <c r="Q17" s="231"/>
      <c r="R17" s="33">
        <v>-0.5</v>
      </c>
      <c r="S17" s="4">
        <v>-0.56000000000000005</v>
      </c>
      <c r="T17" s="4" t="s">
        <v>249</v>
      </c>
      <c r="U17" s="67">
        <v>23.75</v>
      </c>
      <c r="V17" s="124">
        <v>41353</v>
      </c>
      <c r="W17" s="67">
        <v>0.5</v>
      </c>
      <c r="X17" s="67">
        <v>3.5</v>
      </c>
      <c r="Y17" s="4">
        <v>171</v>
      </c>
      <c r="Z17" s="4">
        <v>30</v>
      </c>
      <c r="AA17" s="4">
        <v>15</v>
      </c>
      <c r="AB17" s="4">
        <v>593</v>
      </c>
      <c r="AC17" s="4">
        <v>23.41</v>
      </c>
      <c r="AF17" s="4">
        <v>2.63</v>
      </c>
      <c r="AG17" s="4">
        <v>41.16</v>
      </c>
      <c r="AH17" s="4">
        <v>98</v>
      </c>
      <c r="AI17" s="4">
        <v>42.99</v>
      </c>
      <c r="AJ17" s="4">
        <v>8</v>
      </c>
      <c r="AK17" s="4">
        <v>0</v>
      </c>
      <c r="AL17" s="4" t="b">
        <f t="shared" si="0"/>
        <v>0</v>
      </c>
      <c r="AM17" s="54" t="s">
        <v>630</v>
      </c>
      <c r="AN17" s="3">
        <v>41541</v>
      </c>
      <c r="AO17" s="56">
        <v>25</v>
      </c>
      <c r="AP17" s="67">
        <v>-1</v>
      </c>
      <c r="AQ17" s="67">
        <v>0.75</v>
      </c>
      <c r="AR17" s="4">
        <v>10</v>
      </c>
      <c r="AS17" s="4">
        <v>20</v>
      </c>
      <c r="AT17" s="4">
        <v>27</v>
      </c>
      <c r="AU17" s="4">
        <v>565</v>
      </c>
      <c r="AV17" s="4">
        <v>1976</v>
      </c>
      <c r="AW17" s="4">
        <v>23.37</v>
      </c>
      <c r="AX17" s="4" t="s">
        <v>82</v>
      </c>
      <c r="AY17" s="4">
        <v>41.11</v>
      </c>
      <c r="AZ17" s="4">
        <v>96</v>
      </c>
      <c r="BA17" s="4">
        <v>41.93</v>
      </c>
      <c r="BB17" s="4">
        <v>6</v>
      </c>
      <c r="BC17" s="4">
        <f t="shared" si="1"/>
        <v>-0.625</v>
      </c>
      <c r="BD17" s="4">
        <f t="shared" si="2"/>
        <v>-6.4999999999999947E-2</v>
      </c>
      <c r="BE17" s="4">
        <f t="shared" si="3"/>
        <v>-28</v>
      </c>
      <c r="BF17" s="3">
        <v>41773</v>
      </c>
      <c r="BU17" s="4" t="str">
        <f t="shared" si="131"/>
        <v/>
      </c>
      <c r="BV17" s="4" t="str">
        <f t="shared" si="4"/>
        <v/>
      </c>
      <c r="BW17" s="4" t="str">
        <f t="shared" si="5"/>
        <v/>
      </c>
      <c r="BX17" s="4">
        <f t="shared" si="6"/>
        <v>1</v>
      </c>
      <c r="BY17" s="4">
        <f t="shared" si="7"/>
        <v>0</v>
      </c>
      <c r="BZ17" s="4" t="str">
        <f t="shared" si="8"/>
        <v/>
      </c>
      <c r="CA17" s="4" t="str">
        <f t="shared" si="9"/>
        <v/>
      </c>
      <c r="CB17" s="4" t="str">
        <f t="shared" si="10"/>
        <v/>
      </c>
      <c r="CC17" s="53">
        <f t="shared" si="11"/>
        <v>174</v>
      </c>
      <c r="CD17" s="55">
        <f t="shared" si="12"/>
        <v>5.8</v>
      </c>
      <c r="CE17" s="4" t="str">
        <f t="shared" si="13"/>
        <v/>
      </c>
      <c r="CF17" s="4">
        <f t="shared" si="14"/>
        <v>-0.55500000000000682</v>
      </c>
      <c r="CG17" s="4" t="str">
        <f t="shared" si="15"/>
        <v/>
      </c>
      <c r="CH17" s="4">
        <f t="shared" si="16"/>
        <v>-0.55500000000000682</v>
      </c>
      <c r="CI17" s="4">
        <f t="shared" si="17"/>
        <v>2.25</v>
      </c>
      <c r="CJ17" s="4">
        <f t="shared" si="18"/>
        <v>-0.625</v>
      </c>
      <c r="CK17" s="93">
        <f t="shared" si="19"/>
        <v>-6.4999999999999947E-2</v>
      </c>
      <c r="CL17" s="83">
        <f t="shared" si="20"/>
        <v>-28</v>
      </c>
      <c r="CM17" s="4">
        <f t="shared" si="21"/>
        <v>-3.9999999999999147E-2</v>
      </c>
      <c r="CN17" s="96">
        <f t="shared" si="22"/>
        <v>-0.56000000000000005</v>
      </c>
      <c r="CO17" s="96">
        <f t="shared" si="132"/>
        <v>0.17609125905568127</v>
      </c>
      <c r="CP17" s="127">
        <f t="shared" si="23"/>
        <v>0.75</v>
      </c>
      <c r="CQ17" s="127">
        <f t="shared" si="24"/>
        <v>-2.75</v>
      </c>
      <c r="CR17" s="136">
        <f t="shared" si="25"/>
        <v>20</v>
      </c>
      <c r="CS17" s="136">
        <f t="shared" si="26"/>
        <v>30</v>
      </c>
      <c r="CT17" s="135">
        <f t="shared" si="27"/>
        <v>25</v>
      </c>
      <c r="CU17" s="139">
        <f t="shared" si="28"/>
        <v>0</v>
      </c>
      <c r="CV17" s="96" t="str">
        <f t="shared" si="29"/>
        <v/>
      </c>
      <c r="CW17" s="141" t="b">
        <f t="shared" si="30"/>
        <v>0</v>
      </c>
      <c r="CX17">
        <v>7.9</v>
      </c>
      <c r="CY17" s="4">
        <v>8.2899999999999991</v>
      </c>
      <c r="CZ17" s="4">
        <v>97.3</v>
      </c>
      <c r="DA17" s="4">
        <v>2</v>
      </c>
      <c r="DB17" s="4">
        <v>0.11</v>
      </c>
      <c r="DC17" s="4">
        <v>0.35</v>
      </c>
      <c r="DD17" s="4">
        <v>2.1</v>
      </c>
      <c r="DE17" s="4">
        <v>2.7</v>
      </c>
      <c r="DF17" s="4">
        <v>598</v>
      </c>
      <c r="DG17" s="4">
        <v>596</v>
      </c>
      <c r="DH17" s="4">
        <v>673</v>
      </c>
      <c r="DI17" s="4">
        <v>635</v>
      </c>
      <c r="DJ17" s="4">
        <v>655</v>
      </c>
      <c r="DK17" s="4">
        <v>624</v>
      </c>
      <c r="DL17" s="4">
        <v>582</v>
      </c>
      <c r="DM17" s="4">
        <v>0.88</v>
      </c>
      <c r="DN17" s="4">
        <v>-0.88</v>
      </c>
      <c r="DO17" s="4">
        <v>8.1300000000000008</v>
      </c>
      <c r="DP17" s="4">
        <v>8.01</v>
      </c>
      <c r="DQ17" s="4">
        <v>7.98</v>
      </c>
      <c r="DR17" s="4">
        <v>8.0500000000000007</v>
      </c>
      <c r="DS17" s="4">
        <v>8.23</v>
      </c>
      <c r="DT17" s="4">
        <v>8.2799999999999994</v>
      </c>
      <c r="DU17" s="4">
        <v>0</v>
      </c>
      <c r="DV17" s="4">
        <v>1.1000000000000001</v>
      </c>
      <c r="DW17" s="4">
        <v>6.95</v>
      </c>
      <c r="DX17" s="4">
        <v>6.86</v>
      </c>
      <c r="DY17" s="4">
        <v>6.77</v>
      </c>
      <c r="DZ17" s="4">
        <v>6.68</v>
      </c>
      <c r="EA17" s="4">
        <v>6.8</v>
      </c>
      <c r="EB17" s="4">
        <v>0</v>
      </c>
      <c r="EC17" s="4">
        <v>0</v>
      </c>
      <c r="ED17" s="89">
        <v>1.1000000000000001</v>
      </c>
      <c r="EE17" s="110">
        <v>40.700000000000003</v>
      </c>
      <c r="EF17" s="110">
        <v>42.7</v>
      </c>
      <c r="EG17" s="110">
        <v>41.7</v>
      </c>
      <c r="EH17" s="110">
        <v>97.3</v>
      </c>
      <c r="EI17" s="110">
        <v>2</v>
      </c>
      <c r="EJ17" s="110">
        <v>-5.7</v>
      </c>
      <c r="EK17" s="110">
        <v>-5.9</v>
      </c>
      <c r="EL17" s="110">
        <v>-5.8</v>
      </c>
      <c r="EM17" s="110">
        <v>128.19999999999999</v>
      </c>
      <c r="EN17" s="110">
        <v>0.2</v>
      </c>
      <c r="EO17" s="110">
        <v>4.3</v>
      </c>
      <c r="EP17" s="110">
        <v>12.4</v>
      </c>
      <c r="EQ17" s="110">
        <v>25.9</v>
      </c>
      <c r="ER17" s="110">
        <v>60.6</v>
      </c>
      <c r="ES17" s="114">
        <v>22</v>
      </c>
      <c r="ET17" s="83">
        <v>8</v>
      </c>
      <c r="EU17" s="4">
        <v>8.14</v>
      </c>
      <c r="EV17" s="4">
        <v>48.9</v>
      </c>
      <c r="EW17" s="4">
        <v>0.7</v>
      </c>
      <c r="EX17" s="4">
        <v>0.36</v>
      </c>
      <c r="EY17" s="4">
        <v>0.5</v>
      </c>
      <c r="EZ17" s="4">
        <v>4.4800000000000004</v>
      </c>
      <c r="FA17" s="4">
        <v>5.0599999999999996</v>
      </c>
      <c r="FB17" s="4">
        <v>572</v>
      </c>
      <c r="FC17" s="4">
        <v>570</v>
      </c>
      <c r="FD17" s="4">
        <v>688</v>
      </c>
      <c r="FE17" s="4">
        <v>644</v>
      </c>
      <c r="FF17" s="4">
        <v>667</v>
      </c>
      <c r="FG17" s="4">
        <v>658</v>
      </c>
      <c r="FH17" s="4">
        <v>553</v>
      </c>
      <c r="FI17" s="4">
        <v>0.77</v>
      </c>
      <c r="FJ17" s="4">
        <v>-0.77</v>
      </c>
      <c r="FK17" s="4">
        <v>8.11</v>
      </c>
      <c r="FL17" s="4">
        <v>8.09</v>
      </c>
      <c r="FM17" s="4">
        <v>8.0500000000000007</v>
      </c>
      <c r="FN17" s="4">
        <v>8.2100000000000009</v>
      </c>
      <c r="FO17" s="4">
        <v>8.44</v>
      </c>
      <c r="FP17" s="4">
        <v>8.48</v>
      </c>
      <c r="FQ17" s="4">
        <v>0</v>
      </c>
      <c r="FR17" s="4">
        <v>1.7</v>
      </c>
      <c r="FS17" s="4">
        <v>6.29</v>
      </c>
      <c r="FT17" s="4">
        <v>6.52</v>
      </c>
      <c r="FU17" s="4">
        <v>6.66</v>
      </c>
      <c r="FV17" s="4">
        <v>6.67</v>
      </c>
      <c r="FW17" s="4">
        <v>6.74</v>
      </c>
      <c r="FX17" s="4">
        <v>0</v>
      </c>
      <c r="FY17" s="4">
        <v>0</v>
      </c>
      <c r="FZ17" s="86">
        <v>1.7</v>
      </c>
      <c r="GA17" s="110">
        <v>41.5</v>
      </c>
      <c r="GB17" s="110">
        <v>42.2</v>
      </c>
      <c r="GC17" s="110">
        <v>41.8</v>
      </c>
      <c r="GD17" s="110">
        <v>48.9</v>
      </c>
      <c r="GE17" s="110">
        <v>0.7</v>
      </c>
      <c r="GF17" s="110">
        <v>-6.1</v>
      </c>
      <c r="GG17" s="110">
        <v>-6.5</v>
      </c>
      <c r="GH17" s="110">
        <v>-6.3</v>
      </c>
      <c r="GI17" s="110">
        <v>142.69999999999999</v>
      </c>
      <c r="GJ17" s="110">
        <v>0.4</v>
      </c>
      <c r="GK17" s="110">
        <v>4.2</v>
      </c>
      <c r="GL17" s="110">
        <v>12.3</v>
      </c>
      <c r="GM17" s="110">
        <v>26.3</v>
      </c>
      <c r="GN17" s="110">
        <v>63.1</v>
      </c>
      <c r="GO17" s="119">
        <v>22</v>
      </c>
      <c r="IL17" s="83">
        <f t="shared" si="31"/>
        <v>8</v>
      </c>
      <c r="IM17" s="4">
        <f t="shared" si="32"/>
        <v>8.14</v>
      </c>
      <c r="IN17" s="4">
        <f t="shared" si="33"/>
        <v>48.9</v>
      </c>
      <c r="IO17" s="4">
        <f t="shared" si="34"/>
        <v>0.7</v>
      </c>
      <c r="IP17" s="4">
        <f t="shared" si="35"/>
        <v>0.36</v>
      </c>
      <c r="IQ17" s="4">
        <f t="shared" si="36"/>
        <v>0.5</v>
      </c>
      <c r="IR17" s="4">
        <f t="shared" si="37"/>
        <v>4.4800000000000004</v>
      </c>
      <c r="IS17" s="4">
        <f t="shared" si="38"/>
        <v>5.0599999999999996</v>
      </c>
      <c r="IT17" s="4">
        <f t="shared" si="39"/>
        <v>572</v>
      </c>
      <c r="IU17" s="4">
        <f t="shared" si="40"/>
        <v>570</v>
      </c>
      <c r="IV17" s="4">
        <f t="shared" si="41"/>
        <v>688</v>
      </c>
      <c r="IW17" s="4">
        <f t="shared" si="42"/>
        <v>644</v>
      </c>
      <c r="IX17" s="4">
        <f t="shared" si="43"/>
        <v>667</v>
      </c>
      <c r="IY17" s="4">
        <f t="shared" si="44"/>
        <v>658</v>
      </c>
      <c r="IZ17" s="4">
        <f t="shared" si="45"/>
        <v>553</v>
      </c>
      <c r="JA17" s="4">
        <f t="shared" si="46"/>
        <v>0.77</v>
      </c>
      <c r="JB17" s="4">
        <f t="shared" si="47"/>
        <v>-0.77</v>
      </c>
      <c r="JC17" s="4">
        <f t="shared" si="48"/>
        <v>8.11</v>
      </c>
      <c r="JD17" s="4">
        <f t="shared" si="49"/>
        <v>8.09</v>
      </c>
      <c r="JE17" s="4">
        <f t="shared" si="50"/>
        <v>8.0500000000000007</v>
      </c>
      <c r="JF17" s="4">
        <f t="shared" si="51"/>
        <v>8.2100000000000009</v>
      </c>
      <c r="JG17" s="4">
        <f t="shared" si="52"/>
        <v>8.44</v>
      </c>
      <c r="JH17" s="4">
        <f t="shared" si="53"/>
        <v>8.48</v>
      </c>
      <c r="JI17" s="4">
        <f t="shared" si="54"/>
        <v>0</v>
      </c>
      <c r="JJ17" s="4">
        <f t="shared" si="55"/>
        <v>1.7</v>
      </c>
      <c r="JK17" s="4">
        <f t="shared" si="56"/>
        <v>6.29</v>
      </c>
      <c r="JL17" s="4">
        <f t="shared" si="57"/>
        <v>6.52</v>
      </c>
      <c r="JM17" s="4">
        <f t="shared" si="58"/>
        <v>6.66</v>
      </c>
      <c r="JN17" s="4">
        <f t="shared" si="59"/>
        <v>6.67</v>
      </c>
      <c r="JO17" s="4">
        <f t="shared" si="60"/>
        <v>6.74</v>
      </c>
      <c r="JP17" s="4">
        <f t="shared" si="61"/>
        <v>0</v>
      </c>
      <c r="JQ17" s="117">
        <f t="shared" si="62"/>
        <v>0</v>
      </c>
      <c r="JR17" s="110">
        <f t="shared" si="63"/>
        <v>1.7</v>
      </c>
      <c r="JS17" s="110">
        <f t="shared" si="64"/>
        <v>41.5</v>
      </c>
      <c r="JT17" s="110">
        <f t="shared" si="65"/>
        <v>42.2</v>
      </c>
      <c r="JU17" s="110">
        <f t="shared" si="66"/>
        <v>41.8</v>
      </c>
      <c r="JV17" s="110">
        <f t="shared" si="67"/>
        <v>48.9</v>
      </c>
      <c r="JW17" s="110">
        <f t="shared" si="68"/>
        <v>0.7</v>
      </c>
      <c r="JX17" s="110">
        <f t="shared" si="69"/>
        <v>-6.1</v>
      </c>
      <c r="JY17" s="110">
        <f t="shared" si="70"/>
        <v>-6.5</v>
      </c>
      <c r="JZ17" s="110">
        <f t="shared" si="71"/>
        <v>-6.3</v>
      </c>
      <c r="KA17" s="110">
        <f t="shared" si="72"/>
        <v>142.69999999999999</v>
      </c>
      <c r="KB17" s="110">
        <f t="shared" si="73"/>
        <v>0.4</v>
      </c>
      <c r="KC17" s="110">
        <f t="shared" si="74"/>
        <v>4.2</v>
      </c>
      <c r="KD17" s="110">
        <f t="shared" si="75"/>
        <v>12.3</v>
      </c>
      <c r="KE17" s="110">
        <f t="shared" si="76"/>
        <v>26.3</v>
      </c>
      <c r="KF17" s="110">
        <f t="shared" si="77"/>
        <v>63.1</v>
      </c>
      <c r="KG17" s="121">
        <f t="shared" si="78"/>
        <v>22</v>
      </c>
      <c r="KH17" s="83">
        <f t="shared" si="79"/>
        <v>9.9999999999999645E-2</v>
      </c>
      <c r="KI17" s="4">
        <f t="shared" si="80"/>
        <v>-0.14999999999999858</v>
      </c>
      <c r="KJ17" s="4">
        <f t="shared" si="81"/>
        <v>-48.4</v>
      </c>
      <c r="KK17" s="4">
        <f t="shared" si="82"/>
        <v>-1.3</v>
      </c>
      <c r="KL17" s="4">
        <f t="shared" si="83"/>
        <v>0.25</v>
      </c>
      <c r="KM17" s="4">
        <f t="shared" si="84"/>
        <v>0.15000000000000002</v>
      </c>
      <c r="KN17" s="4">
        <f t="shared" si="85"/>
        <v>2.3800000000000003</v>
      </c>
      <c r="KO17" s="4">
        <f t="shared" si="86"/>
        <v>2.3599999999999994</v>
      </c>
      <c r="KP17" s="4">
        <f t="shared" si="87"/>
        <v>-26</v>
      </c>
      <c r="KQ17" s="4">
        <f t="shared" si="88"/>
        <v>-26</v>
      </c>
      <c r="KR17" s="4">
        <f t="shared" si="89"/>
        <v>15</v>
      </c>
      <c r="KS17" s="4">
        <f t="shared" si="90"/>
        <v>9</v>
      </c>
      <c r="KT17" s="4">
        <f t="shared" si="91"/>
        <v>12</v>
      </c>
      <c r="KU17" s="4">
        <f t="shared" si="92"/>
        <v>34</v>
      </c>
      <c r="KV17" s="4">
        <f t="shared" si="93"/>
        <v>-29</v>
      </c>
      <c r="KW17" s="4">
        <f t="shared" si="94"/>
        <v>-0.10999999999999999</v>
      </c>
      <c r="KX17" s="4">
        <f t="shared" si="95"/>
        <v>0.10999999999999999</v>
      </c>
      <c r="KY17" s="4">
        <f t="shared" si="96"/>
        <v>-2.000000000000135E-2</v>
      </c>
      <c r="KZ17" s="4">
        <f t="shared" si="97"/>
        <v>8.0000000000000071E-2</v>
      </c>
      <c r="LA17" s="4">
        <f t="shared" si="98"/>
        <v>7.0000000000000284E-2</v>
      </c>
      <c r="LB17" s="4">
        <f t="shared" si="99"/>
        <v>0.16000000000000014</v>
      </c>
      <c r="LC17" s="4">
        <f t="shared" si="100"/>
        <v>0.20999999999999908</v>
      </c>
      <c r="LD17" s="4">
        <f t="shared" si="101"/>
        <v>0.20000000000000107</v>
      </c>
      <c r="LE17" s="4">
        <f t="shared" si="102"/>
        <v>0</v>
      </c>
      <c r="LF17" s="4">
        <f t="shared" si="103"/>
        <v>0.59999999999999987</v>
      </c>
      <c r="LG17" s="4">
        <f t="shared" si="104"/>
        <v>-0.66000000000000014</v>
      </c>
      <c r="LH17" s="4">
        <f t="shared" si="105"/>
        <v>-0.34000000000000075</v>
      </c>
      <c r="LI17" s="4">
        <f t="shared" si="106"/>
        <v>-0.10999999999999943</v>
      </c>
      <c r="LJ17" s="4">
        <f t="shared" si="107"/>
        <v>-9.9999999999997868E-3</v>
      </c>
      <c r="LK17" s="4">
        <f t="shared" si="108"/>
        <v>-5.9999999999999609E-2</v>
      </c>
      <c r="LL17" s="4">
        <f t="shared" si="109"/>
        <v>0</v>
      </c>
      <c r="LM17" s="4">
        <f t="shared" si="110"/>
        <v>0</v>
      </c>
      <c r="LN17" s="4">
        <f t="shared" si="111"/>
        <v>0.59999999999999987</v>
      </c>
      <c r="LO17" s="4">
        <f t="shared" si="112"/>
        <v>0.79999999999999716</v>
      </c>
      <c r="LP17" s="4">
        <f t="shared" si="113"/>
        <v>-0.5</v>
      </c>
      <c r="LQ17" s="4">
        <f t="shared" si="114"/>
        <v>9.9999999999994316E-2</v>
      </c>
      <c r="LR17" s="4">
        <f t="shared" si="115"/>
        <v>-48.4</v>
      </c>
      <c r="LS17" s="4">
        <f t="shared" si="116"/>
        <v>-1.3</v>
      </c>
      <c r="LT17" s="4">
        <f t="shared" si="117"/>
        <v>-0.39999999999999947</v>
      </c>
      <c r="LU17" s="4">
        <f t="shared" si="118"/>
        <v>-0.59999999999999964</v>
      </c>
      <c r="LV17" s="4">
        <f t="shared" si="119"/>
        <v>-0.5</v>
      </c>
      <c r="LW17" s="4">
        <f t="shared" si="120"/>
        <v>14.5</v>
      </c>
      <c r="LX17" s="4">
        <f t="shared" si="121"/>
        <v>0.2</v>
      </c>
      <c r="LY17" s="4">
        <f t="shared" si="122"/>
        <v>-9.9999999999999645E-2</v>
      </c>
      <c r="LZ17" s="4">
        <f t="shared" si="123"/>
        <v>-9.9999999999999645E-2</v>
      </c>
      <c r="MA17" s="4">
        <f t="shared" si="124"/>
        <v>0.40000000000000213</v>
      </c>
      <c r="MB17" s="4">
        <f t="shared" si="125"/>
        <v>2.5</v>
      </c>
      <c r="MC17" s="4">
        <f t="shared" si="126"/>
        <v>0</v>
      </c>
      <c r="MD17" s="4" t="str">
        <f t="shared" si="127"/>
        <v/>
      </c>
      <c r="ME17" s="4" t="str">
        <f t="shared" si="128"/>
        <v/>
      </c>
      <c r="MF17" s="4" t="str">
        <f t="shared" si="129"/>
        <v/>
      </c>
      <c r="MG17" s="4">
        <f t="shared" si="130"/>
        <v>6.5</v>
      </c>
    </row>
    <row r="18" spans="1:345" ht="26.25" customHeight="1" thickBot="1" x14ac:dyDescent="0.25">
      <c r="A18" s="35">
        <v>41332</v>
      </c>
      <c r="B18" s="36" t="s">
        <v>233</v>
      </c>
      <c r="C18" s="36" t="s">
        <v>37</v>
      </c>
      <c r="D18" s="31" t="s">
        <v>111</v>
      </c>
      <c r="E18" s="4">
        <v>63</v>
      </c>
      <c r="F18" s="3">
        <v>18072</v>
      </c>
      <c r="G18" s="4" t="s">
        <v>87</v>
      </c>
      <c r="H18" s="4" t="s">
        <v>108</v>
      </c>
      <c r="I18" s="4">
        <v>1832606</v>
      </c>
      <c r="J18" s="2" t="s">
        <v>309</v>
      </c>
      <c r="K18" s="230" t="s">
        <v>632</v>
      </c>
      <c r="L18" s="231"/>
      <c r="M18" s="231"/>
      <c r="N18" s="98" t="s">
        <v>631</v>
      </c>
      <c r="O18" s="261"/>
      <c r="P18" s="231"/>
      <c r="Q18" s="231"/>
      <c r="R18" s="33">
        <v>-0.5</v>
      </c>
      <c r="S18" s="4">
        <v>-0.55000000000000004</v>
      </c>
      <c r="T18" s="4" t="s">
        <v>249</v>
      </c>
      <c r="U18" s="67">
        <v>15.5</v>
      </c>
      <c r="V18" s="124">
        <v>41330</v>
      </c>
      <c r="W18" s="67">
        <v>-2.75</v>
      </c>
      <c r="X18" s="67">
        <v>0.5</v>
      </c>
      <c r="Y18" s="4">
        <v>65</v>
      </c>
      <c r="Z18" s="4">
        <v>40</v>
      </c>
      <c r="AA18" s="4">
        <v>13</v>
      </c>
      <c r="AB18" s="4">
        <v>679</v>
      </c>
      <c r="AC18" s="4">
        <v>25.58</v>
      </c>
      <c r="AD18" s="4">
        <v>12.3</v>
      </c>
      <c r="AE18" s="4">
        <v>4.54</v>
      </c>
      <c r="AF18" s="4">
        <v>3.59</v>
      </c>
      <c r="AG18" s="4">
        <v>42.78</v>
      </c>
      <c r="AH18" s="4">
        <v>160</v>
      </c>
      <c r="AI18" s="4">
        <v>43.32</v>
      </c>
      <c r="AJ18" s="4">
        <v>70</v>
      </c>
      <c r="AK18" s="4">
        <v>0</v>
      </c>
      <c r="AL18" s="4" t="b">
        <f t="shared" si="0"/>
        <v>0</v>
      </c>
      <c r="AN18" s="32">
        <v>41534</v>
      </c>
      <c r="AO18" s="60"/>
      <c r="AP18" s="67">
        <v>1</v>
      </c>
      <c r="AQ18" s="67">
        <v>0.5</v>
      </c>
      <c r="AR18" s="4">
        <v>58</v>
      </c>
      <c r="AS18" s="4">
        <v>25</v>
      </c>
      <c r="AT18" s="4">
        <v>17</v>
      </c>
      <c r="AV18" s="4">
        <v>2525</v>
      </c>
      <c r="BC18" s="4">
        <f t="shared" si="1"/>
        <v>1.25</v>
      </c>
      <c r="BD18" s="4">
        <f t="shared" si="2"/>
        <v>1.8</v>
      </c>
      <c r="BE18" s="4" t="str">
        <f t="shared" si="3"/>
        <v/>
      </c>
      <c r="BF18" s="137">
        <v>41830</v>
      </c>
      <c r="BU18" s="4" t="str">
        <f t="shared" si="131"/>
        <v/>
      </c>
      <c r="BV18" s="4" t="str">
        <f t="shared" si="4"/>
        <v/>
      </c>
      <c r="BW18" s="4" t="str">
        <f t="shared" si="5"/>
        <v/>
      </c>
      <c r="BX18" s="4">
        <f t="shared" si="6"/>
        <v>1</v>
      </c>
      <c r="BY18" s="4">
        <f t="shared" si="7"/>
        <v>0</v>
      </c>
      <c r="BZ18" s="4" t="str">
        <f t="shared" si="8"/>
        <v/>
      </c>
      <c r="CA18" s="4" t="str">
        <f t="shared" si="9"/>
        <v/>
      </c>
      <c r="CB18" s="4" t="str">
        <f t="shared" si="10"/>
        <v/>
      </c>
      <c r="CC18" s="53">
        <f t="shared" si="11"/>
        <v>202</v>
      </c>
      <c r="CD18" s="55">
        <f t="shared" si="12"/>
        <v>6.7333333333333334</v>
      </c>
      <c r="CE18" s="4" t="str">
        <f t="shared" si="13"/>
        <v/>
      </c>
      <c r="CF18" s="4" t="str">
        <f t="shared" si="14"/>
        <v/>
      </c>
      <c r="CG18" s="4" t="str">
        <f t="shared" si="15"/>
        <v/>
      </c>
      <c r="CH18" s="4" t="str">
        <f t="shared" si="16"/>
        <v/>
      </c>
      <c r="CI18" s="4">
        <f t="shared" si="17"/>
        <v>-2.5</v>
      </c>
      <c r="CJ18" s="4">
        <f t="shared" si="18"/>
        <v>1.25</v>
      </c>
      <c r="CK18" s="93">
        <f t="shared" si="19"/>
        <v>1.8</v>
      </c>
      <c r="CL18" s="83" t="str">
        <f t="shared" si="20"/>
        <v/>
      </c>
      <c r="CM18" s="4" t="str">
        <f t="shared" si="21"/>
        <v/>
      </c>
      <c r="CN18" s="96">
        <f t="shared" si="22"/>
        <v>-0.55000000000000004</v>
      </c>
      <c r="CO18" s="96">
        <f t="shared" si="132"/>
        <v>0.20411998265592479</v>
      </c>
      <c r="CP18" s="127">
        <f t="shared" si="23"/>
        <v>0.5</v>
      </c>
      <c r="CQ18" s="127">
        <f t="shared" si="24"/>
        <v>0</v>
      </c>
      <c r="CR18" s="136">
        <f t="shared" si="25"/>
        <v>25</v>
      </c>
      <c r="CS18" s="136">
        <f t="shared" si="26"/>
        <v>40</v>
      </c>
      <c r="CT18" s="135" t="str">
        <f t="shared" si="27"/>
        <v/>
      </c>
      <c r="CU18" s="139">
        <f t="shared" si="28"/>
        <v>1</v>
      </c>
      <c r="CV18" s="96" t="str">
        <f t="shared" si="29"/>
        <v/>
      </c>
      <c r="CW18" s="141" t="b">
        <f t="shared" si="30"/>
        <v>1</v>
      </c>
      <c r="CX18" s="108">
        <v>8.0399999999999991</v>
      </c>
      <c r="CY18" s="4">
        <v>7.89</v>
      </c>
      <c r="CZ18" s="4">
        <v>175.8</v>
      </c>
      <c r="DA18" s="4">
        <v>-0.8</v>
      </c>
      <c r="DB18" s="4">
        <v>-0.4</v>
      </c>
      <c r="DC18" s="4">
        <v>7.0000000000000007E-2</v>
      </c>
      <c r="DD18" s="4">
        <v>2.71</v>
      </c>
      <c r="DE18" s="4">
        <v>3.4</v>
      </c>
      <c r="DF18" s="4">
        <v>693</v>
      </c>
      <c r="DG18" s="4">
        <v>692</v>
      </c>
      <c r="DH18" s="4">
        <v>673</v>
      </c>
      <c r="DI18" s="4">
        <v>719</v>
      </c>
      <c r="DJ18" s="4">
        <v>661</v>
      </c>
      <c r="DK18" s="4">
        <v>727</v>
      </c>
      <c r="DL18" s="4">
        <v>657</v>
      </c>
      <c r="DM18" s="4">
        <v>2.64</v>
      </c>
      <c r="DN18" s="4">
        <v>-0.5</v>
      </c>
      <c r="DO18" s="4">
        <v>8.01</v>
      </c>
      <c r="DP18" s="4">
        <v>7.9</v>
      </c>
      <c r="DQ18" s="4">
        <v>7.81</v>
      </c>
      <c r="DR18" s="4">
        <v>7.87</v>
      </c>
      <c r="DS18" s="4">
        <v>8.1999999999999993</v>
      </c>
      <c r="DT18" s="4">
        <v>8.68</v>
      </c>
      <c r="DU18" s="4">
        <v>0</v>
      </c>
      <c r="DV18" s="4">
        <v>0.5</v>
      </c>
      <c r="DW18" s="4">
        <v>7.5</v>
      </c>
      <c r="DX18" s="4">
        <v>7.22</v>
      </c>
      <c r="DY18" s="4">
        <v>7.03</v>
      </c>
      <c r="DZ18" s="4">
        <v>7.03</v>
      </c>
      <c r="EA18" s="4">
        <v>7.24</v>
      </c>
      <c r="EB18" s="4">
        <v>7.49</v>
      </c>
      <c r="EC18" s="4">
        <v>0</v>
      </c>
      <c r="ED18" s="89">
        <v>0.5</v>
      </c>
      <c r="EE18" s="110">
        <v>42</v>
      </c>
      <c r="EF18" s="110">
        <v>42.8</v>
      </c>
      <c r="EG18" s="110">
        <v>42.4</v>
      </c>
      <c r="EH18" s="110">
        <v>175.8</v>
      </c>
      <c r="EI18" s="110">
        <v>0.8</v>
      </c>
      <c r="EJ18" s="110">
        <v>-5.4</v>
      </c>
      <c r="EK18" s="110">
        <v>-5.6</v>
      </c>
      <c r="EL18" s="110">
        <v>-5.5</v>
      </c>
      <c r="EM18" s="110">
        <v>3</v>
      </c>
      <c r="EN18" s="110">
        <v>0.2</v>
      </c>
      <c r="EO18" s="110">
        <v>4.9000000000000004</v>
      </c>
      <c r="EP18" s="110">
        <v>13.8</v>
      </c>
      <c r="EQ18" s="110">
        <v>28.2</v>
      </c>
      <c r="ER18" s="110">
        <v>62.9</v>
      </c>
      <c r="ES18" s="114">
        <v>18</v>
      </c>
      <c r="IL18" s="83" t="str">
        <f t="shared" si="31"/>
        <v/>
      </c>
      <c r="IM18" s="4" t="str">
        <f t="shared" si="32"/>
        <v/>
      </c>
      <c r="IN18" s="4" t="str">
        <f t="shared" si="33"/>
        <v/>
      </c>
      <c r="IO18" s="4" t="str">
        <f t="shared" si="34"/>
        <v/>
      </c>
      <c r="IP18" s="4" t="str">
        <f t="shared" si="35"/>
        <v/>
      </c>
      <c r="IQ18" s="4" t="str">
        <f t="shared" si="36"/>
        <v/>
      </c>
      <c r="IR18" s="4" t="str">
        <f t="shared" si="37"/>
        <v/>
      </c>
      <c r="IS18" s="4" t="str">
        <f t="shared" si="38"/>
        <v/>
      </c>
      <c r="IT18" s="4" t="str">
        <f t="shared" si="39"/>
        <v/>
      </c>
      <c r="IU18" s="4" t="str">
        <f t="shared" si="40"/>
        <v/>
      </c>
      <c r="IV18" s="4" t="str">
        <f t="shared" si="41"/>
        <v/>
      </c>
      <c r="IW18" s="4" t="str">
        <f t="shared" si="42"/>
        <v/>
      </c>
      <c r="IX18" s="4" t="str">
        <f t="shared" si="43"/>
        <v/>
      </c>
      <c r="IY18" s="4" t="str">
        <f t="shared" si="44"/>
        <v/>
      </c>
      <c r="IZ18" s="4" t="str">
        <f t="shared" si="45"/>
        <v/>
      </c>
      <c r="JA18" s="4" t="str">
        <f t="shared" si="46"/>
        <v/>
      </c>
      <c r="JB18" s="4" t="str">
        <f t="shared" si="47"/>
        <v/>
      </c>
      <c r="JC18" s="4" t="str">
        <f t="shared" si="48"/>
        <v/>
      </c>
      <c r="JD18" s="4" t="str">
        <f t="shared" si="49"/>
        <v/>
      </c>
      <c r="JE18" s="4" t="str">
        <f t="shared" si="50"/>
        <v/>
      </c>
      <c r="JF18" s="4" t="str">
        <f t="shared" si="51"/>
        <v/>
      </c>
      <c r="JG18" s="4" t="str">
        <f t="shared" si="52"/>
        <v/>
      </c>
      <c r="JH18" s="4" t="str">
        <f t="shared" si="53"/>
        <v/>
      </c>
      <c r="JI18" s="4" t="str">
        <f t="shared" si="54"/>
        <v/>
      </c>
      <c r="JJ18" s="4" t="str">
        <f t="shared" si="55"/>
        <v/>
      </c>
      <c r="JK18" s="4" t="str">
        <f t="shared" si="56"/>
        <v/>
      </c>
      <c r="JL18" s="4" t="str">
        <f t="shared" si="57"/>
        <v/>
      </c>
      <c r="JM18" s="4" t="str">
        <f t="shared" si="58"/>
        <v/>
      </c>
      <c r="JN18" s="4" t="str">
        <f t="shared" si="59"/>
        <v/>
      </c>
      <c r="JO18" s="4" t="str">
        <f t="shared" si="60"/>
        <v/>
      </c>
      <c r="JP18" s="4" t="str">
        <f t="shared" si="61"/>
        <v/>
      </c>
      <c r="JQ18" s="117" t="str">
        <f t="shared" si="62"/>
        <v/>
      </c>
      <c r="JR18" s="110" t="str">
        <f t="shared" si="63"/>
        <v/>
      </c>
      <c r="JS18" s="110" t="str">
        <f t="shared" si="64"/>
        <v/>
      </c>
      <c r="JT18" s="110" t="str">
        <f t="shared" si="65"/>
        <v/>
      </c>
      <c r="JU18" s="110" t="str">
        <f t="shared" si="66"/>
        <v/>
      </c>
      <c r="JV18" s="110" t="str">
        <f t="shared" si="67"/>
        <v/>
      </c>
      <c r="JW18" s="110" t="str">
        <f t="shared" si="68"/>
        <v/>
      </c>
      <c r="JX18" s="110" t="str">
        <f t="shared" si="69"/>
        <v/>
      </c>
      <c r="JY18" s="110" t="str">
        <f t="shared" si="70"/>
        <v/>
      </c>
      <c r="JZ18" s="110" t="str">
        <f t="shared" si="71"/>
        <v/>
      </c>
      <c r="KA18" s="110" t="str">
        <f t="shared" si="72"/>
        <v/>
      </c>
      <c r="KB18" s="110" t="str">
        <f t="shared" si="73"/>
        <v/>
      </c>
      <c r="KC18" s="110" t="str">
        <f t="shared" si="74"/>
        <v/>
      </c>
      <c r="KD18" s="110" t="str">
        <f t="shared" si="75"/>
        <v/>
      </c>
      <c r="KE18" s="110" t="str">
        <f t="shared" si="76"/>
        <v/>
      </c>
      <c r="KF18" s="110" t="str">
        <f t="shared" si="77"/>
        <v/>
      </c>
      <c r="KG18" s="121" t="str">
        <f t="shared" si="78"/>
        <v/>
      </c>
      <c r="KH18" s="83" t="str">
        <f t="shared" si="79"/>
        <v/>
      </c>
      <c r="KI18" s="4" t="str">
        <f t="shared" si="80"/>
        <v/>
      </c>
      <c r="KJ18" s="4" t="str">
        <f t="shared" si="81"/>
        <v/>
      </c>
      <c r="KK18" s="4" t="str">
        <f t="shared" si="82"/>
        <v/>
      </c>
      <c r="KL18" s="4" t="str">
        <f t="shared" si="83"/>
        <v/>
      </c>
      <c r="KM18" s="4" t="str">
        <f t="shared" si="84"/>
        <v/>
      </c>
      <c r="KN18" s="4" t="str">
        <f t="shared" si="85"/>
        <v/>
      </c>
      <c r="KO18" s="4" t="str">
        <f t="shared" si="86"/>
        <v/>
      </c>
      <c r="KP18" s="4" t="str">
        <f t="shared" si="87"/>
        <v/>
      </c>
      <c r="KQ18" s="4" t="str">
        <f t="shared" si="88"/>
        <v/>
      </c>
      <c r="KR18" s="4" t="str">
        <f t="shared" si="89"/>
        <v/>
      </c>
      <c r="KS18" s="4" t="str">
        <f t="shared" si="90"/>
        <v/>
      </c>
      <c r="KT18" s="4" t="str">
        <f t="shared" si="91"/>
        <v/>
      </c>
      <c r="KU18" s="4" t="str">
        <f t="shared" si="92"/>
        <v/>
      </c>
      <c r="KV18" s="4" t="str">
        <f t="shared" si="93"/>
        <v/>
      </c>
      <c r="KW18" s="4" t="str">
        <f t="shared" si="94"/>
        <v/>
      </c>
      <c r="KX18" s="4" t="str">
        <f t="shared" si="95"/>
        <v/>
      </c>
      <c r="KY18" s="4" t="str">
        <f t="shared" si="96"/>
        <v/>
      </c>
      <c r="KZ18" s="4" t="str">
        <f t="shared" si="97"/>
        <v/>
      </c>
      <c r="LA18" s="4" t="str">
        <f t="shared" si="98"/>
        <v/>
      </c>
      <c r="LB18" s="4" t="str">
        <f t="shared" si="99"/>
        <v/>
      </c>
      <c r="LC18" s="4" t="str">
        <f t="shared" si="100"/>
        <v/>
      </c>
      <c r="LD18" s="4" t="str">
        <f t="shared" si="101"/>
        <v/>
      </c>
      <c r="LE18" s="4" t="str">
        <f t="shared" si="102"/>
        <v/>
      </c>
      <c r="LF18" s="4" t="str">
        <f t="shared" si="103"/>
        <v/>
      </c>
      <c r="LG18" s="4" t="str">
        <f t="shared" si="104"/>
        <v/>
      </c>
      <c r="LH18" s="4" t="str">
        <f t="shared" si="105"/>
        <v/>
      </c>
      <c r="LI18" s="4" t="str">
        <f t="shared" si="106"/>
        <v/>
      </c>
      <c r="LJ18" s="4" t="str">
        <f t="shared" si="107"/>
        <v/>
      </c>
      <c r="LK18" s="4" t="str">
        <f t="shared" si="108"/>
        <v/>
      </c>
      <c r="LL18" s="4" t="str">
        <f t="shared" si="109"/>
        <v/>
      </c>
      <c r="LM18" s="4" t="str">
        <f t="shared" si="110"/>
        <v/>
      </c>
      <c r="LN18" s="4" t="str">
        <f t="shared" si="111"/>
        <v/>
      </c>
      <c r="LO18" s="4" t="str">
        <f t="shared" si="112"/>
        <v/>
      </c>
      <c r="LP18" s="4" t="str">
        <f t="shared" si="113"/>
        <v/>
      </c>
      <c r="LQ18" s="4" t="str">
        <f t="shared" si="114"/>
        <v/>
      </c>
      <c r="LR18" s="4" t="str">
        <f t="shared" si="115"/>
        <v/>
      </c>
      <c r="LS18" s="4" t="str">
        <f t="shared" si="116"/>
        <v/>
      </c>
      <c r="LT18" s="4" t="str">
        <f t="shared" si="117"/>
        <v/>
      </c>
      <c r="LU18" s="4" t="str">
        <f t="shared" si="118"/>
        <v/>
      </c>
      <c r="LV18" s="4" t="str">
        <f t="shared" si="119"/>
        <v/>
      </c>
      <c r="LW18" s="4" t="str">
        <f t="shared" si="120"/>
        <v/>
      </c>
      <c r="LX18" s="4" t="str">
        <f t="shared" si="121"/>
        <v/>
      </c>
      <c r="LY18" s="4" t="str">
        <f t="shared" si="122"/>
        <v/>
      </c>
      <c r="LZ18" s="4" t="str">
        <f t="shared" si="123"/>
        <v/>
      </c>
      <c r="MA18" s="4" t="str">
        <f t="shared" si="124"/>
        <v/>
      </c>
      <c r="MB18" s="4" t="str">
        <f t="shared" si="125"/>
        <v/>
      </c>
      <c r="MC18" s="4" t="str">
        <f t="shared" si="126"/>
        <v/>
      </c>
      <c r="MD18" s="4" t="str">
        <f t="shared" si="127"/>
        <v/>
      </c>
      <c r="ME18" s="4" t="str">
        <f t="shared" si="128"/>
        <v/>
      </c>
      <c r="MF18" s="4" t="str">
        <f t="shared" si="129"/>
        <v/>
      </c>
      <c r="MG18" s="4">
        <f t="shared" si="130"/>
        <v>0</v>
      </c>
    </row>
    <row r="19" spans="1:345" ht="26.25" customHeight="1" thickBot="1" x14ac:dyDescent="0.25">
      <c r="A19" s="35">
        <v>41206</v>
      </c>
      <c r="B19" s="36" t="s">
        <v>198</v>
      </c>
      <c r="C19" s="36" t="s">
        <v>95</v>
      </c>
      <c r="D19" s="31" t="s">
        <v>111</v>
      </c>
      <c r="E19" s="4">
        <v>66</v>
      </c>
      <c r="F19" s="3">
        <v>17020</v>
      </c>
      <c r="G19" s="4" t="s">
        <v>87</v>
      </c>
      <c r="H19" s="4" t="s">
        <v>112</v>
      </c>
      <c r="I19" s="4">
        <v>1832657</v>
      </c>
      <c r="J19" s="2" t="s">
        <v>309</v>
      </c>
      <c r="K19" s="230"/>
      <c r="L19" s="231"/>
      <c r="M19" s="231"/>
      <c r="N19" s="98" t="s">
        <v>633</v>
      </c>
      <c r="O19" s="261"/>
      <c r="P19" s="231"/>
      <c r="Q19" s="231"/>
      <c r="R19" s="33">
        <v>-0.5</v>
      </c>
      <c r="S19" s="4">
        <v>-0.54</v>
      </c>
      <c r="T19" s="4" t="s">
        <v>249</v>
      </c>
      <c r="U19" s="67">
        <v>21.25</v>
      </c>
      <c r="V19" s="124">
        <v>41151</v>
      </c>
      <c r="W19" s="67">
        <v>-2.5</v>
      </c>
      <c r="X19" s="67">
        <v>2.75</v>
      </c>
      <c r="Y19" s="4">
        <v>61</v>
      </c>
      <c r="Z19" s="4">
        <v>40</v>
      </c>
      <c r="AA19" s="4">
        <v>12</v>
      </c>
      <c r="AB19" s="4">
        <v>564</v>
      </c>
      <c r="AC19" s="4">
        <v>22.56</v>
      </c>
      <c r="AF19" s="4">
        <v>2.85</v>
      </c>
      <c r="AG19" s="4">
        <v>45.55</v>
      </c>
      <c r="AH19" s="4">
        <v>152</v>
      </c>
      <c r="AI19" s="4">
        <v>47.72</v>
      </c>
      <c r="AJ19" s="4">
        <v>62</v>
      </c>
      <c r="AK19" s="4">
        <v>0</v>
      </c>
      <c r="AL19" s="4" t="b">
        <f t="shared" si="0"/>
        <v>0</v>
      </c>
      <c r="AM19" s="54" t="s">
        <v>497</v>
      </c>
      <c r="AN19" s="3">
        <v>41477</v>
      </c>
      <c r="AO19" s="56">
        <v>25</v>
      </c>
      <c r="AP19" s="67">
        <v>0</v>
      </c>
      <c r="AQ19" s="67">
        <v>0.5</v>
      </c>
      <c r="AR19" s="4">
        <v>45</v>
      </c>
      <c r="AS19" s="4">
        <v>20</v>
      </c>
      <c r="AT19" s="4">
        <v>14</v>
      </c>
      <c r="AU19" s="4">
        <v>490</v>
      </c>
      <c r="AV19" s="4">
        <v>2326</v>
      </c>
      <c r="BC19" s="4">
        <f t="shared" si="1"/>
        <v>0.25</v>
      </c>
      <c r="BD19" s="4">
        <f t="shared" si="2"/>
        <v>0.79</v>
      </c>
      <c r="BE19" s="4">
        <f t="shared" si="3"/>
        <v>-74</v>
      </c>
      <c r="BF19" s="3">
        <v>41598</v>
      </c>
      <c r="BG19" s="56">
        <v>20</v>
      </c>
      <c r="BH19" s="67">
        <v>0</v>
      </c>
      <c r="BI19" s="67">
        <v>0.5</v>
      </c>
      <c r="BJ19" s="4">
        <v>45</v>
      </c>
      <c r="BK19" s="4">
        <v>20</v>
      </c>
      <c r="BL19" s="4">
        <v>18</v>
      </c>
      <c r="BM19" s="4">
        <v>499</v>
      </c>
      <c r="BN19" s="4">
        <v>2242</v>
      </c>
      <c r="BO19" s="4">
        <v>22.65</v>
      </c>
      <c r="BP19" s="4">
        <v>3.11</v>
      </c>
      <c r="BQ19" s="4">
        <v>45.55</v>
      </c>
      <c r="BR19" s="4">
        <v>154</v>
      </c>
      <c r="BS19" s="4">
        <v>46.36</v>
      </c>
      <c r="BT19" s="4">
        <v>64</v>
      </c>
      <c r="BU19" s="4">
        <f t="shared" si="131"/>
        <v>0.25</v>
      </c>
      <c r="BV19" s="4">
        <f t="shared" si="4"/>
        <v>0.79</v>
      </c>
      <c r="BW19" s="4">
        <f t="shared" si="5"/>
        <v>-65</v>
      </c>
      <c r="BX19" s="4">
        <f t="shared" si="6"/>
        <v>1</v>
      </c>
      <c r="BY19" s="4">
        <f t="shared" si="7"/>
        <v>1</v>
      </c>
      <c r="BZ19" s="4">
        <f t="shared" si="8"/>
        <v>-1.125</v>
      </c>
      <c r="CA19" s="4">
        <f t="shared" si="9"/>
        <v>0.25</v>
      </c>
      <c r="CB19" s="4">
        <f t="shared" si="10"/>
        <v>0.25</v>
      </c>
      <c r="CC19" s="53">
        <f t="shared" si="11"/>
        <v>392</v>
      </c>
      <c r="CD19" s="55">
        <f t="shared" si="12"/>
        <v>13.066666666666666</v>
      </c>
      <c r="CE19" s="4">
        <f t="shared" si="13"/>
        <v>0</v>
      </c>
      <c r="CF19" s="4" t="str">
        <f t="shared" si="14"/>
        <v/>
      </c>
      <c r="CG19" s="4">
        <f t="shared" si="15"/>
        <v>-0.67999999999999972</v>
      </c>
      <c r="CH19" s="4">
        <f t="shared" si="16"/>
        <v>-0.67999999999999972</v>
      </c>
      <c r="CI19" s="4">
        <f t="shared" si="17"/>
        <v>-1.125</v>
      </c>
      <c r="CJ19" s="4">
        <f t="shared" si="18"/>
        <v>0.25</v>
      </c>
      <c r="CK19" s="93">
        <f t="shared" si="19"/>
        <v>0.79</v>
      </c>
      <c r="CL19" s="83">
        <f t="shared" si="20"/>
        <v>-65</v>
      </c>
      <c r="CM19" s="4">
        <f t="shared" si="21"/>
        <v>8.9999999999999858E-2</v>
      </c>
      <c r="CN19" s="96">
        <f t="shared" si="22"/>
        <v>-0.54</v>
      </c>
      <c r="CO19" s="96">
        <f t="shared" si="132"/>
        <v>0.3010299956639812</v>
      </c>
      <c r="CP19" s="127">
        <f t="shared" si="23"/>
        <v>0.5</v>
      </c>
      <c r="CQ19" s="127">
        <f t="shared" si="24"/>
        <v>-2.25</v>
      </c>
      <c r="CR19" s="136">
        <f t="shared" si="25"/>
        <v>20</v>
      </c>
      <c r="CS19" s="136">
        <f t="shared" si="26"/>
        <v>40</v>
      </c>
      <c r="CT19" s="135">
        <f t="shared" si="27"/>
        <v>20</v>
      </c>
      <c r="CU19" s="139">
        <f t="shared" si="28"/>
        <v>1</v>
      </c>
      <c r="CV19" s="96">
        <f t="shared" si="29"/>
        <v>0</v>
      </c>
      <c r="CW19" s="141" t="b">
        <f t="shared" si="30"/>
        <v>0</v>
      </c>
      <c r="CX19">
        <v>7.48</v>
      </c>
      <c r="CY19" s="4">
        <v>7.29</v>
      </c>
      <c r="CZ19" s="4">
        <v>143.6</v>
      </c>
      <c r="DA19" s="4">
        <v>-1.2</v>
      </c>
      <c r="DB19" s="4">
        <v>0.04</v>
      </c>
      <c r="DC19" s="4">
        <v>0.62</v>
      </c>
      <c r="DD19" s="4">
        <v>2.66</v>
      </c>
      <c r="DE19" s="4">
        <v>3.26</v>
      </c>
      <c r="DF19" s="4">
        <v>597</v>
      </c>
      <c r="DG19" s="4">
        <v>597</v>
      </c>
      <c r="DH19" s="4">
        <v>670</v>
      </c>
      <c r="DI19" s="4">
        <v>608</v>
      </c>
      <c r="DJ19" s="4">
        <v>607</v>
      </c>
      <c r="DK19" s="4">
        <v>625</v>
      </c>
      <c r="DL19" s="4">
        <v>593</v>
      </c>
      <c r="DM19" s="4">
        <v>-1.01</v>
      </c>
      <c r="DN19" s="4">
        <v>1.21</v>
      </c>
      <c r="DO19" s="4">
        <v>7.42</v>
      </c>
      <c r="DP19" s="4">
        <v>7.34</v>
      </c>
      <c r="DQ19" s="4">
        <v>7.37</v>
      </c>
      <c r="DR19" s="4">
        <v>7.58</v>
      </c>
      <c r="DS19" s="4">
        <v>7.92</v>
      </c>
      <c r="DT19" s="4">
        <v>8.2899999999999991</v>
      </c>
      <c r="DU19" s="4">
        <v>0</v>
      </c>
      <c r="DV19" s="4">
        <v>0.6</v>
      </c>
      <c r="DW19" s="4">
        <v>6.83</v>
      </c>
      <c r="DX19" s="4">
        <v>6.48</v>
      </c>
      <c r="DY19" s="4">
        <v>6.24</v>
      </c>
      <c r="DZ19" s="4">
        <v>6.44</v>
      </c>
      <c r="EA19" s="4">
        <v>6.8</v>
      </c>
      <c r="EB19" s="4">
        <v>0</v>
      </c>
      <c r="EC19" s="4">
        <v>0</v>
      </c>
      <c r="ED19" s="89">
        <v>0.6</v>
      </c>
      <c r="EE19" s="110">
        <v>45.1</v>
      </c>
      <c r="EF19" s="110">
        <v>46.3</v>
      </c>
      <c r="EG19" s="110">
        <v>45.7</v>
      </c>
      <c r="EH19" s="110">
        <v>143.6</v>
      </c>
      <c r="EI19" s="110">
        <v>1.2</v>
      </c>
      <c r="EJ19" s="110">
        <v>-5.8</v>
      </c>
      <c r="EK19" s="110">
        <v>-6.1</v>
      </c>
      <c r="EL19" s="110">
        <v>-6</v>
      </c>
      <c r="EM19" s="110">
        <v>134</v>
      </c>
      <c r="EN19" s="110">
        <v>0.3</v>
      </c>
      <c r="EO19" s="110">
        <v>4.2</v>
      </c>
      <c r="EP19" s="110">
        <v>12.1</v>
      </c>
      <c r="EQ19" s="110">
        <v>25.4</v>
      </c>
      <c r="ER19" s="110">
        <v>60.3</v>
      </c>
      <c r="ES19" s="114">
        <v>28</v>
      </c>
      <c r="GP19" s="83">
        <v>7.42</v>
      </c>
      <c r="GQ19" s="4">
        <v>7.35</v>
      </c>
      <c r="GR19" s="4">
        <v>140.4</v>
      </c>
      <c r="GS19" s="4">
        <v>-0.4</v>
      </c>
      <c r="GT19" s="4">
        <v>0.41</v>
      </c>
      <c r="GU19" s="4">
        <v>0.57999999999999996</v>
      </c>
      <c r="GV19" s="4">
        <v>5.07</v>
      </c>
      <c r="GW19" s="4">
        <v>5.58</v>
      </c>
      <c r="GX19" s="4">
        <v>501</v>
      </c>
      <c r="GY19" s="4">
        <v>493</v>
      </c>
      <c r="GZ19" s="4">
        <v>607</v>
      </c>
      <c r="HA19" s="4">
        <v>567</v>
      </c>
      <c r="HB19" s="4">
        <v>602</v>
      </c>
      <c r="HC19" s="4">
        <v>546</v>
      </c>
      <c r="HD19" s="4">
        <v>488</v>
      </c>
      <c r="HE19" s="4">
        <v>-0.97</v>
      </c>
      <c r="HF19" s="4">
        <v>-0.57999999999999996</v>
      </c>
      <c r="HG19" s="4">
        <v>7.4</v>
      </c>
      <c r="HH19" s="4">
        <v>7.33</v>
      </c>
      <c r="HI19" s="4">
        <v>7.37</v>
      </c>
      <c r="HJ19" s="4">
        <v>7.55</v>
      </c>
      <c r="HK19" s="4">
        <v>7.82</v>
      </c>
      <c r="HL19" s="4">
        <v>8.0299999999999994</v>
      </c>
      <c r="HM19" s="4">
        <v>0</v>
      </c>
      <c r="HN19" s="4">
        <v>1.5</v>
      </c>
      <c r="HO19" s="4">
        <v>5.99</v>
      </c>
      <c r="HP19" s="4">
        <v>6.02</v>
      </c>
      <c r="HQ19" s="4">
        <v>6.07</v>
      </c>
      <c r="HR19" s="4">
        <v>6.19</v>
      </c>
      <c r="HS19" s="4">
        <v>6.49</v>
      </c>
      <c r="HT19" s="4">
        <v>0</v>
      </c>
      <c r="HU19" s="4">
        <v>0</v>
      </c>
      <c r="HV19" s="93">
        <v>1.5</v>
      </c>
      <c r="HW19" s="110">
        <v>45.5</v>
      </c>
      <c r="HX19" s="110">
        <v>45.9</v>
      </c>
      <c r="HY19" s="110">
        <v>45.7</v>
      </c>
      <c r="HZ19" s="110">
        <v>140.4</v>
      </c>
      <c r="IA19" s="110">
        <v>0.4</v>
      </c>
      <c r="IB19" s="110">
        <v>-6.6</v>
      </c>
      <c r="IC19" s="110">
        <v>-6.7</v>
      </c>
      <c r="ID19" s="110">
        <v>-6.6</v>
      </c>
      <c r="IE19" s="110">
        <v>7.7</v>
      </c>
      <c r="IF19" s="110">
        <v>0.2</v>
      </c>
      <c r="IG19" s="110">
        <v>3.7</v>
      </c>
      <c r="IH19" s="110">
        <v>10.8</v>
      </c>
      <c r="II19" s="110">
        <v>23.5</v>
      </c>
      <c r="IJ19" s="110">
        <v>58.8</v>
      </c>
      <c r="IK19" s="121">
        <v>21</v>
      </c>
      <c r="IL19" s="83">
        <f t="shared" si="31"/>
        <v>7.42</v>
      </c>
      <c r="IM19" s="4">
        <f t="shared" si="32"/>
        <v>7.35</v>
      </c>
      <c r="IN19" s="4">
        <f t="shared" si="33"/>
        <v>140.4</v>
      </c>
      <c r="IO19" s="4">
        <f t="shared" si="34"/>
        <v>-0.4</v>
      </c>
      <c r="IP19" s="4">
        <f t="shared" si="35"/>
        <v>0.41</v>
      </c>
      <c r="IQ19" s="4">
        <f t="shared" si="36"/>
        <v>0.57999999999999996</v>
      </c>
      <c r="IR19" s="4">
        <f t="shared" si="37"/>
        <v>5.07</v>
      </c>
      <c r="IS19" s="4">
        <f t="shared" si="38"/>
        <v>5.58</v>
      </c>
      <c r="IT19" s="4">
        <f t="shared" si="39"/>
        <v>501</v>
      </c>
      <c r="IU19" s="4">
        <f t="shared" si="40"/>
        <v>493</v>
      </c>
      <c r="IV19" s="4">
        <f t="shared" si="41"/>
        <v>607</v>
      </c>
      <c r="IW19" s="4">
        <f t="shared" si="42"/>
        <v>567</v>
      </c>
      <c r="IX19" s="4">
        <f t="shared" si="43"/>
        <v>602</v>
      </c>
      <c r="IY19" s="4">
        <f t="shared" si="44"/>
        <v>546</v>
      </c>
      <c r="IZ19" s="4">
        <f t="shared" si="45"/>
        <v>488</v>
      </c>
      <c r="JA19" s="4">
        <f t="shared" si="46"/>
        <v>-0.97</v>
      </c>
      <c r="JB19" s="4">
        <f t="shared" si="47"/>
        <v>-0.57999999999999996</v>
      </c>
      <c r="JC19" s="4">
        <f t="shared" si="48"/>
        <v>7.4</v>
      </c>
      <c r="JD19" s="4">
        <f t="shared" si="49"/>
        <v>7.33</v>
      </c>
      <c r="JE19" s="4">
        <f t="shared" si="50"/>
        <v>7.37</v>
      </c>
      <c r="JF19" s="4">
        <f t="shared" si="51"/>
        <v>7.55</v>
      </c>
      <c r="JG19" s="4">
        <f t="shared" si="52"/>
        <v>7.82</v>
      </c>
      <c r="JH19" s="4">
        <f t="shared" si="53"/>
        <v>8.0299999999999994</v>
      </c>
      <c r="JI19" s="4">
        <f t="shared" si="54"/>
        <v>0</v>
      </c>
      <c r="JJ19" s="4">
        <f t="shared" si="55"/>
        <v>1.5</v>
      </c>
      <c r="JK19" s="4">
        <f t="shared" si="56"/>
        <v>5.99</v>
      </c>
      <c r="JL19" s="4">
        <f t="shared" si="57"/>
        <v>6.02</v>
      </c>
      <c r="JM19" s="4">
        <f t="shared" si="58"/>
        <v>6.07</v>
      </c>
      <c r="JN19" s="4">
        <f t="shared" si="59"/>
        <v>6.19</v>
      </c>
      <c r="JO19" s="4">
        <f t="shared" si="60"/>
        <v>6.49</v>
      </c>
      <c r="JP19" s="4">
        <f t="shared" si="61"/>
        <v>0</v>
      </c>
      <c r="JQ19" s="117">
        <f t="shared" si="62"/>
        <v>0</v>
      </c>
      <c r="JR19" s="110">
        <f t="shared" si="63"/>
        <v>1.5</v>
      </c>
      <c r="JS19" s="110">
        <f t="shared" si="64"/>
        <v>45.5</v>
      </c>
      <c r="JT19" s="110">
        <f t="shared" si="65"/>
        <v>45.9</v>
      </c>
      <c r="JU19" s="110">
        <f t="shared" si="66"/>
        <v>45.7</v>
      </c>
      <c r="JV19" s="110">
        <f t="shared" si="67"/>
        <v>140.4</v>
      </c>
      <c r="JW19" s="110">
        <f t="shared" si="68"/>
        <v>0.4</v>
      </c>
      <c r="JX19" s="110">
        <f t="shared" si="69"/>
        <v>-6.6</v>
      </c>
      <c r="JY19" s="110">
        <f t="shared" si="70"/>
        <v>-6.7</v>
      </c>
      <c r="JZ19" s="110">
        <f t="shared" si="71"/>
        <v>-6.6</v>
      </c>
      <c r="KA19" s="110">
        <f t="shared" si="72"/>
        <v>7.7</v>
      </c>
      <c r="KB19" s="110">
        <f t="shared" si="73"/>
        <v>0.2</v>
      </c>
      <c r="KC19" s="110">
        <f t="shared" si="74"/>
        <v>3.7</v>
      </c>
      <c r="KD19" s="110">
        <f t="shared" si="75"/>
        <v>10.8</v>
      </c>
      <c r="KE19" s="110">
        <f t="shared" si="76"/>
        <v>23.5</v>
      </c>
      <c r="KF19" s="110">
        <f t="shared" si="77"/>
        <v>58.8</v>
      </c>
      <c r="KG19" s="121">
        <f t="shared" si="78"/>
        <v>21</v>
      </c>
      <c r="KH19" s="83">
        <f t="shared" si="79"/>
        <v>-6.0000000000000497E-2</v>
      </c>
      <c r="KI19" s="4">
        <f t="shared" si="80"/>
        <v>5.9999999999999609E-2</v>
      </c>
      <c r="KJ19" s="4">
        <f t="shared" si="81"/>
        <v>-3.1999999999999886</v>
      </c>
      <c r="KK19" s="4">
        <f t="shared" si="82"/>
        <v>0.79999999999999993</v>
      </c>
      <c r="KL19" s="4">
        <f t="shared" si="83"/>
        <v>0.37</v>
      </c>
      <c r="KM19" s="4">
        <f t="shared" si="84"/>
        <v>-4.0000000000000036E-2</v>
      </c>
      <c r="KN19" s="4">
        <f t="shared" si="85"/>
        <v>2.41</v>
      </c>
      <c r="KO19" s="4">
        <f t="shared" si="86"/>
        <v>2.3200000000000003</v>
      </c>
      <c r="KP19" s="4">
        <f t="shared" si="87"/>
        <v>-96</v>
      </c>
      <c r="KQ19" s="4">
        <f t="shared" si="88"/>
        <v>-104</v>
      </c>
      <c r="KR19" s="4">
        <f t="shared" si="89"/>
        <v>-63</v>
      </c>
      <c r="KS19" s="4">
        <f t="shared" si="90"/>
        <v>-41</v>
      </c>
      <c r="KT19" s="4">
        <f t="shared" si="91"/>
        <v>-5</v>
      </c>
      <c r="KU19" s="4">
        <f t="shared" si="92"/>
        <v>-79</v>
      </c>
      <c r="KV19" s="4">
        <f t="shared" si="93"/>
        <v>-105</v>
      </c>
      <c r="KW19" s="4">
        <f t="shared" si="94"/>
        <v>4.0000000000000036E-2</v>
      </c>
      <c r="KX19" s="4">
        <f t="shared" si="95"/>
        <v>-1.79</v>
      </c>
      <c r="KY19" s="4">
        <f t="shared" si="96"/>
        <v>-1.9999999999999574E-2</v>
      </c>
      <c r="KZ19" s="4">
        <f t="shared" si="97"/>
        <v>-9.9999999999997868E-3</v>
      </c>
      <c r="LA19" s="4">
        <f t="shared" si="98"/>
        <v>0</v>
      </c>
      <c r="LB19" s="4">
        <f t="shared" si="99"/>
        <v>-3.0000000000000249E-2</v>
      </c>
      <c r="LC19" s="4">
        <f t="shared" si="100"/>
        <v>-9.9999999999999645E-2</v>
      </c>
      <c r="LD19" s="4">
        <f t="shared" si="101"/>
        <v>-0.25999999999999979</v>
      </c>
      <c r="LE19" s="4">
        <f t="shared" si="102"/>
        <v>0</v>
      </c>
      <c r="LF19" s="4">
        <f t="shared" si="103"/>
        <v>0.9</v>
      </c>
      <c r="LG19" s="4">
        <f t="shared" si="104"/>
        <v>-0.83999999999999986</v>
      </c>
      <c r="LH19" s="4">
        <f t="shared" si="105"/>
        <v>-0.46000000000000085</v>
      </c>
      <c r="LI19" s="4">
        <f t="shared" si="106"/>
        <v>-0.16999999999999993</v>
      </c>
      <c r="LJ19" s="4">
        <f t="shared" si="107"/>
        <v>-0.25</v>
      </c>
      <c r="LK19" s="4">
        <f t="shared" si="108"/>
        <v>-0.30999999999999961</v>
      </c>
      <c r="LL19" s="4">
        <f t="shared" si="109"/>
        <v>0</v>
      </c>
      <c r="LM19" s="4">
        <f t="shared" si="110"/>
        <v>0</v>
      </c>
      <c r="LN19" s="4">
        <f t="shared" si="111"/>
        <v>0.9</v>
      </c>
      <c r="LO19" s="4">
        <f t="shared" si="112"/>
        <v>0.39999999999999858</v>
      </c>
      <c r="LP19" s="4">
        <f t="shared" si="113"/>
        <v>-0.39999999999999858</v>
      </c>
      <c r="LQ19" s="4">
        <f t="shared" si="114"/>
        <v>0</v>
      </c>
      <c r="LR19" s="4">
        <f t="shared" si="115"/>
        <v>-3.1999999999999886</v>
      </c>
      <c r="LS19" s="4">
        <f t="shared" si="116"/>
        <v>-0.79999999999999993</v>
      </c>
      <c r="LT19" s="4">
        <f t="shared" si="117"/>
        <v>-0.79999999999999982</v>
      </c>
      <c r="LU19" s="4">
        <f t="shared" si="118"/>
        <v>-0.60000000000000053</v>
      </c>
      <c r="LV19" s="4">
        <f t="shared" si="119"/>
        <v>-0.59999999999999964</v>
      </c>
      <c r="LW19" s="4">
        <f t="shared" si="120"/>
        <v>-126.3</v>
      </c>
      <c r="LX19" s="4">
        <f t="shared" si="121"/>
        <v>-9.9999999999999978E-2</v>
      </c>
      <c r="LY19" s="4">
        <f t="shared" si="122"/>
        <v>-0.5</v>
      </c>
      <c r="LZ19" s="4">
        <f t="shared" si="123"/>
        <v>-1.2999999999999989</v>
      </c>
      <c r="MA19" s="4">
        <f t="shared" si="124"/>
        <v>-1.8999999999999986</v>
      </c>
      <c r="MB19" s="4">
        <f t="shared" si="125"/>
        <v>-1.5</v>
      </c>
      <c r="MC19" s="4">
        <f t="shared" si="126"/>
        <v>-7</v>
      </c>
      <c r="MD19" s="4" t="str">
        <f t="shared" si="127"/>
        <v/>
      </c>
      <c r="ME19" s="4" t="str">
        <f t="shared" si="128"/>
        <v/>
      </c>
      <c r="MF19" s="4" t="str">
        <f t="shared" si="129"/>
        <v/>
      </c>
      <c r="MG19" s="4">
        <f t="shared" si="130"/>
        <v>-6.7</v>
      </c>
    </row>
    <row r="20" spans="1:345" ht="26.25" customHeight="1" thickBot="1" x14ac:dyDescent="0.25">
      <c r="A20" s="35">
        <v>41276</v>
      </c>
      <c r="B20" s="36" t="s">
        <v>198</v>
      </c>
      <c r="C20" s="36" t="s">
        <v>22</v>
      </c>
      <c r="D20" s="31" t="s">
        <v>110</v>
      </c>
      <c r="E20" s="4">
        <v>66</v>
      </c>
      <c r="F20" s="3">
        <v>17020</v>
      </c>
      <c r="G20" s="4" t="s">
        <v>87</v>
      </c>
      <c r="H20" s="4" t="s">
        <v>112</v>
      </c>
      <c r="I20" s="4">
        <v>1832657</v>
      </c>
      <c r="J20" s="2" t="s">
        <v>309</v>
      </c>
      <c r="K20" s="230"/>
      <c r="L20" s="231"/>
      <c r="M20" s="231"/>
      <c r="N20" s="231"/>
      <c r="O20" s="261"/>
      <c r="P20" s="231"/>
      <c r="Q20" s="231"/>
      <c r="R20" s="4">
        <v>-0.5</v>
      </c>
      <c r="S20" s="4">
        <v>-0.45</v>
      </c>
      <c r="T20" s="4" t="s">
        <v>249</v>
      </c>
      <c r="U20" s="67">
        <v>21.5</v>
      </c>
      <c r="V20" s="124">
        <v>41239</v>
      </c>
      <c r="W20" s="67">
        <v>-0.5</v>
      </c>
      <c r="X20" s="67">
        <v>1</v>
      </c>
      <c r="Y20" s="4">
        <v>78</v>
      </c>
      <c r="Z20" s="4">
        <v>30</v>
      </c>
      <c r="AA20" s="4">
        <v>10</v>
      </c>
      <c r="AB20" s="4">
        <v>565</v>
      </c>
      <c r="AC20" s="4">
        <v>22.53</v>
      </c>
      <c r="AF20" s="4">
        <v>2.59</v>
      </c>
      <c r="AG20" s="4">
        <v>45.92</v>
      </c>
      <c r="AH20" s="4">
        <v>19</v>
      </c>
      <c r="AI20" s="4">
        <v>47.7</v>
      </c>
      <c r="AJ20" s="4">
        <v>109</v>
      </c>
      <c r="AK20" s="4">
        <v>1</v>
      </c>
      <c r="AL20" s="4" t="b">
        <f t="shared" si="0"/>
        <v>1</v>
      </c>
      <c r="AM20" s="54" t="s">
        <v>497</v>
      </c>
      <c r="AN20" s="37">
        <v>41477</v>
      </c>
      <c r="AO20" s="59">
        <v>25</v>
      </c>
      <c r="AP20" s="67">
        <v>0.5</v>
      </c>
      <c r="AQ20" s="67">
        <v>0.5</v>
      </c>
      <c r="AR20" s="4">
        <v>150</v>
      </c>
      <c r="AS20" s="4">
        <v>25</v>
      </c>
      <c r="AT20" s="4">
        <v>16</v>
      </c>
      <c r="AU20" s="4">
        <v>520</v>
      </c>
      <c r="AV20" s="4">
        <v>2041</v>
      </c>
      <c r="BC20" s="4">
        <f t="shared" si="1"/>
        <v>0.75</v>
      </c>
      <c r="BD20" s="4">
        <f t="shared" si="2"/>
        <v>1.2</v>
      </c>
      <c r="BE20" s="4">
        <f t="shared" si="3"/>
        <v>-45</v>
      </c>
      <c r="BF20" s="3">
        <v>41598</v>
      </c>
      <c r="BG20" s="56">
        <v>25</v>
      </c>
      <c r="BH20" s="67">
        <v>0.25</v>
      </c>
      <c r="BI20" s="67">
        <v>0.75</v>
      </c>
      <c r="BJ20" s="4">
        <v>150</v>
      </c>
      <c r="BK20" s="4">
        <v>25</v>
      </c>
      <c r="BL20" s="4">
        <v>17</v>
      </c>
      <c r="BM20" s="4">
        <v>501</v>
      </c>
      <c r="BN20" s="4">
        <v>2336</v>
      </c>
      <c r="BO20" s="4">
        <v>22.55</v>
      </c>
      <c r="BP20" s="4">
        <v>4.6100000000000003</v>
      </c>
      <c r="BQ20" s="4">
        <v>45.98</v>
      </c>
      <c r="BR20" s="4">
        <v>4</v>
      </c>
      <c r="BS20" s="4">
        <v>46.64</v>
      </c>
      <c r="BT20" s="4">
        <v>94</v>
      </c>
      <c r="BU20" s="4">
        <f t="shared" si="131"/>
        <v>0.625</v>
      </c>
      <c r="BV20" s="4">
        <f t="shared" si="4"/>
        <v>1.075</v>
      </c>
      <c r="BW20" s="4">
        <f t="shared" si="5"/>
        <v>-64</v>
      </c>
      <c r="BX20" s="4">
        <f t="shared" si="6"/>
        <v>1</v>
      </c>
      <c r="BY20" s="4">
        <f t="shared" si="7"/>
        <v>1</v>
      </c>
      <c r="BZ20" s="4">
        <f t="shared" si="8"/>
        <v>0</v>
      </c>
      <c r="CA20" s="4">
        <f t="shared" si="9"/>
        <v>0.75</v>
      </c>
      <c r="CB20" s="4">
        <f t="shared" si="10"/>
        <v>0.625</v>
      </c>
      <c r="CC20" s="53">
        <f t="shared" si="11"/>
        <v>322</v>
      </c>
      <c r="CD20" s="55">
        <f t="shared" si="12"/>
        <v>10.733333333333333</v>
      </c>
      <c r="CE20" s="4">
        <f t="shared" si="13"/>
        <v>-0.125</v>
      </c>
      <c r="CF20" s="4" t="str">
        <f t="shared" si="14"/>
        <v/>
      </c>
      <c r="CG20" s="4">
        <f t="shared" si="15"/>
        <v>-0.5</v>
      </c>
      <c r="CH20" s="4">
        <f t="shared" si="16"/>
        <v>-0.5</v>
      </c>
      <c r="CI20" s="4">
        <f t="shared" si="17"/>
        <v>0</v>
      </c>
      <c r="CJ20" s="4">
        <f t="shared" si="18"/>
        <v>0.625</v>
      </c>
      <c r="CK20" s="93">
        <f t="shared" si="19"/>
        <v>1.075</v>
      </c>
      <c r="CL20" s="83">
        <f t="shared" si="20"/>
        <v>-64</v>
      </c>
      <c r="CM20" s="4">
        <f t="shared" si="21"/>
        <v>1.9999999999999574E-2</v>
      </c>
      <c r="CN20" s="96">
        <f t="shared" si="22"/>
        <v>-0.45</v>
      </c>
      <c r="CO20" s="96">
        <f t="shared" si="132"/>
        <v>7.9181246047624873E-2</v>
      </c>
      <c r="CP20" s="127">
        <f t="shared" si="23"/>
        <v>0.75</v>
      </c>
      <c r="CQ20" s="127">
        <f t="shared" si="24"/>
        <v>-0.25</v>
      </c>
      <c r="CR20" s="136">
        <f t="shared" si="25"/>
        <v>25</v>
      </c>
      <c r="CS20" s="136">
        <f t="shared" si="26"/>
        <v>30</v>
      </c>
      <c r="CT20" s="135">
        <f t="shared" si="27"/>
        <v>25</v>
      </c>
      <c r="CU20" s="139">
        <f t="shared" si="28"/>
        <v>1</v>
      </c>
      <c r="CV20" s="96">
        <f t="shared" si="29"/>
        <v>0</v>
      </c>
      <c r="CW20" s="141" t="b">
        <f t="shared" si="30"/>
        <v>0</v>
      </c>
      <c r="CX20" s="108">
        <v>7.44</v>
      </c>
      <c r="CY20" s="4">
        <v>7.31</v>
      </c>
      <c r="CZ20" s="4">
        <v>0.5</v>
      </c>
      <c r="DA20" s="4">
        <v>-0.8</v>
      </c>
      <c r="DB20" s="4">
        <v>0.11</v>
      </c>
      <c r="DC20" s="4">
        <v>0.64</v>
      </c>
      <c r="DD20" s="4">
        <v>2.37</v>
      </c>
      <c r="DE20" s="4">
        <v>2.94</v>
      </c>
      <c r="DF20" s="4">
        <v>576</v>
      </c>
      <c r="DG20" s="4">
        <v>579</v>
      </c>
      <c r="DH20" s="4">
        <v>674</v>
      </c>
      <c r="DI20" s="4">
        <v>607</v>
      </c>
      <c r="DJ20" s="4">
        <v>596</v>
      </c>
      <c r="DK20" s="4">
        <v>609</v>
      </c>
      <c r="DL20" s="4">
        <v>567</v>
      </c>
      <c r="DM20" s="4">
        <v>0.06</v>
      </c>
      <c r="DN20" s="4">
        <v>1.02</v>
      </c>
      <c r="DO20" s="4">
        <v>7.4</v>
      </c>
      <c r="DP20" s="4">
        <v>7.3</v>
      </c>
      <c r="DQ20" s="4">
        <v>7.38</v>
      </c>
      <c r="DR20" s="4">
        <v>7.59</v>
      </c>
      <c r="DS20" s="4">
        <v>7.9</v>
      </c>
      <c r="DT20" s="4">
        <v>8</v>
      </c>
      <c r="DU20" s="4">
        <v>0</v>
      </c>
      <c r="DV20" s="4">
        <v>0.8</v>
      </c>
      <c r="DW20" s="4">
        <v>6.62</v>
      </c>
      <c r="DX20" s="4">
        <v>6.34</v>
      </c>
      <c r="DY20" s="4">
        <v>6.2</v>
      </c>
      <c r="DZ20" s="4">
        <v>6.42</v>
      </c>
      <c r="EA20" s="4">
        <v>6.68</v>
      </c>
      <c r="EB20" s="4">
        <v>0</v>
      </c>
      <c r="EC20" s="4">
        <v>0</v>
      </c>
      <c r="ED20" s="89">
        <v>0.8</v>
      </c>
      <c r="EE20" s="110">
        <v>45.4</v>
      </c>
      <c r="EF20" s="110">
        <v>46.2</v>
      </c>
      <c r="EG20" s="110">
        <v>45.8</v>
      </c>
      <c r="EH20" s="110">
        <v>0.5</v>
      </c>
      <c r="EI20" s="110">
        <v>0.8</v>
      </c>
      <c r="EJ20" s="110">
        <v>-6.1</v>
      </c>
      <c r="EK20" s="110">
        <v>-6.2</v>
      </c>
      <c r="EL20" s="110">
        <v>-6.1</v>
      </c>
      <c r="EM20" s="110">
        <v>24.4</v>
      </c>
      <c r="EN20" s="110">
        <v>0.1</v>
      </c>
      <c r="EO20" s="110">
        <v>4.0999999999999996</v>
      </c>
      <c r="EP20" s="110">
        <v>11.8</v>
      </c>
      <c r="EQ20" s="110">
        <v>25.1</v>
      </c>
      <c r="ER20" s="110">
        <v>60.6</v>
      </c>
      <c r="ES20" s="114">
        <v>29</v>
      </c>
      <c r="GP20" s="83">
        <v>7.38</v>
      </c>
      <c r="GQ20" s="4">
        <v>7.26</v>
      </c>
      <c r="GR20" s="4">
        <v>16.3</v>
      </c>
      <c r="GS20" s="4">
        <v>-0.7</v>
      </c>
      <c r="GT20" s="4">
        <v>0.39</v>
      </c>
      <c r="GU20" s="4">
        <v>0.57999999999999996</v>
      </c>
      <c r="GV20" s="4">
        <v>5.32</v>
      </c>
      <c r="GW20" s="4">
        <v>5.83</v>
      </c>
      <c r="GX20" s="4">
        <v>510</v>
      </c>
      <c r="GY20" s="4">
        <v>506</v>
      </c>
      <c r="GZ20" s="4">
        <v>629</v>
      </c>
      <c r="HA20" s="4">
        <v>567</v>
      </c>
      <c r="HB20" s="4">
        <v>612</v>
      </c>
      <c r="HC20" s="4">
        <v>550</v>
      </c>
      <c r="HD20" s="4">
        <v>495</v>
      </c>
      <c r="HE20" s="4">
        <v>0.63</v>
      </c>
      <c r="HF20" s="4">
        <v>-0.88</v>
      </c>
      <c r="HG20" s="4">
        <v>7.33</v>
      </c>
      <c r="HH20" s="4">
        <v>7.3</v>
      </c>
      <c r="HI20" s="4">
        <v>7.37</v>
      </c>
      <c r="HJ20" s="4">
        <v>7.54</v>
      </c>
      <c r="HK20" s="4">
        <v>7.78</v>
      </c>
      <c r="HL20" s="4">
        <v>7.98</v>
      </c>
      <c r="HM20" s="4">
        <v>0</v>
      </c>
      <c r="HN20" s="4">
        <v>1.3</v>
      </c>
      <c r="HO20" s="4">
        <v>6.07</v>
      </c>
      <c r="HP20" s="4">
        <v>6.02</v>
      </c>
      <c r="HQ20" s="4">
        <v>6.12</v>
      </c>
      <c r="HR20" s="4">
        <v>6.23</v>
      </c>
      <c r="HS20" s="4">
        <v>6.47</v>
      </c>
      <c r="HT20" s="4">
        <v>0</v>
      </c>
      <c r="HU20" s="4">
        <v>0</v>
      </c>
      <c r="HV20" s="93">
        <v>1.3</v>
      </c>
      <c r="HW20" s="110">
        <v>45.7</v>
      </c>
      <c r="HX20" s="110">
        <v>46.5</v>
      </c>
      <c r="HY20" s="110">
        <v>46.1</v>
      </c>
      <c r="HZ20" s="110">
        <v>16.3</v>
      </c>
      <c r="IA20" s="110">
        <v>0.7</v>
      </c>
      <c r="IB20" s="110">
        <v>-6.5</v>
      </c>
      <c r="IC20" s="110">
        <v>-6.8</v>
      </c>
      <c r="ID20" s="110">
        <v>-6.6</v>
      </c>
      <c r="IE20" s="110">
        <v>1.1000000000000001</v>
      </c>
      <c r="IF20" s="110">
        <v>0.2</v>
      </c>
      <c r="IG20" s="110">
        <v>3.7</v>
      </c>
      <c r="IH20" s="110">
        <v>10.9</v>
      </c>
      <c r="II20" s="110">
        <v>23.5</v>
      </c>
      <c r="IJ20" s="110">
        <v>58.4</v>
      </c>
      <c r="IK20" s="121">
        <v>25</v>
      </c>
      <c r="IL20" s="83">
        <f t="shared" si="31"/>
        <v>7.38</v>
      </c>
      <c r="IM20" s="4">
        <f t="shared" si="32"/>
        <v>7.26</v>
      </c>
      <c r="IN20" s="4">
        <f t="shared" si="33"/>
        <v>16.3</v>
      </c>
      <c r="IO20" s="4">
        <f t="shared" si="34"/>
        <v>-0.7</v>
      </c>
      <c r="IP20" s="4">
        <f t="shared" si="35"/>
        <v>0.39</v>
      </c>
      <c r="IQ20" s="4">
        <f t="shared" si="36"/>
        <v>0.57999999999999996</v>
      </c>
      <c r="IR20" s="4">
        <f t="shared" si="37"/>
        <v>5.32</v>
      </c>
      <c r="IS20" s="4">
        <f t="shared" si="38"/>
        <v>5.83</v>
      </c>
      <c r="IT20" s="4">
        <f t="shared" si="39"/>
        <v>510</v>
      </c>
      <c r="IU20" s="4">
        <f t="shared" si="40"/>
        <v>506</v>
      </c>
      <c r="IV20" s="4">
        <f t="shared" si="41"/>
        <v>629</v>
      </c>
      <c r="IW20" s="4">
        <f t="shared" si="42"/>
        <v>567</v>
      </c>
      <c r="IX20" s="4">
        <f t="shared" si="43"/>
        <v>612</v>
      </c>
      <c r="IY20" s="4">
        <f t="shared" si="44"/>
        <v>550</v>
      </c>
      <c r="IZ20" s="4">
        <f t="shared" si="45"/>
        <v>495</v>
      </c>
      <c r="JA20" s="4">
        <f t="shared" si="46"/>
        <v>0.63</v>
      </c>
      <c r="JB20" s="4">
        <f t="shared" si="47"/>
        <v>-0.88</v>
      </c>
      <c r="JC20" s="4">
        <f t="shared" si="48"/>
        <v>7.33</v>
      </c>
      <c r="JD20" s="4">
        <f t="shared" si="49"/>
        <v>7.3</v>
      </c>
      <c r="JE20" s="4">
        <f t="shared" si="50"/>
        <v>7.37</v>
      </c>
      <c r="JF20" s="4">
        <f t="shared" si="51"/>
        <v>7.54</v>
      </c>
      <c r="JG20" s="4">
        <f t="shared" si="52"/>
        <v>7.78</v>
      </c>
      <c r="JH20" s="4">
        <f t="shared" si="53"/>
        <v>7.98</v>
      </c>
      <c r="JI20" s="4">
        <f t="shared" si="54"/>
        <v>0</v>
      </c>
      <c r="JJ20" s="4">
        <f t="shared" si="55"/>
        <v>1.3</v>
      </c>
      <c r="JK20" s="4">
        <f t="shared" si="56"/>
        <v>6.07</v>
      </c>
      <c r="JL20" s="4">
        <f t="shared" si="57"/>
        <v>6.02</v>
      </c>
      <c r="JM20" s="4">
        <f t="shared" si="58"/>
        <v>6.12</v>
      </c>
      <c r="JN20" s="4">
        <f t="shared" si="59"/>
        <v>6.23</v>
      </c>
      <c r="JO20" s="4">
        <f t="shared" si="60"/>
        <v>6.47</v>
      </c>
      <c r="JP20" s="4">
        <f t="shared" si="61"/>
        <v>0</v>
      </c>
      <c r="JQ20" s="117">
        <f t="shared" si="62"/>
        <v>0</v>
      </c>
      <c r="JR20" s="110">
        <f t="shared" si="63"/>
        <v>1.3</v>
      </c>
      <c r="JS20" s="110">
        <f t="shared" si="64"/>
        <v>45.7</v>
      </c>
      <c r="JT20" s="110">
        <f t="shared" si="65"/>
        <v>46.5</v>
      </c>
      <c r="JU20" s="110">
        <f t="shared" si="66"/>
        <v>46.1</v>
      </c>
      <c r="JV20" s="110">
        <f t="shared" si="67"/>
        <v>16.3</v>
      </c>
      <c r="JW20" s="110">
        <f t="shared" si="68"/>
        <v>0.7</v>
      </c>
      <c r="JX20" s="110">
        <f t="shared" si="69"/>
        <v>-6.5</v>
      </c>
      <c r="JY20" s="110">
        <f t="shared" si="70"/>
        <v>-6.8</v>
      </c>
      <c r="JZ20" s="110">
        <f t="shared" si="71"/>
        <v>-6.6</v>
      </c>
      <c r="KA20" s="110">
        <f t="shared" si="72"/>
        <v>1.1000000000000001</v>
      </c>
      <c r="KB20" s="110">
        <f t="shared" si="73"/>
        <v>0.2</v>
      </c>
      <c r="KC20" s="110">
        <f t="shared" si="74"/>
        <v>3.7</v>
      </c>
      <c r="KD20" s="110">
        <f t="shared" si="75"/>
        <v>10.9</v>
      </c>
      <c r="KE20" s="110">
        <f t="shared" si="76"/>
        <v>23.5</v>
      </c>
      <c r="KF20" s="110">
        <f t="shared" si="77"/>
        <v>58.4</v>
      </c>
      <c r="KG20" s="121">
        <f t="shared" si="78"/>
        <v>25</v>
      </c>
      <c r="KH20" s="83">
        <f t="shared" si="79"/>
        <v>-6.0000000000000497E-2</v>
      </c>
      <c r="KI20" s="4">
        <f t="shared" si="80"/>
        <v>-4.9999999999999822E-2</v>
      </c>
      <c r="KJ20" s="4">
        <f t="shared" si="81"/>
        <v>15.8</v>
      </c>
      <c r="KK20" s="4">
        <f t="shared" si="82"/>
        <v>0.10000000000000009</v>
      </c>
      <c r="KL20" s="4">
        <f t="shared" si="83"/>
        <v>0.28000000000000003</v>
      </c>
      <c r="KM20" s="4">
        <f t="shared" si="84"/>
        <v>-6.0000000000000053E-2</v>
      </c>
      <c r="KN20" s="4">
        <f t="shared" si="85"/>
        <v>2.95</v>
      </c>
      <c r="KO20" s="4">
        <f t="shared" si="86"/>
        <v>2.89</v>
      </c>
      <c r="KP20" s="4">
        <f t="shared" si="87"/>
        <v>-66</v>
      </c>
      <c r="KQ20" s="4">
        <f t="shared" si="88"/>
        <v>-73</v>
      </c>
      <c r="KR20" s="4">
        <f t="shared" si="89"/>
        <v>-45</v>
      </c>
      <c r="KS20" s="4">
        <f t="shared" si="90"/>
        <v>-40</v>
      </c>
      <c r="KT20" s="4">
        <f t="shared" si="91"/>
        <v>16</v>
      </c>
      <c r="KU20" s="4">
        <f t="shared" si="92"/>
        <v>-59</v>
      </c>
      <c r="KV20" s="4">
        <f t="shared" si="93"/>
        <v>-72</v>
      </c>
      <c r="KW20" s="4">
        <f t="shared" si="94"/>
        <v>0.57000000000000006</v>
      </c>
      <c r="KX20" s="4">
        <f t="shared" si="95"/>
        <v>-1.9</v>
      </c>
      <c r="KY20" s="4">
        <f t="shared" si="96"/>
        <v>-7.0000000000000284E-2</v>
      </c>
      <c r="KZ20" s="4">
        <f t="shared" si="97"/>
        <v>0</v>
      </c>
      <c r="LA20" s="4">
        <f t="shared" si="98"/>
        <v>-9.9999999999997868E-3</v>
      </c>
      <c r="LB20" s="4">
        <f t="shared" si="99"/>
        <v>-4.9999999999999822E-2</v>
      </c>
      <c r="LC20" s="4">
        <f t="shared" si="100"/>
        <v>-0.12000000000000011</v>
      </c>
      <c r="LD20" s="4">
        <f t="shared" si="101"/>
        <v>-1.9999999999999574E-2</v>
      </c>
      <c r="LE20" s="4">
        <f t="shared" si="102"/>
        <v>0</v>
      </c>
      <c r="LF20" s="4">
        <f t="shared" si="103"/>
        <v>0.5</v>
      </c>
      <c r="LG20" s="4">
        <f t="shared" si="104"/>
        <v>-0.54999999999999982</v>
      </c>
      <c r="LH20" s="4">
        <f t="shared" si="105"/>
        <v>-0.32000000000000028</v>
      </c>
      <c r="LI20" s="4">
        <f t="shared" si="106"/>
        <v>-8.0000000000000071E-2</v>
      </c>
      <c r="LJ20" s="4">
        <f t="shared" si="107"/>
        <v>-0.1899999999999995</v>
      </c>
      <c r="LK20" s="4">
        <f t="shared" si="108"/>
        <v>-0.20999999999999996</v>
      </c>
      <c r="LL20" s="4">
        <f t="shared" si="109"/>
        <v>0</v>
      </c>
      <c r="LM20" s="4">
        <f t="shared" si="110"/>
        <v>0</v>
      </c>
      <c r="LN20" s="4">
        <f t="shared" si="111"/>
        <v>0.5</v>
      </c>
      <c r="LO20" s="4">
        <f t="shared" si="112"/>
        <v>0.30000000000000426</v>
      </c>
      <c r="LP20" s="4">
        <f t="shared" si="113"/>
        <v>0.29999999999999716</v>
      </c>
      <c r="LQ20" s="4">
        <f t="shared" si="114"/>
        <v>0.30000000000000426</v>
      </c>
      <c r="LR20" s="4">
        <f t="shared" si="115"/>
        <v>15.8</v>
      </c>
      <c r="LS20" s="4">
        <f t="shared" si="116"/>
        <v>-0.10000000000000009</v>
      </c>
      <c r="LT20" s="4">
        <f t="shared" si="117"/>
        <v>-0.40000000000000036</v>
      </c>
      <c r="LU20" s="4">
        <f t="shared" si="118"/>
        <v>-0.59999999999999964</v>
      </c>
      <c r="LV20" s="4">
        <f t="shared" si="119"/>
        <v>-0.5</v>
      </c>
      <c r="LW20" s="4">
        <f t="shared" si="120"/>
        <v>-23.299999999999997</v>
      </c>
      <c r="LX20" s="4">
        <f t="shared" si="121"/>
        <v>0.1</v>
      </c>
      <c r="LY20" s="4">
        <f t="shared" si="122"/>
        <v>-0.39999999999999947</v>
      </c>
      <c r="LZ20" s="4">
        <f t="shared" si="123"/>
        <v>-0.90000000000000036</v>
      </c>
      <c r="MA20" s="4">
        <f t="shared" si="124"/>
        <v>-1.6000000000000014</v>
      </c>
      <c r="MB20" s="4">
        <f t="shared" si="125"/>
        <v>-2.2000000000000028</v>
      </c>
      <c r="MC20" s="4">
        <f t="shared" si="126"/>
        <v>-4</v>
      </c>
      <c r="MD20" s="4" t="str">
        <f t="shared" si="127"/>
        <v/>
      </c>
      <c r="ME20" s="4" t="str">
        <f t="shared" si="128"/>
        <v/>
      </c>
      <c r="MF20" s="4" t="str">
        <f t="shared" si="129"/>
        <v/>
      </c>
      <c r="MG20" s="4">
        <f t="shared" si="130"/>
        <v>-6.8</v>
      </c>
    </row>
    <row r="21" spans="1:345" ht="26.25" customHeight="1" thickBot="1" x14ac:dyDescent="0.25">
      <c r="A21" s="35">
        <v>41409</v>
      </c>
      <c r="B21" s="36" t="s">
        <v>185</v>
      </c>
      <c r="C21" s="36" t="s">
        <v>53</v>
      </c>
      <c r="D21" s="31" t="s">
        <v>111</v>
      </c>
      <c r="E21" s="4">
        <v>74</v>
      </c>
      <c r="F21" s="3">
        <v>14230</v>
      </c>
      <c r="G21" s="4" t="s">
        <v>87</v>
      </c>
      <c r="H21" s="4" t="s">
        <v>108</v>
      </c>
      <c r="I21" s="4">
        <v>1833733</v>
      </c>
      <c r="J21" s="2" t="s">
        <v>309</v>
      </c>
      <c r="K21" s="230"/>
      <c r="L21" s="231">
        <v>1</v>
      </c>
      <c r="M21" s="231"/>
      <c r="N21" s="231"/>
      <c r="O21" s="261"/>
      <c r="P21" s="231"/>
      <c r="R21" s="4">
        <v>-0.5</v>
      </c>
      <c r="S21" s="4">
        <v>-0.42</v>
      </c>
      <c r="T21" s="4" t="s">
        <v>249</v>
      </c>
      <c r="U21" s="67">
        <v>20.5</v>
      </c>
      <c r="V21" s="124">
        <v>41408</v>
      </c>
      <c r="W21" s="67">
        <v>0.25</v>
      </c>
      <c r="X21" s="67">
        <v>0.75</v>
      </c>
      <c r="Y21" s="4">
        <v>30</v>
      </c>
      <c r="Z21" s="4">
        <v>60</v>
      </c>
      <c r="AA21" s="4">
        <v>15</v>
      </c>
      <c r="AB21" s="4">
        <v>631</v>
      </c>
      <c r="AC21" s="4">
        <v>23.51</v>
      </c>
      <c r="AD21" s="4">
        <v>12.1</v>
      </c>
      <c r="AE21" s="4">
        <v>5.31</v>
      </c>
      <c r="AF21" s="4">
        <v>2.91</v>
      </c>
      <c r="AG21" s="4">
        <v>44.12</v>
      </c>
      <c r="AH21" s="4">
        <v>164</v>
      </c>
      <c r="AI21" s="4">
        <v>47</v>
      </c>
      <c r="AJ21" s="4">
        <v>74</v>
      </c>
      <c r="AK21" s="4">
        <v>2</v>
      </c>
      <c r="AL21" s="4" t="b">
        <f t="shared" si="0"/>
        <v>1</v>
      </c>
      <c r="AM21" s="54"/>
      <c r="AN21" s="3">
        <v>41550</v>
      </c>
      <c r="AP21" s="67">
        <v>-2.75</v>
      </c>
      <c r="AQ21" s="67">
        <v>4</v>
      </c>
      <c r="AR21" s="4">
        <v>50</v>
      </c>
      <c r="AS21" s="4">
        <v>40</v>
      </c>
      <c r="AT21" s="4">
        <v>16</v>
      </c>
      <c r="AU21" s="4">
        <v>501</v>
      </c>
      <c r="AW21" s="4">
        <v>23.3</v>
      </c>
      <c r="AX21" s="4">
        <v>4.2300000000000004</v>
      </c>
      <c r="AY21" s="4">
        <v>41.16</v>
      </c>
      <c r="AZ21" s="4">
        <v>163</v>
      </c>
      <c r="BA21" s="4">
        <v>45.12</v>
      </c>
      <c r="BB21" s="4">
        <v>73</v>
      </c>
      <c r="BC21" s="4">
        <f t="shared" si="1"/>
        <v>-0.75</v>
      </c>
      <c r="BD21" s="4">
        <f t="shared" si="2"/>
        <v>-0.33</v>
      </c>
      <c r="BE21" s="4">
        <f t="shared" si="3"/>
        <v>-130</v>
      </c>
      <c r="BF21" s="3">
        <v>41773</v>
      </c>
      <c r="BG21" s="59"/>
      <c r="BU21" s="4" t="str">
        <f t="shared" si="131"/>
        <v/>
      </c>
      <c r="BV21" s="4" t="str">
        <f t="shared" si="4"/>
        <v/>
      </c>
      <c r="BW21" s="4" t="str">
        <f t="shared" si="5"/>
        <v/>
      </c>
      <c r="BX21" s="4">
        <f t="shared" si="6"/>
        <v>1</v>
      </c>
      <c r="BY21" s="4">
        <f t="shared" si="7"/>
        <v>0</v>
      </c>
      <c r="BZ21" s="4" t="str">
        <f t="shared" si="8"/>
        <v/>
      </c>
      <c r="CA21" s="4" t="str">
        <f t="shared" si="9"/>
        <v/>
      </c>
      <c r="CB21" s="4" t="str">
        <f t="shared" si="10"/>
        <v/>
      </c>
      <c r="CC21" s="53">
        <f t="shared" si="11"/>
        <v>141</v>
      </c>
      <c r="CD21" s="55">
        <f t="shared" si="12"/>
        <v>4.7</v>
      </c>
      <c r="CE21" s="4" t="str">
        <f t="shared" si="13"/>
        <v/>
      </c>
      <c r="CF21" s="4">
        <f t="shared" si="14"/>
        <v>-2.4200000000000017</v>
      </c>
      <c r="CG21" s="4" t="str">
        <f t="shared" si="15"/>
        <v/>
      </c>
      <c r="CH21" s="4">
        <f t="shared" si="16"/>
        <v>-2.4200000000000017</v>
      </c>
      <c r="CI21" s="4">
        <f t="shared" si="17"/>
        <v>0.625</v>
      </c>
      <c r="CJ21" s="4">
        <f t="shared" si="18"/>
        <v>-0.75</v>
      </c>
      <c r="CK21" s="93">
        <f t="shared" si="19"/>
        <v>-0.33</v>
      </c>
      <c r="CL21" s="83">
        <f t="shared" si="20"/>
        <v>-130</v>
      </c>
      <c r="CM21" s="4">
        <f t="shared" si="21"/>
        <v>-0.21000000000000085</v>
      </c>
      <c r="CN21" s="96">
        <f t="shared" si="22"/>
        <v>-0.42</v>
      </c>
      <c r="CO21" s="96">
        <f t="shared" si="132"/>
        <v>0.17609125905568124</v>
      </c>
      <c r="CP21" s="127">
        <f t="shared" si="23"/>
        <v>4</v>
      </c>
      <c r="CQ21" s="127">
        <f t="shared" si="24"/>
        <v>3.25</v>
      </c>
      <c r="CR21" s="136">
        <f t="shared" si="25"/>
        <v>40</v>
      </c>
      <c r="CS21" s="136">
        <f t="shared" si="26"/>
        <v>60</v>
      </c>
      <c r="CT21" s="135" t="str">
        <f t="shared" si="27"/>
        <v/>
      </c>
      <c r="CU21" s="139" t="str">
        <f t="shared" si="28"/>
        <v/>
      </c>
      <c r="CV21" s="96" t="str">
        <f t="shared" si="29"/>
        <v/>
      </c>
      <c r="CW21" s="141" t="str">
        <f t="shared" si="30"/>
        <v/>
      </c>
      <c r="ET21" s="83">
        <v>8.1199999999999992</v>
      </c>
      <c r="EU21" s="4">
        <v>7.41</v>
      </c>
      <c r="EV21" s="4">
        <v>165.9</v>
      </c>
      <c r="EW21" s="4">
        <v>-4</v>
      </c>
      <c r="EX21" s="4">
        <v>7.0000000000000007E-2</v>
      </c>
      <c r="EY21" s="4">
        <v>0.54</v>
      </c>
      <c r="EZ21" s="4">
        <v>3.87</v>
      </c>
      <c r="FA21" s="4">
        <v>4.37</v>
      </c>
      <c r="FB21" s="4">
        <v>504</v>
      </c>
      <c r="FC21" s="4">
        <v>476</v>
      </c>
      <c r="FD21" s="4">
        <v>604</v>
      </c>
      <c r="FE21" s="4">
        <v>573</v>
      </c>
      <c r="FF21" s="4">
        <v>589</v>
      </c>
      <c r="FG21" s="4">
        <v>578</v>
      </c>
      <c r="FH21" s="4">
        <v>450</v>
      </c>
      <c r="FI21" s="4">
        <v>-0.41</v>
      </c>
      <c r="FJ21" s="4">
        <v>-1.5</v>
      </c>
      <c r="FK21" s="4">
        <v>7.73</v>
      </c>
      <c r="FL21" s="4">
        <v>7.97</v>
      </c>
      <c r="FM21" s="4">
        <v>8.06</v>
      </c>
      <c r="FN21" s="4">
        <v>8.09</v>
      </c>
      <c r="FO21" s="4">
        <v>8.18</v>
      </c>
      <c r="FP21" s="4">
        <v>8.35</v>
      </c>
      <c r="FQ21" s="4">
        <v>0</v>
      </c>
      <c r="FR21" s="4">
        <v>1.1000000000000001</v>
      </c>
      <c r="FS21" s="4">
        <v>6.44</v>
      </c>
      <c r="FT21" s="4">
        <v>6.23</v>
      </c>
      <c r="FU21" s="4">
        <v>6.37</v>
      </c>
      <c r="FV21" s="4">
        <v>6.54</v>
      </c>
      <c r="FW21" s="4">
        <v>6.84</v>
      </c>
      <c r="FX21" s="4">
        <v>7.32</v>
      </c>
      <c r="FY21" s="4">
        <v>0</v>
      </c>
      <c r="FZ21" s="86">
        <v>1.1000000000000001</v>
      </c>
      <c r="IL21" s="83">
        <f t="shared" si="31"/>
        <v>8.1199999999999992</v>
      </c>
      <c r="IM21" s="4">
        <f t="shared" si="32"/>
        <v>7.41</v>
      </c>
      <c r="IN21" s="4">
        <f t="shared" si="33"/>
        <v>165.9</v>
      </c>
      <c r="IO21" s="4">
        <f t="shared" si="34"/>
        <v>-4</v>
      </c>
      <c r="IP21" s="4">
        <f t="shared" si="35"/>
        <v>7.0000000000000007E-2</v>
      </c>
      <c r="IQ21" s="4">
        <f t="shared" si="36"/>
        <v>0.54</v>
      </c>
      <c r="IR21" s="4">
        <f t="shared" si="37"/>
        <v>3.87</v>
      </c>
      <c r="IS21" s="4">
        <f t="shared" si="38"/>
        <v>4.37</v>
      </c>
      <c r="IT21" s="4">
        <f t="shared" si="39"/>
        <v>504</v>
      </c>
      <c r="IU21" s="4">
        <f t="shared" si="40"/>
        <v>476</v>
      </c>
      <c r="IV21" s="4">
        <f t="shared" si="41"/>
        <v>604</v>
      </c>
      <c r="IW21" s="4">
        <f t="shared" si="42"/>
        <v>573</v>
      </c>
      <c r="IX21" s="4">
        <f t="shared" si="43"/>
        <v>589</v>
      </c>
      <c r="IY21" s="4">
        <f t="shared" si="44"/>
        <v>578</v>
      </c>
      <c r="IZ21" s="4">
        <f t="shared" si="45"/>
        <v>450</v>
      </c>
      <c r="JA21" s="4">
        <f t="shared" si="46"/>
        <v>-0.41</v>
      </c>
      <c r="JB21" s="4">
        <f t="shared" si="47"/>
        <v>-1.5</v>
      </c>
      <c r="JC21" s="4">
        <f t="shared" si="48"/>
        <v>7.73</v>
      </c>
      <c r="JD21" s="4">
        <f t="shared" si="49"/>
        <v>7.97</v>
      </c>
      <c r="JE21" s="4">
        <f t="shared" si="50"/>
        <v>8.06</v>
      </c>
      <c r="JF21" s="4">
        <f t="shared" si="51"/>
        <v>8.09</v>
      </c>
      <c r="JG21" s="4">
        <f t="shared" si="52"/>
        <v>8.18</v>
      </c>
      <c r="JH21" s="4">
        <f t="shared" si="53"/>
        <v>8.35</v>
      </c>
      <c r="JI21" s="4">
        <f t="shared" si="54"/>
        <v>0</v>
      </c>
      <c r="JJ21" s="4">
        <f t="shared" si="55"/>
        <v>1.1000000000000001</v>
      </c>
      <c r="JK21" s="4">
        <f t="shared" si="56"/>
        <v>6.44</v>
      </c>
      <c r="JL21" s="4">
        <f t="shared" si="57"/>
        <v>6.23</v>
      </c>
      <c r="JM21" s="4">
        <f t="shared" si="58"/>
        <v>6.37</v>
      </c>
      <c r="JN21" s="4">
        <f t="shared" si="59"/>
        <v>6.54</v>
      </c>
      <c r="JO21" s="4">
        <f t="shared" si="60"/>
        <v>6.84</v>
      </c>
      <c r="JP21" s="4">
        <f t="shared" si="61"/>
        <v>7.32</v>
      </c>
      <c r="JQ21" s="117">
        <f t="shared" si="62"/>
        <v>0</v>
      </c>
      <c r="JR21" s="110">
        <f t="shared" si="63"/>
        <v>1.1000000000000001</v>
      </c>
      <c r="JS21" s="110" t="str">
        <f t="shared" si="64"/>
        <v/>
      </c>
      <c r="JT21" s="110" t="str">
        <f t="shared" si="65"/>
        <v/>
      </c>
      <c r="JU21" s="110" t="str">
        <f t="shared" si="66"/>
        <v/>
      </c>
      <c r="JV21" s="110" t="str">
        <f t="shared" si="67"/>
        <v/>
      </c>
      <c r="JW21" s="110" t="str">
        <f t="shared" si="68"/>
        <v/>
      </c>
      <c r="JX21" s="110" t="str">
        <f t="shared" si="69"/>
        <v/>
      </c>
      <c r="JY21" s="110" t="str">
        <f t="shared" si="70"/>
        <v/>
      </c>
      <c r="JZ21" s="110" t="str">
        <f t="shared" si="71"/>
        <v/>
      </c>
      <c r="KA21" s="110" t="str">
        <f t="shared" si="72"/>
        <v/>
      </c>
      <c r="KB21" s="110" t="str">
        <f t="shared" si="73"/>
        <v/>
      </c>
      <c r="KC21" s="110" t="str">
        <f t="shared" si="74"/>
        <v/>
      </c>
      <c r="KD21" s="110" t="str">
        <f t="shared" si="75"/>
        <v/>
      </c>
      <c r="KE21" s="110" t="str">
        <f t="shared" si="76"/>
        <v/>
      </c>
      <c r="KF21" s="110" t="str">
        <f t="shared" si="77"/>
        <v/>
      </c>
      <c r="KG21" s="121" t="str">
        <f t="shared" si="78"/>
        <v/>
      </c>
      <c r="KH21" s="83" t="str">
        <f t="shared" si="79"/>
        <v/>
      </c>
      <c r="KI21" s="4" t="str">
        <f t="shared" si="80"/>
        <v/>
      </c>
      <c r="KJ21" s="4" t="str">
        <f t="shared" si="81"/>
        <v/>
      </c>
      <c r="KK21" s="4" t="str">
        <f t="shared" si="82"/>
        <v/>
      </c>
      <c r="KL21" s="4" t="str">
        <f t="shared" si="83"/>
        <v/>
      </c>
      <c r="KM21" s="4" t="str">
        <f t="shared" si="84"/>
        <v/>
      </c>
      <c r="KN21" s="4" t="str">
        <f t="shared" si="85"/>
        <v/>
      </c>
      <c r="KO21" s="4" t="str">
        <f t="shared" si="86"/>
        <v/>
      </c>
      <c r="KP21" s="4" t="str">
        <f t="shared" si="87"/>
        <v/>
      </c>
      <c r="KQ21" s="4" t="str">
        <f t="shared" si="88"/>
        <v/>
      </c>
      <c r="KR21" s="4" t="str">
        <f t="shared" si="89"/>
        <v/>
      </c>
      <c r="KS21" s="4" t="str">
        <f t="shared" si="90"/>
        <v/>
      </c>
      <c r="KT21" s="4" t="str">
        <f t="shared" si="91"/>
        <v/>
      </c>
      <c r="KU21" s="4" t="str">
        <f t="shared" si="92"/>
        <v/>
      </c>
      <c r="KV21" s="4" t="str">
        <f t="shared" si="93"/>
        <v/>
      </c>
      <c r="KW21" s="4" t="str">
        <f t="shared" si="94"/>
        <v/>
      </c>
      <c r="KX21" s="4" t="str">
        <f t="shared" si="95"/>
        <v/>
      </c>
      <c r="KY21" s="4" t="str">
        <f t="shared" si="96"/>
        <v/>
      </c>
      <c r="KZ21" s="4" t="str">
        <f t="shared" si="97"/>
        <v/>
      </c>
      <c r="LA21" s="4" t="str">
        <f t="shared" si="98"/>
        <v/>
      </c>
      <c r="LB21" s="4" t="str">
        <f t="shared" si="99"/>
        <v/>
      </c>
      <c r="LC21" s="4" t="str">
        <f t="shared" si="100"/>
        <v/>
      </c>
      <c r="LD21" s="4" t="str">
        <f t="shared" si="101"/>
        <v/>
      </c>
      <c r="LE21" s="4" t="str">
        <f t="shared" si="102"/>
        <v/>
      </c>
      <c r="LF21" s="4" t="str">
        <f t="shared" si="103"/>
        <v/>
      </c>
      <c r="LG21" s="4" t="str">
        <f t="shared" si="104"/>
        <v/>
      </c>
      <c r="LH21" s="4" t="str">
        <f t="shared" si="105"/>
        <v/>
      </c>
      <c r="LI21" s="4" t="str">
        <f t="shared" si="106"/>
        <v/>
      </c>
      <c r="LJ21" s="4" t="str">
        <f t="shared" si="107"/>
        <v/>
      </c>
      <c r="LK21" s="4" t="str">
        <f t="shared" si="108"/>
        <v/>
      </c>
      <c r="LL21" s="4" t="str">
        <f t="shared" si="109"/>
        <v/>
      </c>
      <c r="LM21" s="4" t="str">
        <f t="shared" si="110"/>
        <v/>
      </c>
      <c r="LN21" s="4" t="str">
        <f t="shared" si="111"/>
        <v/>
      </c>
      <c r="LO21" s="4" t="str">
        <f t="shared" si="112"/>
        <v/>
      </c>
      <c r="LP21" s="4" t="str">
        <f t="shared" si="113"/>
        <v/>
      </c>
      <c r="LQ21" s="4" t="str">
        <f t="shared" si="114"/>
        <v/>
      </c>
      <c r="LR21" s="4" t="str">
        <f t="shared" si="115"/>
        <v/>
      </c>
      <c r="LS21" s="4" t="str">
        <f t="shared" si="116"/>
        <v/>
      </c>
      <c r="LT21" s="4" t="str">
        <f t="shared" si="117"/>
        <v/>
      </c>
      <c r="LU21" s="4" t="str">
        <f t="shared" si="118"/>
        <v/>
      </c>
      <c r="LV21" s="4" t="str">
        <f t="shared" si="119"/>
        <v/>
      </c>
      <c r="LW21" s="4" t="str">
        <f t="shared" si="120"/>
        <v/>
      </c>
      <c r="LX21" s="4" t="str">
        <f t="shared" si="121"/>
        <v/>
      </c>
      <c r="LY21" s="4" t="str">
        <f t="shared" si="122"/>
        <v/>
      </c>
      <c r="LZ21" s="4" t="str">
        <f t="shared" si="123"/>
        <v/>
      </c>
      <c r="MA21" s="4" t="str">
        <f t="shared" si="124"/>
        <v/>
      </c>
      <c r="MB21" s="4" t="str">
        <f t="shared" si="125"/>
        <v/>
      </c>
      <c r="MC21" s="4" t="str">
        <f t="shared" si="126"/>
        <v/>
      </c>
      <c r="MD21" s="4" t="str">
        <f t="shared" si="127"/>
        <v/>
      </c>
      <c r="ME21" s="4" t="str">
        <f t="shared" si="128"/>
        <v/>
      </c>
      <c r="MF21" s="4" t="str">
        <f t="shared" si="129"/>
        <v/>
      </c>
      <c r="MG21" s="4">
        <f t="shared" si="130"/>
        <v>0</v>
      </c>
    </row>
    <row r="22" spans="1:345" ht="26.25" customHeight="1" thickBot="1" x14ac:dyDescent="0.25">
      <c r="A22" s="35">
        <v>41255</v>
      </c>
      <c r="B22" s="36" t="s">
        <v>187</v>
      </c>
      <c r="C22" s="36" t="s">
        <v>20</v>
      </c>
      <c r="D22" s="31" t="s">
        <v>110</v>
      </c>
      <c r="E22" s="4">
        <v>43</v>
      </c>
      <c r="F22" s="3">
        <v>25243</v>
      </c>
      <c r="G22" s="4" t="s">
        <v>87</v>
      </c>
      <c r="H22" s="4" t="s">
        <v>108</v>
      </c>
      <c r="I22" s="4">
        <v>1833803</v>
      </c>
      <c r="J22" s="2" t="s">
        <v>309</v>
      </c>
      <c r="K22" s="230"/>
      <c r="L22" s="231"/>
      <c r="M22" s="231"/>
      <c r="N22" s="98" t="s">
        <v>612</v>
      </c>
      <c r="O22" s="261"/>
      <c r="P22" s="231"/>
      <c r="R22" s="4">
        <v>-0.5</v>
      </c>
      <c r="S22" s="4">
        <v>-0.65</v>
      </c>
      <c r="T22" s="4" t="s">
        <v>249</v>
      </c>
      <c r="U22" s="67">
        <v>24</v>
      </c>
      <c r="V22" s="124">
        <v>41253</v>
      </c>
      <c r="W22" s="67">
        <v>0</v>
      </c>
      <c r="X22" s="67">
        <v>0</v>
      </c>
      <c r="Z22" s="4">
        <v>40</v>
      </c>
      <c r="AA22" s="4">
        <v>13</v>
      </c>
      <c r="AB22" s="4">
        <v>659</v>
      </c>
      <c r="AC22" s="4">
        <v>22.07</v>
      </c>
      <c r="AD22" s="4">
        <v>12</v>
      </c>
      <c r="AE22" s="4">
        <v>4.62</v>
      </c>
      <c r="AF22" s="4">
        <v>2.56</v>
      </c>
      <c r="AG22" s="4">
        <v>44.82</v>
      </c>
      <c r="AH22" s="4">
        <v>6</v>
      </c>
      <c r="AI22" s="4">
        <v>45.49</v>
      </c>
      <c r="AJ22" s="4">
        <v>96</v>
      </c>
      <c r="AK22" s="4">
        <v>0</v>
      </c>
      <c r="AL22" s="4" t="b">
        <f t="shared" si="0"/>
        <v>0</v>
      </c>
      <c r="AN22" s="32">
        <v>41415</v>
      </c>
      <c r="AO22" s="60"/>
      <c r="AP22" s="67">
        <v>0.25</v>
      </c>
      <c r="AQ22" s="67">
        <v>1.25</v>
      </c>
      <c r="AR22" s="4">
        <v>153</v>
      </c>
      <c r="AS22" s="4">
        <v>20</v>
      </c>
      <c r="AT22" s="4">
        <v>13</v>
      </c>
      <c r="AU22" s="4">
        <v>582</v>
      </c>
      <c r="AV22" s="4">
        <v>1377</v>
      </c>
      <c r="BC22" s="4">
        <f t="shared" si="1"/>
        <v>0.875</v>
      </c>
      <c r="BD22" s="4">
        <f t="shared" si="2"/>
        <v>1.5249999999999999</v>
      </c>
      <c r="BE22" s="4">
        <f t="shared" si="3"/>
        <v>-77</v>
      </c>
      <c r="BF22" s="51" t="s">
        <v>501</v>
      </c>
      <c r="BG22" s="59" t="s">
        <v>282</v>
      </c>
      <c r="BU22" s="4" t="str">
        <f t="shared" si="131"/>
        <v/>
      </c>
      <c r="BV22" s="4" t="str">
        <f t="shared" si="4"/>
        <v/>
      </c>
      <c r="BW22" s="4" t="str">
        <f t="shared" si="5"/>
        <v/>
      </c>
      <c r="BX22" s="4">
        <f t="shared" si="6"/>
        <v>1</v>
      </c>
      <c r="BY22" s="4">
        <f t="shared" si="7"/>
        <v>0</v>
      </c>
      <c r="BZ22" s="4" t="str">
        <f t="shared" si="8"/>
        <v/>
      </c>
      <c r="CA22" s="4" t="str">
        <f t="shared" si="9"/>
        <v/>
      </c>
      <c r="CB22" s="4" t="str">
        <f t="shared" si="10"/>
        <v/>
      </c>
      <c r="CC22" s="53">
        <f t="shared" si="11"/>
        <v>160</v>
      </c>
      <c r="CD22" s="55">
        <f t="shared" si="12"/>
        <v>5.333333333333333</v>
      </c>
      <c r="CE22" s="4" t="str">
        <f t="shared" si="13"/>
        <v/>
      </c>
      <c r="CF22" s="4" t="str">
        <f t="shared" si="14"/>
        <v/>
      </c>
      <c r="CG22" s="4" t="str">
        <f t="shared" si="15"/>
        <v/>
      </c>
      <c r="CH22" s="4" t="str">
        <f t="shared" si="16"/>
        <v/>
      </c>
      <c r="CI22" s="4">
        <f t="shared" si="17"/>
        <v>0</v>
      </c>
      <c r="CJ22" s="4">
        <f t="shared" si="18"/>
        <v>0.875</v>
      </c>
      <c r="CK22" s="93">
        <f t="shared" si="19"/>
        <v>1.5249999999999999</v>
      </c>
      <c r="CL22" s="83">
        <f t="shared" si="20"/>
        <v>-77</v>
      </c>
      <c r="CM22" s="4" t="str">
        <f t="shared" si="21"/>
        <v/>
      </c>
      <c r="CN22" s="96">
        <f t="shared" si="22"/>
        <v>-0.65</v>
      </c>
      <c r="CO22" s="96">
        <f t="shared" si="132"/>
        <v>0.3010299956639812</v>
      </c>
      <c r="CP22" s="127">
        <f t="shared" si="23"/>
        <v>1.25</v>
      </c>
      <c r="CQ22" s="127">
        <f t="shared" si="24"/>
        <v>1.25</v>
      </c>
      <c r="CR22" s="136">
        <f t="shared" si="25"/>
        <v>20</v>
      </c>
      <c r="CS22" s="136">
        <f t="shared" si="26"/>
        <v>40</v>
      </c>
      <c r="CT22" s="135" t="str">
        <f t="shared" si="27"/>
        <v/>
      </c>
      <c r="CU22" s="139">
        <f t="shared" si="28"/>
        <v>1</v>
      </c>
      <c r="CV22" s="96" t="str">
        <f t="shared" si="29"/>
        <v/>
      </c>
      <c r="CW22" s="141" t="b">
        <f t="shared" si="30"/>
        <v>1</v>
      </c>
      <c r="CX22">
        <v>7.62</v>
      </c>
      <c r="CY22" s="4">
        <v>7.75</v>
      </c>
      <c r="CZ22" s="4">
        <v>61</v>
      </c>
      <c r="DA22" s="4">
        <v>0.8</v>
      </c>
      <c r="DB22" s="4">
        <v>0.28000000000000003</v>
      </c>
      <c r="DC22" s="4">
        <v>0.59</v>
      </c>
      <c r="DD22" s="4">
        <v>2.1800000000000002</v>
      </c>
      <c r="DE22" s="4">
        <v>2.92</v>
      </c>
      <c r="DF22" s="4">
        <v>737</v>
      </c>
      <c r="DG22" s="4">
        <v>746</v>
      </c>
      <c r="DH22" s="4">
        <v>785</v>
      </c>
      <c r="DI22" s="4">
        <v>740</v>
      </c>
      <c r="DJ22" s="4">
        <v>717</v>
      </c>
      <c r="DK22" s="4">
        <v>739</v>
      </c>
      <c r="DL22" s="4">
        <v>693</v>
      </c>
      <c r="DM22" s="4">
        <v>-1.69</v>
      </c>
      <c r="DN22" s="4">
        <v>0.15</v>
      </c>
      <c r="DO22" s="4">
        <v>7.69</v>
      </c>
      <c r="DP22" s="4">
        <v>7.63</v>
      </c>
      <c r="DQ22" s="4">
        <v>7.71</v>
      </c>
      <c r="DR22" s="4">
        <v>7.93</v>
      </c>
      <c r="DS22" s="4">
        <v>8.2100000000000009</v>
      </c>
      <c r="DT22" s="4">
        <v>8.51</v>
      </c>
      <c r="DU22" s="4">
        <v>8.65</v>
      </c>
      <c r="DV22" s="4">
        <v>0.5</v>
      </c>
      <c r="DW22" s="4">
        <v>7.51</v>
      </c>
      <c r="DX22" s="4">
        <v>6.86</v>
      </c>
      <c r="DY22" s="4">
        <v>6.52</v>
      </c>
      <c r="DZ22" s="4">
        <v>6.71</v>
      </c>
      <c r="EA22" s="4">
        <v>7.01</v>
      </c>
      <c r="EB22" s="4">
        <v>0</v>
      </c>
      <c r="EC22" s="4">
        <v>0</v>
      </c>
      <c r="ED22" s="89">
        <v>0.5</v>
      </c>
      <c r="EE22" s="110">
        <v>43.5</v>
      </c>
      <c r="EF22" s="110">
        <v>44.3</v>
      </c>
      <c r="EG22" s="110">
        <v>43.9</v>
      </c>
      <c r="EH22" s="110">
        <v>61</v>
      </c>
      <c r="EI22" s="110">
        <v>0.8</v>
      </c>
      <c r="EJ22" s="110">
        <v>-5.3</v>
      </c>
      <c r="EK22" s="110">
        <v>-5.8</v>
      </c>
      <c r="EL22" s="110">
        <v>-5.5</v>
      </c>
      <c r="EM22" s="110">
        <v>40.200000000000003</v>
      </c>
      <c r="EN22" s="110">
        <v>0.5</v>
      </c>
      <c r="EO22" s="110">
        <v>5.2</v>
      </c>
      <c r="EP22" s="110">
        <v>14.7</v>
      </c>
      <c r="EQ22" s="110">
        <v>30.7</v>
      </c>
      <c r="ER22" s="110">
        <v>72</v>
      </c>
      <c r="ES22" s="114">
        <v>25</v>
      </c>
      <c r="IL22" s="83" t="str">
        <f t="shared" si="31"/>
        <v/>
      </c>
      <c r="IM22" s="4" t="str">
        <f t="shared" si="32"/>
        <v/>
      </c>
      <c r="IN22" s="4" t="str">
        <f t="shared" si="33"/>
        <v/>
      </c>
      <c r="IO22" s="4" t="str">
        <f t="shared" si="34"/>
        <v/>
      </c>
      <c r="IP22" s="4" t="str">
        <f t="shared" si="35"/>
        <v/>
      </c>
      <c r="IQ22" s="4" t="str">
        <f t="shared" si="36"/>
        <v/>
      </c>
      <c r="IR22" s="4" t="str">
        <f t="shared" si="37"/>
        <v/>
      </c>
      <c r="IS22" s="4" t="str">
        <f t="shared" si="38"/>
        <v/>
      </c>
      <c r="IT22" s="4" t="str">
        <f t="shared" si="39"/>
        <v/>
      </c>
      <c r="IU22" s="4" t="str">
        <f t="shared" si="40"/>
        <v/>
      </c>
      <c r="IV22" s="4" t="str">
        <f t="shared" si="41"/>
        <v/>
      </c>
      <c r="IW22" s="4" t="str">
        <f t="shared" si="42"/>
        <v/>
      </c>
      <c r="IX22" s="4" t="str">
        <f t="shared" si="43"/>
        <v/>
      </c>
      <c r="IY22" s="4" t="str">
        <f t="shared" si="44"/>
        <v/>
      </c>
      <c r="IZ22" s="4" t="str">
        <f t="shared" si="45"/>
        <v/>
      </c>
      <c r="JA22" s="4" t="str">
        <f t="shared" si="46"/>
        <v/>
      </c>
      <c r="JB22" s="4" t="str">
        <f t="shared" si="47"/>
        <v/>
      </c>
      <c r="JC22" s="4" t="str">
        <f t="shared" si="48"/>
        <v/>
      </c>
      <c r="JD22" s="4" t="str">
        <f t="shared" si="49"/>
        <v/>
      </c>
      <c r="JE22" s="4" t="str">
        <f t="shared" si="50"/>
        <v/>
      </c>
      <c r="JF22" s="4" t="str">
        <f t="shared" si="51"/>
        <v/>
      </c>
      <c r="JG22" s="4" t="str">
        <f t="shared" si="52"/>
        <v/>
      </c>
      <c r="JH22" s="4" t="str">
        <f t="shared" si="53"/>
        <v/>
      </c>
      <c r="JI22" s="4" t="str">
        <f t="shared" si="54"/>
        <v/>
      </c>
      <c r="JJ22" s="4" t="str">
        <f t="shared" si="55"/>
        <v/>
      </c>
      <c r="JK22" s="4" t="str">
        <f t="shared" si="56"/>
        <v/>
      </c>
      <c r="JL22" s="4" t="str">
        <f t="shared" si="57"/>
        <v/>
      </c>
      <c r="JM22" s="4" t="str">
        <f t="shared" si="58"/>
        <v/>
      </c>
      <c r="JN22" s="4" t="str">
        <f t="shared" si="59"/>
        <v/>
      </c>
      <c r="JO22" s="4" t="str">
        <f t="shared" si="60"/>
        <v/>
      </c>
      <c r="JP22" s="4" t="str">
        <f t="shared" si="61"/>
        <v/>
      </c>
      <c r="JQ22" s="117" t="str">
        <f t="shared" si="62"/>
        <v/>
      </c>
      <c r="JR22" s="110" t="str">
        <f t="shared" si="63"/>
        <v/>
      </c>
      <c r="JS22" s="110" t="str">
        <f t="shared" si="64"/>
        <v/>
      </c>
      <c r="JT22" s="110" t="str">
        <f t="shared" si="65"/>
        <v/>
      </c>
      <c r="JU22" s="110" t="str">
        <f t="shared" si="66"/>
        <v/>
      </c>
      <c r="JV22" s="110" t="str">
        <f t="shared" si="67"/>
        <v/>
      </c>
      <c r="JW22" s="110" t="str">
        <f t="shared" si="68"/>
        <v/>
      </c>
      <c r="JX22" s="110" t="str">
        <f t="shared" si="69"/>
        <v/>
      </c>
      <c r="JY22" s="110" t="str">
        <f t="shared" si="70"/>
        <v/>
      </c>
      <c r="JZ22" s="110" t="str">
        <f t="shared" si="71"/>
        <v/>
      </c>
      <c r="KA22" s="110" t="str">
        <f t="shared" si="72"/>
        <v/>
      </c>
      <c r="KB22" s="110" t="str">
        <f t="shared" si="73"/>
        <v/>
      </c>
      <c r="KC22" s="110" t="str">
        <f t="shared" si="74"/>
        <v/>
      </c>
      <c r="KD22" s="110" t="str">
        <f t="shared" si="75"/>
        <v/>
      </c>
      <c r="KE22" s="110" t="str">
        <f t="shared" si="76"/>
        <v/>
      </c>
      <c r="KF22" s="110" t="str">
        <f t="shared" si="77"/>
        <v/>
      </c>
      <c r="KG22" s="121" t="str">
        <f t="shared" si="78"/>
        <v/>
      </c>
      <c r="KH22" s="83" t="str">
        <f t="shared" si="79"/>
        <v/>
      </c>
      <c r="KI22" s="4" t="str">
        <f t="shared" si="80"/>
        <v/>
      </c>
      <c r="KJ22" s="4" t="str">
        <f t="shared" si="81"/>
        <v/>
      </c>
      <c r="KK22" s="4" t="str">
        <f t="shared" si="82"/>
        <v/>
      </c>
      <c r="KL22" s="4" t="str">
        <f t="shared" si="83"/>
        <v/>
      </c>
      <c r="KM22" s="4" t="str">
        <f t="shared" si="84"/>
        <v/>
      </c>
      <c r="KN22" s="4" t="str">
        <f t="shared" si="85"/>
        <v/>
      </c>
      <c r="KO22" s="4" t="str">
        <f t="shared" si="86"/>
        <v/>
      </c>
      <c r="KP22" s="4" t="str">
        <f t="shared" si="87"/>
        <v/>
      </c>
      <c r="KQ22" s="4" t="str">
        <f t="shared" si="88"/>
        <v/>
      </c>
      <c r="KR22" s="4" t="str">
        <f t="shared" si="89"/>
        <v/>
      </c>
      <c r="KS22" s="4" t="str">
        <f t="shared" si="90"/>
        <v/>
      </c>
      <c r="KT22" s="4" t="str">
        <f t="shared" si="91"/>
        <v/>
      </c>
      <c r="KU22" s="4" t="str">
        <f t="shared" si="92"/>
        <v/>
      </c>
      <c r="KV22" s="4" t="str">
        <f t="shared" si="93"/>
        <v/>
      </c>
      <c r="KW22" s="4" t="str">
        <f t="shared" si="94"/>
        <v/>
      </c>
      <c r="KX22" s="4" t="str">
        <f t="shared" si="95"/>
        <v/>
      </c>
      <c r="KY22" s="4" t="str">
        <f t="shared" si="96"/>
        <v/>
      </c>
      <c r="KZ22" s="4" t="str">
        <f t="shared" si="97"/>
        <v/>
      </c>
      <c r="LA22" s="4" t="str">
        <f t="shared" si="98"/>
        <v/>
      </c>
      <c r="LB22" s="4" t="str">
        <f t="shared" si="99"/>
        <v/>
      </c>
      <c r="LC22" s="4" t="str">
        <f t="shared" si="100"/>
        <v/>
      </c>
      <c r="LD22" s="4" t="str">
        <f t="shared" si="101"/>
        <v/>
      </c>
      <c r="LE22" s="4" t="str">
        <f t="shared" si="102"/>
        <v/>
      </c>
      <c r="LF22" s="4" t="str">
        <f t="shared" si="103"/>
        <v/>
      </c>
      <c r="LG22" s="4" t="str">
        <f t="shared" si="104"/>
        <v/>
      </c>
      <c r="LH22" s="4" t="str">
        <f t="shared" si="105"/>
        <v/>
      </c>
      <c r="LI22" s="4" t="str">
        <f t="shared" si="106"/>
        <v/>
      </c>
      <c r="LJ22" s="4" t="str">
        <f t="shared" si="107"/>
        <v/>
      </c>
      <c r="LK22" s="4" t="str">
        <f t="shared" si="108"/>
        <v/>
      </c>
      <c r="LL22" s="4" t="str">
        <f t="shared" si="109"/>
        <v/>
      </c>
      <c r="LM22" s="4" t="str">
        <f t="shared" si="110"/>
        <v/>
      </c>
      <c r="LN22" s="4" t="str">
        <f t="shared" si="111"/>
        <v/>
      </c>
      <c r="LO22" s="4" t="str">
        <f t="shared" si="112"/>
        <v/>
      </c>
      <c r="LP22" s="4" t="str">
        <f t="shared" si="113"/>
        <v/>
      </c>
      <c r="LQ22" s="4" t="str">
        <f t="shared" si="114"/>
        <v/>
      </c>
      <c r="LR22" s="4" t="str">
        <f t="shared" si="115"/>
        <v/>
      </c>
      <c r="LS22" s="4" t="str">
        <f t="shared" si="116"/>
        <v/>
      </c>
      <c r="LT22" s="4" t="str">
        <f t="shared" si="117"/>
        <v/>
      </c>
      <c r="LU22" s="4" t="str">
        <f t="shared" si="118"/>
        <v/>
      </c>
      <c r="LV22" s="4" t="str">
        <f t="shared" si="119"/>
        <v/>
      </c>
      <c r="LW22" s="4" t="str">
        <f t="shared" si="120"/>
        <v/>
      </c>
      <c r="LX22" s="4" t="str">
        <f t="shared" si="121"/>
        <v/>
      </c>
      <c r="LY22" s="4" t="str">
        <f t="shared" si="122"/>
        <v/>
      </c>
      <c r="LZ22" s="4" t="str">
        <f t="shared" si="123"/>
        <v/>
      </c>
      <c r="MA22" s="4" t="str">
        <f t="shared" si="124"/>
        <v/>
      </c>
      <c r="MB22" s="4" t="str">
        <f t="shared" si="125"/>
        <v/>
      </c>
      <c r="MC22" s="4" t="str">
        <f t="shared" si="126"/>
        <v/>
      </c>
      <c r="MD22" s="4" t="str">
        <f t="shared" si="127"/>
        <v/>
      </c>
      <c r="ME22" s="4" t="str">
        <f t="shared" si="128"/>
        <v/>
      </c>
      <c r="MF22" s="4" t="str">
        <f t="shared" si="129"/>
        <v/>
      </c>
      <c r="MG22" s="4">
        <f t="shared" si="130"/>
        <v>0</v>
      </c>
    </row>
    <row r="23" spans="1:345" ht="26.25" customHeight="1" thickBot="1" x14ac:dyDescent="0.25">
      <c r="A23" s="35">
        <v>41332</v>
      </c>
      <c r="B23" s="36" t="s">
        <v>170</v>
      </c>
      <c r="C23" s="36" t="s">
        <v>66</v>
      </c>
      <c r="D23" s="31" t="s">
        <v>111</v>
      </c>
      <c r="E23" s="4">
        <v>60</v>
      </c>
      <c r="F23" s="3">
        <v>19086</v>
      </c>
      <c r="G23" s="4" t="s">
        <v>87</v>
      </c>
      <c r="H23" s="4" t="s">
        <v>108</v>
      </c>
      <c r="I23" s="4">
        <v>1834076</v>
      </c>
      <c r="J23" s="2" t="s">
        <v>309</v>
      </c>
      <c r="L23" s="51">
        <v>1</v>
      </c>
      <c r="N23" s="98" t="s">
        <v>634</v>
      </c>
      <c r="R23" s="4">
        <v>-2.5</v>
      </c>
      <c r="S23" s="4">
        <v>-2.5099999999999998</v>
      </c>
      <c r="T23" s="4" t="s">
        <v>306</v>
      </c>
      <c r="U23" s="67">
        <v>19</v>
      </c>
      <c r="V23" s="124">
        <v>41249</v>
      </c>
      <c r="W23" s="67">
        <v>-2.5</v>
      </c>
      <c r="X23" s="67">
        <v>1.75</v>
      </c>
      <c r="Y23" s="4">
        <v>60</v>
      </c>
      <c r="Z23" s="4">
        <v>25</v>
      </c>
      <c r="AA23" s="4">
        <v>8</v>
      </c>
      <c r="AB23" s="4">
        <v>528</v>
      </c>
      <c r="AC23" s="4">
        <v>23.65</v>
      </c>
      <c r="AD23" s="4">
        <v>12.2</v>
      </c>
      <c r="AE23" s="4">
        <v>4.97</v>
      </c>
      <c r="AF23" s="4">
        <v>3.33</v>
      </c>
      <c r="AG23" s="4">
        <v>44.76</v>
      </c>
      <c r="AH23" s="4">
        <v>158</v>
      </c>
      <c r="AI23" s="4">
        <v>47.27</v>
      </c>
      <c r="AJ23" s="4">
        <v>68</v>
      </c>
      <c r="AK23" s="4">
        <v>1</v>
      </c>
      <c r="AL23" s="4" t="b">
        <f t="shared" si="0"/>
        <v>1</v>
      </c>
      <c r="AN23" s="32">
        <v>41514</v>
      </c>
      <c r="AO23" s="60"/>
      <c r="AP23" s="67">
        <v>0</v>
      </c>
      <c r="AQ23" s="67">
        <v>0.25</v>
      </c>
      <c r="AR23" s="4">
        <v>142</v>
      </c>
      <c r="AS23" s="4">
        <v>20</v>
      </c>
      <c r="AT23" s="4">
        <v>11</v>
      </c>
      <c r="AU23" s="4">
        <v>482</v>
      </c>
      <c r="AV23" s="4">
        <v>2165</v>
      </c>
      <c r="BC23" s="4">
        <f t="shared" si="1"/>
        <v>0.125</v>
      </c>
      <c r="BD23" s="4">
        <f t="shared" si="2"/>
        <v>2.6349999999999998</v>
      </c>
      <c r="BE23" s="4">
        <f t="shared" si="3"/>
        <v>-46</v>
      </c>
      <c r="BF23" s="3">
        <v>41654</v>
      </c>
      <c r="BG23" s="56">
        <v>20</v>
      </c>
      <c r="BH23" s="67">
        <v>0</v>
      </c>
      <c r="BI23" s="67">
        <v>0.25</v>
      </c>
      <c r="BJ23" s="4">
        <v>62</v>
      </c>
      <c r="BK23" s="4">
        <v>15</v>
      </c>
      <c r="BL23" s="4">
        <v>11</v>
      </c>
      <c r="BM23" s="4">
        <v>483</v>
      </c>
      <c r="BN23" s="4">
        <v>2525</v>
      </c>
      <c r="BO23" s="4">
        <v>23.68</v>
      </c>
      <c r="BP23" s="4">
        <v>2.92</v>
      </c>
      <c r="BQ23" s="4">
        <v>44.23</v>
      </c>
      <c r="BR23" s="4">
        <v>162</v>
      </c>
      <c r="BS23" s="4">
        <v>46.11</v>
      </c>
      <c r="BT23" s="4">
        <v>72</v>
      </c>
      <c r="BU23" s="4">
        <f t="shared" si="131"/>
        <v>0.125</v>
      </c>
      <c r="BV23" s="4">
        <f t="shared" si="4"/>
        <v>2.6349999999999998</v>
      </c>
      <c r="BW23" s="4">
        <f t="shared" si="5"/>
        <v>-45</v>
      </c>
      <c r="BX23" s="4">
        <f t="shared" si="6"/>
        <v>1</v>
      </c>
      <c r="BY23" s="4">
        <f t="shared" si="7"/>
        <v>1</v>
      </c>
      <c r="BZ23" s="4">
        <f t="shared" si="8"/>
        <v>-1.625</v>
      </c>
      <c r="CA23" s="4">
        <f t="shared" si="9"/>
        <v>0.125</v>
      </c>
      <c r="CB23" s="4">
        <f t="shared" si="10"/>
        <v>0.125</v>
      </c>
      <c r="CC23" s="53">
        <f t="shared" si="11"/>
        <v>322</v>
      </c>
      <c r="CD23" s="55">
        <f t="shared" si="12"/>
        <v>10.733333333333333</v>
      </c>
      <c r="CE23" s="4">
        <f t="shared" si="13"/>
        <v>0</v>
      </c>
      <c r="CF23" s="4" t="str">
        <f t="shared" si="14"/>
        <v/>
      </c>
      <c r="CG23" s="4">
        <f t="shared" si="15"/>
        <v>-0.84499999999999886</v>
      </c>
      <c r="CH23" s="4">
        <f t="shared" si="16"/>
        <v>-0.84499999999999886</v>
      </c>
      <c r="CI23" s="4">
        <f t="shared" si="17"/>
        <v>-1.625</v>
      </c>
      <c r="CJ23" s="4">
        <f t="shared" si="18"/>
        <v>0.125</v>
      </c>
      <c r="CK23" s="93">
        <f t="shared" si="19"/>
        <v>2.6349999999999998</v>
      </c>
      <c r="CL23" s="83">
        <f t="shared" si="20"/>
        <v>-45</v>
      </c>
      <c r="CM23" s="4">
        <f t="shared" si="21"/>
        <v>3.0000000000001137E-2</v>
      </c>
      <c r="CN23" s="96">
        <f t="shared" si="22"/>
        <v>-2.5099999999999998</v>
      </c>
      <c r="CO23" s="96">
        <f t="shared" si="132"/>
        <v>0.22184874961635631</v>
      </c>
      <c r="CP23" s="127">
        <f t="shared" si="23"/>
        <v>0.25</v>
      </c>
      <c r="CQ23" s="127">
        <f t="shared" si="24"/>
        <v>-1.5</v>
      </c>
      <c r="CR23" s="136">
        <f t="shared" si="25"/>
        <v>15</v>
      </c>
      <c r="CS23" s="136">
        <f t="shared" si="26"/>
        <v>25</v>
      </c>
      <c r="CT23" s="135" t="str">
        <f t="shared" si="27"/>
        <v/>
      </c>
      <c r="CU23" s="139">
        <f t="shared" si="28"/>
        <v>1</v>
      </c>
      <c r="CV23" s="96">
        <f t="shared" si="29"/>
        <v>1</v>
      </c>
      <c r="CW23" s="141" t="b">
        <f t="shared" si="30"/>
        <v>0</v>
      </c>
      <c r="CX23">
        <v>7.73</v>
      </c>
      <c r="CY23" s="4">
        <v>7.4</v>
      </c>
      <c r="CZ23" s="4">
        <v>165.6</v>
      </c>
      <c r="DA23" s="4">
        <v>-2</v>
      </c>
      <c r="DB23" s="4">
        <v>-0.16</v>
      </c>
      <c r="DC23" s="4">
        <v>0.65</v>
      </c>
      <c r="DD23" s="4">
        <v>2.6</v>
      </c>
      <c r="DE23" s="4">
        <v>3.13</v>
      </c>
      <c r="DF23" s="4">
        <v>522</v>
      </c>
      <c r="DG23" s="4">
        <v>523</v>
      </c>
      <c r="DH23" s="4">
        <v>616</v>
      </c>
      <c r="DI23" s="4">
        <v>553</v>
      </c>
      <c r="DJ23" s="4">
        <v>576</v>
      </c>
      <c r="DK23" s="4">
        <v>556</v>
      </c>
      <c r="DL23" s="4">
        <v>517</v>
      </c>
      <c r="DM23" s="4">
        <v>-2.4300000000000002</v>
      </c>
      <c r="DN23" s="4">
        <v>1.94</v>
      </c>
      <c r="DO23" s="4">
        <v>7.62</v>
      </c>
      <c r="DP23" s="4">
        <v>7.43</v>
      </c>
      <c r="DQ23" s="4">
        <v>7.4</v>
      </c>
      <c r="DR23" s="4">
        <v>7.72</v>
      </c>
      <c r="DS23" s="4">
        <v>8.3699999999999992</v>
      </c>
      <c r="DT23" s="4">
        <v>8.7899999999999991</v>
      </c>
      <c r="DU23" s="4">
        <v>0</v>
      </c>
      <c r="DV23" s="4">
        <v>1.1000000000000001</v>
      </c>
      <c r="DW23" s="4">
        <v>6.51</v>
      </c>
      <c r="DX23" s="4">
        <v>6.4</v>
      </c>
      <c r="DY23" s="4">
        <v>6.39</v>
      </c>
      <c r="DZ23" s="4">
        <v>6.59</v>
      </c>
      <c r="EA23" s="4">
        <v>6.94</v>
      </c>
      <c r="EB23" s="4">
        <v>7.36</v>
      </c>
      <c r="EC23" s="4">
        <v>0</v>
      </c>
      <c r="ED23" s="89">
        <v>1.1000000000000001</v>
      </c>
      <c r="EE23" s="110">
        <v>43.7</v>
      </c>
      <c r="EF23" s="110">
        <v>45.6</v>
      </c>
      <c r="EG23" s="110">
        <v>44.6</v>
      </c>
      <c r="EH23" s="110">
        <v>165.6</v>
      </c>
      <c r="EI23" s="110">
        <v>2</v>
      </c>
      <c r="EJ23" s="110">
        <v>-6</v>
      </c>
      <c r="EK23" s="110">
        <v>-6.4</v>
      </c>
      <c r="EL23" s="110">
        <v>-6.2</v>
      </c>
      <c r="EM23" s="110">
        <v>176.2</v>
      </c>
      <c r="EN23" s="110">
        <v>0.4</v>
      </c>
      <c r="EO23" s="110">
        <v>3.8</v>
      </c>
      <c r="EP23" s="110">
        <v>10.9</v>
      </c>
      <c r="EQ23" s="110">
        <v>23.1</v>
      </c>
      <c r="ER23" s="110">
        <v>55.8</v>
      </c>
      <c r="ES23" s="114">
        <v>23</v>
      </c>
      <c r="IL23" s="83" t="str">
        <f t="shared" si="31"/>
        <v/>
      </c>
      <c r="IM23" s="4" t="str">
        <f t="shared" si="32"/>
        <v/>
      </c>
      <c r="IN23" s="4" t="str">
        <f t="shared" si="33"/>
        <v/>
      </c>
      <c r="IO23" s="4" t="str">
        <f t="shared" si="34"/>
        <v/>
      </c>
      <c r="IP23" s="4" t="str">
        <f t="shared" si="35"/>
        <v/>
      </c>
      <c r="IQ23" s="4" t="str">
        <f t="shared" si="36"/>
        <v/>
      </c>
      <c r="IR23" s="4" t="str">
        <f t="shared" si="37"/>
        <v/>
      </c>
      <c r="IS23" s="4" t="str">
        <f t="shared" si="38"/>
        <v/>
      </c>
      <c r="IT23" s="4" t="str">
        <f t="shared" si="39"/>
        <v/>
      </c>
      <c r="IU23" s="4" t="str">
        <f t="shared" si="40"/>
        <v/>
      </c>
      <c r="IV23" s="4" t="str">
        <f t="shared" si="41"/>
        <v/>
      </c>
      <c r="IW23" s="4" t="str">
        <f t="shared" si="42"/>
        <v/>
      </c>
      <c r="IX23" s="4" t="str">
        <f t="shared" si="43"/>
        <v/>
      </c>
      <c r="IY23" s="4" t="str">
        <f t="shared" si="44"/>
        <v/>
      </c>
      <c r="IZ23" s="4" t="str">
        <f t="shared" si="45"/>
        <v/>
      </c>
      <c r="JA23" s="4" t="str">
        <f t="shared" si="46"/>
        <v/>
      </c>
      <c r="JB23" s="4" t="str">
        <f t="shared" si="47"/>
        <v/>
      </c>
      <c r="JC23" s="4" t="str">
        <f t="shared" si="48"/>
        <v/>
      </c>
      <c r="JD23" s="4" t="str">
        <f t="shared" si="49"/>
        <v/>
      </c>
      <c r="JE23" s="4" t="str">
        <f t="shared" si="50"/>
        <v/>
      </c>
      <c r="JF23" s="4" t="str">
        <f t="shared" si="51"/>
        <v/>
      </c>
      <c r="JG23" s="4" t="str">
        <f t="shared" si="52"/>
        <v/>
      </c>
      <c r="JH23" s="4" t="str">
        <f t="shared" si="53"/>
        <v/>
      </c>
      <c r="JI23" s="4" t="str">
        <f t="shared" si="54"/>
        <v/>
      </c>
      <c r="JJ23" s="4" t="str">
        <f t="shared" si="55"/>
        <v/>
      </c>
      <c r="JK23" s="4" t="str">
        <f t="shared" si="56"/>
        <v/>
      </c>
      <c r="JL23" s="4" t="str">
        <f t="shared" si="57"/>
        <v/>
      </c>
      <c r="JM23" s="4" t="str">
        <f t="shared" si="58"/>
        <v/>
      </c>
      <c r="JN23" s="4" t="str">
        <f t="shared" si="59"/>
        <v/>
      </c>
      <c r="JO23" s="4" t="str">
        <f t="shared" si="60"/>
        <v/>
      </c>
      <c r="JP23" s="4" t="str">
        <f t="shared" si="61"/>
        <v/>
      </c>
      <c r="JQ23" s="117" t="str">
        <f t="shared" si="62"/>
        <v/>
      </c>
      <c r="JR23" s="110" t="str">
        <f t="shared" si="63"/>
        <v/>
      </c>
      <c r="JS23" s="110" t="str">
        <f t="shared" si="64"/>
        <v/>
      </c>
      <c r="JT23" s="110" t="str">
        <f t="shared" si="65"/>
        <v/>
      </c>
      <c r="JU23" s="110" t="str">
        <f t="shared" si="66"/>
        <v/>
      </c>
      <c r="JV23" s="110" t="str">
        <f t="shared" si="67"/>
        <v/>
      </c>
      <c r="JW23" s="110" t="str">
        <f t="shared" si="68"/>
        <v/>
      </c>
      <c r="JX23" s="110" t="str">
        <f t="shared" si="69"/>
        <v/>
      </c>
      <c r="JY23" s="110" t="str">
        <f t="shared" si="70"/>
        <v/>
      </c>
      <c r="JZ23" s="110" t="str">
        <f t="shared" si="71"/>
        <v/>
      </c>
      <c r="KA23" s="110" t="str">
        <f t="shared" si="72"/>
        <v/>
      </c>
      <c r="KB23" s="110" t="str">
        <f t="shared" si="73"/>
        <v/>
      </c>
      <c r="KC23" s="110" t="str">
        <f t="shared" si="74"/>
        <v/>
      </c>
      <c r="KD23" s="110" t="str">
        <f t="shared" si="75"/>
        <v/>
      </c>
      <c r="KE23" s="110" t="str">
        <f t="shared" si="76"/>
        <v/>
      </c>
      <c r="KF23" s="110" t="str">
        <f t="shared" si="77"/>
        <v/>
      </c>
      <c r="KG23" s="121" t="str">
        <f t="shared" si="78"/>
        <v/>
      </c>
      <c r="KH23" s="83" t="str">
        <f t="shared" si="79"/>
        <v/>
      </c>
      <c r="KI23" s="4" t="str">
        <f t="shared" si="80"/>
        <v/>
      </c>
      <c r="KJ23" s="4" t="str">
        <f t="shared" si="81"/>
        <v/>
      </c>
      <c r="KK23" s="4" t="str">
        <f t="shared" si="82"/>
        <v/>
      </c>
      <c r="KL23" s="4" t="str">
        <f t="shared" si="83"/>
        <v/>
      </c>
      <c r="KM23" s="4" t="str">
        <f t="shared" si="84"/>
        <v/>
      </c>
      <c r="KN23" s="4" t="str">
        <f t="shared" si="85"/>
        <v/>
      </c>
      <c r="KO23" s="4" t="str">
        <f t="shared" si="86"/>
        <v/>
      </c>
      <c r="KP23" s="4" t="str">
        <f t="shared" si="87"/>
        <v/>
      </c>
      <c r="KQ23" s="4" t="str">
        <f t="shared" si="88"/>
        <v/>
      </c>
      <c r="KR23" s="4" t="str">
        <f t="shared" si="89"/>
        <v/>
      </c>
      <c r="KS23" s="4" t="str">
        <f t="shared" si="90"/>
        <v/>
      </c>
      <c r="KT23" s="4" t="str">
        <f t="shared" si="91"/>
        <v/>
      </c>
      <c r="KU23" s="4" t="str">
        <f t="shared" si="92"/>
        <v/>
      </c>
      <c r="KV23" s="4" t="str">
        <f t="shared" si="93"/>
        <v/>
      </c>
      <c r="KW23" s="4" t="str">
        <f t="shared" si="94"/>
        <v/>
      </c>
      <c r="KX23" s="4" t="str">
        <f t="shared" si="95"/>
        <v/>
      </c>
      <c r="KY23" s="4" t="str">
        <f t="shared" si="96"/>
        <v/>
      </c>
      <c r="KZ23" s="4" t="str">
        <f t="shared" si="97"/>
        <v/>
      </c>
      <c r="LA23" s="4" t="str">
        <f t="shared" si="98"/>
        <v/>
      </c>
      <c r="LB23" s="4" t="str">
        <f t="shared" si="99"/>
        <v/>
      </c>
      <c r="LC23" s="4" t="str">
        <f t="shared" si="100"/>
        <v/>
      </c>
      <c r="LD23" s="4" t="str">
        <f t="shared" si="101"/>
        <v/>
      </c>
      <c r="LE23" s="4" t="str">
        <f t="shared" si="102"/>
        <v/>
      </c>
      <c r="LF23" s="4" t="str">
        <f t="shared" si="103"/>
        <v/>
      </c>
      <c r="LG23" s="4" t="str">
        <f t="shared" si="104"/>
        <v/>
      </c>
      <c r="LH23" s="4" t="str">
        <f t="shared" si="105"/>
        <v/>
      </c>
      <c r="LI23" s="4" t="str">
        <f t="shared" si="106"/>
        <v/>
      </c>
      <c r="LJ23" s="4" t="str">
        <f t="shared" si="107"/>
        <v/>
      </c>
      <c r="LK23" s="4" t="str">
        <f t="shared" si="108"/>
        <v/>
      </c>
      <c r="LL23" s="4" t="str">
        <f t="shared" si="109"/>
        <v/>
      </c>
      <c r="LM23" s="4" t="str">
        <f t="shared" si="110"/>
        <v/>
      </c>
      <c r="LN23" s="4" t="str">
        <f t="shared" si="111"/>
        <v/>
      </c>
      <c r="LO23" s="4" t="str">
        <f t="shared" si="112"/>
        <v/>
      </c>
      <c r="LP23" s="4" t="str">
        <f t="shared" si="113"/>
        <v/>
      </c>
      <c r="LQ23" s="4" t="str">
        <f t="shared" si="114"/>
        <v/>
      </c>
      <c r="LR23" s="4" t="str">
        <f t="shared" si="115"/>
        <v/>
      </c>
      <c r="LS23" s="4" t="str">
        <f t="shared" si="116"/>
        <v/>
      </c>
      <c r="LT23" s="4" t="str">
        <f t="shared" si="117"/>
        <v/>
      </c>
      <c r="LU23" s="4" t="str">
        <f t="shared" si="118"/>
        <v/>
      </c>
      <c r="LV23" s="4" t="str">
        <f t="shared" si="119"/>
        <v/>
      </c>
      <c r="LW23" s="4" t="str">
        <f t="shared" si="120"/>
        <v/>
      </c>
      <c r="LX23" s="4" t="str">
        <f t="shared" si="121"/>
        <v/>
      </c>
      <c r="LY23" s="4" t="str">
        <f t="shared" si="122"/>
        <v/>
      </c>
      <c r="LZ23" s="4" t="str">
        <f t="shared" si="123"/>
        <v/>
      </c>
      <c r="MA23" s="4" t="str">
        <f t="shared" si="124"/>
        <v/>
      </c>
      <c r="MB23" s="4" t="str">
        <f t="shared" si="125"/>
        <v/>
      </c>
      <c r="MC23" s="4" t="str">
        <f t="shared" si="126"/>
        <v/>
      </c>
      <c r="MD23" s="4" t="str">
        <f t="shared" si="127"/>
        <v/>
      </c>
      <c r="ME23" s="4" t="str">
        <f t="shared" si="128"/>
        <v/>
      </c>
      <c r="MF23" s="4" t="str">
        <f t="shared" si="129"/>
        <v/>
      </c>
      <c r="MG23" s="4">
        <f t="shared" si="130"/>
        <v>0</v>
      </c>
    </row>
    <row r="24" spans="1:345" ht="26.25" customHeight="1" thickBot="1" x14ac:dyDescent="0.25">
      <c r="A24" s="35">
        <v>41395</v>
      </c>
      <c r="B24" s="36" t="s">
        <v>204</v>
      </c>
      <c r="C24" s="36" t="s">
        <v>51</v>
      </c>
      <c r="D24" s="31" t="s">
        <v>110</v>
      </c>
      <c r="E24" s="4">
        <v>76</v>
      </c>
      <c r="F24" s="3">
        <v>13526</v>
      </c>
      <c r="G24" s="4" t="s">
        <v>87</v>
      </c>
      <c r="H24" s="4" t="s">
        <v>112</v>
      </c>
      <c r="I24" s="4">
        <v>1834099</v>
      </c>
      <c r="J24" s="2" t="s">
        <v>309</v>
      </c>
      <c r="K24" s="235" t="s">
        <v>638</v>
      </c>
      <c r="L24" s="236">
        <v>1</v>
      </c>
      <c r="M24" s="236"/>
      <c r="N24" s="236" t="s">
        <v>635</v>
      </c>
      <c r="O24" s="235"/>
      <c r="P24" s="236"/>
      <c r="Q24" s="236"/>
      <c r="R24" s="4">
        <v>-0.5</v>
      </c>
      <c r="S24" s="4">
        <v>-0.48</v>
      </c>
      <c r="T24" s="33" t="s">
        <v>251</v>
      </c>
      <c r="U24" s="67">
        <v>20</v>
      </c>
      <c r="V24" s="124">
        <v>41382</v>
      </c>
      <c r="W24" s="67">
        <v>-0.5</v>
      </c>
      <c r="X24" s="67">
        <v>3.5</v>
      </c>
      <c r="Y24" s="4">
        <v>180</v>
      </c>
      <c r="Z24" s="4">
        <v>40</v>
      </c>
      <c r="AA24" s="4">
        <v>13</v>
      </c>
      <c r="AB24" s="4">
        <v>552</v>
      </c>
      <c r="AC24" s="4">
        <v>23.62</v>
      </c>
      <c r="AF24" s="4">
        <v>3.52</v>
      </c>
      <c r="AG24" s="4">
        <v>44.29</v>
      </c>
      <c r="AH24" s="4">
        <v>83</v>
      </c>
      <c r="AI24" s="4">
        <v>47.2</v>
      </c>
      <c r="AJ24" s="4">
        <v>173</v>
      </c>
      <c r="AK24" s="4">
        <v>1</v>
      </c>
      <c r="AL24" s="4" t="b">
        <f t="shared" si="0"/>
        <v>1</v>
      </c>
      <c r="AM24" s="54"/>
      <c r="AN24" s="32">
        <v>41576</v>
      </c>
      <c r="AO24" s="60"/>
      <c r="AP24" s="67">
        <v>-1</v>
      </c>
      <c r="AQ24" s="67">
        <v>2.5</v>
      </c>
      <c r="AR24" s="4">
        <v>2</v>
      </c>
      <c r="AS24" s="4">
        <v>20</v>
      </c>
      <c r="AU24" s="4">
        <v>434</v>
      </c>
      <c r="AV24" s="4">
        <v>1686</v>
      </c>
      <c r="AY24" s="4">
        <v>43.49</v>
      </c>
      <c r="AZ24" s="4">
        <v>89</v>
      </c>
      <c r="BA24" s="4">
        <v>46.36</v>
      </c>
      <c r="BB24" s="4">
        <v>179</v>
      </c>
      <c r="BC24" s="4">
        <f t="shared" si="1"/>
        <v>0.25</v>
      </c>
      <c r="BD24" s="4">
        <f t="shared" si="2"/>
        <v>0.73</v>
      </c>
      <c r="BE24" s="4">
        <f t="shared" si="3"/>
        <v>-118</v>
      </c>
      <c r="BF24" s="137">
        <v>41773</v>
      </c>
      <c r="BG24" s="59"/>
      <c r="BU24" s="4" t="str">
        <f t="shared" si="131"/>
        <v/>
      </c>
      <c r="BV24" s="4" t="str">
        <f t="shared" si="4"/>
        <v/>
      </c>
      <c r="BW24" s="4" t="str">
        <f t="shared" si="5"/>
        <v/>
      </c>
      <c r="BX24" s="4">
        <f t="shared" si="6"/>
        <v>1</v>
      </c>
      <c r="BY24" s="4">
        <f t="shared" si="7"/>
        <v>0</v>
      </c>
      <c r="BZ24" s="4" t="str">
        <f t="shared" si="8"/>
        <v/>
      </c>
      <c r="CA24" s="4" t="str">
        <f t="shared" si="9"/>
        <v/>
      </c>
      <c r="CB24" s="4" t="str">
        <f t="shared" si="10"/>
        <v/>
      </c>
      <c r="CC24" s="53">
        <f t="shared" si="11"/>
        <v>181</v>
      </c>
      <c r="CD24" s="55">
        <f t="shared" si="12"/>
        <v>6.0333333333333332</v>
      </c>
      <c r="CE24" s="4" t="str">
        <f t="shared" si="13"/>
        <v/>
      </c>
      <c r="CF24" s="4">
        <f t="shared" si="14"/>
        <v>-0.82000000000000739</v>
      </c>
      <c r="CG24" s="4" t="str">
        <f t="shared" si="15"/>
        <v/>
      </c>
      <c r="CH24" s="4">
        <f t="shared" si="16"/>
        <v>-0.82000000000000739</v>
      </c>
      <c r="CI24" s="4">
        <f t="shared" si="17"/>
        <v>1.25</v>
      </c>
      <c r="CJ24" s="4">
        <f t="shared" si="18"/>
        <v>0.25</v>
      </c>
      <c r="CK24" s="93">
        <f t="shared" si="19"/>
        <v>0.73</v>
      </c>
      <c r="CL24" s="83">
        <f t="shared" si="20"/>
        <v>-118</v>
      </c>
      <c r="CM24" s="4" t="str">
        <f t="shared" si="21"/>
        <v/>
      </c>
      <c r="CN24" s="96">
        <f t="shared" si="22"/>
        <v>-0.48</v>
      </c>
      <c r="CO24" s="96">
        <f t="shared" si="132"/>
        <v>0.3010299956639812</v>
      </c>
      <c r="CP24" s="127">
        <f t="shared" si="23"/>
        <v>2.5</v>
      </c>
      <c r="CQ24" s="127">
        <f t="shared" si="24"/>
        <v>-1</v>
      </c>
      <c r="CR24" s="136">
        <f t="shared" si="25"/>
        <v>20</v>
      </c>
      <c r="CS24" s="136">
        <f t="shared" si="26"/>
        <v>40</v>
      </c>
      <c r="CT24" s="135" t="str">
        <f t="shared" si="27"/>
        <v/>
      </c>
      <c r="CU24" s="139">
        <f t="shared" si="28"/>
        <v>0</v>
      </c>
      <c r="CV24" s="96" t="str">
        <f t="shared" si="29"/>
        <v/>
      </c>
      <c r="CW24" s="141" t="b">
        <f t="shared" si="30"/>
        <v>0</v>
      </c>
      <c r="CX24">
        <v>7.28</v>
      </c>
      <c r="CY24" s="4">
        <v>7.6</v>
      </c>
      <c r="CZ24" s="4">
        <v>83.6</v>
      </c>
      <c r="DA24" s="4">
        <v>1.9</v>
      </c>
      <c r="DB24" s="4">
        <v>-0.16</v>
      </c>
      <c r="DC24" s="4">
        <v>0.13</v>
      </c>
      <c r="DD24" s="4">
        <v>3.02</v>
      </c>
      <c r="DE24" s="4">
        <v>3.6</v>
      </c>
      <c r="DF24" s="4">
        <v>584</v>
      </c>
      <c r="DG24" s="4">
        <v>585</v>
      </c>
      <c r="DH24" s="4">
        <v>629</v>
      </c>
      <c r="DI24" s="4">
        <v>599</v>
      </c>
      <c r="DJ24" s="4">
        <v>639</v>
      </c>
      <c r="DK24" s="4">
        <v>623</v>
      </c>
      <c r="DL24" s="4">
        <v>563</v>
      </c>
      <c r="DM24" s="4">
        <v>1.51</v>
      </c>
      <c r="DN24" s="4">
        <v>-1.18</v>
      </c>
      <c r="DO24" s="4">
        <v>7.44</v>
      </c>
      <c r="DP24" s="4">
        <v>7.46</v>
      </c>
      <c r="DQ24" s="4">
        <v>7.4</v>
      </c>
      <c r="DR24" s="4">
        <v>7.41</v>
      </c>
      <c r="DS24" s="4">
        <v>7.65</v>
      </c>
      <c r="DT24" s="4">
        <v>8</v>
      </c>
      <c r="DU24" s="4">
        <v>0</v>
      </c>
      <c r="DV24" s="4">
        <v>1</v>
      </c>
      <c r="DW24" s="4">
        <v>6.48</v>
      </c>
      <c r="DX24" s="4">
        <v>6.48</v>
      </c>
      <c r="DY24" s="4">
        <v>6.39</v>
      </c>
      <c r="DZ24" s="4">
        <v>6.22</v>
      </c>
      <c r="EA24" s="4">
        <v>6.34</v>
      </c>
      <c r="EB24" s="4">
        <v>0</v>
      </c>
      <c r="EC24" s="4">
        <v>0</v>
      </c>
      <c r="ED24" s="89">
        <v>1</v>
      </c>
      <c r="EE24" s="110">
        <v>44.4</v>
      </c>
      <c r="EF24" s="110">
        <v>46.4</v>
      </c>
      <c r="EG24" s="110">
        <v>45.4</v>
      </c>
      <c r="EH24" s="110">
        <v>83.6</v>
      </c>
      <c r="EI24" s="110">
        <v>1.9</v>
      </c>
      <c r="EJ24" s="110">
        <v>-6</v>
      </c>
      <c r="EK24" s="110">
        <v>-6.3</v>
      </c>
      <c r="EL24" s="110">
        <v>-6.2</v>
      </c>
      <c r="EM24" s="110">
        <v>130</v>
      </c>
      <c r="EN24" s="110">
        <v>0.3</v>
      </c>
      <c r="EO24" s="110">
        <v>4.2</v>
      </c>
      <c r="EP24" s="110">
        <v>12.1</v>
      </c>
      <c r="EQ24" s="110">
        <v>25.2</v>
      </c>
      <c r="ER24" s="110">
        <v>61.4</v>
      </c>
      <c r="ES24" s="114">
        <v>22</v>
      </c>
      <c r="ET24" s="83">
        <v>7.38</v>
      </c>
      <c r="EU24" s="4">
        <v>7.82</v>
      </c>
      <c r="EV24" s="4">
        <v>84</v>
      </c>
      <c r="EW24" s="4">
        <v>2.6</v>
      </c>
      <c r="EX24" s="4">
        <v>-0.12</v>
      </c>
      <c r="EY24" s="4">
        <v>-0.03</v>
      </c>
      <c r="EZ24" s="4">
        <v>4.09</v>
      </c>
      <c r="FA24" s="4">
        <v>4.51</v>
      </c>
      <c r="FB24" s="4">
        <v>422</v>
      </c>
      <c r="FC24" s="4">
        <v>423</v>
      </c>
      <c r="FD24" s="4">
        <v>613</v>
      </c>
      <c r="FE24" s="4">
        <v>499</v>
      </c>
      <c r="FF24" s="4">
        <v>507</v>
      </c>
      <c r="FG24" s="4">
        <v>507</v>
      </c>
      <c r="FH24" s="4">
        <v>414</v>
      </c>
      <c r="FI24" s="4">
        <v>0.98</v>
      </c>
      <c r="FJ24" s="4">
        <v>-0.2</v>
      </c>
      <c r="FK24" s="4">
        <v>7.59</v>
      </c>
      <c r="FL24" s="4">
        <v>7.58</v>
      </c>
      <c r="FM24" s="4">
        <v>7.47</v>
      </c>
      <c r="FN24" s="4">
        <v>7.5</v>
      </c>
      <c r="FO24" s="4">
        <v>7.85</v>
      </c>
      <c r="FP24" s="4">
        <v>8.1199999999999992</v>
      </c>
      <c r="FQ24" s="4">
        <v>0</v>
      </c>
      <c r="FR24" s="4">
        <v>1.1000000000000001</v>
      </c>
      <c r="FS24" s="4">
        <v>6.38</v>
      </c>
      <c r="FT24" s="4">
        <v>6.14</v>
      </c>
      <c r="FU24" s="4">
        <v>6.07</v>
      </c>
      <c r="FV24" s="4">
        <v>6.11</v>
      </c>
      <c r="FW24" s="4">
        <v>6.31</v>
      </c>
      <c r="FX24" s="4">
        <v>0</v>
      </c>
      <c r="FY24" s="4">
        <v>0</v>
      </c>
      <c r="FZ24" s="86">
        <v>1.1000000000000001</v>
      </c>
      <c r="GA24" s="110">
        <v>43.2</v>
      </c>
      <c r="GB24" s="110">
        <v>45.7</v>
      </c>
      <c r="GC24" s="110">
        <v>44.4</v>
      </c>
      <c r="GD24" s="110">
        <v>84</v>
      </c>
      <c r="GE24" s="110">
        <v>2.6</v>
      </c>
      <c r="GF24" s="110">
        <v>-6.2</v>
      </c>
      <c r="GG24" s="110">
        <v>-6.5</v>
      </c>
      <c r="GH24" s="110">
        <v>-6.4</v>
      </c>
      <c r="GI24" s="110">
        <v>153.6</v>
      </c>
      <c r="GJ24" s="110">
        <v>0.3</v>
      </c>
      <c r="GK24" s="110">
        <v>3.1</v>
      </c>
      <c r="GL24" s="110">
        <v>9.1</v>
      </c>
      <c r="GM24" s="110">
        <v>20.2</v>
      </c>
      <c r="GN24" s="110">
        <v>53.9</v>
      </c>
      <c r="GO24" s="119">
        <v>26</v>
      </c>
      <c r="IL24" s="83">
        <f t="shared" si="31"/>
        <v>7.38</v>
      </c>
      <c r="IM24" s="4">
        <f t="shared" si="32"/>
        <v>7.82</v>
      </c>
      <c r="IN24" s="4">
        <f t="shared" si="33"/>
        <v>84</v>
      </c>
      <c r="IO24" s="4">
        <f t="shared" si="34"/>
        <v>2.6</v>
      </c>
      <c r="IP24" s="4">
        <f t="shared" si="35"/>
        <v>-0.12</v>
      </c>
      <c r="IQ24" s="4">
        <f t="shared" si="36"/>
        <v>-0.03</v>
      </c>
      <c r="IR24" s="4">
        <f t="shared" si="37"/>
        <v>4.09</v>
      </c>
      <c r="IS24" s="4">
        <f t="shared" si="38"/>
        <v>4.51</v>
      </c>
      <c r="IT24" s="4">
        <f t="shared" si="39"/>
        <v>422</v>
      </c>
      <c r="IU24" s="4">
        <f t="shared" si="40"/>
        <v>423</v>
      </c>
      <c r="IV24" s="4">
        <f t="shared" si="41"/>
        <v>613</v>
      </c>
      <c r="IW24" s="4">
        <f t="shared" si="42"/>
        <v>499</v>
      </c>
      <c r="IX24" s="4">
        <f t="shared" si="43"/>
        <v>507</v>
      </c>
      <c r="IY24" s="4">
        <f t="shared" si="44"/>
        <v>507</v>
      </c>
      <c r="IZ24" s="4">
        <f t="shared" si="45"/>
        <v>414</v>
      </c>
      <c r="JA24" s="4">
        <f t="shared" si="46"/>
        <v>0.98</v>
      </c>
      <c r="JB24" s="4">
        <f t="shared" si="47"/>
        <v>-0.2</v>
      </c>
      <c r="JC24" s="4">
        <f t="shared" si="48"/>
        <v>7.59</v>
      </c>
      <c r="JD24" s="4">
        <f t="shared" si="49"/>
        <v>7.58</v>
      </c>
      <c r="JE24" s="4">
        <f t="shared" si="50"/>
        <v>7.47</v>
      </c>
      <c r="JF24" s="4">
        <f t="shared" si="51"/>
        <v>7.5</v>
      </c>
      <c r="JG24" s="4">
        <f t="shared" si="52"/>
        <v>7.85</v>
      </c>
      <c r="JH24" s="4">
        <f t="shared" si="53"/>
        <v>8.1199999999999992</v>
      </c>
      <c r="JI24" s="4">
        <f t="shared" si="54"/>
        <v>0</v>
      </c>
      <c r="JJ24" s="4">
        <f t="shared" si="55"/>
        <v>1.1000000000000001</v>
      </c>
      <c r="JK24" s="4">
        <f t="shared" si="56"/>
        <v>6.38</v>
      </c>
      <c r="JL24" s="4">
        <f t="shared" si="57"/>
        <v>6.14</v>
      </c>
      <c r="JM24" s="4">
        <f t="shared" si="58"/>
        <v>6.07</v>
      </c>
      <c r="JN24" s="4">
        <f t="shared" si="59"/>
        <v>6.11</v>
      </c>
      <c r="JO24" s="4">
        <f t="shared" si="60"/>
        <v>6.31</v>
      </c>
      <c r="JP24" s="4">
        <f t="shared" si="61"/>
        <v>0</v>
      </c>
      <c r="JQ24" s="117">
        <f t="shared" si="62"/>
        <v>0</v>
      </c>
      <c r="JR24" s="110">
        <f t="shared" si="63"/>
        <v>1.1000000000000001</v>
      </c>
      <c r="JS24" s="110">
        <f t="shared" si="64"/>
        <v>43.2</v>
      </c>
      <c r="JT24" s="110">
        <f t="shared" si="65"/>
        <v>45.7</v>
      </c>
      <c r="JU24" s="110">
        <f t="shared" si="66"/>
        <v>44.4</v>
      </c>
      <c r="JV24" s="110">
        <f t="shared" si="67"/>
        <v>84</v>
      </c>
      <c r="JW24" s="110">
        <f t="shared" si="68"/>
        <v>2.6</v>
      </c>
      <c r="JX24" s="110">
        <f t="shared" si="69"/>
        <v>-6.2</v>
      </c>
      <c r="JY24" s="110">
        <f t="shared" si="70"/>
        <v>-6.5</v>
      </c>
      <c r="JZ24" s="110">
        <f t="shared" si="71"/>
        <v>-6.4</v>
      </c>
      <c r="KA24" s="110">
        <f t="shared" si="72"/>
        <v>153.6</v>
      </c>
      <c r="KB24" s="110">
        <f t="shared" si="73"/>
        <v>0.3</v>
      </c>
      <c r="KC24" s="110">
        <f t="shared" si="74"/>
        <v>3.1</v>
      </c>
      <c r="KD24" s="110">
        <f t="shared" si="75"/>
        <v>9.1</v>
      </c>
      <c r="KE24" s="110">
        <f t="shared" si="76"/>
        <v>20.2</v>
      </c>
      <c r="KF24" s="110">
        <f t="shared" si="77"/>
        <v>53.9</v>
      </c>
      <c r="KG24" s="121">
        <f t="shared" si="78"/>
        <v>26</v>
      </c>
      <c r="KH24" s="83">
        <f t="shared" si="79"/>
        <v>9.9999999999999645E-2</v>
      </c>
      <c r="KI24" s="4">
        <f t="shared" si="80"/>
        <v>0.22000000000000064</v>
      </c>
      <c r="KJ24" s="4">
        <f t="shared" si="81"/>
        <v>0.40000000000000568</v>
      </c>
      <c r="KK24" s="4">
        <f t="shared" si="82"/>
        <v>0.70000000000000018</v>
      </c>
      <c r="KL24" s="4">
        <f t="shared" si="83"/>
        <v>4.0000000000000008E-2</v>
      </c>
      <c r="KM24" s="4">
        <f t="shared" si="84"/>
        <v>-0.16</v>
      </c>
      <c r="KN24" s="4">
        <f t="shared" si="85"/>
        <v>1.0699999999999998</v>
      </c>
      <c r="KO24" s="4">
        <f t="shared" si="86"/>
        <v>0.9099999999999997</v>
      </c>
      <c r="KP24" s="4">
        <f t="shared" si="87"/>
        <v>-162</v>
      </c>
      <c r="KQ24" s="4">
        <f t="shared" si="88"/>
        <v>-162</v>
      </c>
      <c r="KR24" s="4">
        <f t="shared" si="89"/>
        <v>-16</v>
      </c>
      <c r="KS24" s="4">
        <f t="shared" si="90"/>
        <v>-100</v>
      </c>
      <c r="KT24" s="4">
        <f t="shared" si="91"/>
        <v>-132</v>
      </c>
      <c r="KU24" s="4">
        <f t="shared" si="92"/>
        <v>-116</v>
      </c>
      <c r="KV24" s="4">
        <f t="shared" si="93"/>
        <v>-149</v>
      </c>
      <c r="KW24" s="4">
        <f t="shared" si="94"/>
        <v>-0.53</v>
      </c>
      <c r="KX24" s="4">
        <f t="shared" si="95"/>
        <v>0.98</v>
      </c>
      <c r="KY24" s="4">
        <f t="shared" si="96"/>
        <v>0.14999999999999947</v>
      </c>
      <c r="KZ24" s="4">
        <f t="shared" si="97"/>
        <v>0.12000000000000011</v>
      </c>
      <c r="LA24" s="4">
        <f t="shared" si="98"/>
        <v>6.9999999999999396E-2</v>
      </c>
      <c r="LB24" s="4">
        <f t="shared" si="99"/>
        <v>8.9999999999999858E-2</v>
      </c>
      <c r="LC24" s="4">
        <f t="shared" si="100"/>
        <v>0.19999999999999929</v>
      </c>
      <c r="LD24" s="4">
        <f t="shared" si="101"/>
        <v>0.11999999999999922</v>
      </c>
      <c r="LE24" s="4">
        <f t="shared" si="102"/>
        <v>0</v>
      </c>
      <c r="LF24" s="4">
        <f t="shared" si="103"/>
        <v>0.10000000000000009</v>
      </c>
      <c r="LG24" s="4">
        <f t="shared" si="104"/>
        <v>-0.10000000000000053</v>
      </c>
      <c r="LH24" s="4">
        <f t="shared" si="105"/>
        <v>-0.34000000000000075</v>
      </c>
      <c r="LI24" s="4">
        <f t="shared" si="106"/>
        <v>-0.3199999999999994</v>
      </c>
      <c r="LJ24" s="4">
        <f t="shared" si="107"/>
        <v>-0.10999999999999943</v>
      </c>
      <c r="LK24" s="4">
        <f t="shared" si="108"/>
        <v>-3.0000000000000249E-2</v>
      </c>
      <c r="LL24" s="4">
        <f t="shared" si="109"/>
        <v>0</v>
      </c>
      <c r="LM24" s="4">
        <f t="shared" si="110"/>
        <v>0</v>
      </c>
      <c r="LN24" s="4">
        <f t="shared" si="111"/>
        <v>0.10000000000000009</v>
      </c>
      <c r="LO24" s="4">
        <f t="shared" si="112"/>
        <v>-1.1999999999999957</v>
      </c>
      <c r="LP24" s="4">
        <f t="shared" si="113"/>
        <v>-0.69999999999999574</v>
      </c>
      <c r="LQ24" s="4">
        <f t="shared" si="114"/>
        <v>-1</v>
      </c>
      <c r="LR24" s="4">
        <f t="shared" si="115"/>
        <v>0.40000000000000568</v>
      </c>
      <c r="LS24" s="4">
        <f t="shared" si="116"/>
        <v>0.70000000000000018</v>
      </c>
      <c r="LT24" s="4">
        <f t="shared" si="117"/>
        <v>-0.20000000000000018</v>
      </c>
      <c r="LU24" s="4">
        <f t="shared" si="118"/>
        <v>-0.20000000000000018</v>
      </c>
      <c r="LV24" s="4">
        <f t="shared" si="119"/>
        <v>-0.20000000000000018</v>
      </c>
      <c r="LW24" s="4">
        <f t="shared" si="120"/>
        <v>23.599999999999994</v>
      </c>
      <c r="LX24" s="4">
        <f t="shared" si="121"/>
        <v>0</v>
      </c>
      <c r="LY24" s="4">
        <f t="shared" si="122"/>
        <v>-1.1000000000000001</v>
      </c>
      <c r="LZ24" s="4">
        <f t="shared" si="123"/>
        <v>-3</v>
      </c>
      <c r="MA24" s="4">
        <f t="shared" si="124"/>
        <v>-5</v>
      </c>
      <c r="MB24" s="4">
        <f t="shared" si="125"/>
        <v>-7.5</v>
      </c>
      <c r="MC24" s="4">
        <f t="shared" si="126"/>
        <v>4</v>
      </c>
      <c r="MD24" s="4" t="str">
        <f t="shared" si="127"/>
        <v/>
      </c>
      <c r="ME24" s="4" t="str">
        <f t="shared" si="128"/>
        <v/>
      </c>
      <c r="MF24" s="4" t="str">
        <f t="shared" si="129"/>
        <v/>
      </c>
      <c r="MG24" s="4">
        <f t="shared" si="130"/>
        <v>6.5</v>
      </c>
    </row>
    <row r="25" spans="1:345" ht="26.25" customHeight="1" thickBot="1" x14ac:dyDescent="0.25">
      <c r="A25" s="35">
        <v>41227</v>
      </c>
      <c r="B25" s="36" t="s">
        <v>161</v>
      </c>
      <c r="C25" s="36" t="s">
        <v>19</v>
      </c>
      <c r="D25" s="31" t="s">
        <v>110</v>
      </c>
      <c r="E25" s="4">
        <v>68</v>
      </c>
      <c r="F25" s="3">
        <v>16315</v>
      </c>
      <c r="G25" s="4" t="s">
        <v>87</v>
      </c>
      <c r="H25" s="4" t="s">
        <v>108</v>
      </c>
      <c r="I25" s="4">
        <v>1834124</v>
      </c>
      <c r="J25" s="2" t="s">
        <v>309</v>
      </c>
      <c r="K25" s="235" t="s">
        <v>636</v>
      </c>
      <c r="L25" s="236">
        <v>1</v>
      </c>
      <c r="M25" s="236"/>
      <c r="N25" s="98" t="s">
        <v>637</v>
      </c>
      <c r="O25" s="235"/>
      <c r="P25" s="236"/>
      <c r="Q25" s="236"/>
      <c r="R25" s="33">
        <v>-0.5</v>
      </c>
      <c r="S25" s="4">
        <v>-0.56999999999999995</v>
      </c>
      <c r="T25" s="4" t="s">
        <v>276</v>
      </c>
      <c r="U25" s="67">
        <v>18.25</v>
      </c>
      <c r="V25" s="124">
        <v>41138</v>
      </c>
      <c r="W25" s="67">
        <v>-7</v>
      </c>
      <c r="X25" s="67">
        <v>2.25</v>
      </c>
      <c r="Y25" s="4">
        <v>82</v>
      </c>
      <c r="Z25" s="4">
        <v>200</v>
      </c>
      <c r="AA25" s="4">
        <v>15</v>
      </c>
      <c r="AB25" s="4">
        <v>601</v>
      </c>
      <c r="AF25" s="4">
        <v>3.15</v>
      </c>
      <c r="AG25" s="4">
        <v>47.54</v>
      </c>
      <c r="AH25" s="4">
        <v>171</v>
      </c>
      <c r="AI25" s="4">
        <v>49.63</v>
      </c>
      <c r="AJ25" s="4">
        <v>81</v>
      </c>
      <c r="AK25" s="4">
        <v>2</v>
      </c>
      <c r="AL25" s="4" t="b">
        <f t="shared" si="0"/>
        <v>1</v>
      </c>
      <c r="AM25" s="54"/>
      <c r="AN25" s="3">
        <v>41425</v>
      </c>
      <c r="AO25" s="56">
        <v>30</v>
      </c>
      <c r="AP25" s="67">
        <v>-1.75</v>
      </c>
      <c r="AQ25" s="67">
        <v>1.25</v>
      </c>
      <c r="AR25" s="4">
        <v>104</v>
      </c>
      <c r="AS25" s="4">
        <v>25</v>
      </c>
      <c r="AT25" s="4">
        <v>14</v>
      </c>
      <c r="AU25" s="4">
        <v>485</v>
      </c>
      <c r="AV25" s="4">
        <v>903</v>
      </c>
      <c r="BC25" s="4">
        <f t="shared" si="1"/>
        <v>-1.125</v>
      </c>
      <c r="BD25" s="4">
        <f t="shared" si="2"/>
        <v>-0.55500000000000005</v>
      </c>
      <c r="BE25" s="4">
        <f t="shared" si="3"/>
        <v>-116</v>
      </c>
      <c r="BF25" s="3">
        <v>41565</v>
      </c>
      <c r="BG25" s="56">
        <v>30</v>
      </c>
      <c r="BH25" s="67">
        <v>-1.25</v>
      </c>
      <c r="BI25" s="67">
        <v>1.25</v>
      </c>
      <c r="BJ25" s="4">
        <v>105</v>
      </c>
      <c r="BK25" s="4">
        <v>25</v>
      </c>
      <c r="BL25" s="4">
        <v>12</v>
      </c>
      <c r="BM25" s="4">
        <v>486</v>
      </c>
      <c r="BN25" s="4">
        <v>806</v>
      </c>
      <c r="BO25" s="4">
        <v>24.11</v>
      </c>
      <c r="BP25" s="4">
        <v>4.51</v>
      </c>
      <c r="BQ25" s="4">
        <v>43.1</v>
      </c>
      <c r="BR25" s="4">
        <v>10</v>
      </c>
      <c r="BS25" s="4">
        <v>45.06</v>
      </c>
      <c r="BT25" s="4">
        <v>100</v>
      </c>
      <c r="BU25" s="4">
        <f t="shared" si="131"/>
        <v>-0.625</v>
      </c>
      <c r="BV25" s="4">
        <f t="shared" si="4"/>
        <v>-5.5000000000000049E-2</v>
      </c>
      <c r="BW25" s="4">
        <f t="shared" si="5"/>
        <v>-115</v>
      </c>
      <c r="BX25" s="4">
        <f t="shared" si="6"/>
        <v>1</v>
      </c>
      <c r="BY25" s="4">
        <f t="shared" si="7"/>
        <v>1</v>
      </c>
      <c r="BZ25" s="4">
        <f t="shared" si="8"/>
        <v>-5.875</v>
      </c>
      <c r="CA25" s="4">
        <f t="shared" si="9"/>
        <v>-1.125</v>
      </c>
      <c r="CB25" s="4">
        <f t="shared" si="10"/>
        <v>-0.625</v>
      </c>
      <c r="CC25" s="53">
        <f t="shared" si="11"/>
        <v>338</v>
      </c>
      <c r="CD25" s="55">
        <f t="shared" si="12"/>
        <v>11.266666666666667</v>
      </c>
      <c r="CE25" s="4">
        <f t="shared" si="13"/>
        <v>0.5</v>
      </c>
      <c r="CF25" s="4" t="str">
        <f t="shared" si="14"/>
        <v/>
      </c>
      <c r="CG25" s="4">
        <f t="shared" si="15"/>
        <v>-4.5050000000000026</v>
      </c>
      <c r="CH25" s="4">
        <f t="shared" si="16"/>
        <v>-4.5050000000000026</v>
      </c>
      <c r="CI25" s="4">
        <f t="shared" si="17"/>
        <v>-5.875</v>
      </c>
      <c r="CJ25" s="4">
        <f t="shared" si="18"/>
        <v>-0.625</v>
      </c>
      <c r="CK25" s="93">
        <f t="shared" si="19"/>
        <v>-5.5000000000000049E-2</v>
      </c>
      <c r="CL25" s="83">
        <f t="shared" si="20"/>
        <v>-115</v>
      </c>
      <c r="CM25" s="4" t="str">
        <f t="shared" si="21"/>
        <v/>
      </c>
      <c r="CN25" s="96">
        <f t="shared" si="22"/>
        <v>-0.56999999999999995</v>
      </c>
      <c r="CO25" s="96">
        <f t="shared" si="132"/>
        <v>0.90308998699194365</v>
      </c>
      <c r="CP25" s="127">
        <f t="shared" si="23"/>
        <v>1.25</v>
      </c>
      <c r="CQ25" s="127">
        <f t="shared" si="24"/>
        <v>-1</v>
      </c>
      <c r="CR25" s="136">
        <f t="shared" si="25"/>
        <v>25</v>
      </c>
      <c r="CS25" s="136">
        <f t="shared" si="26"/>
        <v>200</v>
      </c>
      <c r="CT25" s="135">
        <f t="shared" si="27"/>
        <v>30</v>
      </c>
      <c r="CU25" s="139">
        <f t="shared" si="28"/>
        <v>1</v>
      </c>
      <c r="CV25" s="96">
        <f t="shared" si="29"/>
        <v>0</v>
      </c>
      <c r="CW25" s="141" t="b">
        <f t="shared" si="30"/>
        <v>0</v>
      </c>
      <c r="CX25">
        <v>7.64</v>
      </c>
      <c r="CY25" s="4">
        <v>7.18</v>
      </c>
      <c r="CZ25" s="4">
        <v>176.4</v>
      </c>
      <c r="DA25" s="4">
        <v>-2.8</v>
      </c>
      <c r="DB25" s="4">
        <v>0.56999999999999995</v>
      </c>
      <c r="DC25" s="4">
        <v>0.75</v>
      </c>
      <c r="DD25" s="4">
        <v>2.64</v>
      </c>
      <c r="DE25" s="4">
        <v>3.24</v>
      </c>
      <c r="DF25" s="4">
        <v>608</v>
      </c>
      <c r="DG25" s="4">
        <v>610</v>
      </c>
      <c r="DH25" s="4">
        <v>638</v>
      </c>
      <c r="DI25" s="4">
        <v>641</v>
      </c>
      <c r="DJ25" s="4">
        <v>602</v>
      </c>
      <c r="DK25" s="4">
        <v>637</v>
      </c>
      <c r="DL25" s="4">
        <v>589</v>
      </c>
      <c r="DM25" s="4">
        <v>0.6</v>
      </c>
      <c r="DN25" s="4">
        <v>1.33</v>
      </c>
      <c r="DO25" s="4">
        <v>7.43</v>
      </c>
      <c r="DP25" s="4">
        <v>7.48</v>
      </c>
      <c r="DQ25" s="4">
        <v>7.59</v>
      </c>
      <c r="DR25" s="4">
        <v>7.89</v>
      </c>
      <c r="DS25" s="4">
        <v>8.32</v>
      </c>
      <c r="DT25" s="4">
        <v>8.6300000000000008</v>
      </c>
      <c r="DU25" s="4">
        <v>0</v>
      </c>
      <c r="DV25" s="4">
        <v>0.7</v>
      </c>
      <c r="DW25" s="4">
        <v>6.81</v>
      </c>
      <c r="DX25" s="4">
        <v>6.72</v>
      </c>
      <c r="DY25" s="4">
        <v>6.66</v>
      </c>
      <c r="DZ25" s="4">
        <v>6.77</v>
      </c>
      <c r="EA25" s="4">
        <v>6.97</v>
      </c>
      <c r="EB25" s="4">
        <v>0</v>
      </c>
      <c r="EC25" s="4">
        <v>0</v>
      </c>
      <c r="ED25" s="89">
        <v>0.7</v>
      </c>
      <c r="EE25" s="110">
        <v>44.1</v>
      </c>
      <c r="EF25" s="110">
        <v>47</v>
      </c>
      <c r="EG25" s="110">
        <v>45.5</v>
      </c>
      <c r="EH25" s="110">
        <v>176.4</v>
      </c>
      <c r="EI25" s="110">
        <v>2.8</v>
      </c>
      <c r="EJ25" s="110">
        <v>-5.7</v>
      </c>
      <c r="EK25" s="110">
        <v>-6.1</v>
      </c>
      <c r="EL25" s="110">
        <v>-5.9</v>
      </c>
      <c r="EM25" s="110">
        <v>23.8</v>
      </c>
      <c r="EN25" s="110">
        <v>0.4</v>
      </c>
      <c r="EO25" s="110">
        <v>4.3</v>
      </c>
      <c r="EP25" s="110">
        <v>12.3</v>
      </c>
      <c r="EQ25" s="110">
        <v>25.5</v>
      </c>
      <c r="ER25" s="110">
        <v>59.5</v>
      </c>
      <c r="ES25" s="114">
        <v>46</v>
      </c>
      <c r="GP25" s="83">
        <v>7.84</v>
      </c>
      <c r="GQ25" s="4">
        <v>7.51</v>
      </c>
      <c r="GR25" s="4">
        <v>9.9</v>
      </c>
      <c r="GS25" s="4">
        <v>-1.9</v>
      </c>
      <c r="GT25" s="4">
        <v>0.57999999999999996</v>
      </c>
      <c r="GU25" s="4">
        <v>0.64</v>
      </c>
      <c r="GV25" s="4">
        <v>3.98</v>
      </c>
      <c r="GW25" s="4">
        <v>4.5</v>
      </c>
      <c r="GX25" s="4">
        <v>518</v>
      </c>
      <c r="GY25" s="4">
        <v>513</v>
      </c>
      <c r="GZ25" s="4">
        <v>678</v>
      </c>
      <c r="HA25" s="4">
        <v>586</v>
      </c>
      <c r="HB25" s="4">
        <v>640</v>
      </c>
      <c r="HC25" s="4">
        <v>572</v>
      </c>
      <c r="HD25" s="4">
        <v>497</v>
      </c>
      <c r="HE25" s="4">
        <v>0.77</v>
      </c>
      <c r="HF25" s="4">
        <v>-1.02</v>
      </c>
      <c r="HG25" s="4">
        <v>7.63</v>
      </c>
      <c r="HH25" s="4">
        <v>7.72</v>
      </c>
      <c r="HI25" s="4">
        <v>7.75</v>
      </c>
      <c r="HJ25" s="4">
        <v>7.91</v>
      </c>
      <c r="HK25" s="4">
        <v>8.41</v>
      </c>
      <c r="HL25" s="4">
        <v>8.34</v>
      </c>
      <c r="HM25" s="4">
        <v>0</v>
      </c>
      <c r="HN25" s="4">
        <v>1.3</v>
      </c>
      <c r="HO25" s="4">
        <v>6.2</v>
      </c>
      <c r="HP25" s="4">
        <v>6.1</v>
      </c>
      <c r="HQ25" s="4">
        <v>6.29</v>
      </c>
      <c r="HR25" s="4">
        <v>6.6</v>
      </c>
      <c r="HS25" s="4">
        <v>6.52</v>
      </c>
      <c r="HT25" s="4">
        <v>0</v>
      </c>
      <c r="HU25" s="4">
        <v>0</v>
      </c>
      <c r="HV25" s="93">
        <v>1.3</v>
      </c>
      <c r="HW25" s="110">
        <v>43.1</v>
      </c>
      <c r="HX25" s="110">
        <v>44.9</v>
      </c>
      <c r="HY25" s="110">
        <v>44</v>
      </c>
      <c r="HZ25" s="110">
        <v>9.9</v>
      </c>
      <c r="IA25" s="110">
        <v>1.9</v>
      </c>
      <c r="IB25" s="110">
        <v>-6.3</v>
      </c>
      <c r="IC25" s="110">
        <v>-6.8</v>
      </c>
      <c r="ID25" s="110">
        <v>-6.5</v>
      </c>
      <c r="IE25" s="110">
        <v>1.5</v>
      </c>
      <c r="IF25" s="110">
        <v>0.5</v>
      </c>
      <c r="IG25" s="110">
        <v>3.8</v>
      </c>
      <c r="IH25" s="110">
        <v>11.1</v>
      </c>
      <c r="II25" s="110">
        <v>24.3</v>
      </c>
      <c r="IJ25" s="110">
        <v>60.3</v>
      </c>
      <c r="IK25" s="121">
        <v>32</v>
      </c>
      <c r="IL25" s="83">
        <f t="shared" si="31"/>
        <v>7.84</v>
      </c>
      <c r="IM25" s="4">
        <f t="shared" si="32"/>
        <v>7.51</v>
      </c>
      <c r="IN25" s="4">
        <f t="shared" si="33"/>
        <v>9.9</v>
      </c>
      <c r="IO25" s="4">
        <f t="shared" si="34"/>
        <v>-1.9</v>
      </c>
      <c r="IP25" s="4">
        <f t="shared" si="35"/>
        <v>0.57999999999999996</v>
      </c>
      <c r="IQ25" s="4">
        <f t="shared" si="36"/>
        <v>0.64</v>
      </c>
      <c r="IR25" s="4">
        <f t="shared" si="37"/>
        <v>3.98</v>
      </c>
      <c r="IS25" s="4">
        <f t="shared" si="38"/>
        <v>4.5</v>
      </c>
      <c r="IT25" s="4">
        <f t="shared" si="39"/>
        <v>518</v>
      </c>
      <c r="IU25" s="4">
        <f t="shared" si="40"/>
        <v>513</v>
      </c>
      <c r="IV25" s="4">
        <f t="shared" si="41"/>
        <v>678</v>
      </c>
      <c r="IW25" s="4">
        <f t="shared" si="42"/>
        <v>586</v>
      </c>
      <c r="IX25" s="4">
        <f t="shared" si="43"/>
        <v>640</v>
      </c>
      <c r="IY25" s="4">
        <f t="shared" si="44"/>
        <v>572</v>
      </c>
      <c r="IZ25" s="4">
        <f t="shared" si="45"/>
        <v>497</v>
      </c>
      <c r="JA25" s="4">
        <f t="shared" si="46"/>
        <v>0.77</v>
      </c>
      <c r="JB25" s="4">
        <f t="shared" si="47"/>
        <v>-1.02</v>
      </c>
      <c r="JC25" s="4">
        <f t="shared" si="48"/>
        <v>7.63</v>
      </c>
      <c r="JD25" s="4">
        <f t="shared" si="49"/>
        <v>7.72</v>
      </c>
      <c r="JE25" s="4">
        <f t="shared" si="50"/>
        <v>7.75</v>
      </c>
      <c r="JF25" s="4">
        <f t="shared" si="51"/>
        <v>7.91</v>
      </c>
      <c r="JG25" s="4">
        <f t="shared" si="52"/>
        <v>8.41</v>
      </c>
      <c r="JH25" s="4">
        <f t="shared" si="53"/>
        <v>8.34</v>
      </c>
      <c r="JI25" s="4">
        <f t="shared" si="54"/>
        <v>0</v>
      </c>
      <c r="JJ25" s="4">
        <f t="shared" si="55"/>
        <v>1.3</v>
      </c>
      <c r="JK25" s="4">
        <f t="shared" si="56"/>
        <v>6.2</v>
      </c>
      <c r="JL25" s="4">
        <f t="shared" si="57"/>
        <v>6.1</v>
      </c>
      <c r="JM25" s="4">
        <f t="shared" si="58"/>
        <v>6.29</v>
      </c>
      <c r="JN25" s="4">
        <f t="shared" si="59"/>
        <v>6.6</v>
      </c>
      <c r="JO25" s="4">
        <f t="shared" si="60"/>
        <v>6.52</v>
      </c>
      <c r="JP25" s="4">
        <f t="shared" si="61"/>
        <v>0</v>
      </c>
      <c r="JQ25" s="117">
        <f t="shared" si="62"/>
        <v>0</v>
      </c>
      <c r="JR25" s="110">
        <f t="shared" si="63"/>
        <v>1.3</v>
      </c>
      <c r="JS25" s="110">
        <f t="shared" si="64"/>
        <v>43.1</v>
      </c>
      <c r="JT25" s="110">
        <f t="shared" si="65"/>
        <v>44.9</v>
      </c>
      <c r="JU25" s="110">
        <f t="shared" si="66"/>
        <v>44</v>
      </c>
      <c r="JV25" s="110">
        <f t="shared" si="67"/>
        <v>9.9</v>
      </c>
      <c r="JW25" s="110">
        <f t="shared" si="68"/>
        <v>1.9</v>
      </c>
      <c r="JX25" s="110">
        <f t="shared" si="69"/>
        <v>-6.3</v>
      </c>
      <c r="JY25" s="110">
        <f t="shared" si="70"/>
        <v>-6.8</v>
      </c>
      <c r="JZ25" s="110">
        <f t="shared" si="71"/>
        <v>-6.5</v>
      </c>
      <c r="KA25" s="110">
        <f t="shared" si="72"/>
        <v>1.5</v>
      </c>
      <c r="KB25" s="110">
        <f t="shared" si="73"/>
        <v>0.5</v>
      </c>
      <c r="KC25" s="110">
        <f t="shared" si="74"/>
        <v>3.8</v>
      </c>
      <c r="KD25" s="110">
        <f t="shared" si="75"/>
        <v>11.1</v>
      </c>
      <c r="KE25" s="110">
        <f t="shared" si="76"/>
        <v>24.3</v>
      </c>
      <c r="KF25" s="110">
        <f t="shared" si="77"/>
        <v>60.3</v>
      </c>
      <c r="KG25" s="121">
        <f t="shared" si="78"/>
        <v>32</v>
      </c>
      <c r="KH25" s="83">
        <f t="shared" si="79"/>
        <v>0.20000000000000018</v>
      </c>
      <c r="KI25" s="4">
        <f t="shared" si="80"/>
        <v>0.33000000000000007</v>
      </c>
      <c r="KJ25" s="4">
        <f t="shared" si="81"/>
        <v>-166.5</v>
      </c>
      <c r="KK25" s="4">
        <f t="shared" si="82"/>
        <v>0.89999999999999991</v>
      </c>
      <c r="KL25" s="4">
        <f t="shared" si="83"/>
        <v>1.0000000000000009E-2</v>
      </c>
      <c r="KM25" s="4">
        <f t="shared" si="84"/>
        <v>-0.10999999999999999</v>
      </c>
      <c r="KN25" s="4">
        <f t="shared" si="85"/>
        <v>1.3399999999999999</v>
      </c>
      <c r="KO25" s="4">
        <f t="shared" si="86"/>
        <v>1.2599999999999998</v>
      </c>
      <c r="KP25" s="4">
        <f t="shared" si="87"/>
        <v>-90</v>
      </c>
      <c r="KQ25" s="4">
        <f t="shared" si="88"/>
        <v>-97</v>
      </c>
      <c r="KR25" s="4">
        <f t="shared" si="89"/>
        <v>40</v>
      </c>
      <c r="KS25" s="4">
        <f t="shared" si="90"/>
        <v>-55</v>
      </c>
      <c r="KT25" s="4">
        <f t="shared" si="91"/>
        <v>38</v>
      </c>
      <c r="KU25" s="4">
        <f t="shared" si="92"/>
        <v>-65</v>
      </c>
      <c r="KV25" s="4">
        <f t="shared" si="93"/>
        <v>-92</v>
      </c>
      <c r="KW25" s="4">
        <f t="shared" si="94"/>
        <v>0.17000000000000004</v>
      </c>
      <c r="KX25" s="4">
        <f t="shared" si="95"/>
        <v>-2.35</v>
      </c>
      <c r="KY25" s="4">
        <f t="shared" si="96"/>
        <v>0.20000000000000018</v>
      </c>
      <c r="KZ25" s="4">
        <f t="shared" si="97"/>
        <v>0.23999999999999932</v>
      </c>
      <c r="LA25" s="4">
        <f t="shared" si="98"/>
        <v>0.16000000000000014</v>
      </c>
      <c r="LB25" s="4">
        <f t="shared" si="99"/>
        <v>2.0000000000000462E-2</v>
      </c>
      <c r="LC25" s="4">
        <f t="shared" si="100"/>
        <v>8.9999999999999858E-2</v>
      </c>
      <c r="LD25" s="4">
        <f t="shared" si="101"/>
        <v>-0.29000000000000092</v>
      </c>
      <c r="LE25" s="4">
        <f t="shared" si="102"/>
        <v>0</v>
      </c>
      <c r="LF25" s="4">
        <f t="shared" si="103"/>
        <v>0.60000000000000009</v>
      </c>
      <c r="LG25" s="4">
        <f t="shared" si="104"/>
        <v>-0.60999999999999943</v>
      </c>
      <c r="LH25" s="4">
        <f t="shared" si="105"/>
        <v>-0.62000000000000011</v>
      </c>
      <c r="LI25" s="4">
        <f t="shared" si="106"/>
        <v>-0.37000000000000011</v>
      </c>
      <c r="LJ25" s="4">
        <f t="shared" si="107"/>
        <v>-0.16999999999999993</v>
      </c>
      <c r="LK25" s="4">
        <f t="shared" si="108"/>
        <v>-0.45000000000000018</v>
      </c>
      <c r="LL25" s="4">
        <f t="shared" si="109"/>
        <v>0</v>
      </c>
      <c r="LM25" s="4">
        <f t="shared" si="110"/>
        <v>0</v>
      </c>
      <c r="LN25" s="4">
        <f t="shared" si="111"/>
        <v>0.60000000000000009</v>
      </c>
      <c r="LO25" s="4">
        <f t="shared" si="112"/>
        <v>-1</v>
      </c>
      <c r="LP25" s="4">
        <f t="shared" si="113"/>
        <v>-2.1000000000000014</v>
      </c>
      <c r="LQ25" s="4">
        <f t="shared" si="114"/>
        <v>-1.5</v>
      </c>
      <c r="LR25" s="4">
        <f t="shared" si="115"/>
        <v>-166.5</v>
      </c>
      <c r="LS25" s="4">
        <f t="shared" si="116"/>
        <v>-0.89999999999999991</v>
      </c>
      <c r="LT25" s="4">
        <f t="shared" si="117"/>
        <v>-0.59999999999999964</v>
      </c>
      <c r="LU25" s="4">
        <f t="shared" si="118"/>
        <v>-0.70000000000000018</v>
      </c>
      <c r="LV25" s="4">
        <f t="shared" si="119"/>
        <v>-0.59999999999999964</v>
      </c>
      <c r="LW25" s="4">
        <f t="shared" si="120"/>
        <v>-22.3</v>
      </c>
      <c r="LX25" s="4">
        <f t="shared" si="121"/>
        <v>9.9999999999999978E-2</v>
      </c>
      <c r="LY25" s="4">
        <f t="shared" si="122"/>
        <v>-0.5</v>
      </c>
      <c r="LZ25" s="4">
        <f t="shared" si="123"/>
        <v>-1.2000000000000011</v>
      </c>
      <c r="MA25" s="4">
        <f t="shared" si="124"/>
        <v>-1.1999999999999993</v>
      </c>
      <c r="MB25" s="4">
        <f t="shared" si="125"/>
        <v>0.79999999999999716</v>
      </c>
      <c r="MC25" s="4">
        <f t="shared" si="126"/>
        <v>-14</v>
      </c>
      <c r="MD25" s="4" t="str">
        <f t="shared" si="127"/>
        <v/>
      </c>
      <c r="ME25" s="4" t="str">
        <f t="shared" si="128"/>
        <v/>
      </c>
      <c r="MF25" s="4" t="str">
        <f t="shared" si="129"/>
        <v/>
      </c>
      <c r="MG25" s="4">
        <f t="shared" si="130"/>
        <v>-6.8</v>
      </c>
    </row>
    <row r="26" spans="1:345" ht="26.25" customHeight="1" thickBot="1" x14ac:dyDescent="0.25">
      <c r="A26" s="35">
        <v>41150</v>
      </c>
      <c r="B26" s="36" t="s">
        <v>218</v>
      </c>
      <c r="C26" s="36" t="s">
        <v>1</v>
      </c>
      <c r="D26" s="31" t="s">
        <v>111</v>
      </c>
      <c r="E26" s="4">
        <v>63</v>
      </c>
      <c r="F26" s="3">
        <v>17931</v>
      </c>
      <c r="G26" s="4" t="s">
        <v>87</v>
      </c>
      <c r="H26" s="4" t="s">
        <v>108</v>
      </c>
      <c r="I26" s="4">
        <v>1834364</v>
      </c>
      <c r="J26" s="2" t="s">
        <v>309</v>
      </c>
      <c r="K26" s="230"/>
      <c r="L26" s="231">
        <v>1</v>
      </c>
      <c r="M26" s="231">
        <v>1</v>
      </c>
      <c r="N26" s="231"/>
      <c r="O26" s="261"/>
      <c r="P26" s="231"/>
      <c r="Q26" s="231"/>
      <c r="R26" s="33">
        <v>-0.5</v>
      </c>
      <c r="S26" s="33">
        <v>-0.48</v>
      </c>
      <c r="T26" s="33" t="s">
        <v>251</v>
      </c>
      <c r="U26" s="67">
        <v>15</v>
      </c>
      <c r="V26" s="124">
        <v>41128</v>
      </c>
      <c r="W26" s="67">
        <v>-5</v>
      </c>
      <c r="X26" s="67">
        <v>1</v>
      </c>
      <c r="Y26" s="4">
        <v>19</v>
      </c>
      <c r="Z26" s="4">
        <v>30</v>
      </c>
      <c r="AA26" s="4">
        <v>20</v>
      </c>
      <c r="AB26" s="4">
        <v>589</v>
      </c>
      <c r="AC26" s="4">
        <v>25.59</v>
      </c>
      <c r="AD26" s="4">
        <v>12.2</v>
      </c>
      <c r="AE26" s="4">
        <v>4.9000000000000004</v>
      </c>
      <c r="AF26" s="4">
        <v>3.08</v>
      </c>
      <c r="AG26" s="4">
        <v>43.05</v>
      </c>
      <c r="AH26" s="4">
        <v>100</v>
      </c>
      <c r="AI26" s="4">
        <v>43.55</v>
      </c>
      <c r="AJ26" s="4">
        <v>10</v>
      </c>
      <c r="AK26" s="4">
        <v>0</v>
      </c>
      <c r="AL26" s="4" t="b">
        <f t="shared" si="0"/>
        <v>0</v>
      </c>
      <c r="AN26" s="3">
        <v>41383</v>
      </c>
      <c r="AO26" s="56">
        <v>50</v>
      </c>
      <c r="AP26" s="67">
        <v>-0.75</v>
      </c>
      <c r="AQ26" s="67">
        <v>0</v>
      </c>
      <c r="AR26" s="4">
        <v>0</v>
      </c>
      <c r="AS26" s="4">
        <v>50</v>
      </c>
      <c r="AT26" s="4">
        <v>15</v>
      </c>
      <c r="AU26" s="4">
        <v>514</v>
      </c>
      <c r="AV26" s="4">
        <v>1900</v>
      </c>
      <c r="BC26" s="4">
        <f t="shared" si="1"/>
        <v>-0.75</v>
      </c>
      <c r="BD26" s="4">
        <f>IF(ISNUMBER(BC26),IF(ISNUMBER($S26),BC26-$S26,"MISSING"),"")</f>
        <v>-0.27</v>
      </c>
      <c r="BE26" s="4">
        <f t="shared" si="3"/>
        <v>-75</v>
      </c>
      <c r="BF26" s="3">
        <v>41544</v>
      </c>
      <c r="BG26" s="59"/>
      <c r="BH26" s="67">
        <v>-0.75</v>
      </c>
      <c r="BI26" s="67">
        <v>0.5</v>
      </c>
      <c r="BJ26" s="4">
        <v>180</v>
      </c>
      <c r="BK26" s="4">
        <v>25</v>
      </c>
      <c r="BL26" s="4">
        <v>12</v>
      </c>
      <c r="BM26" s="4">
        <v>530</v>
      </c>
      <c r="BN26" s="4">
        <v>1908</v>
      </c>
      <c r="BU26" s="4">
        <f t="shared" si="131"/>
        <v>-0.5</v>
      </c>
      <c r="BV26" s="4">
        <f t="shared" si="4"/>
        <v>-2.0000000000000018E-2</v>
      </c>
      <c r="BW26" s="4">
        <f t="shared" si="5"/>
        <v>-59</v>
      </c>
      <c r="BX26" s="4">
        <f t="shared" si="6"/>
        <v>1</v>
      </c>
      <c r="BY26" s="4">
        <f t="shared" si="7"/>
        <v>1</v>
      </c>
      <c r="BZ26" s="4">
        <f t="shared" si="8"/>
        <v>-4.5</v>
      </c>
      <c r="CA26" s="4">
        <f t="shared" si="9"/>
        <v>-0.75</v>
      </c>
      <c r="CB26" s="4">
        <f t="shared" si="10"/>
        <v>-0.5</v>
      </c>
      <c r="CC26" s="53">
        <f t="shared" si="11"/>
        <v>394</v>
      </c>
      <c r="CD26" s="55">
        <f t="shared" si="12"/>
        <v>13.133333333333333</v>
      </c>
      <c r="CE26" s="4">
        <f t="shared" si="13"/>
        <v>0.25</v>
      </c>
      <c r="CF26" s="4" t="str">
        <f t="shared" si="14"/>
        <v/>
      </c>
      <c r="CG26" s="4" t="str">
        <f t="shared" si="15"/>
        <v/>
      </c>
      <c r="CH26" s="4" t="str">
        <f t="shared" si="16"/>
        <v/>
      </c>
      <c r="CI26" s="4">
        <f t="shared" si="17"/>
        <v>-4.5</v>
      </c>
      <c r="CJ26" s="4">
        <f t="shared" si="18"/>
        <v>-0.5</v>
      </c>
      <c r="CK26" s="93">
        <f t="shared" si="19"/>
        <v>-2.0000000000000018E-2</v>
      </c>
      <c r="CL26" s="83">
        <f t="shared" si="20"/>
        <v>-59</v>
      </c>
      <c r="CM26" s="4" t="str">
        <f t="shared" si="21"/>
        <v/>
      </c>
      <c r="CN26" s="96">
        <f t="shared" si="22"/>
        <v>-0.48</v>
      </c>
      <c r="CO26" s="96">
        <f t="shared" si="132"/>
        <v>7.9181246047624873E-2</v>
      </c>
      <c r="CP26" s="127">
        <f t="shared" si="23"/>
        <v>0.5</v>
      </c>
      <c r="CQ26" s="127">
        <f t="shared" si="24"/>
        <v>-0.5</v>
      </c>
      <c r="CR26" s="136">
        <f t="shared" si="25"/>
        <v>25</v>
      </c>
      <c r="CS26" s="136">
        <f t="shared" si="26"/>
        <v>30</v>
      </c>
      <c r="CT26" s="135">
        <f t="shared" si="27"/>
        <v>50</v>
      </c>
      <c r="CU26" s="139" t="str">
        <f t="shared" si="28"/>
        <v/>
      </c>
      <c r="CV26" s="96" t="str">
        <f t="shared" si="29"/>
        <v/>
      </c>
      <c r="CW26" s="141" t="str">
        <f t="shared" si="30"/>
        <v/>
      </c>
      <c r="IL26" s="83" t="str">
        <f t="shared" si="31"/>
        <v/>
      </c>
      <c r="IM26" s="4" t="str">
        <f t="shared" si="32"/>
        <v/>
      </c>
      <c r="IN26" s="4" t="str">
        <f t="shared" si="33"/>
        <v/>
      </c>
      <c r="IO26" s="4" t="str">
        <f t="shared" si="34"/>
        <v/>
      </c>
      <c r="IP26" s="4" t="str">
        <f t="shared" si="35"/>
        <v/>
      </c>
      <c r="IQ26" s="4" t="str">
        <f t="shared" si="36"/>
        <v/>
      </c>
      <c r="IR26" s="4" t="str">
        <f t="shared" si="37"/>
        <v/>
      </c>
      <c r="IS26" s="4" t="str">
        <f t="shared" si="38"/>
        <v/>
      </c>
      <c r="IT26" s="4" t="str">
        <f t="shared" si="39"/>
        <v/>
      </c>
      <c r="IU26" s="4" t="str">
        <f t="shared" si="40"/>
        <v/>
      </c>
      <c r="IV26" s="4" t="str">
        <f t="shared" si="41"/>
        <v/>
      </c>
      <c r="IW26" s="4" t="str">
        <f t="shared" si="42"/>
        <v/>
      </c>
      <c r="IX26" s="4" t="str">
        <f t="shared" si="43"/>
        <v/>
      </c>
      <c r="IY26" s="4" t="str">
        <f t="shared" si="44"/>
        <v/>
      </c>
      <c r="IZ26" s="4" t="str">
        <f t="shared" si="45"/>
        <v/>
      </c>
      <c r="JA26" s="4" t="str">
        <f t="shared" si="46"/>
        <v/>
      </c>
      <c r="JB26" s="4" t="str">
        <f t="shared" si="47"/>
        <v/>
      </c>
      <c r="JC26" s="4" t="str">
        <f t="shared" si="48"/>
        <v/>
      </c>
      <c r="JD26" s="4" t="str">
        <f t="shared" si="49"/>
        <v/>
      </c>
      <c r="JE26" s="4" t="str">
        <f t="shared" si="50"/>
        <v/>
      </c>
      <c r="JF26" s="4" t="str">
        <f t="shared" si="51"/>
        <v/>
      </c>
      <c r="JG26" s="4" t="str">
        <f t="shared" si="52"/>
        <v/>
      </c>
      <c r="JH26" s="4" t="str">
        <f t="shared" si="53"/>
        <v/>
      </c>
      <c r="JI26" s="4" t="str">
        <f t="shared" si="54"/>
        <v/>
      </c>
      <c r="JJ26" s="4" t="str">
        <f t="shared" si="55"/>
        <v/>
      </c>
      <c r="JK26" s="4" t="str">
        <f t="shared" si="56"/>
        <v/>
      </c>
      <c r="JL26" s="4" t="str">
        <f t="shared" si="57"/>
        <v/>
      </c>
      <c r="JM26" s="4" t="str">
        <f t="shared" si="58"/>
        <v/>
      </c>
      <c r="JN26" s="4" t="str">
        <f t="shared" si="59"/>
        <v/>
      </c>
      <c r="JO26" s="4" t="str">
        <f t="shared" si="60"/>
        <v/>
      </c>
      <c r="JP26" s="4" t="str">
        <f t="shared" si="61"/>
        <v/>
      </c>
      <c r="JQ26" s="117" t="str">
        <f t="shared" si="62"/>
        <v/>
      </c>
      <c r="JR26" s="110" t="str">
        <f t="shared" si="63"/>
        <v/>
      </c>
      <c r="JS26" s="110" t="str">
        <f t="shared" si="64"/>
        <v/>
      </c>
      <c r="JT26" s="110" t="str">
        <f t="shared" si="65"/>
        <v/>
      </c>
      <c r="JU26" s="110" t="str">
        <f t="shared" si="66"/>
        <v/>
      </c>
      <c r="JV26" s="110" t="str">
        <f t="shared" si="67"/>
        <v/>
      </c>
      <c r="JW26" s="110" t="str">
        <f t="shared" si="68"/>
        <v/>
      </c>
      <c r="JX26" s="110" t="str">
        <f t="shared" si="69"/>
        <v/>
      </c>
      <c r="JY26" s="110" t="str">
        <f t="shared" si="70"/>
        <v/>
      </c>
      <c r="JZ26" s="110" t="str">
        <f t="shared" si="71"/>
        <v/>
      </c>
      <c r="KA26" s="110" t="str">
        <f t="shared" si="72"/>
        <v/>
      </c>
      <c r="KB26" s="110" t="str">
        <f t="shared" si="73"/>
        <v/>
      </c>
      <c r="KC26" s="110" t="str">
        <f t="shared" si="74"/>
        <v/>
      </c>
      <c r="KD26" s="110" t="str">
        <f t="shared" si="75"/>
        <v/>
      </c>
      <c r="KE26" s="110" t="str">
        <f t="shared" si="76"/>
        <v/>
      </c>
      <c r="KF26" s="110" t="str">
        <f t="shared" si="77"/>
        <v/>
      </c>
      <c r="KG26" s="121" t="str">
        <f t="shared" si="78"/>
        <v/>
      </c>
      <c r="KH26" s="83" t="str">
        <f t="shared" si="79"/>
        <v/>
      </c>
      <c r="KI26" s="4" t="str">
        <f t="shared" si="80"/>
        <v/>
      </c>
      <c r="KJ26" s="4" t="str">
        <f t="shared" si="81"/>
        <v/>
      </c>
      <c r="KK26" s="4" t="str">
        <f t="shared" si="82"/>
        <v/>
      </c>
      <c r="KL26" s="4" t="str">
        <f t="shared" si="83"/>
        <v/>
      </c>
      <c r="KM26" s="4" t="str">
        <f t="shared" si="84"/>
        <v/>
      </c>
      <c r="KN26" s="4" t="str">
        <f t="shared" si="85"/>
        <v/>
      </c>
      <c r="KO26" s="4" t="str">
        <f t="shared" si="86"/>
        <v/>
      </c>
      <c r="KP26" s="4" t="str">
        <f t="shared" si="87"/>
        <v/>
      </c>
      <c r="KQ26" s="4" t="str">
        <f t="shared" si="88"/>
        <v/>
      </c>
      <c r="KR26" s="4" t="str">
        <f t="shared" si="89"/>
        <v/>
      </c>
      <c r="KS26" s="4" t="str">
        <f t="shared" si="90"/>
        <v/>
      </c>
      <c r="KT26" s="4" t="str">
        <f t="shared" si="91"/>
        <v/>
      </c>
      <c r="KU26" s="4" t="str">
        <f t="shared" si="92"/>
        <v/>
      </c>
      <c r="KV26" s="4" t="str">
        <f t="shared" si="93"/>
        <v/>
      </c>
      <c r="KW26" s="4" t="str">
        <f t="shared" si="94"/>
        <v/>
      </c>
      <c r="KX26" s="4" t="str">
        <f t="shared" si="95"/>
        <v/>
      </c>
      <c r="KY26" s="4" t="str">
        <f t="shared" si="96"/>
        <v/>
      </c>
      <c r="KZ26" s="4" t="str">
        <f t="shared" si="97"/>
        <v/>
      </c>
      <c r="LA26" s="4" t="str">
        <f t="shared" si="98"/>
        <v/>
      </c>
      <c r="LB26" s="4" t="str">
        <f t="shared" si="99"/>
        <v/>
      </c>
      <c r="LC26" s="4" t="str">
        <f t="shared" si="100"/>
        <v/>
      </c>
      <c r="LD26" s="4" t="str">
        <f t="shared" si="101"/>
        <v/>
      </c>
      <c r="LE26" s="4" t="str">
        <f t="shared" si="102"/>
        <v/>
      </c>
      <c r="LF26" s="4" t="str">
        <f t="shared" si="103"/>
        <v/>
      </c>
      <c r="LG26" s="4" t="str">
        <f t="shared" si="104"/>
        <v/>
      </c>
      <c r="LH26" s="4" t="str">
        <f t="shared" si="105"/>
        <v/>
      </c>
      <c r="LI26" s="4" t="str">
        <f t="shared" si="106"/>
        <v/>
      </c>
      <c r="LJ26" s="4" t="str">
        <f t="shared" si="107"/>
        <v/>
      </c>
      <c r="LK26" s="4" t="str">
        <f t="shared" si="108"/>
        <v/>
      </c>
      <c r="LL26" s="4" t="str">
        <f t="shared" si="109"/>
        <v/>
      </c>
      <c r="LM26" s="4" t="str">
        <f t="shared" si="110"/>
        <v/>
      </c>
      <c r="LN26" s="4" t="str">
        <f t="shared" si="111"/>
        <v/>
      </c>
      <c r="LO26" s="4" t="str">
        <f t="shared" si="112"/>
        <v/>
      </c>
      <c r="LP26" s="4" t="str">
        <f t="shared" si="113"/>
        <v/>
      </c>
      <c r="LQ26" s="4" t="str">
        <f t="shared" si="114"/>
        <v/>
      </c>
      <c r="LR26" s="4" t="str">
        <f t="shared" si="115"/>
        <v/>
      </c>
      <c r="LS26" s="4" t="str">
        <f t="shared" si="116"/>
        <v/>
      </c>
      <c r="LT26" s="4" t="str">
        <f t="shared" si="117"/>
        <v/>
      </c>
      <c r="LU26" s="4" t="str">
        <f t="shared" si="118"/>
        <v/>
      </c>
      <c r="LV26" s="4" t="str">
        <f t="shared" si="119"/>
        <v/>
      </c>
      <c r="LW26" s="4" t="str">
        <f t="shared" si="120"/>
        <v/>
      </c>
      <c r="LX26" s="4" t="str">
        <f t="shared" si="121"/>
        <v/>
      </c>
      <c r="LY26" s="4" t="str">
        <f t="shared" si="122"/>
        <v/>
      </c>
      <c r="LZ26" s="4" t="str">
        <f t="shared" si="123"/>
        <v/>
      </c>
      <c r="MA26" s="4" t="str">
        <f t="shared" si="124"/>
        <v/>
      </c>
      <c r="MB26" s="4" t="str">
        <f t="shared" si="125"/>
        <v/>
      </c>
      <c r="MC26" s="4" t="str">
        <f t="shared" si="126"/>
        <v/>
      </c>
      <c r="MD26" s="4" t="str">
        <f t="shared" si="127"/>
        <v/>
      </c>
      <c r="ME26" s="4" t="str">
        <f t="shared" si="128"/>
        <v/>
      </c>
      <c r="MF26" s="4" t="str">
        <f t="shared" si="129"/>
        <v/>
      </c>
      <c r="MG26" s="4">
        <f t="shared" si="130"/>
        <v>0</v>
      </c>
    </row>
    <row r="27" spans="1:345" ht="26.25" customHeight="1" thickBot="1" x14ac:dyDescent="0.25">
      <c r="A27" s="35">
        <v>41283</v>
      </c>
      <c r="B27" s="36" t="s">
        <v>151</v>
      </c>
      <c r="C27" s="36" t="s">
        <v>25</v>
      </c>
      <c r="D27" s="31" t="s">
        <v>111</v>
      </c>
      <c r="E27" s="4">
        <v>65</v>
      </c>
      <c r="F27" s="35">
        <v>17392</v>
      </c>
      <c r="G27" s="36" t="s">
        <v>87</v>
      </c>
      <c r="H27" s="36" t="s">
        <v>108</v>
      </c>
      <c r="I27" s="36">
        <v>1834386</v>
      </c>
      <c r="J27" s="2" t="s">
        <v>309</v>
      </c>
      <c r="L27" s="51">
        <v>1</v>
      </c>
      <c r="R27" s="33">
        <v>-0.5</v>
      </c>
      <c r="S27" s="33">
        <v>-0.53</v>
      </c>
      <c r="T27" s="33" t="s">
        <v>251</v>
      </c>
      <c r="U27" s="67">
        <v>18.25</v>
      </c>
      <c r="V27" s="124">
        <v>41218</v>
      </c>
      <c r="W27" s="67">
        <v>-1</v>
      </c>
      <c r="X27" s="67">
        <v>1</v>
      </c>
      <c r="Y27" s="4">
        <v>11</v>
      </c>
      <c r="Z27" s="4">
        <v>30</v>
      </c>
      <c r="AA27" s="4">
        <v>15</v>
      </c>
      <c r="AB27" s="4">
        <v>569</v>
      </c>
      <c r="AC27" s="4">
        <v>24.64</v>
      </c>
      <c r="AF27" s="4">
        <v>3.72</v>
      </c>
      <c r="AG27" s="4">
        <v>42.88</v>
      </c>
      <c r="AH27" s="4">
        <v>118</v>
      </c>
      <c r="AI27" s="4">
        <v>44</v>
      </c>
      <c r="AJ27" s="4">
        <v>28</v>
      </c>
      <c r="AK27" s="4">
        <v>0</v>
      </c>
      <c r="AL27" s="4" t="b">
        <f t="shared" si="0"/>
        <v>0</v>
      </c>
      <c r="AN27" s="32">
        <v>41415</v>
      </c>
      <c r="AO27" s="60">
        <v>50</v>
      </c>
      <c r="AP27" s="67">
        <v>-1</v>
      </c>
      <c r="AQ27" s="67">
        <v>1</v>
      </c>
      <c r="AR27" s="4">
        <v>32</v>
      </c>
      <c r="AS27" s="4">
        <v>20</v>
      </c>
      <c r="AT27" s="4">
        <v>12</v>
      </c>
      <c r="AU27" s="4">
        <v>540</v>
      </c>
      <c r="AV27" s="4">
        <v>2123</v>
      </c>
      <c r="BC27" s="4">
        <f t="shared" si="1"/>
        <v>-0.5</v>
      </c>
      <c r="BD27" s="4">
        <f t="shared" ref="BD27:BD58" si="133">IF(ISNUMBER(BC27),IF(ISNUMBER(S27),BC27-S27,"MISSING"),"")</f>
        <v>3.0000000000000027E-2</v>
      </c>
      <c r="BE27" s="4">
        <f t="shared" si="3"/>
        <v>-29</v>
      </c>
      <c r="BF27" s="3">
        <v>41578</v>
      </c>
      <c r="BG27" s="59"/>
      <c r="BH27" s="67">
        <v>-1.25</v>
      </c>
      <c r="BI27" s="67">
        <v>0.75</v>
      </c>
      <c r="BJ27" s="4">
        <v>115</v>
      </c>
      <c r="BK27" s="4">
        <v>30</v>
      </c>
      <c r="BL27" s="4">
        <v>12</v>
      </c>
      <c r="BM27" s="4">
        <v>544</v>
      </c>
      <c r="BN27" s="4">
        <v>2404</v>
      </c>
      <c r="BO27" s="4">
        <v>24.77</v>
      </c>
      <c r="BP27" s="4">
        <v>4.8499999999999996</v>
      </c>
      <c r="BQ27" s="4">
        <v>42.67</v>
      </c>
      <c r="BR27" s="4">
        <v>113</v>
      </c>
      <c r="BS27" s="4">
        <v>43.72</v>
      </c>
      <c r="BT27" s="4">
        <v>23</v>
      </c>
      <c r="BU27" s="4">
        <f t="shared" si="131"/>
        <v>-0.875</v>
      </c>
      <c r="BV27" s="4">
        <f t="shared" si="4"/>
        <v>-0.34499999999999997</v>
      </c>
      <c r="BW27" s="4">
        <f t="shared" si="5"/>
        <v>-25</v>
      </c>
      <c r="BX27" s="4">
        <f t="shared" si="6"/>
        <v>1</v>
      </c>
      <c r="BY27" s="4">
        <f t="shared" si="7"/>
        <v>1</v>
      </c>
      <c r="BZ27" s="4">
        <f t="shared" si="8"/>
        <v>-0.5</v>
      </c>
      <c r="CA27" s="4">
        <f t="shared" si="9"/>
        <v>-0.5</v>
      </c>
      <c r="CB27" s="4">
        <f t="shared" si="10"/>
        <v>-0.875</v>
      </c>
      <c r="CC27" s="53">
        <f t="shared" si="11"/>
        <v>295</v>
      </c>
      <c r="CD27" s="55">
        <f t="shared" si="12"/>
        <v>9.8333333333333339</v>
      </c>
      <c r="CE27" s="4">
        <f t="shared" si="13"/>
        <v>-0.375</v>
      </c>
      <c r="CF27" s="4" t="str">
        <f t="shared" si="14"/>
        <v/>
      </c>
      <c r="CG27" s="4">
        <f t="shared" si="15"/>
        <v>-0.24499999999999744</v>
      </c>
      <c r="CH27" s="4">
        <f t="shared" si="16"/>
        <v>-0.24499999999999744</v>
      </c>
      <c r="CI27" s="4">
        <f t="shared" si="17"/>
        <v>-0.5</v>
      </c>
      <c r="CJ27" s="4">
        <f t="shared" si="18"/>
        <v>-0.875</v>
      </c>
      <c r="CK27" s="93">
        <f t="shared" si="19"/>
        <v>-0.34499999999999997</v>
      </c>
      <c r="CL27" s="83">
        <f t="shared" si="20"/>
        <v>-25</v>
      </c>
      <c r="CM27" s="4">
        <f t="shared" si="21"/>
        <v>0.12999999999999901</v>
      </c>
      <c r="CN27" s="96">
        <f t="shared" si="22"/>
        <v>-0.53</v>
      </c>
      <c r="CO27" s="96">
        <f t="shared" si="132"/>
        <v>0</v>
      </c>
      <c r="CP27" s="127">
        <f t="shared" si="23"/>
        <v>0.75</v>
      </c>
      <c r="CQ27" s="127">
        <f t="shared" si="24"/>
        <v>-0.25</v>
      </c>
      <c r="CR27" s="136">
        <f t="shared" si="25"/>
        <v>30</v>
      </c>
      <c r="CS27" s="136">
        <f t="shared" si="26"/>
        <v>30</v>
      </c>
      <c r="CT27" s="135">
        <f t="shared" si="27"/>
        <v>50</v>
      </c>
      <c r="CU27" s="139">
        <f t="shared" si="28"/>
        <v>1</v>
      </c>
      <c r="CV27" s="96">
        <f t="shared" si="29"/>
        <v>0</v>
      </c>
      <c r="CW27" s="141" t="b">
        <f t="shared" si="30"/>
        <v>0</v>
      </c>
      <c r="CX27">
        <v>7.76</v>
      </c>
      <c r="CY27" s="4">
        <v>7.87</v>
      </c>
      <c r="CZ27" s="4">
        <v>124.8</v>
      </c>
      <c r="DA27" s="4">
        <v>0.6</v>
      </c>
      <c r="DB27" s="4">
        <v>0.24</v>
      </c>
      <c r="DC27" s="4">
        <v>0.7</v>
      </c>
      <c r="DD27" s="4">
        <v>3.13</v>
      </c>
      <c r="DE27" s="4">
        <v>3.7</v>
      </c>
      <c r="DF27" s="4">
        <v>576</v>
      </c>
      <c r="DG27" s="4">
        <v>575</v>
      </c>
      <c r="DH27" s="4">
        <v>708</v>
      </c>
      <c r="DI27" s="4">
        <v>646</v>
      </c>
      <c r="DJ27" s="4">
        <v>643</v>
      </c>
      <c r="DK27" s="4">
        <v>647</v>
      </c>
      <c r="DL27" s="4">
        <v>573</v>
      </c>
      <c r="DM27" s="4">
        <v>-0.41</v>
      </c>
      <c r="DN27" s="4">
        <v>-0.34</v>
      </c>
      <c r="DO27" s="4">
        <v>7.89</v>
      </c>
      <c r="DP27" s="4">
        <v>7.76</v>
      </c>
      <c r="DQ27" s="4">
        <v>7.76</v>
      </c>
      <c r="DR27" s="4">
        <v>8.09</v>
      </c>
      <c r="DS27" s="4">
        <v>8.68</v>
      </c>
      <c r="DT27" s="4">
        <v>8.9700000000000006</v>
      </c>
      <c r="DU27" s="4">
        <v>0</v>
      </c>
      <c r="DV27" s="4">
        <v>1.6</v>
      </c>
      <c r="DW27" s="4">
        <v>6.26</v>
      </c>
      <c r="DX27" s="4">
        <v>6.33</v>
      </c>
      <c r="DY27" s="4">
        <v>6.55</v>
      </c>
      <c r="DZ27" s="4">
        <v>6.99</v>
      </c>
      <c r="EA27" s="4">
        <v>7.33</v>
      </c>
      <c r="EB27" s="4">
        <v>7.33</v>
      </c>
      <c r="EC27" s="4">
        <v>0</v>
      </c>
      <c r="ED27" s="89">
        <v>1.6</v>
      </c>
      <c r="EE27" s="110">
        <v>42.9</v>
      </c>
      <c r="EF27" s="110">
        <v>43.5</v>
      </c>
      <c r="EG27" s="110">
        <v>43.2</v>
      </c>
      <c r="EH27" s="110">
        <v>124.8</v>
      </c>
      <c r="EI27" s="110">
        <v>0.6</v>
      </c>
      <c r="EJ27" s="110">
        <v>-6.2</v>
      </c>
      <c r="EK27" s="110">
        <v>-6.6</v>
      </c>
      <c r="EL27" s="110">
        <v>-6.4</v>
      </c>
      <c r="EM27" s="110">
        <v>175.5</v>
      </c>
      <c r="EN27" s="110">
        <v>0.4</v>
      </c>
      <c r="EO27" s="110">
        <v>4.2</v>
      </c>
      <c r="EP27" s="110">
        <v>12.3</v>
      </c>
      <c r="EQ27" s="110">
        <v>26.1</v>
      </c>
      <c r="ER27" s="110">
        <v>61.7</v>
      </c>
      <c r="ES27" s="114">
        <v>23</v>
      </c>
      <c r="GP27" s="83">
        <v>7.9</v>
      </c>
      <c r="GQ27" s="4">
        <v>7.73</v>
      </c>
      <c r="GR27" s="4">
        <v>139</v>
      </c>
      <c r="GS27" s="4">
        <v>-0.9</v>
      </c>
      <c r="GT27" s="4">
        <v>0.57999999999999996</v>
      </c>
      <c r="GU27" s="4">
        <v>0.64</v>
      </c>
      <c r="GV27" s="4">
        <v>4.25</v>
      </c>
      <c r="GW27" s="4">
        <v>4.8</v>
      </c>
      <c r="GX27" s="4">
        <v>543</v>
      </c>
      <c r="GY27" s="4">
        <v>541</v>
      </c>
      <c r="GZ27" s="4">
        <v>672</v>
      </c>
      <c r="HA27" s="4">
        <v>616</v>
      </c>
      <c r="HB27" s="4">
        <v>624</v>
      </c>
      <c r="HC27" s="4">
        <v>613</v>
      </c>
      <c r="HD27" s="4">
        <v>537</v>
      </c>
      <c r="HE27" s="4">
        <v>-0.72</v>
      </c>
      <c r="HF27" s="4">
        <v>-0.46</v>
      </c>
      <c r="HG27" s="4">
        <v>7.83</v>
      </c>
      <c r="HH27" s="4">
        <v>7.78</v>
      </c>
      <c r="HI27" s="4">
        <v>7.84</v>
      </c>
      <c r="HJ27" s="4">
        <v>8.07</v>
      </c>
      <c r="HK27" s="4">
        <v>8.32</v>
      </c>
      <c r="HL27" s="4">
        <v>8.5399999999999991</v>
      </c>
      <c r="HM27" s="4">
        <v>0</v>
      </c>
      <c r="HN27" s="4">
        <v>1.5</v>
      </c>
      <c r="HO27" s="4">
        <v>6.3</v>
      </c>
      <c r="HP27" s="4">
        <v>6.34</v>
      </c>
      <c r="HQ27" s="4">
        <v>6.46</v>
      </c>
      <c r="HR27" s="4">
        <v>6.62</v>
      </c>
      <c r="HS27" s="4">
        <v>6.81</v>
      </c>
      <c r="HT27" s="4">
        <v>0</v>
      </c>
      <c r="HU27" s="4">
        <v>0</v>
      </c>
      <c r="HV27" s="93">
        <v>1.5</v>
      </c>
      <c r="HW27" s="110">
        <v>42.7</v>
      </c>
      <c r="HX27" s="110">
        <v>43.6</v>
      </c>
      <c r="HY27" s="110">
        <v>43.2</v>
      </c>
      <c r="HZ27" s="110">
        <v>139</v>
      </c>
      <c r="IA27" s="110">
        <v>0.9</v>
      </c>
      <c r="IB27" s="110">
        <v>-6.2</v>
      </c>
      <c r="IC27" s="110">
        <v>-6.5</v>
      </c>
      <c r="ID27" s="110">
        <v>-6.4</v>
      </c>
      <c r="IE27" s="110">
        <v>179.4</v>
      </c>
      <c r="IF27" s="110">
        <v>0.4</v>
      </c>
      <c r="IG27" s="110">
        <v>3.9</v>
      </c>
      <c r="IH27" s="110">
        <v>11.6</v>
      </c>
      <c r="II27" s="110">
        <v>24.8</v>
      </c>
      <c r="IJ27" s="110">
        <v>60.8</v>
      </c>
      <c r="IK27" s="121">
        <v>21</v>
      </c>
      <c r="IL27" s="83">
        <f t="shared" si="31"/>
        <v>7.9</v>
      </c>
      <c r="IM27" s="4">
        <f t="shared" si="32"/>
        <v>7.73</v>
      </c>
      <c r="IN27" s="4">
        <f t="shared" si="33"/>
        <v>139</v>
      </c>
      <c r="IO27" s="4">
        <f t="shared" si="34"/>
        <v>-0.9</v>
      </c>
      <c r="IP27" s="4">
        <f t="shared" si="35"/>
        <v>0.57999999999999996</v>
      </c>
      <c r="IQ27" s="4">
        <f t="shared" si="36"/>
        <v>0.64</v>
      </c>
      <c r="IR27" s="4">
        <f t="shared" si="37"/>
        <v>4.25</v>
      </c>
      <c r="IS27" s="4">
        <f t="shared" si="38"/>
        <v>4.8</v>
      </c>
      <c r="IT27" s="4">
        <f t="shared" si="39"/>
        <v>543</v>
      </c>
      <c r="IU27" s="4">
        <f t="shared" si="40"/>
        <v>541</v>
      </c>
      <c r="IV27" s="4">
        <f t="shared" si="41"/>
        <v>672</v>
      </c>
      <c r="IW27" s="4">
        <f t="shared" si="42"/>
        <v>616</v>
      </c>
      <c r="IX27" s="4">
        <f t="shared" si="43"/>
        <v>624</v>
      </c>
      <c r="IY27" s="4">
        <f t="shared" si="44"/>
        <v>613</v>
      </c>
      <c r="IZ27" s="4">
        <f t="shared" si="45"/>
        <v>537</v>
      </c>
      <c r="JA27" s="4">
        <f t="shared" si="46"/>
        <v>-0.72</v>
      </c>
      <c r="JB27" s="4">
        <f t="shared" si="47"/>
        <v>-0.46</v>
      </c>
      <c r="JC27" s="4">
        <f t="shared" si="48"/>
        <v>7.83</v>
      </c>
      <c r="JD27" s="4">
        <f t="shared" si="49"/>
        <v>7.78</v>
      </c>
      <c r="JE27" s="4">
        <f t="shared" si="50"/>
        <v>7.84</v>
      </c>
      <c r="JF27" s="4">
        <f t="shared" si="51"/>
        <v>8.07</v>
      </c>
      <c r="JG27" s="4">
        <f t="shared" si="52"/>
        <v>8.32</v>
      </c>
      <c r="JH27" s="4">
        <f t="shared" si="53"/>
        <v>8.5399999999999991</v>
      </c>
      <c r="JI27" s="4">
        <f t="shared" si="54"/>
        <v>0</v>
      </c>
      <c r="JJ27" s="4">
        <f t="shared" si="55"/>
        <v>1.5</v>
      </c>
      <c r="JK27" s="4">
        <f t="shared" si="56"/>
        <v>6.3</v>
      </c>
      <c r="JL27" s="4">
        <f t="shared" si="57"/>
        <v>6.34</v>
      </c>
      <c r="JM27" s="4">
        <f t="shared" si="58"/>
        <v>6.46</v>
      </c>
      <c r="JN27" s="4">
        <f t="shared" si="59"/>
        <v>6.62</v>
      </c>
      <c r="JO27" s="4">
        <f t="shared" si="60"/>
        <v>6.81</v>
      </c>
      <c r="JP27" s="4">
        <f t="shared" si="61"/>
        <v>0</v>
      </c>
      <c r="JQ27" s="117">
        <f t="shared" si="62"/>
        <v>0</v>
      </c>
      <c r="JR27" s="110">
        <f t="shared" si="63"/>
        <v>1.5</v>
      </c>
      <c r="JS27" s="110">
        <f t="shared" si="64"/>
        <v>42.7</v>
      </c>
      <c r="JT27" s="110">
        <f t="shared" si="65"/>
        <v>43.6</v>
      </c>
      <c r="JU27" s="110">
        <f t="shared" si="66"/>
        <v>43.2</v>
      </c>
      <c r="JV27" s="110">
        <f t="shared" si="67"/>
        <v>139</v>
      </c>
      <c r="JW27" s="110">
        <f t="shared" si="68"/>
        <v>0.9</v>
      </c>
      <c r="JX27" s="110">
        <f t="shared" si="69"/>
        <v>-6.2</v>
      </c>
      <c r="JY27" s="110">
        <f t="shared" si="70"/>
        <v>-6.5</v>
      </c>
      <c r="JZ27" s="110">
        <f t="shared" si="71"/>
        <v>-6.4</v>
      </c>
      <c r="KA27" s="110">
        <f t="shared" si="72"/>
        <v>179.4</v>
      </c>
      <c r="KB27" s="110">
        <f t="shared" si="73"/>
        <v>0.4</v>
      </c>
      <c r="KC27" s="110">
        <f t="shared" si="74"/>
        <v>3.9</v>
      </c>
      <c r="KD27" s="110">
        <f t="shared" si="75"/>
        <v>11.6</v>
      </c>
      <c r="KE27" s="110">
        <f t="shared" si="76"/>
        <v>24.8</v>
      </c>
      <c r="KF27" s="110">
        <f t="shared" si="77"/>
        <v>60.8</v>
      </c>
      <c r="KG27" s="121">
        <f t="shared" si="78"/>
        <v>21</v>
      </c>
      <c r="KH27" s="83">
        <f t="shared" si="79"/>
        <v>0.14000000000000057</v>
      </c>
      <c r="KI27" s="4">
        <f t="shared" si="80"/>
        <v>-0.13999999999999968</v>
      </c>
      <c r="KJ27" s="4">
        <f t="shared" si="81"/>
        <v>14.200000000000003</v>
      </c>
      <c r="KK27" s="4">
        <f t="shared" si="82"/>
        <v>-1.5</v>
      </c>
      <c r="KL27" s="4">
        <f t="shared" si="83"/>
        <v>0.33999999999999997</v>
      </c>
      <c r="KM27" s="4">
        <f t="shared" si="84"/>
        <v>-5.9999999999999942E-2</v>
      </c>
      <c r="KN27" s="4">
        <f t="shared" si="85"/>
        <v>1.1200000000000001</v>
      </c>
      <c r="KO27" s="4">
        <f t="shared" si="86"/>
        <v>1.0999999999999996</v>
      </c>
      <c r="KP27" s="4">
        <f t="shared" si="87"/>
        <v>-33</v>
      </c>
      <c r="KQ27" s="4">
        <f t="shared" si="88"/>
        <v>-34</v>
      </c>
      <c r="KR27" s="4">
        <f t="shared" si="89"/>
        <v>-36</v>
      </c>
      <c r="KS27" s="4">
        <f t="shared" si="90"/>
        <v>-30</v>
      </c>
      <c r="KT27" s="4">
        <f t="shared" si="91"/>
        <v>-19</v>
      </c>
      <c r="KU27" s="4">
        <f t="shared" si="92"/>
        <v>-34</v>
      </c>
      <c r="KV27" s="4">
        <f t="shared" si="93"/>
        <v>-36</v>
      </c>
      <c r="KW27" s="4">
        <f t="shared" si="94"/>
        <v>-0.31</v>
      </c>
      <c r="KX27" s="4">
        <f t="shared" si="95"/>
        <v>-0.12</v>
      </c>
      <c r="KY27" s="4">
        <f t="shared" si="96"/>
        <v>-5.9999999999999609E-2</v>
      </c>
      <c r="KZ27" s="4">
        <f t="shared" si="97"/>
        <v>2.0000000000000462E-2</v>
      </c>
      <c r="LA27" s="4">
        <f t="shared" si="98"/>
        <v>8.0000000000000071E-2</v>
      </c>
      <c r="LB27" s="4">
        <f t="shared" si="99"/>
        <v>-1.9999999999999574E-2</v>
      </c>
      <c r="LC27" s="4">
        <f t="shared" si="100"/>
        <v>-0.35999999999999943</v>
      </c>
      <c r="LD27" s="4">
        <f t="shared" si="101"/>
        <v>-0.43000000000000149</v>
      </c>
      <c r="LE27" s="4">
        <f t="shared" si="102"/>
        <v>0</v>
      </c>
      <c r="LF27" s="4">
        <f t="shared" si="103"/>
        <v>-0.10000000000000009</v>
      </c>
      <c r="LG27" s="4">
        <f t="shared" si="104"/>
        <v>4.0000000000000036E-2</v>
      </c>
      <c r="LH27" s="4">
        <f t="shared" si="105"/>
        <v>9.9999999999997868E-3</v>
      </c>
      <c r="LI27" s="4">
        <f t="shared" si="106"/>
        <v>-8.9999999999999858E-2</v>
      </c>
      <c r="LJ27" s="4">
        <f t="shared" si="107"/>
        <v>-0.37000000000000011</v>
      </c>
      <c r="LK27" s="4">
        <f t="shared" si="108"/>
        <v>-0.52000000000000046</v>
      </c>
      <c r="LL27" s="4">
        <f t="shared" si="109"/>
        <v>-7.33</v>
      </c>
      <c r="LM27" s="4">
        <f t="shared" si="110"/>
        <v>0</v>
      </c>
      <c r="LN27" s="4">
        <f t="shared" si="111"/>
        <v>-0.10000000000000009</v>
      </c>
      <c r="LO27" s="4">
        <f t="shared" si="112"/>
        <v>-0.19999999999999574</v>
      </c>
      <c r="LP27" s="4">
        <f t="shared" si="113"/>
        <v>0.10000000000000142</v>
      </c>
      <c r="LQ27" s="4">
        <f t="shared" si="114"/>
        <v>0</v>
      </c>
      <c r="LR27" s="4">
        <f t="shared" si="115"/>
        <v>14.200000000000003</v>
      </c>
      <c r="LS27" s="4">
        <f t="shared" si="116"/>
        <v>0.30000000000000004</v>
      </c>
      <c r="LT27" s="4">
        <f t="shared" si="117"/>
        <v>0</v>
      </c>
      <c r="LU27" s="4">
        <f t="shared" si="118"/>
        <v>9.9999999999999645E-2</v>
      </c>
      <c r="LV27" s="4">
        <f t="shared" si="119"/>
        <v>0</v>
      </c>
      <c r="LW27" s="4">
        <f t="shared" si="120"/>
        <v>3.9000000000000057</v>
      </c>
      <c r="LX27" s="4">
        <f t="shared" si="121"/>
        <v>0</v>
      </c>
      <c r="LY27" s="4">
        <f t="shared" si="122"/>
        <v>-0.30000000000000027</v>
      </c>
      <c r="LZ27" s="4">
        <f t="shared" si="123"/>
        <v>-0.70000000000000107</v>
      </c>
      <c r="MA27" s="4">
        <f t="shared" si="124"/>
        <v>-1.3000000000000007</v>
      </c>
      <c r="MB27" s="4">
        <f t="shared" si="125"/>
        <v>-0.90000000000000568</v>
      </c>
      <c r="MC27" s="4">
        <f t="shared" si="126"/>
        <v>-2</v>
      </c>
      <c r="MD27" s="4" t="str">
        <f t="shared" si="127"/>
        <v/>
      </c>
      <c r="ME27" s="4" t="str">
        <f t="shared" si="128"/>
        <v/>
      </c>
      <c r="MF27" s="4" t="str">
        <f t="shared" si="129"/>
        <v/>
      </c>
      <c r="MG27" s="4">
        <f t="shared" si="130"/>
        <v>-6.5</v>
      </c>
    </row>
    <row r="28" spans="1:345" s="195" customFormat="1" ht="26.25" customHeight="1" thickBot="1" x14ac:dyDescent="0.25">
      <c r="A28" s="194">
        <v>41325</v>
      </c>
      <c r="B28" s="195" t="s">
        <v>160</v>
      </c>
      <c r="C28" s="195" t="s">
        <v>34</v>
      </c>
      <c r="D28" s="196" t="s">
        <v>110</v>
      </c>
      <c r="E28" s="195">
        <v>65</v>
      </c>
      <c r="F28" s="194">
        <v>17251</v>
      </c>
      <c r="G28" s="195" t="s">
        <v>87</v>
      </c>
      <c r="H28" s="195" t="s">
        <v>112</v>
      </c>
      <c r="I28" s="195">
        <v>1834566</v>
      </c>
      <c r="J28" s="257" t="s">
        <v>309</v>
      </c>
      <c r="K28" s="237" t="s">
        <v>639</v>
      </c>
      <c r="L28" s="238"/>
      <c r="M28" s="238"/>
      <c r="N28" s="234"/>
      <c r="O28" s="262"/>
      <c r="P28" s="234"/>
      <c r="Q28" s="234"/>
      <c r="R28" s="197">
        <v>-2</v>
      </c>
      <c r="S28" s="195">
        <v>-2.02</v>
      </c>
      <c r="T28" s="195" t="s">
        <v>249</v>
      </c>
      <c r="U28" s="198">
        <v>27</v>
      </c>
      <c r="V28" s="194">
        <v>41320</v>
      </c>
      <c r="W28" s="198">
        <v>4.5</v>
      </c>
      <c r="X28" s="198">
        <v>2.5</v>
      </c>
      <c r="Y28" s="195">
        <v>110</v>
      </c>
      <c r="Z28" s="195">
        <v>300</v>
      </c>
      <c r="AA28" s="195">
        <v>12</v>
      </c>
      <c r="AB28" s="195">
        <v>696</v>
      </c>
      <c r="AC28" s="195">
        <v>23.04</v>
      </c>
      <c r="AD28" s="195">
        <v>12.5</v>
      </c>
      <c r="AE28" s="195">
        <v>4.95</v>
      </c>
      <c r="AF28" s="195">
        <v>3.3</v>
      </c>
      <c r="AG28" s="195">
        <v>39.61</v>
      </c>
      <c r="AH28" s="195">
        <v>16</v>
      </c>
      <c r="AI28" s="195">
        <v>41.98</v>
      </c>
      <c r="AJ28" s="195">
        <v>106</v>
      </c>
      <c r="AK28" s="195">
        <v>1</v>
      </c>
      <c r="AL28" s="195" t="b">
        <f t="shared" si="0"/>
        <v>1</v>
      </c>
      <c r="AM28" s="199"/>
      <c r="AN28" s="200">
        <v>41512</v>
      </c>
      <c r="AO28" s="201"/>
      <c r="AP28" s="198">
        <v>0</v>
      </c>
      <c r="AQ28" s="198">
        <v>0</v>
      </c>
      <c r="AR28" s="195">
        <v>0</v>
      </c>
      <c r="AS28" s="195">
        <v>200</v>
      </c>
      <c r="AT28" s="195">
        <v>13</v>
      </c>
      <c r="AU28" s="195">
        <v>593</v>
      </c>
      <c r="AV28" s="195">
        <v>2639</v>
      </c>
      <c r="BC28" s="195">
        <f t="shared" si="1"/>
        <v>0</v>
      </c>
      <c r="BD28" s="195">
        <f t="shared" si="133"/>
        <v>2.02</v>
      </c>
      <c r="BE28" s="195">
        <f t="shared" si="3"/>
        <v>-103</v>
      </c>
      <c r="BF28" s="224">
        <v>41698</v>
      </c>
      <c r="BG28" s="203">
        <v>200</v>
      </c>
      <c r="BH28" s="198">
        <v>0</v>
      </c>
      <c r="BI28" s="198">
        <v>0</v>
      </c>
      <c r="BJ28" s="195">
        <v>0</v>
      </c>
      <c r="BK28" s="195">
        <v>200</v>
      </c>
      <c r="BL28" s="195">
        <v>12</v>
      </c>
      <c r="BM28" s="195">
        <v>596</v>
      </c>
      <c r="BN28" s="195">
        <v>2564</v>
      </c>
      <c r="BO28" s="195">
        <v>23.04</v>
      </c>
      <c r="BP28" s="195">
        <v>2.84</v>
      </c>
      <c r="BQ28" s="195">
        <v>38.479999999999997</v>
      </c>
      <c r="BR28" s="195">
        <v>8</v>
      </c>
      <c r="BS28" s="195">
        <v>41.01</v>
      </c>
      <c r="BT28" s="195">
        <v>98</v>
      </c>
      <c r="BU28" s="195">
        <f t="shared" si="131"/>
        <v>0</v>
      </c>
      <c r="BV28" s="195">
        <f t="shared" si="4"/>
        <v>2.02</v>
      </c>
      <c r="BW28" s="195">
        <f t="shared" si="5"/>
        <v>-100</v>
      </c>
      <c r="BX28" s="195">
        <f t="shared" si="6"/>
        <v>1</v>
      </c>
      <c r="BY28" s="195">
        <f t="shared" si="7"/>
        <v>1</v>
      </c>
      <c r="BZ28" s="195">
        <f t="shared" si="8"/>
        <v>5.75</v>
      </c>
      <c r="CA28" s="195">
        <f t="shared" si="9"/>
        <v>0</v>
      </c>
      <c r="CB28" s="195">
        <f t="shared" si="10"/>
        <v>0</v>
      </c>
      <c r="CC28" s="204">
        <f t="shared" si="11"/>
        <v>373</v>
      </c>
      <c r="CD28" s="205">
        <f t="shared" si="12"/>
        <v>12.433333333333334</v>
      </c>
      <c r="CE28" s="195">
        <f t="shared" si="13"/>
        <v>0</v>
      </c>
      <c r="CF28" s="195" t="str">
        <f t="shared" si="14"/>
        <v/>
      </c>
      <c r="CG28" s="195">
        <f t="shared" si="15"/>
        <v>-1.0500000000000043</v>
      </c>
      <c r="CH28" s="195">
        <f t="shared" si="16"/>
        <v>-1.0500000000000043</v>
      </c>
      <c r="CI28" s="195">
        <f t="shared" si="17"/>
        <v>5.75</v>
      </c>
      <c r="CJ28" s="195">
        <f t="shared" si="18"/>
        <v>0</v>
      </c>
      <c r="CK28" s="206">
        <f t="shared" si="19"/>
        <v>2.02</v>
      </c>
      <c r="CL28" s="207">
        <f t="shared" si="20"/>
        <v>-100</v>
      </c>
      <c r="CM28" s="195">
        <f t="shared" si="21"/>
        <v>0</v>
      </c>
      <c r="CN28" s="208">
        <f t="shared" si="22"/>
        <v>-2.02</v>
      </c>
      <c r="CO28" s="208">
        <f t="shared" si="132"/>
        <v>0.17609125905568135</v>
      </c>
      <c r="CP28" s="209">
        <f t="shared" si="23"/>
        <v>0</v>
      </c>
      <c r="CQ28" s="209">
        <f t="shared" si="24"/>
        <v>-2.5</v>
      </c>
      <c r="CR28" s="210">
        <f t="shared" si="25"/>
        <v>200</v>
      </c>
      <c r="CS28" s="210">
        <f t="shared" si="26"/>
        <v>300</v>
      </c>
      <c r="CT28" s="211" t="str">
        <f t="shared" si="27"/>
        <v/>
      </c>
      <c r="CU28" s="212" t="str">
        <f t="shared" si="28"/>
        <v/>
      </c>
      <c r="CV28" s="208" t="str">
        <f t="shared" si="29"/>
        <v/>
      </c>
      <c r="CW28" s="213" t="str">
        <f t="shared" si="30"/>
        <v/>
      </c>
      <c r="CX28" s="214"/>
      <c r="ED28" s="215"/>
      <c r="EE28" s="216"/>
      <c r="EF28" s="216"/>
      <c r="EG28" s="216"/>
      <c r="EH28" s="216"/>
      <c r="EI28" s="216"/>
      <c r="EJ28" s="216"/>
      <c r="EK28" s="216"/>
      <c r="EL28" s="216"/>
      <c r="EM28" s="216"/>
      <c r="EN28" s="216"/>
      <c r="EO28" s="216"/>
      <c r="EP28" s="216"/>
      <c r="EQ28" s="216"/>
      <c r="ER28" s="216"/>
      <c r="ES28" s="217"/>
      <c r="ET28" s="207"/>
      <c r="FZ28" s="218"/>
      <c r="GA28" s="216"/>
      <c r="GB28" s="216"/>
      <c r="GC28" s="216"/>
      <c r="GD28" s="216"/>
      <c r="GE28" s="216"/>
      <c r="GF28" s="216"/>
      <c r="GG28" s="216"/>
      <c r="GH28" s="216"/>
      <c r="GI28" s="216"/>
      <c r="GJ28" s="216"/>
      <c r="GK28" s="216"/>
      <c r="GL28" s="216"/>
      <c r="GM28" s="216"/>
      <c r="GN28" s="216"/>
      <c r="GO28" s="219"/>
      <c r="GP28" s="207"/>
      <c r="HV28" s="206"/>
      <c r="HW28" s="216"/>
      <c r="HX28" s="216"/>
      <c r="HY28" s="216"/>
      <c r="HZ28" s="216"/>
      <c r="IA28" s="216"/>
      <c r="IB28" s="216"/>
      <c r="IC28" s="216"/>
      <c r="ID28" s="216"/>
      <c r="IE28" s="216"/>
      <c r="IF28" s="216"/>
      <c r="IG28" s="216"/>
      <c r="IH28" s="216"/>
      <c r="II28" s="216"/>
      <c r="IJ28" s="216"/>
      <c r="IK28" s="220"/>
      <c r="IL28" s="207" t="str">
        <f t="shared" si="31"/>
        <v/>
      </c>
      <c r="IM28" s="195" t="str">
        <f t="shared" si="32"/>
        <v/>
      </c>
      <c r="IN28" s="195" t="str">
        <f t="shared" si="33"/>
        <v/>
      </c>
      <c r="IO28" s="195" t="str">
        <f t="shared" si="34"/>
        <v/>
      </c>
      <c r="IP28" s="195" t="str">
        <f t="shared" si="35"/>
        <v/>
      </c>
      <c r="IQ28" s="195" t="str">
        <f t="shared" si="36"/>
        <v/>
      </c>
      <c r="IR28" s="195" t="str">
        <f t="shared" si="37"/>
        <v/>
      </c>
      <c r="IS28" s="195" t="str">
        <f t="shared" si="38"/>
        <v/>
      </c>
      <c r="IT28" s="195" t="str">
        <f t="shared" si="39"/>
        <v/>
      </c>
      <c r="IU28" s="195" t="str">
        <f t="shared" si="40"/>
        <v/>
      </c>
      <c r="IV28" s="195" t="str">
        <f t="shared" si="41"/>
        <v/>
      </c>
      <c r="IW28" s="195" t="str">
        <f t="shared" si="42"/>
        <v/>
      </c>
      <c r="IX28" s="195" t="str">
        <f t="shared" si="43"/>
        <v/>
      </c>
      <c r="IY28" s="195" t="str">
        <f t="shared" si="44"/>
        <v/>
      </c>
      <c r="IZ28" s="195" t="str">
        <f t="shared" si="45"/>
        <v/>
      </c>
      <c r="JA28" s="195" t="str">
        <f t="shared" si="46"/>
        <v/>
      </c>
      <c r="JB28" s="195" t="str">
        <f t="shared" si="47"/>
        <v/>
      </c>
      <c r="JC28" s="195" t="str">
        <f t="shared" si="48"/>
        <v/>
      </c>
      <c r="JD28" s="195" t="str">
        <f t="shared" si="49"/>
        <v/>
      </c>
      <c r="JE28" s="195" t="str">
        <f t="shared" si="50"/>
        <v/>
      </c>
      <c r="JF28" s="195" t="str">
        <f t="shared" si="51"/>
        <v/>
      </c>
      <c r="JG28" s="195" t="str">
        <f t="shared" si="52"/>
        <v/>
      </c>
      <c r="JH28" s="195" t="str">
        <f t="shared" si="53"/>
        <v/>
      </c>
      <c r="JI28" s="195" t="str">
        <f t="shared" si="54"/>
        <v/>
      </c>
      <c r="JJ28" s="195" t="str">
        <f t="shared" si="55"/>
        <v/>
      </c>
      <c r="JK28" s="195" t="str">
        <f t="shared" si="56"/>
        <v/>
      </c>
      <c r="JL28" s="195" t="str">
        <f t="shared" si="57"/>
        <v/>
      </c>
      <c r="JM28" s="195" t="str">
        <f t="shared" si="58"/>
        <v/>
      </c>
      <c r="JN28" s="195" t="str">
        <f t="shared" si="59"/>
        <v/>
      </c>
      <c r="JO28" s="195" t="str">
        <f t="shared" si="60"/>
        <v/>
      </c>
      <c r="JP28" s="195" t="str">
        <f t="shared" si="61"/>
        <v/>
      </c>
      <c r="JQ28" s="221" t="str">
        <f t="shared" si="62"/>
        <v/>
      </c>
      <c r="JR28" s="216" t="str">
        <f t="shared" si="63"/>
        <v/>
      </c>
      <c r="JS28" s="216" t="str">
        <f t="shared" si="64"/>
        <v/>
      </c>
      <c r="JT28" s="216" t="str">
        <f t="shared" si="65"/>
        <v/>
      </c>
      <c r="JU28" s="216" t="str">
        <f t="shared" si="66"/>
        <v/>
      </c>
      <c r="JV28" s="216" t="str">
        <f t="shared" si="67"/>
        <v/>
      </c>
      <c r="JW28" s="216" t="str">
        <f t="shared" si="68"/>
        <v/>
      </c>
      <c r="JX28" s="216" t="str">
        <f t="shared" si="69"/>
        <v/>
      </c>
      <c r="JY28" s="216" t="str">
        <f t="shared" si="70"/>
        <v/>
      </c>
      <c r="JZ28" s="216" t="str">
        <f t="shared" si="71"/>
        <v/>
      </c>
      <c r="KA28" s="216" t="str">
        <f t="shared" si="72"/>
        <v/>
      </c>
      <c r="KB28" s="216" t="str">
        <f t="shared" si="73"/>
        <v/>
      </c>
      <c r="KC28" s="216" t="str">
        <f t="shared" si="74"/>
        <v/>
      </c>
      <c r="KD28" s="216" t="str">
        <f t="shared" si="75"/>
        <v/>
      </c>
      <c r="KE28" s="216" t="str">
        <f t="shared" si="76"/>
        <v/>
      </c>
      <c r="KF28" s="216" t="str">
        <f t="shared" si="77"/>
        <v/>
      </c>
      <c r="KG28" s="220" t="str">
        <f t="shared" si="78"/>
        <v/>
      </c>
      <c r="KH28" s="207" t="str">
        <f t="shared" si="79"/>
        <v/>
      </c>
      <c r="KI28" s="195" t="str">
        <f t="shared" si="80"/>
        <v/>
      </c>
      <c r="KJ28" s="195" t="str">
        <f t="shared" si="81"/>
        <v/>
      </c>
      <c r="KK28" s="195" t="str">
        <f t="shared" si="82"/>
        <v/>
      </c>
      <c r="KL28" s="195" t="str">
        <f t="shared" si="83"/>
        <v/>
      </c>
      <c r="KM28" s="195" t="str">
        <f t="shared" si="84"/>
        <v/>
      </c>
      <c r="KN28" s="195" t="str">
        <f t="shared" si="85"/>
        <v/>
      </c>
      <c r="KO28" s="195" t="str">
        <f t="shared" si="86"/>
        <v/>
      </c>
      <c r="KP28" s="195" t="str">
        <f t="shared" si="87"/>
        <v/>
      </c>
      <c r="KQ28" s="195" t="str">
        <f t="shared" si="88"/>
        <v/>
      </c>
      <c r="KR28" s="195" t="str">
        <f t="shared" si="89"/>
        <v/>
      </c>
      <c r="KS28" s="195" t="str">
        <f t="shared" si="90"/>
        <v/>
      </c>
      <c r="KT28" s="195" t="str">
        <f t="shared" si="91"/>
        <v/>
      </c>
      <c r="KU28" s="195" t="str">
        <f t="shared" si="92"/>
        <v/>
      </c>
      <c r="KV28" s="195" t="str">
        <f t="shared" si="93"/>
        <v/>
      </c>
      <c r="KW28" s="195" t="str">
        <f t="shared" si="94"/>
        <v/>
      </c>
      <c r="KX28" s="195" t="str">
        <f t="shared" si="95"/>
        <v/>
      </c>
      <c r="KY28" s="195" t="str">
        <f t="shared" si="96"/>
        <v/>
      </c>
      <c r="KZ28" s="195" t="str">
        <f t="shared" si="97"/>
        <v/>
      </c>
      <c r="LA28" s="195" t="str">
        <f t="shared" si="98"/>
        <v/>
      </c>
      <c r="LB28" s="195" t="str">
        <f t="shared" si="99"/>
        <v/>
      </c>
      <c r="LC28" s="195" t="str">
        <f t="shared" si="100"/>
        <v/>
      </c>
      <c r="LD28" s="195" t="str">
        <f t="shared" si="101"/>
        <v/>
      </c>
      <c r="LE28" s="195" t="str">
        <f t="shared" si="102"/>
        <v/>
      </c>
      <c r="LF28" s="195" t="str">
        <f t="shared" si="103"/>
        <v/>
      </c>
      <c r="LG28" s="195" t="str">
        <f t="shared" si="104"/>
        <v/>
      </c>
      <c r="LH28" s="195" t="str">
        <f t="shared" si="105"/>
        <v/>
      </c>
      <c r="LI28" s="195" t="str">
        <f t="shared" si="106"/>
        <v/>
      </c>
      <c r="LJ28" s="195" t="str">
        <f t="shared" si="107"/>
        <v/>
      </c>
      <c r="LK28" s="195" t="str">
        <f t="shared" si="108"/>
        <v/>
      </c>
      <c r="LL28" s="195" t="str">
        <f t="shared" si="109"/>
        <v/>
      </c>
      <c r="LM28" s="195" t="str">
        <f t="shared" si="110"/>
        <v/>
      </c>
      <c r="LN28" s="195" t="str">
        <f t="shared" si="111"/>
        <v/>
      </c>
      <c r="LO28" s="195" t="str">
        <f t="shared" si="112"/>
        <v/>
      </c>
      <c r="LP28" s="195" t="str">
        <f t="shared" si="113"/>
        <v/>
      </c>
      <c r="LQ28" s="195" t="str">
        <f t="shared" si="114"/>
        <v/>
      </c>
      <c r="LR28" s="195" t="str">
        <f t="shared" si="115"/>
        <v/>
      </c>
      <c r="LS28" s="195" t="str">
        <f t="shared" si="116"/>
        <v/>
      </c>
      <c r="LT28" s="195" t="str">
        <f t="shared" si="117"/>
        <v/>
      </c>
      <c r="LU28" s="195" t="str">
        <f t="shared" si="118"/>
        <v/>
      </c>
      <c r="LV28" s="195" t="str">
        <f t="shared" si="119"/>
        <v/>
      </c>
      <c r="LW28" s="195" t="str">
        <f t="shared" si="120"/>
        <v/>
      </c>
      <c r="LX28" s="195" t="str">
        <f t="shared" si="121"/>
        <v/>
      </c>
      <c r="LY28" s="195" t="str">
        <f t="shared" si="122"/>
        <v/>
      </c>
      <c r="LZ28" s="195" t="str">
        <f t="shared" si="123"/>
        <v/>
      </c>
      <c r="MA28" s="195" t="str">
        <f t="shared" si="124"/>
        <v/>
      </c>
      <c r="MB28" s="195" t="str">
        <f t="shared" si="125"/>
        <v/>
      </c>
      <c r="MC28" s="195" t="str">
        <f t="shared" si="126"/>
        <v/>
      </c>
      <c r="MD28" s="195" t="str">
        <f t="shared" si="127"/>
        <v/>
      </c>
      <c r="ME28" s="195" t="str">
        <f t="shared" si="128"/>
        <v/>
      </c>
      <c r="MF28" s="195" t="str">
        <f t="shared" si="129"/>
        <v/>
      </c>
      <c r="MG28" s="195">
        <f t="shared" si="130"/>
        <v>0</v>
      </c>
    </row>
    <row r="29" spans="1:345" ht="26.25" customHeight="1" thickBot="1" x14ac:dyDescent="0.25">
      <c r="A29" s="35">
        <v>41423</v>
      </c>
      <c r="B29" s="36" t="s">
        <v>223</v>
      </c>
      <c r="C29" s="36" t="s">
        <v>56</v>
      </c>
      <c r="D29" s="31" t="s">
        <v>110</v>
      </c>
      <c r="E29" s="4">
        <v>75</v>
      </c>
      <c r="F29" s="3">
        <v>13786</v>
      </c>
      <c r="G29" s="4" t="s">
        <v>87</v>
      </c>
      <c r="H29" s="4" t="s">
        <v>112</v>
      </c>
      <c r="I29" s="4">
        <v>1834654</v>
      </c>
      <c r="J29" s="2" t="s">
        <v>309</v>
      </c>
      <c r="K29" s="227"/>
      <c r="L29" s="228"/>
      <c r="M29" s="228">
        <v>1</v>
      </c>
      <c r="N29" s="228" t="s">
        <v>642</v>
      </c>
      <c r="O29" s="258"/>
      <c r="P29" s="228"/>
      <c r="Q29" s="228"/>
      <c r="R29" s="33">
        <v>-0.5</v>
      </c>
      <c r="S29" s="4">
        <v>-0.56000000000000005</v>
      </c>
      <c r="T29" s="4" t="s">
        <v>249</v>
      </c>
      <c r="U29" s="67">
        <v>11.5</v>
      </c>
      <c r="V29" s="124">
        <v>41396</v>
      </c>
      <c r="W29" s="67">
        <v>-4.25</v>
      </c>
      <c r="X29" s="67">
        <v>1.5</v>
      </c>
      <c r="Y29" s="4">
        <v>3</v>
      </c>
      <c r="Z29" s="4">
        <v>50</v>
      </c>
      <c r="AA29" s="4">
        <v>19</v>
      </c>
      <c r="AB29" s="4">
        <v>637</v>
      </c>
      <c r="AC29" s="4">
        <v>26.41</v>
      </c>
      <c r="AD29" s="4">
        <v>12.1</v>
      </c>
      <c r="AE29" s="4">
        <v>4.33</v>
      </c>
      <c r="AF29" s="4">
        <v>4.1500000000000004</v>
      </c>
      <c r="AG29" s="4">
        <v>44.35</v>
      </c>
      <c r="AH29" s="4">
        <v>79</v>
      </c>
      <c r="AI29" s="4">
        <v>46.11</v>
      </c>
      <c r="AJ29" s="4">
        <v>169</v>
      </c>
      <c r="AK29" s="4">
        <v>0</v>
      </c>
      <c r="AL29" s="4" t="b">
        <f t="shared" si="0"/>
        <v>0</v>
      </c>
      <c r="AN29" s="32">
        <v>41593</v>
      </c>
      <c r="AO29" s="60">
        <v>20</v>
      </c>
      <c r="AP29" s="67">
        <v>0</v>
      </c>
      <c r="AQ29" s="67">
        <v>0.25</v>
      </c>
      <c r="AR29" s="4">
        <v>164</v>
      </c>
      <c r="AS29" s="4">
        <v>20</v>
      </c>
      <c r="AT29" s="4">
        <v>17</v>
      </c>
      <c r="AU29" s="4">
        <v>557</v>
      </c>
      <c r="AV29" s="4">
        <v>1805</v>
      </c>
      <c r="AW29" s="4">
        <v>26.41</v>
      </c>
      <c r="AX29" s="4">
        <v>5.2</v>
      </c>
      <c r="AY29" s="4">
        <v>43.6</v>
      </c>
      <c r="AZ29" s="4">
        <v>67</v>
      </c>
      <c r="BA29" s="4">
        <v>44.64</v>
      </c>
      <c r="BB29" s="4">
        <v>157</v>
      </c>
      <c r="BC29" s="4">
        <f t="shared" si="1"/>
        <v>0.125</v>
      </c>
      <c r="BD29" s="4">
        <f t="shared" si="133"/>
        <v>0.68500000000000005</v>
      </c>
      <c r="BE29" s="4">
        <f t="shared" si="3"/>
        <v>-80</v>
      </c>
      <c r="BF29" s="51" t="s">
        <v>501</v>
      </c>
      <c r="BV29" s="4" t="str">
        <f t="shared" si="4"/>
        <v/>
      </c>
      <c r="BW29" s="4" t="str">
        <f t="shared" si="5"/>
        <v/>
      </c>
      <c r="BX29" s="4">
        <f t="shared" si="6"/>
        <v>1</v>
      </c>
      <c r="BY29" s="4">
        <f t="shared" si="7"/>
        <v>0</v>
      </c>
      <c r="BZ29" s="4" t="str">
        <f t="shared" si="8"/>
        <v/>
      </c>
      <c r="CA29" s="4" t="str">
        <f t="shared" si="9"/>
        <v/>
      </c>
      <c r="CB29" s="4" t="str">
        <f t="shared" si="10"/>
        <v/>
      </c>
      <c r="CC29" s="53">
        <f t="shared" si="11"/>
        <v>170</v>
      </c>
      <c r="CD29" s="55">
        <f t="shared" si="12"/>
        <v>5.666666666666667</v>
      </c>
      <c r="CE29" s="4" t="str">
        <f t="shared" si="13"/>
        <v/>
      </c>
      <c r="CF29" s="4">
        <f t="shared" si="14"/>
        <v>-1.1099999999999994</v>
      </c>
      <c r="CG29" s="4" t="str">
        <f t="shared" si="15"/>
        <v/>
      </c>
      <c r="CH29" s="4">
        <f t="shared" si="16"/>
        <v>-1.1099999999999994</v>
      </c>
      <c r="CI29" s="4">
        <f t="shared" si="17"/>
        <v>-3.5</v>
      </c>
      <c r="CJ29" s="4">
        <f t="shared" si="18"/>
        <v>0.125</v>
      </c>
      <c r="CK29" s="93">
        <f t="shared" si="19"/>
        <v>0.68500000000000005</v>
      </c>
      <c r="CL29" s="83">
        <f t="shared" si="20"/>
        <v>-80</v>
      </c>
      <c r="CM29" s="4">
        <f t="shared" si="21"/>
        <v>0</v>
      </c>
      <c r="CN29" s="96">
        <f t="shared" si="22"/>
        <v>-0.56000000000000005</v>
      </c>
      <c r="CO29" s="96">
        <f t="shared" si="132"/>
        <v>0.3979400086720376</v>
      </c>
      <c r="CP29" s="127">
        <f t="shared" si="23"/>
        <v>0.25</v>
      </c>
      <c r="CQ29" s="127">
        <f t="shared" si="24"/>
        <v>-1.25</v>
      </c>
      <c r="CR29" s="136">
        <f t="shared" si="25"/>
        <v>20</v>
      </c>
      <c r="CS29" s="136">
        <f t="shared" si="26"/>
        <v>50</v>
      </c>
      <c r="CT29" s="135">
        <f t="shared" si="27"/>
        <v>20</v>
      </c>
      <c r="CU29" s="139">
        <f t="shared" si="28"/>
        <v>0</v>
      </c>
      <c r="CV29" s="96" t="str">
        <f t="shared" si="29"/>
        <v/>
      </c>
      <c r="CW29" s="141" t="b">
        <f t="shared" si="30"/>
        <v>0</v>
      </c>
      <c r="CX29">
        <v>7.53</v>
      </c>
      <c r="CY29" s="4">
        <v>7.67</v>
      </c>
      <c r="CZ29" s="4">
        <v>58.6</v>
      </c>
      <c r="DA29" s="4">
        <v>0.8</v>
      </c>
      <c r="DB29" s="4">
        <v>7.0000000000000007E-2</v>
      </c>
      <c r="DC29" s="4">
        <v>0.26</v>
      </c>
      <c r="DD29" s="4">
        <v>3.69</v>
      </c>
      <c r="DE29" s="4">
        <v>4.34</v>
      </c>
      <c r="DF29" s="4">
        <v>645</v>
      </c>
      <c r="DG29" s="4">
        <v>644</v>
      </c>
      <c r="DH29" s="4">
        <v>707</v>
      </c>
      <c r="DI29" s="4">
        <v>694</v>
      </c>
      <c r="DJ29" s="4">
        <v>695</v>
      </c>
      <c r="DK29" s="4">
        <v>697</v>
      </c>
      <c r="DL29" s="4">
        <v>641</v>
      </c>
      <c r="DM29" s="4">
        <v>-0.82</v>
      </c>
      <c r="DN29" s="4">
        <v>0</v>
      </c>
      <c r="DO29" s="4">
        <v>7.62</v>
      </c>
      <c r="DP29" s="4">
        <v>7.6</v>
      </c>
      <c r="DQ29" s="4">
        <v>7.58</v>
      </c>
      <c r="DR29" s="4">
        <v>7.62</v>
      </c>
      <c r="DS29" s="4">
        <v>7.82</v>
      </c>
      <c r="DT29" s="4">
        <v>8.0299999999999994</v>
      </c>
      <c r="DU29" s="4">
        <v>0</v>
      </c>
      <c r="DV29" s="4">
        <v>1</v>
      </c>
      <c r="DW29" s="4">
        <v>6.54</v>
      </c>
      <c r="DX29" s="4">
        <v>6.39</v>
      </c>
      <c r="DY29" s="4">
        <v>6.42</v>
      </c>
      <c r="DZ29" s="4">
        <v>6.48</v>
      </c>
      <c r="EA29" s="4">
        <v>6.57</v>
      </c>
      <c r="EB29" s="4">
        <v>0</v>
      </c>
      <c r="EC29" s="4">
        <v>0</v>
      </c>
      <c r="ED29" s="89">
        <v>1</v>
      </c>
      <c r="EE29" s="110">
        <v>44</v>
      </c>
      <c r="EF29" s="110">
        <v>44.8</v>
      </c>
      <c r="EG29" s="110">
        <v>44.4</v>
      </c>
      <c r="EH29" s="110">
        <v>58.6</v>
      </c>
      <c r="EI29" s="110">
        <v>0.8</v>
      </c>
      <c r="EJ29" s="110">
        <v>-6.1</v>
      </c>
      <c r="EK29" s="110">
        <v>-6.2</v>
      </c>
      <c r="EL29" s="110">
        <v>-6.2</v>
      </c>
      <c r="EM29" s="110">
        <v>44.8</v>
      </c>
      <c r="EN29" s="110">
        <v>0.2</v>
      </c>
      <c r="EO29" s="110">
        <v>4.5999999999999996</v>
      </c>
      <c r="EP29" s="110">
        <v>13.3</v>
      </c>
      <c r="EQ29" s="110">
        <v>28</v>
      </c>
      <c r="ER29" s="110">
        <v>66.3</v>
      </c>
      <c r="ES29" s="114">
        <v>9</v>
      </c>
      <c r="ET29" s="83">
        <v>7.62</v>
      </c>
      <c r="EU29" s="4">
        <v>7.77</v>
      </c>
      <c r="EV29" s="4">
        <v>56.2</v>
      </c>
      <c r="EW29" s="4">
        <v>0.9</v>
      </c>
      <c r="EX29" s="4">
        <v>0.27</v>
      </c>
      <c r="EY29" s="4">
        <v>0.38</v>
      </c>
      <c r="EZ29" s="4">
        <v>-0.64</v>
      </c>
      <c r="FA29" s="4">
        <v>-0.1</v>
      </c>
      <c r="FB29" s="4">
        <v>547</v>
      </c>
      <c r="FC29" s="4">
        <v>549</v>
      </c>
      <c r="FD29" s="4">
        <v>701</v>
      </c>
      <c r="FE29" s="4">
        <v>624</v>
      </c>
      <c r="FF29" s="4">
        <v>676</v>
      </c>
      <c r="FG29" s="4">
        <v>624</v>
      </c>
      <c r="FH29" s="4">
        <v>528</v>
      </c>
      <c r="FI29" s="4">
        <v>0.88</v>
      </c>
      <c r="FJ29" s="4">
        <v>-0.81</v>
      </c>
      <c r="FK29" s="4">
        <v>7.72</v>
      </c>
      <c r="FL29" s="4">
        <v>7.69</v>
      </c>
      <c r="FM29" s="4">
        <v>7.7</v>
      </c>
      <c r="FN29" s="4">
        <v>7.78</v>
      </c>
      <c r="FO29" s="4">
        <v>8.0299999999999994</v>
      </c>
      <c r="FP29" s="4">
        <v>8.39</v>
      </c>
      <c r="FQ29" s="4">
        <v>0</v>
      </c>
      <c r="FR29" s="4">
        <v>1.4</v>
      </c>
      <c r="FS29" s="4">
        <v>6.22</v>
      </c>
      <c r="FT29" s="4">
        <v>6.08</v>
      </c>
      <c r="FU29" s="4">
        <v>6.16</v>
      </c>
      <c r="FV29" s="4">
        <v>6.4</v>
      </c>
      <c r="FW29" s="4">
        <v>6.64</v>
      </c>
      <c r="FX29" s="4">
        <v>0</v>
      </c>
      <c r="FY29" s="4">
        <v>0</v>
      </c>
      <c r="FZ29" s="86">
        <v>1.4</v>
      </c>
      <c r="GA29" s="110">
        <v>43.4</v>
      </c>
      <c r="GB29" s="110">
        <v>44.3</v>
      </c>
      <c r="GC29" s="110">
        <v>43.8</v>
      </c>
      <c r="GD29" s="110">
        <v>56.2</v>
      </c>
      <c r="GE29" s="110">
        <v>0.9</v>
      </c>
      <c r="GF29" s="110">
        <v>-6.4</v>
      </c>
      <c r="GG29" s="110">
        <v>-6.7</v>
      </c>
      <c r="GH29" s="110">
        <v>-6.5</v>
      </c>
      <c r="GI29" s="110">
        <v>162.80000000000001</v>
      </c>
      <c r="GJ29" s="110">
        <v>0.3</v>
      </c>
      <c r="GK29" s="110">
        <v>4</v>
      </c>
      <c r="GL29" s="110">
        <v>11.7</v>
      </c>
      <c r="GM29" s="110">
        <v>25.6</v>
      </c>
      <c r="GN29" s="110">
        <v>64</v>
      </c>
      <c r="GO29" s="119">
        <v>15</v>
      </c>
      <c r="IL29" s="83">
        <f t="shared" si="31"/>
        <v>7.62</v>
      </c>
      <c r="IM29" s="4">
        <f t="shared" si="32"/>
        <v>7.77</v>
      </c>
      <c r="IN29" s="4">
        <f t="shared" si="33"/>
        <v>56.2</v>
      </c>
      <c r="IO29" s="4">
        <f t="shared" si="34"/>
        <v>0.9</v>
      </c>
      <c r="IP29" s="4">
        <f t="shared" si="35"/>
        <v>0.27</v>
      </c>
      <c r="IQ29" s="4">
        <f t="shared" si="36"/>
        <v>0.38</v>
      </c>
      <c r="IR29" s="4">
        <f t="shared" si="37"/>
        <v>-0.64</v>
      </c>
      <c r="IS29" s="4">
        <f t="shared" si="38"/>
        <v>-0.1</v>
      </c>
      <c r="IT29" s="4">
        <f t="shared" si="39"/>
        <v>547</v>
      </c>
      <c r="IU29" s="4">
        <f t="shared" si="40"/>
        <v>549</v>
      </c>
      <c r="IV29" s="4">
        <f t="shared" si="41"/>
        <v>701</v>
      </c>
      <c r="IW29" s="4">
        <f t="shared" si="42"/>
        <v>624</v>
      </c>
      <c r="IX29" s="4">
        <f t="shared" si="43"/>
        <v>676</v>
      </c>
      <c r="IY29" s="4">
        <f t="shared" si="44"/>
        <v>624</v>
      </c>
      <c r="IZ29" s="4">
        <f t="shared" si="45"/>
        <v>528</v>
      </c>
      <c r="JA29" s="4">
        <f t="shared" si="46"/>
        <v>0.88</v>
      </c>
      <c r="JB29" s="4">
        <f t="shared" si="47"/>
        <v>-0.81</v>
      </c>
      <c r="JC29" s="4">
        <f t="shared" si="48"/>
        <v>7.72</v>
      </c>
      <c r="JD29" s="4">
        <f t="shared" si="49"/>
        <v>7.69</v>
      </c>
      <c r="JE29" s="4">
        <f t="shared" si="50"/>
        <v>7.7</v>
      </c>
      <c r="JF29" s="4">
        <f t="shared" si="51"/>
        <v>7.78</v>
      </c>
      <c r="JG29" s="4">
        <f t="shared" si="52"/>
        <v>8.0299999999999994</v>
      </c>
      <c r="JH29" s="4">
        <f t="shared" si="53"/>
        <v>8.39</v>
      </c>
      <c r="JI29" s="4">
        <f t="shared" si="54"/>
        <v>0</v>
      </c>
      <c r="JJ29" s="4">
        <f t="shared" si="55"/>
        <v>1.4</v>
      </c>
      <c r="JK29" s="4">
        <f t="shared" si="56"/>
        <v>6.22</v>
      </c>
      <c r="JL29" s="4">
        <f t="shared" si="57"/>
        <v>6.08</v>
      </c>
      <c r="JM29" s="4">
        <f t="shared" si="58"/>
        <v>6.16</v>
      </c>
      <c r="JN29" s="4">
        <f t="shared" si="59"/>
        <v>6.4</v>
      </c>
      <c r="JO29" s="4">
        <f t="shared" si="60"/>
        <v>6.64</v>
      </c>
      <c r="JP29" s="4">
        <f t="shared" si="61"/>
        <v>0</v>
      </c>
      <c r="JQ29" s="117">
        <f t="shared" si="62"/>
        <v>0</v>
      </c>
      <c r="JR29" s="110">
        <f t="shared" si="63"/>
        <v>1.4</v>
      </c>
      <c r="JS29" s="110">
        <f t="shared" si="64"/>
        <v>43.4</v>
      </c>
      <c r="JT29" s="110">
        <f t="shared" si="65"/>
        <v>44.3</v>
      </c>
      <c r="JU29" s="110">
        <f t="shared" si="66"/>
        <v>43.8</v>
      </c>
      <c r="JV29" s="110">
        <f t="shared" si="67"/>
        <v>56.2</v>
      </c>
      <c r="JW29" s="110">
        <f t="shared" si="68"/>
        <v>0.9</v>
      </c>
      <c r="JX29" s="110">
        <f t="shared" si="69"/>
        <v>-6.4</v>
      </c>
      <c r="JY29" s="110">
        <f t="shared" si="70"/>
        <v>-6.7</v>
      </c>
      <c r="JZ29" s="110">
        <f t="shared" si="71"/>
        <v>-6.5</v>
      </c>
      <c r="KA29" s="110">
        <f t="shared" si="72"/>
        <v>162.80000000000001</v>
      </c>
      <c r="KB29" s="110">
        <f t="shared" si="73"/>
        <v>0.3</v>
      </c>
      <c r="KC29" s="110">
        <f t="shared" si="74"/>
        <v>4</v>
      </c>
      <c r="KD29" s="110">
        <f t="shared" si="75"/>
        <v>11.7</v>
      </c>
      <c r="KE29" s="110">
        <f t="shared" si="76"/>
        <v>25.6</v>
      </c>
      <c r="KF29" s="110">
        <f t="shared" si="77"/>
        <v>64</v>
      </c>
      <c r="KG29" s="121">
        <f t="shared" si="78"/>
        <v>15</v>
      </c>
      <c r="KH29" s="83">
        <f t="shared" si="79"/>
        <v>8.9999999999999858E-2</v>
      </c>
      <c r="KI29" s="4">
        <f t="shared" si="80"/>
        <v>9.9999999999999645E-2</v>
      </c>
      <c r="KJ29" s="4">
        <f t="shared" si="81"/>
        <v>-2.3999999999999986</v>
      </c>
      <c r="KK29" s="4">
        <f t="shared" si="82"/>
        <v>9.9999999999999978E-2</v>
      </c>
      <c r="KL29" s="4">
        <f t="shared" si="83"/>
        <v>0.2</v>
      </c>
      <c r="KM29" s="4">
        <f t="shared" si="84"/>
        <v>0.12</v>
      </c>
      <c r="KN29" s="4">
        <f t="shared" si="85"/>
        <v>-4.33</v>
      </c>
      <c r="KO29" s="4">
        <f t="shared" si="86"/>
        <v>-4.4399999999999995</v>
      </c>
      <c r="KP29" s="4">
        <f t="shared" si="87"/>
        <v>-98</v>
      </c>
      <c r="KQ29" s="4">
        <f t="shared" si="88"/>
        <v>-95</v>
      </c>
      <c r="KR29" s="4">
        <f t="shared" si="89"/>
        <v>-6</v>
      </c>
      <c r="KS29" s="4">
        <f t="shared" si="90"/>
        <v>-70</v>
      </c>
      <c r="KT29" s="4">
        <f t="shared" si="91"/>
        <v>-19</v>
      </c>
      <c r="KU29" s="4">
        <f t="shared" si="92"/>
        <v>-73</v>
      </c>
      <c r="KV29" s="4">
        <f t="shared" si="93"/>
        <v>-113</v>
      </c>
      <c r="KW29" s="4">
        <f t="shared" si="94"/>
        <v>1.7</v>
      </c>
      <c r="KX29" s="4">
        <f t="shared" si="95"/>
        <v>-0.81</v>
      </c>
      <c r="KY29" s="4">
        <f t="shared" si="96"/>
        <v>9.9999999999999645E-2</v>
      </c>
      <c r="KZ29" s="4">
        <f t="shared" si="97"/>
        <v>9.0000000000000746E-2</v>
      </c>
      <c r="LA29" s="4">
        <f t="shared" si="98"/>
        <v>0.12000000000000011</v>
      </c>
      <c r="LB29" s="4">
        <f t="shared" si="99"/>
        <v>0.16000000000000014</v>
      </c>
      <c r="LC29" s="4">
        <f t="shared" si="100"/>
        <v>0.20999999999999908</v>
      </c>
      <c r="LD29" s="4">
        <f t="shared" si="101"/>
        <v>0.36000000000000121</v>
      </c>
      <c r="LE29" s="4">
        <f t="shared" si="102"/>
        <v>0</v>
      </c>
      <c r="LF29" s="4">
        <f t="shared" si="103"/>
        <v>0.39999999999999991</v>
      </c>
      <c r="LG29" s="4">
        <f t="shared" si="104"/>
        <v>-0.32000000000000028</v>
      </c>
      <c r="LH29" s="4">
        <f t="shared" si="105"/>
        <v>-0.30999999999999961</v>
      </c>
      <c r="LI29" s="4">
        <f t="shared" si="106"/>
        <v>-0.25999999999999979</v>
      </c>
      <c r="LJ29" s="4">
        <f t="shared" si="107"/>
        <v>-8.0000000000000071E-2</v>
      </c>
      <c r="LK29" s="4">
        <f t="shared" si="108"/>
        <v>6.9999999999999396E-2</v>
      </c>
      <c r="LL29" s="4">
        <f t="shared" si="109"/>
        <v>0</v>
      </c>
      <c r="LM29" s="4">
        <f t="shared" si="110"/>
        <v>0</v>
      </c>
      <c r="LN29" s="4">
        <f t="shared" si="111"/>
        <v>0.39999999999999991</v>
      </c>
      <c r="LO29" s="4">
        <f t="shared" si="112"/>
        <v>-0.60000000000000142</v>
      </c>
      <c r="LP29" s="4">
        <f t="shared" si="113"/>
        <v>-0.5</v>
      </c>
      <c r="LQ29" s="4">
        <f t="shared" si="114"/>
        <v>-0.60000000000000142</v>
      </c>
      <c r="LR29" s="4">
        <f t="shared" si="115"/>
        <v>-2.3999999999999986</v>
      </c>
      <c r="LS29" s="4">
        <f t="shared" si="116"/>
        <v>9.9999999999999978E-2</v>
      </c>
      <c r="LT29" s="4">
        <f t="shared" si="117"/>
        <v>-0.30000000000000071</v>
      </c>
      <c r="LU29" s="4">
        <f t="shared" si="118"/>
        <v>-0.5</v>
      </c>
      <c r="LV29" s="4">
        <f t="shared" si="119"/>
        <v>-0.29999999999999982</v>
      </c>
      <c r="LW29" s="4">
        <f t="shared" si="120"/>
        <v>118.00000000000001</v>
      </c>
      <c r="LX29" s="4">
        <f t="shared" si="121"/>
        <v>9.9999999999999978E-2</v>
      </c>
      <c r="LY29" s="4">
        <f t="shared" si="122"/>
        <v>-0.59999999999999964</v>
      </c>
      <c r="LZ29" s="4">
        <f t="shared" si="123"/>
        <v>-1.6000000000000014</v>
      </c>
      <c r="MA29" s="4">
        <f t="shared" si="124"/>
        <v>-2.3999999999999986</v>
      </c>
      <c r="MB29" s="4">
        <f t="shared" si="125"/>
        <v>-2.2999999999999972</v>
      </c>
      <c r="MC29" s="4">
        <f t="shared" si="126"/>
        <v>6</v>
      </c>
      <c r="MD29" s="4" t="str">
        <f t="shared" si="127"/>
        <v/>
      </c>
      <c r="ME29" s="4" t="str">
        <f t="shared" si="128"/>
        <v/>
      </c>
      <c r="MF29" s="4" t="str">
        <f t="shared" si="129"/>
        <v/>
      </c>
      <c r="MG29" s="4">
        <f t="shared" si="130"/>
        <v>6.7</v>
      </c>
    </row>
    <row r="30" spans="1:345" ht="26.25" customHeight="1" thickBot="1" x14ac:dyDescent="0.25">
      <c r="A30" s="35">
        <v>41283</v>
      </c>
      <c r="B30" s="36" t="s">
        <v>190</v>
      </c>
      <c r="C30" s="36" t="s">
        <v>81</v>
      </c>
      <c r="D30" s="31" t="s">
        <v>111</v>
      </c>
      <c r="E30" s="4">
        <v>65</v>
      </c>
      <c r="F30" s="3">
        <v>17334</v>
      </c>
      <c r="G30" s="4" t="s">
        <v>87</v>
      </c>
      <c r="H30" s="4" t="s">
        <v>108</v>
      </c>
      <c r="I30" s="4">
        <v>1834776</v>
      </c>
      <c r="J30" s="2" t="s">
        <v>309</v>
      </c>
      <c r="K30" s="259" t="s">
        <v>643</v>
      </c>
      <c r="L30" s="228"/>
      <c r="M30" s="228"/>
      <c r="N30" s="98" t="s">
        <v>641</v>
      </c>
      <c r="O30" s="258"/>
      <c r="P30" s="228"/>
      <c r="Q30" s="228"/>
      <c r="R30" s="33">
        <v>-0.5</v>
      </c>
      <c r="S30" s="33">
        <v>-0.48</v>
      </c>
      <c r="T30" s="33" t="s">
        <v>249</v>
      </c>
      <c r="U30" s="67">
        <v>20.25</v>
      </c>
      <c r="V30" s="124">
        <v>41253</v>
      </c>
      <c r="W30" s="67">
        <v>-0.5</v>
      </c>
      <c r="X30" s="67">
        <v>1</v>
      </c>
      <c r="Y30" s="4">
        <v>5</v>
      </c>
      <c r="Z30" s="4">
        <v>50</v>
      </c>
      <c r="AA30" s="4">
        <v>16</v>
      </c>
      <c r="AB30" s="4">
        <v>623</v>
      </c>
      <c r="AC30" s="4">
        <v>23.48</v>
      </c>
      <c r="AD30" s="4">
        <v>12.1</v>
      </c>
      <c r="AE30" s="4">
        <v>4.51</v>
      </c>
      <c r="AF30" s="4">
        <v>2.19</v>
      </c>
      <c r="AG30" s="4">
        <v>44.76</v>
      </c>
      <c r="AH30" s="4">
        <v>37</v>
      </c>
      <c r="AI30" s="4">
        <v>45.12</v>
      </c>
      <c r="AJ30" s="4">
        <v>127</v>
      </c>
      <c r="AK30" s="4">
        <v>0</v>
      </c>
      <c r="AL30" s="4" t="b">
        <f t="shared" si="0"/>
        <v>0</v>
      </c>
      <c r="AN30" s="3">
        <v>41554</v>
      </c>
      <c r="AO30" s="56">
        <v>30</v>
      </c>
      <c r="AP30" s="67">
        <v>0.25</v>
      </c>
      <c r="AQ30" s="67">
        <v>1</v>
      </c>
      <c r="AR30" s="4">
        <v>180</v>
      </c>
      <c r="AS30" s="4">
        <v>25</v>
      </c>
      <c r="AT30" s="4">
        <v>15</v>
      </c>
      <c r="AU30" s="4">
        <v>511</v>
      </c>
      <c r="AV30" s="4">
        <v>2513</v>
      </c>
      <c r="AW30" s="4">
        <v>23.53</v>
      </c>
      <c r="AX30" s="4">
        <v>5.15</v>
      </c>
      <c r="AY30" s="4">
        <v>44</v>
      </c>
      <c r="AZ30" s="4">
        <v>175</v>
      </c>
      <c r="BA30" s="4">
        <v>44.47</v>
      </c>
      <c r="BB30" s="4">
        <v>85</v>
      </c>
      <c r="BC30" s="4">
        <f t="shared" si="1"/>
        <v>0.75</v>
      </c>
      <c r="BD30" s="4">
        <f t="shared" si="133"/>
        <v>1.23</v>
      </c>
      <c r="BE30" s="4">
        <f t="shared" si="3"/>
        <v>-112</v>
      </c>
      <c r="BF30" s="137">
        <v>41753</v>
      </c>
      <c r="BU30" s="4" t="str">
        <f t="shared" ref="BU30:BU48" si="134">IF(ISNUMBER(BH30),BH30+0.5*BI30,"")</f>
        <v/>
      </c>
      <c r="BV30" s="4" t="str">
        <f t="shared" si="4"/>
        <v/>
      </c>
      <c r="BW30" s="4" t="str">
        <f t="shared" si="5"/>
        <v/>
      </c>
      <c r="BX30" s="4">
        <f t="shared" si="6"/>
        <v>1</v>
      </c>
      <c r="BY30" s="4">
        <f t="shared" si="7"/>
        <v>0</v>
      </c>
      <c r="BZ30" s="4" t="str">
        <f t="shared" si="8"/>
        <v/>
      </c>
      <c r="CA30" s="4" t="str">
        <f t="shared" si="9"/>
        <v/>
      </c>
      <c r="CB30" s="4" t="str">
        <f t="shared" si="10"/>
        <v/>
      </c>
      <c r="CC30" s="53">
        <f t="shared" si="11"/>
        <v>271</v>
      </c>
      <c r="CD30" s="55">
        <f t="shared" si="12"/>
        <v>9.0333333333333332</v>
      </c>
      <c r="CE30" s="4" t="str">
        <f t="shared" si="13"/>
        <v/>
      </c>
      <c r="CF30" s="4">
        <f t="shared" si="14"/>
        <v>-0.70499999999999829</v>
      </c>
      <c r="CG30" s="4" t="str">
        <f t="shared" si="15"/>
        <v/>
      </c>
      <c r="CH30" s="4">
        <f t="shared" si="16"/>
        <v>-0.70499999999999829</v>
      </c>
      <c r="CI30" s="4">
        <f t="shared" si="17"/>
        <v>0</v>
      </c>
      <c r="CJ30" s="4">
        <f t="shared" si="18"/>
        <v>0.75</v>
      </c>
      <c r="CK30" s="93">
        <f t="shared" si="19"/>
        <v>1.23</v>
      </c>
      <c r="CL30" s="83">
        <f t="shared" si="20"/>
        <v>-112</v>
      </c>
      <c r="CM30" s="4">
        <f t="shared" si="21"/>
        <v>5.0000000000000711E-2</v>
      </c>
      <c r="CN30" s="96">
        <f t="shared" si="22"/>
        <v>-0.48</v>
      </c>
      <c r="CO30" s="96">
        <f t="shared" si="132"/>
        <v>0.3010299956639812</v>
      </c>
      <c r="CP30" s="127">
        <f t="shared" si="23"/>
        <v>1</v>
      </c>
      <c r="CQ30" s="127">
        <f t="shared" si="24"/>
        <v>0</v>
      </c>
      <c r="CR30" s="136">
        <f t="shared" si="25"/>
        <v>25</v>
      </c>
      <c r="CS30" s="136">
        <f t="shared" si="26"/>
        <v>50</v>
      </c>
      <c r="CT30" s="135">
        <f t="shared" si="27"/>
        <v>30</v>
      </c>
      <c r="CU30" s="139">
        <f t="shared" si="28"/>
        <v>0</v>
      </c>
      <c r="CV30" s="96" t="str">
        <f t="shared" si="29"/>
        <v/>
      </c>
      <c r="CW30" s="141" t="b">
        <f t="shared" si="30"/>
        <v>0</v>
      </c>
      <c r="CX30">
        <v>7.64</v>
      </c>
      <c r="CY30" s="4">
        <v>7.69</v>
      </c>
      <c r="CZ30" s="4">
        <v>48.6</v>
      </c>
      <c r="DA30" s="4">
        <v>0.3</v>
      </c>
      <c r="DB30" s="4">
        <v>0.23</v>
      </c>
      <c r="DC30" s="4">
        <v>0.52</v>
      </c>
      <c r="DD30" s="4">
        <v>2.95</v>
      </c>
      <c r="DE30" s="4">
        <v>3.57</v>
      </c>
      <c r="DF30" s="4">
        <v>626</v>
      </c>
      <c r="DG30" s="4">
        <v>625</v>
      </c>
      <c r="DH30" s="4">
        <v>677</v>
      </c>
      <c r="DI30" s="4">
        <v>680</v>
      </c>
      <c r="DJ30" s="4">
        <v>687</v>
      </c>
      <c r="DK30" s="4">
        <v>675</v>
      </c>
      <c r="DL30" s="4">
        <v>624</v>
      </c>
      <c r="DM30" s="4">
        <v>-0.28999999999999998</v>
      </c>
      <c r="DN30" s="4">
        <v>0.36</v>
      </c>
      <c r="DO30" s="4">
        <v>7.69</v>
      </c>
      <c r="DP30" s="4">
        <v>7.65</v>
      </c>
      <c r="DQ30" s="4">
        <v>7.66</v>
      </c>
      <c r="DR30" s="4">
        <v>7.83</v>
      </c>
      <c r="DS30" s="4">
        <v>8.2100000000000009</v>
      </c>
      <c r="DT30" s="4">
        <v>8.5299999999999994</v>
      </c>
      <c r="DU30" s="4">
        <v>0</v>
      </c>
      <c r="DV30" s="4">
        <v>1.3</v>
      </c>
      <c r="DW30" s="4">
        <v>6.4</v>
      </c>
      <c r="DX30" s="4">
        <v>6.5</v>
      </c>
      <c r="DY30" s="4">
        <v>6.64</v>
      </c>
      <c r="DZ30" s="4">
        <v>6.79</v>
      </c>
      <c r="EA30" s="4">
        <v>6.93</v>
      </c>
      <c r="EB30" s="4">
        <v>7</v>
      </c>
      <c r="EC30" s="4">
        <v>0</v>
      </c>
      <c r="ED30" s="89">
        <v>1.3</v>
      </c>
      <c r="EE30" s="110">
        <v>43.9</v>
      </c>
      <c r="EF30" s="110">
        <v>44.2</v>
      </c>
      <c r="EG30" s="110">
        <v>44.1</v>
      </c>
      <c r="EH30" s="110">
        <v>48.6</v>
      </c>
      <c r="EI30" s="110">
        <v>0.3</v>
      </c>
      <c r="EJ30" s="110">
        <v>-6.2</v>
      </c>
      <c r="EK30" s="110">
        <v>-6.3</v>
      </c>
      <c r="EL30" s="110">
        <v>-6.2</v>
      </c>
      <c r="EM30" s="110">
        <v>163.9</v>
      </c>
      <c r="EN30" s="110">
        <v>0.1</v>
      </c>
      <c r="EO30" s="110">
        <v>4.5</v>
      </c>
      <c r="EP30" s="110">
        <v>13</v>
      </c>
      <c r="EQ30" s="110">
        <v>27.2</v>
      </c>
      <c r="ER30" s="110">
        <v>63.3</v>
      </c>
      <c r="ES30" s="114">
        <v>10</v>
      </c>
      <c r="ET30" s="83">
        <v>7.75</v>
      </c>
      <c r="EU30" s="4">
        <v>7.64</v>
      </c>
      <c r="EV30" s="4">
        <v>148</v>
      </c>
      <c r="EW30" s="4">
        <v>-0.6</v>
      </c>
      <c r="EX30" s="4">
        <v>0.27</v>
      </c>
      <c r="EY30" s="4">
        <v>0.5</v>
      </c>
      <c r="EZ30" s="4">
        <v>4.97</v>
      </c>
      <c r="FA30" s="4">
        <v>5.48</v>
      </c>
      <c r="FB30" s="4">
        <v>508</v>
      </c>
      <c r="FC30" s="4">
        <v>503</v>
      </c>
      <c r="FD30" s="4">
        <v>627</v>
      </c>
      <c r="FE30" s="4">
        <v>575</v>
      </c>
      <c r="FF30" s="4">
        <v>596</v>
      </c>
      <c r="FG30" s="4">
        <v>585</v>
      </c>
      <c r="FH30" s="4">
        <v>486</v>
      </c>
      <c r="FI30" s="4">
        <v>-0.75</v>
      </c>
      <c r="FJ30" s="4">
        <v>-1.02</v>
      </c>
      <c r="FK30" s="4">
        <v>7.69</v>
      </c>
      <c r="FL30" s="4">
        <v>7.7</v>
      </c>
      <c r="FM30" s="4">
        <v>7.71</v>
      </c>
      <c r="FN30" s="4">
        <v>7.85</v>
      </c>
      <c r="FO30" s="4">
        <v>8.1</v>
      </c>
      <c r="FP30" s="4">
        <v>8.3000000000000007</v>
      </c>
      <c r="FQ30" s="4">
        <v>0</v>
      </c>
      <c r="FR30" s="4">
        <v>1.3</v>
      </c>
      <c r="FS30" s="4">
        <v>6.3</v>
      </c>
      <c r="FT30" s="4">
        <v>6.27</v>
      </c>
      <c r="FU30" s="4">
        <v>6.41</v>
      </c>
      <c r="FV30" s="4">
        <v>6.59</v>
      </c>
      <c r="FW30" s="4">
        <v>6.65</v>
      </c>
      <c r="FX30" s="4">
        <v>6.88</v>
      </c>
      <c r="FY30" s="4">
        <v>0</v>
      </c>
      <c r="FZ30" s="86">
        <v>1.3</v>
      </c>
      <c r="GA30" s="110">
        <v>43.6</v>
      </c>
      <c r="GB30" s="110">
        <v>44.2</v>
      </c>
      <c r="GC30" s="110">
        <v>43.9</v>
      </c>
      <c r="GD30" s="110">
        <v>148</v>
      </c>
      <c r="GE30" s="110">
        <v>0.6</v>
      </c>
      <c r="GF30" s="110">
        <v>-6.3</v>
      </c>
      <c r="GG30" s="110">
        <v>-6.4</v>
      </c>
      <c r="GH30" s="110">
        <v>-6.3</v>
      </c>
      <c r="GI30" s="110">
        <v>35.700000000000003</v>
      </c>
      <c r="GJ30" s="110">
        <v>0.1</v>
      </c>
      <c r="GK30" s="110">
        <v>3.7</v>
      </c>
      <c r="GL30" s="110">
        <v>10.9</v>
      </c>
      <c r="GM30" s="110">
        <v>23.4</v>
      </c>
      <c r="GN30" s="110">
        <v>57.6</v>
      </c>
      <c r="GO30" s="119">
        <v>16</v>
      </c>
      <c r="IL30" s="83">
        <f t="shared" si="31"/>
        <v>7.75</v>
      </c>
      <c r="IM30" s="4">
        <f t="shared" si="32"/>
        <v>7.64</v>
      </c>
      <c r="IN30" s="4">
        <f t="shared" si="33"/>
        <v>148</v>
      </c>
      <c r="IO30" s="4">
        <f t="shared" si="34"/>
        <v>-0.6</v>
      </c>
      <c r="IP30" s="4">
        <f t="shared" si="35"/>
        <v>0.27</v>
      </c>
      <c r="IQ30" s="4">
        <f t="shared" si="36"/>
        <v>0.5</v>
      </c>
      <c r="IR30" s="4">
        <f t="shared" si="37"/>
        <v>4.97</v>
      </c>
      <c r="IS30" s="4">
        <f t="shared" si="38"/>
        <v>5.48</v>
      </c>
      <c r="IT30" s="4">
        <f t="shared" si="39"/>
        <v>508</v>
      </c>
      <c r="IU30" s="4">
        <f t="shared" si="40"/>
        <v>503</v>
      </c>
      <c r="IV30" s="4">
        <f t="shared" si="41"/>
        <v>627</v>
      </c>
      <c r="IW30" s="4">
        <f t="shared" si="42"/>
        <v>575</v>
      </c>
      <c r="IX30" s="4">
        <f t="shared" si="43"/>
        <v>596</v>
      </c>
      <c r="IY30" s="4">
        <f t="shared" si="44"/>
        <v>585</v>
      </c>
      <c r="IZ30" s="4">
        <f t="shared" si="45"/>
        <v>486</v>
      </c>
      <c r="JA30" s="4">
        <f t="shared" si="46"/>
        <v>-0.75</v>
      </c>
      <c r="JB30" s="4">
        <f t="shared" si="47"/>
        <v>-1.02</v>
      </c>
      <c r="JC30" s="4">
        <f t="shared" si="48"/>
        <v>7.69</v>
      </c>
      <c r="JD30" s="4">
        <f t="shared" si="49"/>
        <v>7.7</v>
      </c>
      <c r="JE30" s="4">
        <f t="shared" si="50"/>
        <v>7.71</v>
      </c>
      <c r="JF30" s="4">
        <f t="shared" si="51"/>
        <v>7.85</v>
      </c>
      <c r="JG30" s="4">
        <f t="shared" si="52"/>
        <v>8.1</v>
      </c>
      <c r="JH30" s="4">
        <f t="shared" si="53"/>
        <v>8.3000000000000007</v>
      </c>
      <c r="JI30" s="4">
        <f t="shared" si="54"/>
        <v>0</v>
      </c>
      <c r="JJ30" s="4">
        <f t="shared" si="55"/>
        <v>1.3</v>
      </c>
      <c r="JK30" s="4">
        <f t="shared" si="56"/>
        <v>6.3</v>
      </c>
      <c r="JL30" s="4">
        <f t="shared" si="57"/>
        <v>6.27</v>
      </c>
      <c r="JM30" s="4">
        <f t="shared" si="58"/>
        <v>6.41</v>
      </c>
      <c r="JN30" s="4">
        <f t="shared" si="59"/>
        <v>6.59</v>
      </c>
      <c r="JO30" s="4">
        <f t="shared" si="60"/>
        <v>6.65</v>
      </c>
      <c r="JP30" s="4">
        <f t="shared" si="61"/>
        <v>6.88</v>
      </c>
      <c r="JQ30" s="117">
        <f t="shared" si="62"/>
        <v>0</v>
      </c>
      <c r="JR30" s="110">
        <f t="shared" si="63"/>
        <v>1.3</v>
      </c>
      <c r="JS30" s="110">
        <f t="shared" si="64"/>
        <v>43.6</v>
      </c>
      <c r="JT30" s="110">
        <f t="shared" si="65"/>
        <v>44.2</v>
      </c>
      <c r="JU30" s="110">
        <f t="shared" si="66"/>
        <v>43.9</v>
      </c>
      <c r="JV30" s="110">
        <f t="shared" si="67"/>
        <v>148</v>
      </c>
      <c r="JW30" s="110">
        <f t="shared" si="68"/>
        <v>0.6</v>
      </c>
      <c r="JX30" s="110">
        <f t="shared" si="69"/>
        <v>-6.3</v>
      </c>
      <c r="JY30" s="110">
        <f t="shared" si="70"/>
        <v>-6.4</v>
      </c>
      <c r="JZ30" s="110">
        <f t="shared" si="71"/>
        <v>-6.3</v>
      </c>
      <c r="KA30" s="110">
        <f t="shared" si="72"/>
        <v>35.700000000000003</v>
      </c>
      <c r="KB30" s="110">
        <f t="shared" si="73"/>
        <v>0.1</v>
      </c>
      <c r="KC30" s="110">
        <f t="shared" si="74"/>
        <v>3.7</v>
      </c>
      <c r="KD30" s="110">
        <f t="shared" si="75"/>
        <v>10.9</v>
      </c>
      <c r="KE30" s="110">
        <f t="shared" si="76"/>
        <v>23.4</v>
      </c>
      <c r="KF30" s="110">
        <f t="shared" si="77"/>
        <v>57.6</v>
      </c>
      <c r="KG30" s="121">
        <f t="shared" si="78"/>
        <v>16</v>
      </c>
      <c r="KH30" s="83">
        <f t="shared" si="79"/>
        <v>0.11000000000000032</v>
      </c>
      <c r="KI30" s="4">
        <f t="shared" si="80"/>
        <v>-5.0000000000000711E-2</v>
      </c>
      <c r="KJ30" s="4">
        <f t="shared" si="81"/>
        <v>99.4</v>
      </c>
      <c r="KK30" s="4">
        <f t="shared" si="82"/>
        <v>-0.89999999999999991</v>
      </c>
      <c r="KL30" s="4">
        <f t="shared" si="83"/>
        <v>4.0000000000000008E-2</v>
      </c>
      <c r="KM30" s="4">
        <f t="shared" si="84"/>
        <v>-2.0000000000000018E-2</v>
      </c>
      <c r="KN30" s="4">
        <f t="shared" si="85"/>
        <v>2.0199999999999996</v>
      </c>
      <c r="KO30" s="4">
        <f t="shared" si="86"/>
        <v>1.9100000000000006</v>
      </c>
      <c r="KP30" s="4">
        <f t="shared" si="87"/>
        <v>-118</v>
      </c>
      <c r="KQ30" s="4">
        <f t="shared" si="88"/>
        <v>-122</v>
      </c>
      <c r="KR30" s="4">
        <f t="shared" si="89"/>
        <v>-50</v>
      </c>
      <c r="KS30" s="4">
        <f t="shared" si="90"/>
        <v>-105</v>
      </c>
      <c r="KT30" s="4">
        <f t="shared" si="91"/>
        <v>-91</v>
      </c>
      <c r="KU30" s="4">
        <f t="shared" si="92"/>
        <v>-90</v>
      </c>
      <c r="KV30" s="4">
        <f t="shared" si="93"/>
        <v>-138</v>
      </c>
      <c r="KW30" s="4">
        <f t="shared" si="94"/>
        <v>-0.46</v>
      </c>
      <c r="KX30" s="4">
        <f t="shared" si="95"/>
        <v>-1.38</v>
      </c>
      <c r="KY30" s="4">
        <f t="shared" si="96"/>
        <v>0</v>
      </c>
      <c r="KZ30" s="4">
        <f t="shared" si="97"/>
        <v>4.9999999999999822E-2</v>
      </c>
      <c r="LA30" s="4">
        <f t="shared" si="98"/>
        <v>4.9999999999999822E-2</v>
      </c>
      <c r="LB30" s="4">
        <f t="shared" si="99"/>
        <v>1.9999999999999574E-2</v>
      </c>
      <c r="LC30" s="4">
        <f t="shared" si="100"/>
        <v>-0.11000000000000121</v>
      </c>
      <c r="LD30" s="4">
        <f t="shared" si="101"/>
        <v>-0.22999999999999865</v>
      </c>
      <c r="LE30" s="4">
        <f t="shared" si="102"/>
        <v>0</v>
      </c>
      <c r="LF30" s="4">
        <f t="shared" si="103"/>
        <v>0</v>
      </c>
      <c r="LG30" s="4">
        <f t="shared" si="104"/>
        <v>-0.10000000000000053</v>
      </c>
      <c r="LH30" s="4">
        <f t="shared" si="105"/>
        <v>-0.23000000000000043</v>
      </c>
      <c r="LI30" s="4">
        <f t="shared" si="106"/>
        <v>-0.22999999999999954</v>
      </c>
      <c r="LJ30" s="4">
        <f t="shared" si="107"/>
        <v>-0.20000000000000018</v>
      </c>
      <c r="LK30" s="4">
        <f t="shared" si="108"/>
        <v>-0.27999999999999936</v>
      </c>
      <c r="LL30" s="4">
        <f t="shared" si="109"/>
        <v>-0.12000000000000011</v>
      </c>
      <c r="LM30" s="4">
        <f t="shared" si="110"/>
        <v>0</v>
      </c>
      <c r="LN30" s="4">
        <f t="shared" si="111"/>
        <v>0</v>
      </c>
      <c r="LO30" s="4">
        <f t="shared" si="112"/>
        <v>-0.29999999999999716</v>
      </c>
      <c r="LP30" s="4">
        <f t="shared" si="113"/>
        <v>0</v>
      </c>
      <c r="LQ30" s="4">
        <f t="shared" si="114"/>
        <v>-0.20000000000000284</v>
      </c>
      <c r="LR30" s="4">
        <f t="shared" si="115"/>
        <v>99.4</v>
      </c>
      <c r="LS30" s="4">
        <f t="shared" si="116"/>
        <v>0.3</v>
      </c>
      <c r="LT30" s="4">
        <f t="shared" si="117"/>
        <v>-9.9999999999999645E-2</v>
      </c>
      <c r="LU30" s="4">
        <f t="shared" si="118"/>
        <v>-0.10000000000000053</v>
      </c>
      <c r="LV30" s="4">
        <f t="shared" si="119"/>
        <v>-9.9999999999999645E-2</v>
      </c>
      <c r="LW30" s="4">
        <f t="shared" si="120"/>
        <v>-128.19999999999999</v>
      </c>
      <c r="LX30" s="4">
        <f t="shared" si="121"/>
        <v>0</v>
      </c>
      <c r="LY30" s="4">
        <f t="shared" si="122"/>
        <v>-0.79999999999999982</v>
      </c>
      <c r="LZ30" s="4">
        <f t="shared" si="123"/>
        <v>-2.0999999999999996</v>
      </c>
      <c r="MA30" s="4">
        <f t="shared" si="124"/>
        <v>-3.8000000000000007</v>
      </c>
      <c r="MB30" s="4">
        <f t="shared" si="125"/>
        <v>-5.6999999999999957</v>
      </c>
      <c r="MC30" s="4">
        <f t="shared" si="126"/>
        <v>6</v>
      </c>
      <c r="MD30" s="4" t="str">
        <f t="shared" si="127"/>
        <v/>
      </c>
      <c r="ME30" s="4" t="str">
        <f t="shared" si="128"/>
        <v/>
      </c>
      <c r="MF30" s="4" t="str">
        <f t="shared" si="129"/>
        <v/>
      </c>
      <c r="MG30" s="4">
        <f t="shared" si="130"/>
        <v>6.4</v>
      </c>
    </row>
    <row r="31" spans="1:345" ht="26.25" customHeight="1" thickBot="1" x14ac:dyDescent="0.25">
      <c r="A31" s="35">
        <v>41323</v>
      </c>
      <c r="B31" s="36" t="s">
        <v>193</v>
      </c>
      <c r="C31" s="36" t="s">
        <v>33</v>
      </c>
      <c r="D31" s="31" t="s">
        <v>110</v>
      </c>
      <c r="E31" s="4">
        <v>61</v>
      </c>
      <c r="F31" s="3">
        <v>18791</v>
      </c>
      <c r="G31" s="4" t="s">
        <v>87</v>
      </c>
      <c r="H31" s="4" t="s">
        <v>108</v>
      </c>
      <c r="I31" s="4">
        <v>1834781</v>
      </c>
      <c r="J31" s="2" t="s">
        <v>309</v>
      </c>
      <c r="K31" s="235"/>
      <c r="L31" s="236">
        <v>1</v>
      </c>
      <c r="M31" s="236">
        <v>1</v>
      </c>
      <c r="N31" s="98" t="s">
        <v>644</v>
      </c>
      <c r="O31" s="235"/>
      <c r="P31" s="236"/>
      <c r="Q31" s="236"/>
      <c r="R31" s="4">
        <v>-0.25</v>
      </c>
      <c r="S31" s="4">
        <v>-0.13</v>
      </c>
      <c r="T31" s="4" t="s">
        <v>249</v>
      </c>
      <c r="U31" s="67">
        <v>21.5</v>
      </c>
      <c r="V31" s="124">
        <v>41288</v>
      </c>
      <c r="W31" s="67">
        <v>1</v>
      </c>
      <c r="X31" s="67">
        <v>1</v>
      </c>
      <c r="Y31" s="4">
        <v>150</v>
      </c>
      <c r="Z31" s="4">
        <v>20</v>
      </c>
      <c r="AA31" s="4">
        <v>15</v>
      </c>
      <c r="AB31" s="4">
        <v>613</v>
      </c>
      <c r="AC31" s="4">
        <v>24.13</v>
      </c>
      <c r="AD31" s="4">
        <v>12</v>
      </c>
      <c r="AE31" s="4">
        <v>4.97</v>
      </c>
      <c r="AF31" s="4">
        <v>2.94</v>
      </c>
      <c r="AG31" s="4">
        <v>41.56</v>
      </c>
      <c r="AH31" s="4">
        <v>61</v>
      </c>
      <c r="AI31" s="4">
        <v>42.08</v>
      </c>
      <c r="AJ31" s="4">
        <v>151</v>
      </c>
      <c r="AK31" s="4">
        <v>0</v>
      </c>
      <c r="AL31" s="4" t="b">
        <f t="shared" si="0"/>
        <v>0</v>
      </c>
      <c r="AN31" s="3">
        <v>41492</v>
      </c>
      <c r="AP31" s="67">
        <v>-2.25</v>
      </c>
      <c r="AQ31" s="67">
        <v>1.25</v>
      </c>
      <c r="AR31" s="4">
        <v>140</v>
      </c>
      <c r="AS31" s="4">
        <v>20</v>
      </c>
      <c r="AT31" s="4">
        <v>18</v>
      </c>
      <c r="AU31" s="4">
        <v>582</v>
      </c>
      <c r="AV31" s="4">
        <v>1996</v>
      </c>
      <c r="BC31" s="4">
        <f t="shared" si="1"/>
        <v>-1.625</v>
      </c>
      <c r="BD31" s="4">
        <f t="shared" si="133"/>
        <v>-1.4950000000000001</v>
      </c>
      <c r="BE31" s="4">
        <f t="shared" si="3"/>
        <v>-31</v>
      </c>
      <c r="BF31" s="3">
        <v>41674</v>
      </c>
      <c r="BG31" s="56">
        <v>80</v>
      </c>
      <c r="BH31" s="67">
        <v>-2</v>
      </c>
      <c r="BI31" s="67">
        <v>1.25</v>
      </c>
      <c r="BJ31" s="4">
        <v>135</v>
      </c>
      <c r="BK31" s="4">
        <v>25</v>
      </c>
      <c r="BL31" s="4">
        <v>12</v>
      </c>
      <c r="BM31" s="4">
        <v>562</v>
      </c>
      <c r="BN31" s="4">
        <v>2088</v>
      </c>
      <c r="BO31" s="4">
        <v>24.14</v>
      </c>
      <c r="BP31" s="4">
        <v>3.03</v>
      </c>
      <c r="BQ31" s="4">
        <v>41.62</v>
      </c>
      <c r="BR31" s="4">
        <v>41</v>
      </c>
      <c r="BS31" s="4">
        <v>42.13</v>
      </c>
      <c r="BT31" s="4">
        <v>131</v>
      </c>
      <c r="BU31" s="4">
        <f t="shared" si="134"/>
        <v>-1.375</v>
      </c>
      <c r="BV31" s="4">
        <f t="shared" si="4"/>
        <v>-1.2450000000000001</v>
      </c>
      <c r="BW31" s="4">
        <f t="shared" si="5"/>
        <v>-51</v>
      </c>
      <c r="BX31" s="4">
        <f t="shared" si="6"/>
        <v>1</v>
      </c>
      <c r="BY31" s="4">
        <f t="shared" si="7"/>
        <v>1</v>
      </c>
      <c r="BZ31" s="4">
        <f t="shared" si="8"/>
        <v>1.5</v>
      </c>
      <c r="CA31" s="4">
        <f t="shared" si="9"/>
        <v>-1.625</v>
      </c>
      <c r="CB31" s="4">
        <f t="shared" si="10"/>
        <v>-1.375</v>
      </c>
      <c r="CC31" s="53">
        <f t="shared" si="11"/>
        <v>351</v>
      </c>
      <c r="CD31" s="55">
        <f t="shared" si="12"/>
        <v>11.7</v>
      </c>
      <c r="CE31" s="4">
        <f t="shared" si="13"/>
        <v>0.25</v>
      </c>
      <c r="CF31" s="4" t="str">
        <f t="shared" si="14"/>
        <v/>
      </c>
      <c r="CG31" s="4">
        <f t="shared" si="15"/>
        <v>5.4999999999999716E-2</v>
      </c>
      <c r="CH31" s="4">
        <f t="shared" si="16"/>
        <v>5.4999999999999716E-2</v>
      </c>
      <c r="CI31" s="4">
        <f t="shared" si="17"/>
        <v>1.5</v>
      </c>
      <c r="CJ31" s="4">
        <f t="shared" si="18"/>
        <v>-1.375</v>
      </c>
      <c r="CK31" s="93">
        <f t="shared" si="19"/>
        <v>-1.2450000000000001</v>
      </c>
      <c r="CL31" s="83">
        <f t="shared" si="20"/>
        <v>-51</v>
      </c>
      <c r="CM31" s="4">
        <f t="shared" si="21"/>
        <v>1.0000000000001563E-2</v>
      </c>
      <c r="CN31" s="96">
        <f t="shared" si="22"/>
        <v>-0.13</v>
      </c>
      <c r="CO31" s="96">
        <f t="shared" si="132"/>
        <v>-9.6910013008056392E-2</v>
      </c>
      <c r="CP31" s="127">
        <f t="shared" si="23"/>
        <v>1.25</v>
      </c>
      <c r="CQ31" s="127">
        <f t="shared" si="24"/>
        <v>0.25</v>
      </c>
      <c r="CR31" s="136">
        <f t="shared" si="25"/>
        <v>25</v>
      </c>
      <c r="CS31" s="136">
        <f t="shared" si="26"/>
        <v>20</v>
      </c>
      <c r="CT31" s="135">
        <f t="shared" si="27"/>
        <v>80</v>
      </c>
      <c r="CU31" s="139" t="str">
        <f t="shared" si="28"/>
        <v/>
      </c>
      <c r="CV31" s="96" t="str">
        <f t="shared" si="29"/>
        <v/>
      </c>
      <c r="CW31" s="141" t="str">
        <f t="shared" si="30"/>
        <v/>
      </c>
      <c r="IL31" s="83" t="str">
        <f t="shared" si="31"/>
        <v/>
      </c>
      <c r="IM31" s="4" t="str">
        <f t="shared" si="32"/>
        <v/>
      </c>
      <c r="IN31" s="4" t="str">
        <f t="shared" si="33"/>
        <v/>
      </c>
      <c r="IO31" s="4" t="str">
        <f t="shared" si="34"/>
        <v/>
      </c>
      <c r="IP31" s="4" t="str">
        <f t="shared" si="35"/>
        <v/>
      </c>
      <c r="IQ31" s="4" t="str">
        <f t="shared" si="36"/>
        <v/>
      </c>
      <c r="IR31" s="4" t="str">
        <f t="shared" si="37"/>
        <v/>
      </c>
      <c r="IS31" s="4" t="str">
        <f t="shared" si="38"/>
        <v/>
      </c>
      <c r="IT31" s="4" t="str">
        <f t="shared" si="39"/>
        <v/>
      </c>
      <c r="IU31" s="4" t="str">
        <f t="shared" si="40"/>
        <v/>
      </c>
      <c r="IV31" s="4" t="str">
        <f t="shared" si="41"/>
        <v/>
      </c>
      <c r="IW31" s="4" t="str">
        <f t="shared" si="42"/>
        <v/>
      </c>
      <c r="IX31" s="4" t="str">
        <f t="shared" si="43"/>
        <v/>
      </c>
      <c r="IY31" s="4" t="str">
        <f t="shared" si="44"/>
        <v/>
      </c>
      <c r="IZ31" s="4" t="str">
        <f t="shared" si="45"/>
        <v/>
      </c>
      <c r="JA31" s="4" t="str">
        <f t="shared" si="46"/>
        <v/>
      </c>
      <c r="JB31" s="4" t="str">
        <f t="shared" si="47"/>
        <v/>
      </c>
      <c r="JC31" s="4" t="str">
        <f t="shared" si="48"/>
        <v/>
      </c>
      <c r="JD31" s="4" t="str">
        <f t="shared" si="49"/>
        <v/>
      </c>
      <c r="JE31" s="4" t="str">
        <f t="shared" si="50"/>
        <v/>
      </c>
      <c r="JF31" s="4" t="str">
        <f t="shared" si="51"/>
        <v/>
      </c>
      <c r="JG31" s="4" t="str">
        <f t="shared" si="52"/>
        <v/>
      </c>
      <c r="JH31" s="4" t="str">
        <f t="shared" si="53"/>
        <v/>
      </c>
      <c r="JI31" s="4" t="str">
        <f t="shared" si="54"/>
        <v/>
      </c>
      <c r="JJ31" s="4" t="str">
        <f t="shared" si="55"/>
        <v/>
      </c>
      <c r="JK31" s="4" t="str">
        <f t="shared" si="56"/>
        <v/>
      </c>
      <c r="JL31" s="4" t="str">
        <f t="shared" si="57"/>
        <v/>
      </c>
      <c r="JM31" s="4" t="str">
        <f t="shared" si="58"/>
        <v/>
      </c>
      <c r="JN31" s="4" t="str">
        <f t="shared" si="59"/>
        <v/>
      </c>
      <c r="JO31" s="4" t="str">
        <f t="shared" si="60"/>
        <v/>
      </c>
      <c r="JP31" s="4" t="str">
        <f t="shared" si="61"/>
        <v/>
      </c>
      <c r="JQ31" s="117" t="str">
        <f t="shared" si="62"/>
        <v/>
      </c>
      <c r="JR31" s="110" t="str">
        <f t="shared" si="63"/>
        <v/>
      </c>
      <c r="JS31" s="110" t="str">
        <f t="shared" si="64"/>
        <v/>
      </c>
      <c r="JT31" s="110" t="str">
        <f t="shared" si="65"/>
        <v/>
      </c>
      <c r="JU31" s="110" t="str">
        <f t="shared" si="66"/>
        <v/>
      </c>
      <c r="JV31" s="110" t="str">
        <f t="shared" si="67"/>
        <v/>
      </c>
      <c r="JW31" s="110" t="str">
        <f t="shared" si="68"/>
        <v/>
      </c>
      <c r="JX31" s="110" t="str">
        <f t="shared" si="69"/>
        <v/>
      </c>
      <c r="JY31" s="110" t="str">
        <f t="shared" si="70"/>
        <v/>
      </c>
      <c r="JZ31" s="110" t="str">
        <f t="shared" si="71"/>
        <v/>
      </c>
      <c r="KA31" s="110" t="str">
        <f t="shared" si="72"/>
        <v/>
      </c>
      <c r="KB31" s="110" t="str">
        <f t="shared" si="73"/>
        <v/>
      </c>
      <c r="KC31" s="110" t="str">
        <f t="shared" si="74"/>
        <v/>
      </c>
      <c r="KD31" s="110" t="str">
        <f t="shared" si="75"/>
        <v/>
      </c>
      <c r="KE31" s="110" t="str">
        <f t="shared" si="76"/>
        <v/>
      </c>
      <c r="KF31" s="110" t="str">
        <f t="shared" si="77"/>
        <v/>
      </c>
      <c r="KG31" s="121" t="str">
        <f t="shared" si="78"/>
        <v/>
      </c>
      <c r="KH31" s="83" t="str">
        <f t="shared" si="79"/>
        <v/>
      </c>
      <c r="KI31" s="4" t="str">
        <f t="shared" si="80"/>
        <v/>
      </c>
      <c r="KJ31" s="4" t="str">
        <f t="shared" si="81"/>
        <v/>
      </c>
      <c r="KK31" s="4" t="str">
        <f t="shared" si="82"/>
        <v/>
      </c>
      <c r="KL31" s="4" t="str">
        <f t="shared" si="83"/>
        <v/>
      </c>
      <c r="KM31" s="4" t="str">
        <f t="shared" si="84"/>
        <v/>
      </c>
      <c r="KN31" s="4" t="str">
        <f t="shared" si="85"/>
        <v/>
      </c>
      <c r="KO31" s="4" t="str">
        <f t="shared" si="86"/>
        <v/>
      </c>
      <c r="KP31" s="4" t="str">
        <f t="shared" si="87"/>
        <v/>
      </c>
      <c r="KQ31" s="4" t="str">
        <f t="shared" si="88"/>
        <v/>
      </c>
      <c r="KR31" s="4" t="str">
        <f t="shared" si="89"/>
        <v/>
      </c>
      <c r="KS31" s="4" t="str">
        <f t="shared" si="90"/>
        <v/>
      </c>
      <c r="KT31" s="4" t="str">
        <f t="shared" si="91"/>
        <v/>
      </c>
      <c r="KU31" s="4" t="str">
        <f t="shared" si="92"/>
        <v/>
      </c>
      <c r="KV31" s="4" t="str">
        <f t="shared" si="93"/>
        <v/>
      </c>
      <c r="KW31" s="4" t="str">
        <f t="shared" si="94"/>
        <v/>
      </c>
      <c r="KX31" s="4" t="str">
        <f t="shared" si="95"/>
        <v/>
      </c>
      <c r="KY31" s="4" t="str">
        <f t="shared" si="96"/>
        <v/>
      </c>
      <c r="KZ31" s="4" t="str">
        <f t="shared" si="97"/>
        <v/>
      </c>
      <c r="LA31" s="4" t="str">
        <f t="shared" si="98"/>
        <v/>
      </c>
      <c r="LB31" s="4" t="str">
        <f t="shared" si="99"/>
        <v/>
      </c>
      <c r="LC31" s="4" t="str">
        <f t="shared" si="100"/>
        <v/>
      </c>
      <c r="LD31" s="4" t="str">
        <f t="shared" si="101"/>
        <v/>
      </c>
      <c r="LE31" s="4" t="str">
        <f t="shared" si="102"/>
        <v/>
      </c>
      <c r="LF31" s="4" t="str">
        <f t="shared" si="103"/>
        <v/>
      </c>
      <c r="LG31" s="4" t="str">
        <f t="shared" si="104"/>
        <v/>
      </c>
      <c r="LH31" s="4" t="str">
        <f t="shared" si="105"/>
        <v/>
      </c>
      <c r="LI31" s="4" t="str">
        <f t="shared" si="106"/>
        <v/>
      </c>
      <c r="LJ31" s="4" t="str">
        <f t="shared" si="107"/>
        <v/>
      </c>
      <c r="LK31" s="4" t="str">
        <f t="shared" si="108"/>
        <v/>
      </c>
      <c r="LL31" s="4" t="str">
        <f t="shared" si="109"/>
        <v/>
      </c>
      <c r="LM31" s="4" t="str">
        <f t="shared" si="110"/>
        <v/>
      </c>
      <c r="LN31" s="4" t="str">
        <f t="shared" si="111"/>
        <v/>
      </c>
      <c r="LO31" s="4" t="str">
        <f t="shared" si="112"/>
        <v/>
      </c>
      <c r="LP31" s="4" t="str">
        <f t="shared" si="113"/>
        <v/>
      </c>
      <c r="LQ31" s="4" t="str">
        <f t="shared" si="114"/>
        <v/>
      </c>
      <c r="LR31" s="4" t="str">
        <f t="shared" si="115"/>
        <v/>
      </c>
      <c r="LS31" s="4" t="str">
        <f t="shared" si="116"/>
        <v/>
      </c>
      <c r="LT31" s="4" t="str">
        <f t="shared" si="117"/>
        <v/>
      </c>
      <c r="LU31" s="4" t="str">
        <f t="shared" si="118"/>
        <v/>
      </c>
      <c r="LV31" s="4" t="str">
        <f t="shared" si="119"/>
        <v/>
      </c>
      <c r="LW31" s="4" t="str">
        <f t="shared" si="120"/>
        <v/>
      </c>
      <c r="LX31" s="4" t="str">
        <f t="shared" si="121"/>
        <v/>
      </c>
      <c r="LY31" s="4" t="str">
        <f t="shared" si="122"/>
        <v/>
      </c>
      <c r="LZ31" s="4" t="str">
        <f t="shared" si="123"/>
        <v/>
      </c>
      <c r="MA31" s="4" t="str">
        <f t="shared" si="124"/>
        <v/>
      </c>
      <c r="MB31" s="4" t="str">
        <f t="shared" si="125"/>
        <v/>
      </c>
      <c r="MC31" s="4" t="str">
        <f t="shared" si="126"/>
        <v/>
      </c>
      <c r="MD31" s="4" t="str">
        <f t="shared" si="127"/>
        <v/>
      </c>
      <c r="ME31" s="4" t="str">
        <f t="shared" si="128"/>
        <v/>
      </c>
      <c r="MF31" s="4" t="str">
        <f t="shared" si="129"/>
        <v/>
      </c>
      <c r="MG31" s="4">
        <f t="shared" si="130"/>
        <v>0</v>
      </c>
    </row>
    <row r="32" spans="1:345" ht="26.25" customHeight="1" thickBot="1" x14ac:dyDescent="0.25">
      <c r="A32" s="35">
        <v>41290</v>
      </c>
      <c r="B32" s="36" t="s">
        <v>193</v>
      </c>
      <c r="C32" s="36" t="s">
        <v>28</v>
      </c>
      <c r="D32" s="31" t="s">
        <v>111</v>
      </c>
      <c r="E32" s="4">
        <v>61</v>
      </c>
      <c r="F32" s="3">
        <v>18791</v>
      </c>
      <c r="G32" s="4" t="s">
        <v>87</v>
      </c>
      <c r="H32" s="4" t="s">
        <v>108</v>
      </c>
      <c r="I32" s="4">
        <v>1834781</v>
      </c>
      <c r="J32" s="2" t="s">
        <v>309</v>
      </c>
      <c r="K32" s="227"/>
      <c r="L32" s="228"/>
      <c r="M32" s="228"/>
      <c r="N32" s="228"/>
      <c r="O32" s="258"/>
      <c r="P32" s="240"/>
      <c r="Q32" s="228"/>
      <c r="R32" s="33">
        <v>-0.5</v>
      </c>
      <c r="S32" s="4">
        <v>-0.7</v>
      </c>
      <c r="T32" s="33" t="s">
        <v>249</v>
      </c>
      <c r="U32" s="67">
        <v>20.5</v>
      </c>
      <c r="V32" s="124">
        <v>41288</v>
      </c>
      <c r="W32" s="67">
        <v>1</v>
      </c>
      <c r="X32" s="67">
        <v>0</v>
      </c>
      <c r="Y32" s="4">
        <v>0</v>
      </c>
      <c r="Z32" s="4">
        <v>30</v>
      </c>
      <c r="AA32" s="4">
        <v>18</v>
      </c>
      <c r="AB32" s="4">
        <v>646</v>
      </c>
      <c r="AC32" s="4">
        <v>24.21</v>
      </c>
      <c r="AD32" s="4">
        <v>12</v>
      </c>
      <c r="AE32" s="4">
        <v>4.8499999999999996</v>
      </c>
      <c r="AF32" s="4">
        <v>3.07</v>
      </c>
      <c r="AG32" s="4">
        <v>42.4</v>
      </c>
      <c r="AH32" s="4">
        <v>67</v>
      </c>
      <c r="AI32" s="4">
        <v>42.72</v>
      </c>
      <c r="AJ32" s="4">
        <v>157</v>
      </c>
      <c r="AK32" s="4">
        <v>0</v>
      </c>
      <c r="AL32" s="4" t="b">
        <f t="shared" si="0"/>
        <v>0</v>
      </c>
      <c r="AN32" s="37">
        <v>41407</v>
      </c>
      <c r="AO32" s="59">
        <v>40</v>
      </c>
      <c r="AP32" s="67">
        <v>-0.25</v>
      </c>
      <c r="AQ32" s="67">
        <v>1.75</v>
      </c>
      <c r="AR32" s="4">
        <v>15</v>
      </c>
      <c r="AS32" s="4">
        <v>25</v>
      </c>
      <c r="AT32" s="4">
        <v>24</v>
      </c>
      <c r="AU32" s="4">
        <v>549</v>
      </c>
      <c r="AV32" s="4">
        <v>2062</v>
      </c>
      <c r="BC32" s="4">
        <f t="shared" si="1"/>
        <v>0.625</v>
      </c>
      <c r="BD32" s="4">
        <f t="shared" si="133"/>
        <v>1.325</v>
      </c>
      <c r="BE32" s="4">
        <f t="shared" si="3"/>
        <v>-97</v>
      </c>
      <c r="BF32" s="3">
        <v>41674</v>
      </c>
      <c r="BG32" s="56">
        <v>70</v>
      </c>
      <c r="BH32" s="67">
        <v>-1.5</v>
      </c>
      <c r="BI32" s="67">
        <v>1</v>
      </c>
      <c r="BJ32" s="4">
        <v>167</v>
      </c>
      <c r="BK32" s="4">
        <v>30</v>
      </c>
      <c r="BL32" s="4">
        <v>12</v>
      </c>
      <c r="BM32" s="4">
        <v>561</v>
      </c>
      <c r="BN32" s="4">
        <v>2088</v>
      </c>
      <c r="BO32" s="4">
        <v>21.24</v>
      </c>
      <c r="BP32" s="4">
        <v>2.8</v>
      </c>
      <c r="BQ32" s="4">
        <v>41.98</v>
      </c>
      <c r="BR32" s="4">
        <v>123</v>
      </c>
      <c r="BS32" s="4">
        <v>42.51</v>
      </c>
      <c r="BT32" s="4">
        <v>33</v>
      </c>
      <c r="BU32" s="4">
        <f t="shared" si="134"/>
        <v>-1</v>
      </c>
      <c r="BV32" s="4">
        <f t="shared" si="4"/>
        <v>-0.30000000000000004</v>
      </c>
      <c r="BW32" s="4">
        <f t="shared" si="5"/>
        <v>-85</v>
      </c>
      <c r="BX32" s="4">
        <f t="shared" si="6"/>
        <v>1</v>
      </c>
      <c r="BY32" s="4">
        <f t="shared" si="7"/>
        <v>1</v>
      </c>
      <c r="BZ32" s="4">
        <f t="shared" si="8"/>
        <v>1</v>
      </c>
      <c r="CA32" s="4">
        <f t="shared" si="9"/>
        <v>0.625</v>
      </c>
      <c r="CB32" s="4">
        <f t="shared" si="10"/>
        <v>-1</v>
      </c>
      <c r="CC32" s="53">
        <f t="shared" si="11"/>
        <v>384</v>
      </c>
      <c r="CD32" s="55">
        <f t="shared" si="12"/>
        <v>12.8</v>
      </c>
      <c r="CE32" s="4">
        <f t="shared" si="13"/>
        <v>-1.625</v>
      </c>
      <c r="CF32" s="4" t="str">
        <f t="shared" si="14"/>
        <v/>
      </c>
      <c r="CG32" s="4">
        <f t="shared" si="15"/>
        <v>-0.31500000000000483</v>
      </c>
      <c r="CH32" s="4">
        <f t="shared" si="16"/>
        <v>-0.31500000000000483</v>
      </c>
      <c r="CI32" s="4">
        <f t="shared" si="17"/>
        <v>1</v>
      </c>
      <c r="CJ32" s="4">
        <f t="shared" si="18"/>
        <v>-1</v>
      </c>
      <c r="CK32" s="93">
        <f t="shared" si="19"/>
        <v>-0.30000000000000004</v>
      </c>
      <c r="CL32" s="83">
        <f t="shared" si="20"/>
        <v>-85</v>
      </c>
      <c r="CM32" s="4">
        <f t="shared" si="21"/>
        <v>-2.9700000000000024</v>
      </c>
      <c r="CN32" s="96">
        <f t="shared" si="22"/>
        <v>-0.7</v>
      </c>
      <c r="CO32" s="96">
        <f t="shared" si="132"/>
        <v>0</v>
      </c>
      <c r="CP32" s="127">
        <f t="shared" si="23"/>
        <v>1</v>
      </c>
      <c r="CQ32" s="127">
        <f t="shared" si="24"/>
        <v>1</v>
      </c>
      <c r="CR32" s="136">
        <f t="shared" si="25"/>
        <v>30</v>
      </c>
      <c r="CS32" s="136">
        <f t="shared" si="26"/>
        <v>30</v>
      </c>
      <c r="CT32" s="135">
        <f t="shared" si="27"/>
        <v>70</v>
      </c>
      <c r="CU32" s="139" t="str">
        <f t="shared" si="28"/>
        <v/>
      </c>
      <c r="CV32" s="96" t="str">
        <f t="shared" si="29"/>
        <v/>
      </c>
      <c r="CW32" s="141" t="str">
        <f t="shared" si="30"/>
        <v/>
      </c>
      <c r="ET32" s="83">
        <v>8.23</v>
      </c>
      <c r="EU32" s="4">
        <v>7.87</v>
      </c>
      <c r="EV32" s="4">
        <v>146.30000000000001</v>
      </c>
      <c r="EW32" s="4">
        <v>-1.9</v>
      </c>
      <c r="EX32" s="4">
        <v>0.31</v>
      </c>
      <c r="EY32" s="4">
        <v>0.52</v>
      </c>
      <c r="EZ32" s="4">
        <v>4.72</v>
      </c>
      <c r="FA32" s="4">
        <v>5.3</v>
      </c>
      <c r="FB32" s="4">
        <v>575</v>
      </c>
      <c r="FC32" s="4">
        <v>573</v>
      </c>
      <c r="FD32" s="4">
        <v>699</v>
      </c>
      <c r="FE32" s="4">
        <v>651</v>
      </c>
      <c r="FF32" s="4">
        <v>680</v>
      </c>
      <c r="FG32" s="4">
        <v>627</v>
      </c>
      <c r="FH32" s="4">
        <v>557</v>
      </c>
      <c r="FI32" s="4">
        <v>-0.93</v>
      </c>
      <c r="FJ32" s="4">
        <v>-0.93</v>
      </c>
      <c r="FK32" s="4">
        <v>8.06</v>
      </c>
      <c r="FL32" s="4">
        <v>8.07</v>
      </c>
      <c r="FM32" s="4">
        <v>8.11</v>
      </c>
      <c r="FN32" s="4">
        <v>8.23</v>
      </c>
      <c r="FO32" s="4">
        <v>8.4</v>
      </c>
      <c r="FP32" s="4">
        <v>8.6</v>
      </c>
      <c r="FQ32" s="4">
        <v>0</v>
      </c>
      <c r="FR32" s="4">
        <v>1.3</v>
      </c>
      <c r="FS32" s="4">
        <v>6.53</v>
      </c>
      <c r="FT32" s="4">
        <v>6.44</v>
      </c>
      <c r="FU32" s="4">
        <v>6.6</v>
      </c>
      <c r="FV32" s="4">
        <v>6.94</v>
      </c>
      <c r="FW32" s="4">
        <v>7.12</v>
      </c>
      <c r="FX32" s="4">
        <v>0</v>
      </c>
      <c r="FY32" s="4">
        <v>0</v>
      </c>
      <c r="FZ32" s="86">
        <v>1.3</v>
      </c>
      <c r="IL32" s="83">
        <f t="shared" si="31"/>
        <v>8.23</v>
      </c>
      <c r="IM32" s="4">
        <f t="shared" si="32"/>
        <v>7.87</v>
      </c>
      <c r="IN32" s="4">
        <f t="shared" si="33"/>
        <v>146.30000000000001</v>
      </c>
      <c r="IO32" s="4">
        <f t="shared" si="34"/>
        <v>-1.9</v>
      </c>
      <c r="IP32" s="4">
        <f t="shared" si="35"/>
        <v>0.31</v>
      </c>
      <c r="IQ32" s="4">
        <f t="shared" si="36"/>
        <v>0.52</v>
      </c>
      <c r="IR32" s="4">
        <f t="shared" si="37"/>
        <v>4.72</v>
      </c>
      <c r="IS32" s="4">
        <f t="shared" si="38"/>
        <v>5.3</v>
      </c>
      <c r="IT32" s="4">
        <f t="shared" si="39"/>
        <v>575</v>
      </c>
      <c r="IU32" s="4">
        <f t="shared" si="40"/>
        <v>573</v>
      </c>
      <c r="IV32" s="4">
        <f t="shared" si="41"/>
        <v>699</v>
      </c>
      <c r="IW32" s="4">
        <f t="shared" si="42"/>
        <v>651</v>
      </c>
      <c r="IX32" s="4">
        <f t="shared" si="43"/>
        <v>680</v>
      </c>
      <c r="IY32" s="4">
        <f t="shared" si="44"/>
        <v>627</v>
      </c>
      <c r="IZ32" s="4">
        <f t="shared" si="45"/>
        <v>557</v>
      </c>
      <c r="JA32" s="4">
        <f t="shared" si="46"/>
        <v>-0.93</v>
      </c>
      <c r="JB32" s="4">
        <f t="shared" si="47"/>
        <v>-0.93</v>
      </c>
      <c r="JC32" s="4">
        <f t="shared" si="48"/>
        <v>8.06</v>
      </c>
      <c r="JD32" s="4">
        <f t="shared" si="49"/>
        <v>8.07</v>
      </c>
      <c r="JE32" s="4">
        <f t="shared" si="50"/>
        <v>8.11</v>
      </c>
      <c r="JF32" s="4">
        <f t="shared" si="51"/>
        <v>8.23</v>
      </c>
      <c r="JG32" s="4">
        <f t="shared" si="52"/>
        <v>8.4</v>
      </c>
      <c r="JH32" s="4">
        <f t="shared" si="53"/>
        <v>8.6</v>
      </c>
      <c r="JI32" s="4">
        <f t="shared" si="54"/>
        <v>0</v>
      </c>
      <c r="JJ32" s="4">
        <f t="shared" si="55"/>
        <v>1.3</v>
      </c>
      <c r="JK32" s="4">
        <f t="shared" si="56"/>
        <v>6.53</v>
      </c>
      <c r="JL32" s="4">
        <f t="shared" si="57"/>
        <v>6.44</v>
      </c>
      <c r="JM32" s="4">
        <f t="shared" si="58"/>
        <v>6.6</v>
      </c>
      <c r="JN32" s="4">
        <f t="shared" si="59"/>
        <v>6.94</v>
      </c>
      <c r="JO32" s="4">
        <f t="shared" si="60"/>
        <v>7.12</v>
      </c>
      <c r="JP32" s="4">
        <f t="shared" si="61"/>
        <v>0</v>
      </c>
      <c r="JQ32" s="117">
        <f t="shared" si="62"/>
        <v>0</v>
      </c>
      <c r="JR32" s="110">
        <f t="shared" si="63"/>
        <v>1.3</v>
      </c>
      <c r="JS32" s="110" t="str">
        <f t="shared" si="64"/>
        <v/>
      </c>
      <c r="JT32" s="110" t="str">
        <f t="shared" si="65"/>
        <v/>
      </c>
      <c r="JU32" s="110" t="str">
        <f t="shared" si="66"/>
        <v/>
      </c>
      <c r="JV32" s="110" t="str">
        <f t="shared" si="67"/>
        <v/>
      </c>
      <c r="JW32" s="110" t="str">
        <f t="shared" si="68"/>
        <v/>
      </c>
      <c r="JX32" s="110" t="str">
        <f t="shared" si="69"/>
        <v/>
      </c>
      <c r="JY32" s="110" t="str">
        <f t="shared" si="70"/>
        <v/>
      </c>
      <c r="JZ32" s="110" t="str">
        <f t="shared" si="71"/>
        <v/>
      </c>
      <c r="KA32" s="110" t="str">
        <f t="shared" si="72"/>
        <v/>
      </c>
      <c r="KB32" s="110" t="str">
        <f t="shared" si="73"/>
        <v/>
      </c>
      <c r="KC32" s="110" t="str">
        <f t="shared" si="74"/>
        <v/>
      </c>
      <c r="KD32" s="110" t="str">
        <f t="shared" si="75"/>
        <v/>
      </c>
      <c r="KE32" s="110" t="str">
        <f t="shared" si="76"/>
        <v/>
      </c>
      <c r="KF32" s="110" t="str">
        <f t="shared" si="77"/>
        <v/>
      </c>
      <c r="KG32" s="121" t="str">
        <f t="shared" si="78"/>
        <v/>
      </c>
      <c r="KH32" s="83" t="str">
        <f t="shared" si="79"/>
        <v/>
      </c>
      <c r="KI32" s="4" t="str">
        <f t="shared" si="80"/>
        <v/>
      </c>
      <c r="KJ32" s="4" t="str">
        <f t="shared" si="81"/>
        <v/>
      </c>
      <c r="KK32" s="4" t="str">
        <f t="shared" si="82"/>
        <v/>
      </c>
      <c r="KL32" s="4" t="str">
        <f t="shared" si="83"/>
        <v/>
      </c>
      <c r="KM32" s="4" t="str">
        <f t="shared" si="84"/>
        <v/>
      </c>
      <c r="KN32" s="4" t="str">
        <f t="shared" si="85"/>
        <v/>
      </c>
      <c r="KO32" s="4" t="str">
        <f t="shared" si="86"/>
        <v/>
      </c>
      <c r="KP32" s="4" t="str">
        <f t="shared" si="87"/>
        <v/>
      </c>
      <c r="KQ32" s="4" t="str">
        <f t="shared" si="88"/>
        <v/>
      </c>
      <c r="KR32" s="4" t="str">
        <f t="shared" si="89"/>
        <v/>
      </c>
      <c r="KS32" s="4" t="str">
        <f t="shared" si="90"/>
        <v/>
      </c>
      <c r="KT32" s="4" t="str">
        <f t="shared" si="91"/>
        <v/>
      </c>
      <c r="KU32" s="4" t="str">
        <f t="shared" si="92"/>
        <v/>
      </c>
      <c r="KV32" s="4" t="str">
        <f t="shared" si="93"/>
        <v/>
      </c>
      <c r="KW32" s="4" t="str">
        <f t="shared" si="94"/>
        <v/>
      </c>
      <c r="KX32" s="4" t="str">
        <f t="shared" si="95"/>
        <v/>
      </c>
      <c r="KY32" s="4" t="str">
        <f t="shared" si="96"/>
        <v/>
      </c>
      <c r="KZ32" s="4" t="str">
        <f t="shared" si="97"/>
        <v/>
      </c>
      <c r="LA32" s="4" t="str">
        <f t="shared" si="98"/>
        <v/>
      </c>
      <c r="LB32" s="4" t="str">
        <f t="shared" si="99"/>
        <v/>
      </c>
      <c r="LC32" s="4" t="str">
        <f t="shared" si="100"/>
        <v/>
      </c>
      <c r="LD32" s="4" t="str">
        <f t="shared" si="101"/>
        <v/>
      </c>
      <c r="LE32" s="4" t="str">
        <f t="shared" si="102"/>
        <v/>
      </c>
      <c r="LF32" s="4" t="str">
        <f t="shared" si="103"/>
        <v/>
      </c>
      <c r="LG32" s="4" t="str">
        <f t="shared" si="104"/>
        <v/>
      </c>
      <c r="LH32" s="4" t="str">
        <f t="shared" si="105"/>
        <v/>
      </c>
      <c r="LI32" s="4" t="str">
        <f t="shared" si="106"/>
        <v/>
      </c>
      <c r="LJ32" s="4" t="str">
        <f t="shared" si="107"/>
        <v/>
      </c>
      <c r="LK32" s="4" t="str">
        <f t="shared" si="108"/>
        <v/>
      </c>
      <c r="LL32" s="4" t="str">
        <f t="shared" si="109"/>
        <v/>
      </c>
      <c r="LM32" s="4" t="str">
        <f t="shared" si="110"/>
        <v/>
      </c>
      <c r="LN32" s="4" t="str">
        <f t="shared" si="111"/>
        <v/>
      </c>
      <c r="LO32" s="4" t="str">
        <f t="shared" si="112"/>
        <v/>
      </c>
      <c r="LP32" s="4" t="str">
        <f t="shared" si="113"/>
        <v/>
      </c>
      <c r="LQ32" s="4" t="str">
        <f t="shared" si="114"/>
        <v/>
      </c>
      <c r="LR32" s="4" t="str">
        <f t="shared" si="115"/>
        <v/>
      </c>
      <c r="LS32" s="4" t="str">
        <f t="shared" si="116"/>
        <v/>
      </c>
      <c r="LT32" s="4" t="str">
        <f t="shared" si="117"/>
        <v/>
      </c>
      <c r="LU32" s="4" t="str">
        <f t="shared" si="118"/>
        <v/>
      </c>
      <c r="LV32" s="4" t="str">
        <f t="shared" si="119"/>
        <v/>
      </c>
      <c r="LW32" s="4" t="str">
        <f t="shared" si="120"/>
        <v/>
      </c>
      <c r="LX32" s="4" t="str">
        <f t="shared" si="121"/>
        <v/>
      </c>
      <c r="LY32" s="4" t="str">
        <f t="shared" si="122"/>
        <v/>
      </c>
      <c r="LZ32" s="4" t="str">
        <f t="shared" si="123"/>
        <v/>
      </c>
      <c r="MA32" s="4" t="str">
        <f t="shared" si="124"/>
        <v/>
      </c>
      <c r="MB32" s="4" t="str">
        <f t="shared" si="125"/>
        <v/>
      </c>
      <c r="MC32" s="4" t="str">
        <f t="shared" si="126"/>
        <v/>
      </c>
      <c r="MD32" s="4" t="str">
        <f t="shared" si="127"/>
        <v/>
      </c>
      <c r="ME32" s="4" t="str">
        <f t="shared" si="128"/>
        <v/>
      </c>
      <c r="MF32" s="4" t="str">
        <f t="shared" si="129"/>
        <v/>
      </c>
      <c r="MG32" s="4">
        <f t="shared" si="130"/>
        <v>0</v>
      </c>
    </row>
    <row r="33" spans="1:345" ht="26.25" customHeight="1" thickBot="1" x14ac:dyDescent="0.25">
      <c r="A33" s="35">
        <v>41199</v>
      </c>
      <c r="B33" s="36" t="s">
        <v>231</v>
      </c>
      <c r="C33" s="36" t="s">
        <v>98</v>
      </c>
      <c r="D33" s="31" t="s">
        <v>111</v>
      </c>
      <c r="E33" s="4">
        <v>62</v>
      </c>
      <c r="F33" s="3">
        <v>18192</v>
      </c>
      <c r="G33" s="4" t="s">
        <v>87</v>
      </c>
      <c r="H33" s="4" t="s">
        <v>108</v>
      </c>
      <c r="I33" s="4">
        <v>1834859</v>
      </c>
      <c r="J33" s="2" t="s">
        <v>309</v>
      </c>
      <c r="K33" s="227"/>
      <c r="L33" s="228"/>
      <c r="M33" s="228">
        <v>1</v>
      </c>
      <c r="N33" s="98" t="s">
        <v>645</v>
      </c>
      <c r="O33" s="258"/>
      <c r="P33" s="228"/>
      <c r="Q33" s="228"/>
      <c r="R33" s="4">
        <v>-0.75</v>
      </c>
      <c r="S33" s="4">
        <v>-0.8</v>
      </c>
      <c r="T33" s="4" t="s">
        <v>249</v>
      </c>
      <c r="U33" s="67">
        <v>33</v>
      </c>
      <c r="V33" s="124">
        <v>41194</v>
      </c>
      <c r="W33" s="67">
        <v>4.75</v>
      </c>
      <c r="X33" s="67">
        <v>1.25</v>
      </c>
      <c r="Y33" s="4">
        <v>70</v>
      </c>
      <c r="Z33" s="4">
        <v>30</v>
      </c>
      <c r="AA33" s="4">
        <v>18</v>
      </c>
      <c r="AB33" s="4">
        <v>771</v>
      </c>
      <c r="AC33" s="4">
        <v>20.239999999999998</v>
      </c>
      <c r="AD33" s="4">
        <v>11.5</v>
      </c>
      <c r="AE33" s="4">
        <v>4.54</v>
      </c>
      <c r="AF33" s="4">
        <v>2.5299999999999998</v>
      </c>
      <c r="AG33" s="4">
        <v>44.18</v>
      </c>
      <c r="AH33" s="4">
        <v>161</v>
      </c>
      <c r="AI33" s="4">
        <v>45.49</v>
      </c>
      <c r="AJ33" s="4">
        <v>71</v>
      </c>
      <c r="AK33" s="4">
        <v>1</v>
      </c>
      <c r="AL33" s="4" t="b">
        <f t="shared" si="0"/>
        <v>1</v>
      </c>
      <c r="AN33" s="32">
        <v>41408</v>
      </c>
      <c r="AO33" s="60">
        <v>40</v>
      </c>
      <c r="AP33" s="67">
        <v>0.5</v>
      </c>
      <c r="AQ33" s="67">
        <v>0.75</v>
      </c>
      <c r="AR33" s="4">
        <v>75</v>
      </c>
      <c r="AS33" s="4">
        <v>30</v>
      </c>
      <c r="AT33" s="4">
        <v>21</v>
      </c>
      <c r="AU33" s="4">
        <v>599</v>
      </c>
      <c r="AV33" s="4">
        <v>1776</v>
      </c>
      <c r="BC33" s="4">
        <f t="shared" si="1"/>
        <v>0.875</v>
      </c>
      <c r="BD33" s="4">
        <f t="shared" si="133"/>
        <v>1.675</v>
      </c>
      <c r="BE33" s="4">
        <f t="shared" si="3"/>
        <v>-172</v>
      </c>
      <c r="BF33" s="3">
        <v>41577</v>
      </c>
      <c r="BG33" s="56">
        <v>40</v>
      </c>
      <c r="BH33" s="67">
        <v>0.5</v>
      </c>
      <c r="BI33" s="67">
        <v>1.25</v>
      </c>
      <c r="BJ33" s="4">
        <v>23</v>
      </c>
      <c r="BK33" s="4">
        <v>40</v>
      </c>
      <c r="BL33" s="4">
        <v>16</v>
      </c>
      <c r="BM33" s="4">
        <v>566</v>
      </c>
      <c r="BN33" s="4">
        <v>1667</v>
      </c>
      <c r="BO33" s="4">
        <v>20.12</v>
      </c>
      <c r="BP33" s="4" t="s">
        <v>282</v>
      </c>
      <c r="BQ33" s="4">
        <v>43.32</v>
      </c>
      <c r="BR33" s="4">
        <v>129</v>
      </c>
      <c r="BS33" s="4">
        <v>43.83</v>
      </c>
      <c r="BT33" s="4">
        <v>39</v>
      </c>
      <c r="BU33" s="4">
        <f t="shared" si="134"/>
        <v>1.125</v>
      </c>
      <c r="BV33" s="4">
        <f t="shared" si="4"/>
        <v>1.925</v>
      </c>
      <c r="BW33" s="4">
        <f t="shared" si="5"/>
        <v>-205</v>
      </c>
      <c r="BX33" s="4">
        <f t="shared" si="6"/>
        <v>1</v>
      </c>
      <c r="BY33" s="4">
        <f t="shared" si="7"/>
        <v>1</v>
      </c>
      <c r="BZ33" s="4">
        <f t="shared" si="8"/>
        <v>5.375</v>
      </c>
      <c r="CA33" s="4">
        <f t="shared" si="9"/>
        <v>0.875</v>
      </c>
      <c r="CB33" s="4">
        <f t="shared" si="10"/>
        <v>1.125</v>
      </c>
      <c r="CC33" s="53">
        <f t="shared" si="11"/>
        <v>378</v>
      </c>
      <c r="CD33" s="55">
        <f t="shared" si="12"/>
        <v>12.6</v>
      </c>
      <c r="CE33" s="4">
        <f t="shared" si="13"/>
        <v>0.25</v>
      </c>
      <c r="CF33" s="4" t="str">
        <f t="shared" si="14"/>
        <v/>
      </c>
      <c r="CG33" s="4">
        <f t="shared" si="15"/>
        <v>-1.259999999999998</v>
      </c>
      <c r="CH33" s="4">
        <f t="shared" si="16"/>
        <v>-1.259999999999998</v>
      </c>
      <c r="CI33" s="4">
        <f t="shared" si="17"/>
        <v>5.375</v>
      </c>
      <c r="CJ33" s="4">
        <f t="shared" si="18"/>
        <v>1.125</v>
      </c>
      <c r="CK33" s="93">
        <f t="shared" si="19"/>
        <v>1.925</v>
      </c>
      <c r="CL33" s="83">
        <f t="shared" si="20"/>
        <v>-205</v>
      </c>
      <c r="CM33" s="4">
        <f t="shared" si="21"/>
        <v>-0.11999999999999744</v>
      </c>
      <c r="CN33" s="96">
        <f t="shared" si="22"/>
        <v>-0.8</v>
      </c>
      <c r="CO33" s="96">
        <f>IF(AND(OR(ISNUMBER(BCVA_12),ISNUMBER(BCVA_6)),ISNUMBER(BCVA_PREOP)),-LOG(20/BCVA_PREOP)-(-LOG(20/IF(ISNUMBER(BCVA_12),BCVA_12,BCVA_6))),"")</f>
        <v>-0.12493873660829993</v>
      </c>
      <c r="CP33" s="127">
        <f t="shared" si="23"/>
        <v>1.25</v>
      </c>
      <c r="CQ33" s="127">
        <f t="shared" si="24"/>
        <v>0</v>
      </c>
      <c r="CR33" s="136">
        <f t="shared" si="25"/>
        <v>40</v>
      </c>
      <c r="CS33" s="136">
        <f t="shared" si="26"/>
        <v>30</v>
      </c>
      <c r="CT33" s="135">
        <f t="shared" si="27"/>
        <v>40</v>
      </c>
      <c r="CU33" s="139">
        <f t="shared" si="28"/>
        <v>1</v>
      </c>
      <c r="CV33" s="96">
        <f t="shared" si="29"/>
        <v>0</v>
      </c>
      <c r="CW33" s="141" t="b">
        <f t="shared" si="30"/>
        <v>0</v>
      </c>
      <c r="CX33">
        <v>7.87</v>
      </c>
      <c r="CY33" s="4">
        <v>7.54</v>
      </c>
      <c r="CZ33" s="4">
        <v>168.6</v>
      </c>
      <c r="DA33" s="4">
        <v>-1.9</v>
      </c>
      <c r="DB33" s="4">
        <v>0.55000000000000004</v>
      </c>
      <c r="DC33" s="4">
        <v>0.68</v>
      </c>
      <c r="DD33" s="4">
        <v>1.88</v>
      </c>
      <c r="DE33" s="4">
        <v>2.62</v>
      </c>
      <c r="DF33" s="4">
        <v>745</v>
      </c>
      <c r="DG33" s="4">
        <v>749</v>
      </c>
      <c r="DH33" s="4">
        <v>784</v>
      </c>
      <c r="DI33" s="4">
        <v>750</v>
      </c>
      <c r="DJ33" s="4">
        <v>731</v>
      </c>
      <c r="DK33" s="4">
        <v>716</v>
      </c>
      <c r="DL33" s="4">
        <v>700</v>
      </c>
      <c r="DM33" s="4">
        <v>-1.23</v>
      </c>
      <c r="DN33" s="4">
        <v>1.05</v>
      </c>
      <c r="DO33" s="4">
        <v>7.7</v>
      </c>
      <c r="DP33" s="4">
        <v>7.71</v>
      </c>
      <c r="DQ33" s="4">
        <v>7.72</v>
      </c>
      <c r="DR33" s="4">
        <v>7.92</v>
      </c>
      <c r="DS33" s="4">
        <v>8.18</v>
      </c>
      <c r="DT33" s="4">
        <v>0</v>
      </c>
      <c r="DU33" s="4">
        <v>0</v>
      </c>
      <c r="DV33" s="4">
        <v>0.9</v>
      </c>
      <c r="DW33" s="4">
        <v>7.82</v>
      </c>
      <c r="DX33" s="4">
        <v>7.18</v>
      </c>
      <c r="DY33" s="4">
        <v>6.65</v>
      </c>
      <c r="DZ33" s="4">
        <v>6.82</v>
      </c>
      <c r="EA33" s="4">
        <v>6.81</v>
      </c>
      <c r="EB33" s="4">
        <v>0</v>
      </c>
      <c r="EC33" s="4">
        <v>0</v>
      </c>
      <c r="ED33" s="89">
        <v>0.9</v>
      </c>
      <c r="EE33" s="110">
        <v>42.7</v>
      </c>
      <c r="EF33" s="110">
        <v>44.5</v>
      </c>
      <c r="EG33" s="110">
        <v>43.6</v>
      </c>
      <c r="EH33" s="110">
        <v>171.8</v>
      </c>
      <c r="EI33" s="110">
        <v>1.9</v>
      </c>
      <c r="EJ33" s="110">
        <v>-5.2</v>
      </c>
      <c r="EK33" s="110">
        <v>-5.6</v>
      </c>
      <c r="EL33" s="110">
        <v>-5.4</v>
      </c>
      <c r="EM33" s="110">
        <v>177.3</v>
      </c>
      <c r="EN33" s="110">
        <v>0.4</v>
      </c>
      <c r="EO33" s="110">
        <v>5.0999999999999996</v>
      </c>
      <c r="EP33" s="110">
        <v>14.3</v>
      </c>
      <c r="EQ33" s="110">
        <v>29.6</v>
      </c>
      <c r="ER33" s="110">
        <v>68.2</v>
      </c>
      <c r="ES33" s="114">
        <v>15</v>
      </c>
      <c r="GP33" s="83">
        <v>7.92</v>
      </c>
      <c r="GQ33" s="4">
        <v>7.71</v>
      </c>
      <c r="GR33" s="4">
        <v>163.1</v>
      </c>
      <c r="GS33" s="4">
        <v>-1.1000000000000001</v>
      </c>
      <c r="GT33" s="4">
        <v>0.61</v>
      </c>
      <c r="GU33" s="4">
        <v>0.74</v>
      </c>
      <c r="GV33" s="4">
        <v>3.2</v>
      </c>
      <c r="GW33" s="4">
        <v>3.75</v>
      </c>
      <c r="GX33" s="4">
        <v>555</v>
      </c>
      <c r="GY33" s="4">
        <v>543</v>
      </c>
      <c r="GZ33" s="4">
        <v>736</v>
      </c>
      <c r="HA33" s="4">
        <v>703</v>
      </c>
      <c r="HB33" s="4">
        <v>661</v>
      </c>
      <c r="HC33" s="4">
        <v>644</v>
      </c>
      <c r="HD33" s="4">
        <v>537</v>
      </c>
      <c r="HE33" s="4">
        <v>-0.51</v>
      </c>
      <c r="HF33" s="4">
        <v>-0.8</v>
      </c>
      <c r="HG33" s="4">
        <v>7.85</v>
      </c>
      <c r="HH33" s="4">
        <v>7.81</v>
      </c>
      <c r="HI33" s="4">
        <v>7.86</v>
      </c>
      <c r="HJ33" s="4">
        <v>7.97</v>
      </c>
      <c r="HK33" s="4">
        <v>7.96</v>
      </c>
      <c r="HL33" s="4">
        <v>0</v>
      </c>
      <c r="HM33" s="4">
        <v>0</v>
      </c>
      <c r="HN33" s="4">
        <v>2</v>
      </c>
      <c r="HO33" s="4">
        <v>5.83</v>
      </c>
      <c r="HP33" s="4">
        <v>6.03</v>
      </c>
      <c r="HQ33" s="4">
        <v>6.24</v>
      </c>
      <c r="HR33" s="4">
        <v>6.26</v>
      </c>
      <c r="HS33" s="4">
        <v>6.44</v>
      </c>
      <c r="HT33" s="4">
        <v>0</v>
      </c>
      <c r="HU33" s="4">
        <v>0</v>
      </c>
      <c r="HV33" s="93">
        <v>2</v>
      </c>
      <c r="HW33" s="110">
        <v>42.6</v>
      </c>
      <c r="HX33" s="110">
        <v>43.8</v>
      </c>
      <c r="HY33" s="110">
        <v>43.2</v>
      </c>
      <c r="HZ33" s="110">
        <v>163.1</v>
      </c>
      <c r="IA33" s="110">
        <v>1.1000000000000001</v>
      </c>
      <c r="IB33" s="110">
        <v>-6.5</v>
      </c>
      <c r="IC33" s="110">
        <v>-7.2</v>
      </c>
      <c r="ID33" s="110">
        <v>-6.8</v>
      </c>
      <c r="IE33" s="110">
        <v>7.7</v>
      </c>
      <c r="IF33" s="110">
        <v>0.7</v>
      </c>
      <c r="IG33" s="110">
        <v>4.0999999999999996</v>
      </c>
      <c r="IH33" s="110">
        <v>12.2</v>
      </c>
      <c r="II33" s="110">
        <v>26.7</v>
      </c>
      <c r="IJ33" s="110">
        <v>66.3</v>
      </c>
      <c r="IK33" s="121">
        <v>28</v>
      </c>
      <c r="IL33" s="83">
        <f t="shared" si="31"/>
        <v>7.92</v>
      </c>
      <c r="IM33" s="4">
        <f t="shared" si="32"/>
        <v>7.71</v>
      </c>
      <c r="IN33" s="4">
        <f t="shared" si="33"/>
        <v>163.1</v>
      </c>
      <c r="IO33" s="4">
        <f t="shared" si="34"/>
        <v>-1.1000000000000001</v>
      </c>
      <c r="IP33" s="4">
        <f t="shared" si="35"/>
        <v>0.61</v>
      </c>
      <c r="IQ33" s="4">
        <f t="shared" si="36"/>
        <v>0.74</v>
      </c>
      <c r="IR33" s="4">
        <f t="shared" si="37"/>
        <v>3.2</v>
      </c>
      <c r="IS33" s="4">
        <f t="shared" si="38"/>
        <v>3.75</v>
      </c>
      <c r="IT33" s="4">
        <f t="shared" si="39"/>
        <v>555</v>
      </c>
      <c r="IU33" s="4">
        <f t="shared" si="40"/>
        <v>543</v>
      </c>
      <c r="IV33" s="4">
        <f t="shared" si="41"/>
        <v>736</v>
      </c>
      <c r="IW33" s="4">
        <f t="shared" si="42"/>
        <v>703</v>
      </c>
      <c r="IX33" s="4">
        <f t="shared" si="43"/>
        <v>661</v>
      </c>
      <c r="IY33" s="4">
        <f t="shared" si="44"/>
        <v>644</v>
      </c>
      <c r="IZ33" s="4">
        <f t="shared" si="45"/>
        <v>537</v>
      </c>
      <c r="JA33" s="4">
        <f t="shared" si="46"/>
        <v>-0.51</v>
      </c>
      <c r="JB33" s="4">
        <f t="shared" si="47"/>
        <v>-0.8</v>
      </c>
      <c r="JC33" s="4">
        <f t="shared" si="48"/>
        <v>7.85</v>
      </c>
      <c r="JD33" s="4">
        <f t="shared" si="49"/>
        <v>7.81</v>
      </c>
      <c r="JE33" s="4">
        <f t="shared" si="50"/>
        <v>7.86</v>
      </c>
      <c r="JF33" s="4">
        <f t="shared" si="51"/>
        <v>7.97</v>
      </c>
      <c r="JG33" s="4">
        <f t="shared" si="52"/>
        <v>7.96</v>
      </c>
      <c r="JH33" s="4">
        <f t="shared" si="53"/>
        <v>0</v>
      </c>
      <c r="JI33" s="4">
        <f t="shared" si="54"/>
        <v>0</v>
      </c>
      <c r="JJ33" s="4">
        <f t="shared" si="55"/>
        <v>2</v>
      </c>
      <c r="JK33" s="4">
        <f t="shared" si="56"/>
        <v>5.83</v>
      </c>
      <c r="JL33" s="4">
        <f t="shared" si="57"/>
        <v>6.03</v>
      </c>
      <c r="JM33" s="4">
        <f t="shared" si="58"/>
        <v>6.24</v>
      </c>
      <c r="JN33" s="4">
        <f t="shared" si="59"/>
        <v>6.26</v>
      </c>
      <c r="JO33" s="4">
        <f t="shared" si="60"/>
        <v>6.44</v>
      </c>
      <c r="JP33" s="4">
        <f t="shared" si="61"/>
        <v>0</v>
      </c>
      <c r="JQ33" s="117">
        <f t="shared" si="62"/>
        <v>0</v>
      </c>
      <c r="JR33" s="110">
        <f t="shared" si="63"/>
        <v>2</v>
      </c>
      <c r="JS33" s="110">
        <f t="shared" si="64"/>
        <v>42.6</v>
      </c>
      <c r="JT33" s="110">
        <f t="shared" si="65"/>
        <v>43.8</v>
      </c>
      <c r="JU33" s="110">
        <f t="shared" si="66"/>
        <v>43.2</v>
      </c>
      <c r="JV33" s="110">
        <f t="shared" si="67"/>
        <v>163.1</v>
      </c>
      <c r="JW33" s="110">
        <f t="shared" si="68"/>
        <v>1.1000000000000001</v>
      </c>
      <c r="JX33" s="110">
        <f t="shared" si="69"/>
        <v>-6.5</v>
      </c>
      <c r="JY33" s="110">
        <f t="shared" si="70"/>
        <v>-7.2</v>
      </c>
      <c r="JZ33" s="110">
        <f t="shared" si="71"/>
        <v>-6.8</v>
      </c>
      <c r="KA33" s="110">
        <f t="shared" si="72"/>
        <v>7.7</v>
      </c>
      <c r="KB33" s="110">
        <f t="shared" si="73"/>
        <v>0.7</v>
      </c>
      <c r="KC33" s="110">
        <f t="shared" si="74"/>
        <v>4.0999999999999996</v>
      </c>
      <c r="KD33" s="110">
        <f t="shared" si="75"/>
        <v>12.2</v>
      </c>
      <c r="KE33" s="110">
        <f t="shared" si="76"/>
        <v>26.7</v>
      </c>
      <c r="KF33" s="110">
        <f t="shared" si="77"/>
        <v>66.3</v>
      </c>
      <c r="KG33" s="121">
        <f t="shared" si="78"/>
        <v>28</v>
      </c>
      <c r="KH33" s="83">
        <f t="shared" si="79"/>
        <v>4.9999999999999822E-2</v>
      </c>
      <c r="KI33" s="4">
        <f t="shared" si="80"/>
        <v>0.16999999999999993</v>
      </c>
      <c r="KJ33" s="4">
        <f t="shared" si="81"/>
        <v>-5.5</v>
      </c>
      <c r="KK33" s="4">
        <f t="shared" si="82"/>
        <v>0.79999999999999982</v>
      </c>
      <c r="KL33" s="4">
        <f t="shared" si="83"/>
        <v>5.9999999999999942E-2</v>
      </c>
      <c r="KM33" s="4">
        <f t="shared" si="84"/>
        <v>5.9999999999999942E-2</v>
      </c>
      <c r="KN33" s="4">
        <f t="shared" si="85"/>
        <v>1.3200000000000003</v>
      </c>
      <c r="KO33" s="4">
        <f t="shared" si="86"/>
        <v>1.1299999999999999</v>
      </c>
      <c r="KP33" s="4">
        <f t="shared" si="87"/>
        <v>-190</v>
      </c>
      <c r="KQ33" s="4">
        <f t="shared" si="88"/>
        <v>-206</v>
      </c>
      <c r="KR33" s="4">
        <f t="shared" si="89"/>
        <v>-48</v>
      </c>
      <c r="KS33" s="4">
        <f t="shared" si="90"/>
        <v>-47</v>
      </c>
      <c r="KT33" s="4">
        <f t="shared" si="91"/>
        <v>-70</v>
      </c>
      <c r="KU33" s="4">
        <f t="shared" si="92"/>
        <v>-72</v>
      </c>
      <c r="KV33" s="4">
        <f t="shared" si="93"/>
        <v>-163</v>
      </c>
      <c r="KW33" s="4">
        <f t="shared" si="94"/>
        <v>0.72</v>
      </c>
      <c r="KX33" s="4">
        <f t="shared" si="95"/>
        <v>-1.85</v>
      </c>
      <c r="KY33" s="4">
        <f t="shared" si="96"/>
        <v>0.14999999999999947</v>
      </c>
      <c r="KZ33" s="4">
        <f t="shared" si="97"/>
        <v>9.9999999999999645E-2</v>
      </c>
      <c r="LA33" s="4">
        <f t="shared" si="98"/>
        <v>0.14000000000000057</v>
      </c>
      <c r="LB33" s="4">
        <f t="shared" si="99"/>
        <v>4.9999999999999822E-2</v>
      </c>
      <c r="LC33" s="4">
        <f t="shared" si="100"/>
        <v>-0.21999999999999975</v>
      </c>
      <c r="LD33" s="4">
        <f t="shared" si="101"/>
        <v>0</v>
      </c>
      <c r="LE33" s="4">
        <f t="shared" si="102"/>
        <v>0</v>
      </c>
      <c r="LF33" s="4">
        <f t="shared" si="103"/>
        <v>1.1000000000000001</v>
      </c>
      <c r="LG33" s="4">
        <f t="shared" si="104"/>
        <v>-1.9900000000000002</v>
      </c>
      <c r="LH33" s="4">
        <f t="shared" si="105"/>
        <v>-1.1499999999999995</v>
      </c>
      <c r="LI33" s="4">
        <f t="shared" si="106"/>
        <v>-0.41000000000000014</v>
      </c>
      <c r="LJ33" s="4">
        <f t="shared" si="107"/>
        <v>-0.5600000000000005</v>
      </c>
      <c r="LK33" s="4">
        <f t="shared" si="108"/>
        <v>-0.36999999999999922</v>
      </c>
      <c r="LL33" s="4">
        <f t="shared" si="109"/>
        <v>0</v>
      </c>
      <c r="LM33" s="4">
        <f t="shared" si="110"/>
        <v>0</v>
      </c>
      <c r="LN33" s="4">
        <f t="shared" si="111"/>
        <v>1.1000000000000001</v>
      </c>
      <c r="LO33" s="4">
        <f t="shared" si="112"/>
        <v>-0.10000000000000142</v>
      </c>
      <c r="LP33" s="4">
        <f t="shared" si="113"/>
        <v>-0.70000000000000284</v>
      </c>
      <c r="LQ33" s="4">
        <f t="shared" si="114"/>
        <v>-0.39999999999999858</v>
      </c>
      <c r="LR33" s="4">
        <f t="shared" si="115"/>
        <v>-8.7000000000000171</v>
      </c>
      <c r="LS33" s="4">
        <f t="shared" si="116"/>
        <v>-0.79999999999999982</v>
      </c>
      <c r="LT33" s="4">
        <f t="shared" si="117"/>
        <v>-1.2999999999999998</v>
      </c>
      <c r="LU33" s="4">
        <f t="shared" si="118"/>
        <v>-1.6000000000000005</v>
      </c>
      <c r="LV33" s="4">
        <f t="shared" si="119"/>
        <v>-1.3999999999999995</v>
      </c>
      <c r="LW33" s="4">
        <f t="shared" si="120"/>
        <v>-169.60000000000002</v>
      </c>
      <c r="LX33" s="4">
        <f t="shared" si="121"/>
        <v>0.29999999999999993</v>
      </c>
      <c r="LY33" s="4">
        <f t="shared" si="122"/>
        <v>-1</v>
      </c>
      <c r="LZ33" s="4">
        <f t="shared" si="123"/>
        <v>-2.1000000000000014</v>
      </c>
      <c r="MA33" s="4">
        <f t="shared" si="124"/>
        <v>-2.9000000000000021</v>
      </c>
      <c r="MB33" s="4">
        <f t="shared" si="125"/>
        <v>-1.9000000000000057</v>
      </c>
      <c r="MC33" s="4">
        <f t="shared" si="126"/>
        <v>13</v>
      </c>
      <c r="MD33" s="4" t="str">
        <f t="shared" si="127"/>
        <v/>
      </c>
      <c r="ME33" s="4" t="str">
        <f t="shared" si="128"/>
        <v/>
      </c>
      <c r="MF33" s="4" t="str">
        <f t="shared" si="129"/>
        <v/>
      </c>
      <c r="MG33" s="4">
        <f t="shared" si="130"/>
        <v>-7.2</v>
      </c>
    </row>
    <row r="34" spans="1:345" ht="26.25" customHeight="1" thickBot="1" x14ac:dyDescent="0.25">
      <c r="A34" s="35">
        <v>41192</v>
      </c>
      <c r="B34" s="36" t="s">
        <v>210</v>
      </c>
      <c r="C34" s="36" t="s">
        <v>166</v>
      </c>
      <c r="D34" s="31" t="s">
        <v>110</v>
      </c>
      <c r="E34" s="4">
        <v>72</v>
      </c>
      <c r="F34" s="3">
        <v>14875</v>
      </c>
      <c r="G34" s="4" t="s">
        <v>87</v>
      </c>
      <c r="H34" s="4" t="s">
        <v>108</v>
      </c>
      <c r="I34" s="4">
        <v>1835069</v>
      </c>
      <c r="J34" s="2" t="s">
        <v>309</v>
      </c>
      <c r="K34" s="227"/>
      <c r="L34" s="228">
        <v>1</v>
      </c>
      <c r="M34" s="228"/>
      <c r="N34" s="98" t="s">
        <v>646</v>
      </c>
      <c r="O34" s="258"/>
      <c r="P34" s="228"/>
      <c r="Q34" s="228"/>
      <c r="R34" s="4">
        <v>-0.5</v>
      </c>
      <c r="S34" s="4">
        <v>-0.51</v>
      </c>
      <c r="T34" s="4" t="s">
        <v>249</v>
      </c>
      <c r="U34" s="67">
        <v>24.25</v>
      </c>
      <c r="V34" s="124">
        <v>41129</v>
      </c>
      <c r="W34" s="67">
        <v>2</v>
      </c>
      <c r="X34" s="67">
        <v>1.25</v>
      </c>
      <c r="Y34" s="4">
        <v>5</v>
      </c>
      <c r="Z34" s="4">
        <v>20</v>
      </c>
      <c r="AA34" s="4">
        <v>12</v>
      </c>
      <c r="AB34" s="4">
        <v>566</v>
      </c>
      <c r="AC34" s="4">
        <v>22.5</v>
      </c>
      <c r="AD34" s="4">
        <v>11</v>
      </c>
      <c r="AE34" s="4">
        <v>4.6399999999999997</v>
      </c>
      <c r="AF34" s="4">
        <v>2.83</v>
      </c>
      <c r="AG34" s="4">
        <v>44.35</v>
      </c>
      <c r="AH34" s="4">
        <v>158</v>
      </c>
      <c r="AI34" s="4">
        <v>44.58</v>
      </c>
      <c r="AJ34" s="4">
        <v>68</v>
      </c>
      <c r="AK34" s="4">
        <v>0</v>
      </c>
      <c r="AL34" s="4" t="b">
        <f t="shared" ref="AL34:AL65" si="135">IF(AND(ISNUMBER(SK),SK&gt;0),TRUE,FALSE)</f>
        <v>0</v>
      </c>
      <c r="AN34" s="32">
        <v>41319</v>
      </c>
      <c r="AO34" s="60">
        <v>70</v>
      </c>
      <c r="AP34" s="67">
        <v>-2.5</v>
      </c>
      <c r="AQ34" s="67">
        <v>0.5</v>
      </c>
      <c r="AR34" s="4">
        <v>145</v>
      </c>
      <c r="AS34" s="4">
        <v>25</v>
      </c>
      <c r="AT34" s="4">
        <v>17</v>
      </c>
      <c r="AU34" s="4">
        <v>573</v>
      </c>
      <c r="BC34" s="4">
        <f t="shared" ref="BC34:BC65" si="136">IF(ISNUMBER(AP34),AP34+0.5*AQ34,"")</f>
        <v>-2.25</v>
      </c>
      <c r="BD34" s="4">
        <f t="shared" si="133"/>
        <v>-1.74</v>
      </c>
      <c r="BE34" s="4">
        <f t="shared" ref="BE34:BE65" si="137">IF(AND(ISNUMBER(AU34),ISNUMBER(AB34)),AU34-AB34,IF(ISNUMBER(AU34),"MISSING",""))</f>
        <v>7</v>
      </c>
      <c r="BF34" s="37" t="s">
        <v>78</v>
      </c>
      <c r="BU34" s="4" t="str">
        <f t="shared" si="134"/>
        <v/>
      </c>
      <c r="BV34" s="4" t="str">
        <f t="shared" ref="BV34:BV65" si="138">IF(ISNUMBER(BU34),IF(ISNUMBER($S34),BU34-$S34,"MISSING"),"")</f>
        <v/>
      </c>
      <c r="BW34" s="4" t="str">
        <f t="shared" ref="BW34:BW65" si="139">IF(AND(ISNUMBER(BM34),ISNUMBER($AB34)),BM34-$AB34,IF(ISNUMBER(BM34),"MISSING",""))</f>
        <v/>
      </c>
      <c r="BX34" s="4">
        <f t="shared" ref="BX34:BX65" si="140">IF(AND(ISBLANK(SPH_6),ISBLANK(SPH_12)),0,1)</f>
        <v>1</v>
      </c>
      <c r="BY34" s="4">
        <f t="shared" ref="BY34:BY65" si="141">IF(AND(ISNUMBER($AP34),ISNUMBER($BH34)),1,0)</f>
        <v>0</v>
      </c>
      <c r="BZ34" s="4" t="str">
        <f t="shared" ref="BZ34:BZ65" si="142">IF(BY34,SE_PREOP,"")</f>
        <v/>
      </c>
      <c r="CA34" s="4" t="str">
        <f t="shared" ref="CA34:CA65" si="143">IF(FU_6_AND_12,SE_6,"")</f>
        <v/>
      </c>
      <c r="CB34" s="4" t="str">
        <f t="shared" ref="CB34:CB65" si="144">IF(FU_6_AND_12,SE_12,"")</f>
        <v/>
      </c>
      <c r="CC34" s="53">
        <f t="shared" ref="CC34:CC65" si="145">IF(AND(ISNUMBER(BF34),ISNUMBER(BH34)),BF34-A34,IF(ISNUMBER(AN34),AN34-A34,0))</f>
        <v>127</v>
      </c>
      <c r="CD34" s="55">
        <f t="shared" ref="CD34:CD65" si="146">IF(CC34&gt;0,CC34/30,"")</f>
        <v>4.2333333333333334</v>
      </c>
      <c r="CE34" s="4" t="str">
        <f t="shared" ref="CE34:CE65" si="147">IF(AND(ISNUMBER(BC34),ISNUMBER(BU34)),(BU34-BC34),"")</f>
        <v/>
      </c>
      <c r="CF34" s="4" t="str">
        <f t="shared" ref="CF34:CF65" si="148">IF(AND(ISNUMBER(BA34), ISNUMBER(AG34)), AVERAGE(BA34,AY34)-AVERAGE(AG34,AI34),"")</f>
        <v/>
      </c>
      <c r="CG34" s="4" t="str">
        <f t="shared" ref="CG34:CG65" si="149">IF(AND(ISNUMBER(BQ34), ISNUMBER(AG34)), AVERAGE(BQ34,BS34)-AVERAGE(AG34,AI34),"")</f>
        <v/>
      </c>
      <c r="CH34" s="4" t="str">
        <f t="shared" ref="CH34:CH65" si="150">IF(ISNUMBER(CG34),CG34,IF(ISNUMBER(CF34),CF34,""))</f>
        <v/>
      </c>
      <c r="CI34" s="4">
        <f t="shared" ref="CI34:CI65" si="151">IF(AND(ISNUMBER(SPH_PREOP),ISNUMBER(SE_LAST_)),SPH_PREOP+CYL_PREOP/2,"")</f>
        <v>2.625</v>
      </c>
      <c r="CJ34" s="4">
        <f t="shared" ref="CJ34:CJ65" si="152">IF(ISNUMBER(SE_12),SE_12,IF(ISNUMBER(SE_6),SE_6,""))</f>
        <v>-2.25</v>
      </c>
      <c r="CK34" s="93">
        <f t="shared" ref="CK34:CK65" si="153">IF(AND(ISNUMBER(SE_LAST_),ISNUMBER(REF_TARGET)),SE_LAST_-REF_TARGET,"")</f>
        <v>-1.74</v>
      </c>
      <c r="CL34" s="83">
        <f t="shared" ref="CL34:CL65" si="154">IF(ISNUMBER(AB34),IF(ISNUMBER(BM34),BM34-AB34,IF(ISNUMBER(AU34),AU34-AB34,"")),"")</f>
        <v>7</v>
      </c>
      <c r="CM34" s="4" t="str">
        <f t="shared" ref="CM34:CM65" si="155">IF(ISNUMBER(AC34),IF(ISNUMBER(AW34),AW34-AC34,IF(ISNUMBER(BO34),BO34-AC34,"")),"")</f>
        <v/>
      </c>
      <c r="CN34" s="96">
        <f t="shared" ref="CN34:CN65" si="156">IF(ISNUMBER(LAST_SE_ERROR),REF_TARGET,"")</f>
        <v>-0.51</v>
      </c>
      <c r="CO34" s="96">
        <f>IF(AND(OR(ISNUMBER(BCVA_12),ISNUMBER(BCVA_6)),ISNUMBER(BCVA_PREOP)),-LOG(20/BCVA_PREOP)-(-LOG(20/IF(ISNUMBER(BCVA_12),BCVA_12,BCVA_6))),"")</f>
        <v>-9.6910013008056392E-2</v>
      </c>
      <c r="CP34" s="127">
        <f t="shared" ref="CP34:CP65" si="157">IF(ISNUMBER(BI34),BI34,IF(ISNUMBER(AQ34),AQ34,""))</f>
        <v>0.5</v>
      </c>
      <c r="CQ34" s="127">
        <f t="shared" ref="CQ34:CQ65" si="158">IF(AND(ISNUMBER(CP34),ISNUMBER(X34)),CP34-X34,"")</f>
        <v>-0.75</v>
      </c>
      <c r="CR34" s="136">
        <f t="shared" ref="CR34:CR65" si="159">IF(ISNUMBER(BCVA_12),BCVA_12,IF(ISNUMBER(BCVA_6),BCVA_6,""))</f>
        <v>25</v>
      </c>
      <c r="CS34" s="136">
        <f t="shared" ref="CS34:CS65" si="160">IF(ISNUMBER(CR34),PREOP_BCVA,"")</f>
        <v>20</v>
      </c>
      <c r="CT34" s="135">
        <f t="shared" ref="CT34:CT65" si="161">IF(AND(REF_TARGET&lt;=0,REF_TARGET&gt;-1),IF(ISNUMBER(UDVA_12),UDVA_12,IF(ISNUMBER(UDVA_6),UDVA_6,"")),"")</f>
        <v>70</v>
      </c>
      <c r="CU34" s="139">
        <f t="shared" ref="CU34:CU65" si="162">IF(ISNUMBER(PREOP_PENTACAM_RV),IF(ISNUMBER(SPH_6),IF(ISNUMBER($ET34),0,1),""),"")</f>
        <v>0</v>
      </c>
      <c r="CV34" s="96" t="str">
        <f t="shared" ref="CV34:CV65" si="163">IF(ISNUMBER(PREOP_PENTACAM_RV),IF(ISNUMBER(SPH_12),IF(ISNUMBER($GP34),0,1),""),"")</f>
        <v/>
      </c>
      <c r="CW34" s="141" t="b">
        <f t="shared" ref="CW34:CW65" si="164">IF(OR(ISNUMBER(MISSING_PENT_6),ISNUMBER(MISSING_PENT_12)),IF(AND(ISNUMBER(MISSING_PENT_6),ISNUMBER(MISSING_PENT_12)),AND(MISSING_PENT_6,MISSING_PENT_12),IF(ISNUMBER(MISSING_PENT_6),INT(MISSING_PENT_6)&gt;0,INT(MISSING_PENT_12)&gt;0)),"")</f>
        <v>0</v>
      </c>
      <c r="CX34">
        <v>7.64</v>
      </c>
      <c r="CY34" s="4">
        <v>7.59</v>
      </c>
      <c r="CZ34" s="4">
        <v>143.4</v>
      </c>
      <c r="DA34" s="4">
        <v>-0.3</v>
      </c>
      <c r="DB34" s="4">
        <v>0.08</v>
      </c>
      <c r="DC34" s="4">
        <v>0.67</v>
      </c>
      <c r="DD34" s="4">
        <v>2.25</v>
      </c>
      <c r="DE34" s="4">
        <v>2.86</v>
      </c>
      <c r="DF34" s="4">
        <v>604</v>
      </c>
      <c r="DG34" s="4">
        <v>601</v>
      </c>
      <c r="DH34" s="4">
        <v>694</v>
      </c>
      <c r="DI34" s="4">
        <v>676</v>
      </c>
      <c r="DJ34" s="4">
        <v>672</v>
      </c>
      <c r="DK34" s="4">
        <v>673</v>
      </c>
      <c r="DL34" s="4">
        <v>600</v>
      </c>
      <c r="DM34" s="4">
        <v>0.92</v>
      </c>
      <c r="DN34" s="4">
        <v>-7.0000000000000007E-2</v>
      </c>
      <c r="DO34" s="4">
        <v>7.67</v>
      </c>
      <c r="DP34" s="4">
        <v>7.51</v>
      </c>
      <c r="DQ34" s="4">
        <v>7.57</v>
      </c>
      <c r="DR34" s="4">
        <v>7.86</v>
      </c>
      <c r="DS34" s="4">
        <v>7.99</v>
      </c>
      <c r="DT34" s="4">
        <v>8.0500000000000007</v>
      </c>
      <c r="DU34" s="4">
        <v>0</v>
      </c>
      <c r="DV34" s="4">
        <v>1.3</v>
      </c>
      <c r="DW34" s="4">
        <v>6.29</v>
      </c>
      <c r="DX34" s="4">
        <v>6.12</v>
      </c>
      <c r="DY34" s="4">
        <v>6.4</v>
      </c>
      <c r="DZ34" s="4">
        <v>6.89</v>
      </c>
      <c r="EA34" s="4">
        <v>6.88</v>
      </c>
      <c r="EB34" s="4">
        <v>0</v>
      </c>
      <c r="EC34" s="4">
        <v>0</v>
      </c>
      <c r="ED34" s="89">
        <v>1.3</v>
      </c>
      <c r="EE34" s="110">
        <v>44.2</v>
      </c>
      <c r="EF34" s="110">
        <v>44.5</v>
      </c>
      <c r="EG34" s="110">
        <v>44.3</v>
      </c>
      <c r="EH34" s="110">
        <v>143.4</v>
      </c>
      <c r="EI34" s="110">
        <v>-0.3</v>
      </c>
      <c r="EJ34" s="110">
        <v>-6.2</v>
      </c>
      <c r="EK34" s="110">
        <v>-6.7</v>
      </c>
      <c r="EL34" s="110">
        <v>-6.4</v>
      </c>
      <c r="EM34" s="110">
        <v>179.6</v>
      </c>
      <c r="EN34" s="110">
        <v>0.4</v>
      </c>
      <c r="EO34" s="110">
        <v>4.4000000000000004</v>
      </c>
      <c r="EP34" s="110">
        <v>12.7</v>
      </c>
      <c r="EQ34" s="110">
        <v>27.1</v>
      </c>
      <c r="ER34" s="110">
        <v>63.8</v>
      </c>
      <c r="ES34" s="114">
        <v>25</v>
      </c>
      <c r="ET34" s="83">
        <v>7.56</v>
      </c>
      <c r="EU34" s="4">
        <v>7.45</v>
      </c>
      <c r="EV34" s="4">
        <v>151.30000000000001</v>
      </c>
      <c r="EW34" s="4">
        <v>-0.7</v>
      </c>
      <c r="EX34" s="4">
        <v>0.2</v>
      </c>
      <c r="EY34" s="4">
        <v>0.86</v>
      </c>
      <c r="EZ34" s="4">
        <v>4.08</v>
      </c>
      <c r="FA34" s="4">
        <v>4.67</v>
      </c>
      <c r="FB34" s="4">
        <v>595</v>
      </c>
      <c r="FC34" s="4">
        <v>595</v>
      </c>
      <c r="FD34" s="4">
        <v>676</v>
      </c>
      <c r="FE34" s="4">
        <v>678</v>
      </c>
      <c r="FF34" s="4">
        <v>700</v>
      </c>
      <c r="FG34" s="4">
        <v>684</v>
      </c>
      <c r="FH34" s="4">
        <v>579</v>
      </c>
      <c r="FI34" s="4">
        <v>1.28</v>
      </c>
      <c r="FJ34" s="4">
        <v>-0.26</v>
      </c>
      <c r="FK34" s="4">
        <v>7.58</v>
      </c>
      <c r="FL34" s="4">
        <v>7.43</v>
      </c>
      <c r="FM34" s="4">
        <v>7.56</v>
      </c>
      <c r="FN34" s="4">
        <v>8.01</v>
      </c>
      <c r="FO34" s="4">
        <v>8.11</v>
      </c>
      <c r="FP34" s="4">
        <v>8.0399999999999991</v>
      </c>
      <c r="FQ34" s="4">
        <v>0</v>
      </c>
      <c r="FR34" s="4">
        <v>1.5</v>
      </c>
      <c r="FS34" s="4">
        <v>6.07</v>
      </c>
      <c r="FT34" s="4">
        <v>6.01</v>
      </c>
      <c r="FU34" s="4">
        <v>6.35</v>
      </c>
      <c r="FV34" s="4">
        <v>6.85</v>
      </c>
      <c r="FW34" s="4">
        <v>6.93</v>
      </c>
      <c r="FX34" s="4">
        <v>0</v>
      </c>
      <c r="FY34" s="4">
        <v>0</v>
      </c>
      <c r="FZ34" s="86">
        <v>1.5</v>
      </c>
      <c r="GA34" s="110">
        <v>44.6</v>
      </c>
      <c r="GB34" s="110">
        <v>45.3</v>
      </c>
      <c r="GC34" s="110">
        <v>45</v>
      </c>
      <c r="GD34" s="110">
        <v>151.30000000000001</v>
      </c>
      <c r="GE34" s="110">
        <v>0.7</v>
      </c>
      <c r="GF34" s="110">
        <v>-6.4</v>
      </c>
      <c r="GG34" s="110">
        <v>-6.9</v>
      </c>
      <c r="GH34" s="110">
        <v>-6.6</v>
      </c>
      <c r="GI34" s="110">
        <v>177.9</v>
      </c>
      <c r="GJ34" s="110">
        <v>0.5</v>
      </c>
      <c r="GK34" s="110">
        <v>4.3</v>
      </c>
      <c r="GL34" s="110">
        <v>12.7</v>
      </c>
      <c r="GM34" s="110">
        <v>27.1</v>
      </c>
      <c r="GN34" s="110">
        <v>64.5</v>
      </c>
      <c r="GO34" s="119">
        <v>40</v>
      </c>
      <c r="IL34" s="83">
        <f t="shared" ref="IL34:IL65" si="165">IF(ISNUMBER(GP34),GP34,IF(ISNUMBER(ET34),ET34,""))</f>
        <v>7.56</v>
      </c>
      <c r="IM34" s="4">
        <f t="shared" ref="IM34:IM65" si="166">IF(ISNUMBER(GQ34),GQ34,IF(ISNUMBER(EU34),EU34,""))</f>
        <v>7.45</v>
      </c>
      <c r="IN34" s="4">
        <f t="shared" ref="IN34:IN65" si="167">IF(ISNUMBER(GR34),GR34,IF(ISNUMBER(EV34),EV34,""))</f>
        <v>151.30000000000001</v>
      </c>
      <c r="IO34" s="4">
        <f t="shared" ref="IO34:IO65" si="168">IF(ISNUMBER(GS34),GS34,IF(ISNUMBER(EW34),EW34,""))</f>
        <v>-0.7</v>
      </c>
      <c r="IP34" s="4">
        <f t="shared" ref="IP34:IP65" si="169">IF(ISNUMBER(GT34),GT34,IF(ISNUMBER(EX34),EX34,""))</f>
        <v>0.2</v>
      </c>
      <c r="IQ34" s="4">
        <f t="shared" ref="IQ34:IQ65" si="170">IF(ISNUMBER(GU34),GU34,IF(ISNUMBER(EY34),EY34,""))</f>
        <v>0.86</v>
      </c>
      <c r="IR34" s="4">
        <f t="shared" ref="IR34:IR65" si="171">IF(ISNUMBER(GV34),GV34,IF(ISNUMBER(EZ34),EZ34,""))</f>
        <v>4.08</v>
      </c>
      <c r="IS34" s="4">
        <f t="shared" ref="IS34:IS65" si="172">IF(ISNUMBER(GW34),GW34,IF(ISNUMBER(FA34),FA34,""))</f>
        <v>4.67</v>
      </c>
      <c r="IT34" s="4">
        <f t="shared" ref="IT34:IT65" si="173">IF(ISNUMBER(GX34),GX34,IF(ISNUMBER(FB34),FB34,""))</f>
        <v>595</v>
      </c>
      <c r="IU34" s="4">
        <f t="shared" ref="IU34:IU65" si="174">IF(ISNUMBER(GY34),GY34,IF(ISNUMBER(FC34),FC34,""))</f>
        <v>595</v>
      </c>
      <c r="IV34" s="4">
        <f t="shared" ref="IV34:IV65" si="175">IF(ISNUMBER(GZ34),GZ34,IF(ISNUMBER(FD34),FD34,""))</f>
        <v>676</v>
      </c>
      <c r="IW34" s="4">
        <f t="shared" ref="IW34:IW65" si="176">IF(ISNUMBER(HA34),HA34,IF(ISNUMBER(FE34),FE34,""))</f>
        <v>678</v>
      </c>
      <c r="IX34" s="4">
        <f t="shared" ref="IX34:IX65" si="177">IF(ISNUMBER(HB34),HB34,IF(ISNUMBER(FF34),FF34,""))</f>
        <v>700</v>
      </c>
      <c r="IY34" s="4">
        <f t="shared" ref="IY34:IY65" si="178">IF(ISNUMBER(HC34),HC34,IF(ISNUMBER(FG34),FG34,""))</f>
        <v>684</v>
      </c>
      <c r="IZ34" s="4">
        <f t="shared" ref="IZ34:IZ65" si="179">IF(ISNUMBER(HD34),HD34,IF(ISNUMBER(FH34),FH34,""))</f>
        <v>579</v>
      </c>
      <c r="JA34" s="4">
        <f t="shared" ref="JA34:JA65" si="180">IF(ISNUMBER(HE34),HE34,IF(ISNUMBER(FI34),FI34,""))</f>
        <v>1.28</v>
      </c>
      <c r="JB34" s="4">
        <f t="shared" ref="JB34:JB65" si="181">IF(ISNUMBER(HF34),HF34,IF(ISNUMBER(FJ34),FJ34,""))</f>
        <v>-0.26</v>
      </c>
      <c r="JC34" s="4">
        <f t="shared" ref="JC34:JC65" si="182">IF(ISNUMBER(HG34),HG34,IF(ISNUMBER(FK34),FK34,""))</f>
        <v>7.58</v>
      </c>
      <c r="JD34" s="4">
        <f t="shared" ref="JD34:JD65" si="183">IF(ISNUMBER(HH34),HH34,IF(ISNUMBER(FL34),FL34,""))</f>
        <v>7.43</v>
      </c>
      <c r="JE34" s="4">
        <f t="shared" ref="JE34:JE65" si="184">IF(ISNUMBER(HI34),HI34,IF(ISNUMBER(FM34),FM34,""))</f>
        <v>7.56</v>
      </c>
      <c r="JF34" s="4">
        <f t="shared" ref="JF34:JF65" si="185">IF(ISNUMBER(HJ34),HJ34,IF(ISNUMBER(FN34),FN34,""))</f>
        <v>8.01</v>
      </c>
      <c r="JG34" s="4">
        <f t="shared" ref="JG34:JG65" si="186">IF(ISNUMBER(HK34),HK34,IF(ISNUMBER(FO34),FO34,""))</f>
        <v>8.11</v>
      </c>
      <c r="JH34" s="4">
        <f t="shared" ref="JH34:JH65" si="187">IF(ISNUMBER(HL34),HL34,IF(ISNUMBER(FP34),FP34,""))</f>
        <v>8.0399999999999991</v>
      </c>
      <c r="JI34" s="4">
        <f t="shared" ref="JI34:JI65" si="188">IF(ISNUMBER(HM34),HM34,IF(ISNUMBER(FQ34),FQ34,""))</f>
        <v>0</v>
      </c>
      <c r="JJ34" s="4">
        <f t="shared" ref="JJ34:JJ65" si="189">IF(ISNUMBER(HN34),HN34,IF(ISNUMBER(FR34),FR34,""))</f>
        <v>1.5</v>
      </c>
      <c r="JK34" s="4">
        <f t="shared" ref="JK34:JK65" si="190">IF(ISNUMBER(HO34),HO34,IF(ISNUMBER(FS34),FS34,""))</f>
        <v>6.07</v>
      </c>
      <c r="JL34" s="4">
        <f t="shared" ref="JL34:JL65" si="191">IF(ISNUMBER(HP34),HP34,IF(ISNUMBER(FT34),FT34,""))</f>
        <v>6.01</v>
      </c>
      <c r="JM34" s="4">
        <f t="shared" ref="JM34:JM65" si="192">IF(ISNUMBER(HQ34),HQ34,IF(ISNUMBER(FU34),FU34,""))</f>
        <v>6.35</v>
      </c>
      <c r="JN34" s="4">
        <f t="shared" ref="JN34:JN65" si="193">IF(ISNUMBER(HR34),HR34,IF(ISNUMBER(FV34),FV34,""))</f>
        <v>6.85</v>
      </c>
      <c r="JO34" s="4">
        <f t="shared" ref="JO34:JO65" si="194">IF(ISNUMBER(HS34),HS34,IF(ISNUMBER(FW34),FW34,""))</f>
        <v>6.93</v>
      </c>
      <c r="JP34" s="4">
        <f t="shared" ref="JP34:JP65" si="195">IF(ISNUMBER(HT34),HT34,IF(ISNUMBER(FX34),FX34,""))</f>
        <v>0</v>
      </c>
      <c r="JQ34" s="117">
        <f t="shared" ref="JQ34:JQ65" si="196">IF(ISNUMBER(HU34),HU34,IF(ISNUMBER(FY34),FY34,""))</f>
        <v>0</v>
      </c>
      <c r="JR34" s="110">
        <f t="shared" ref="JR34:JR65" si="197">IF(ISNUMBER(HV34),HV34,IF(ISNUMBER(FZ34),FZ34,""))</f>
        <v>1.5</v>
      </c>
      <c r="JS34" s="110">
        <f t="shared" ref="JS34:JS65" si="198">IF(ISNUMBER(HW34),HW34,IF(ISNUMBER(GA34),GA34,""))</f>
        <v>44.6</v>
      </c>
      <c r="JT34" s="110">
        <f t="shared" ref="JT34:JT65" si="199">IF(ISNUMBER(HX34),HX34,IF(ISNUMBER(GB34),GB34,""))</f>
        <v>45.3</v>
      </c>
      <c r="JU34" s="110">
        <f t="shared" ref="JU34:JU65" si="200">IF(ISNUMBER(HY34),HY34,IF(ISNUMBER(GC34),GC34,""))</f>
        <v>45</v>
      </c>
      <c r="JV34" s="110">
        <f t="shared" ref="JV34:JV65" si="201">IF(ISNUMBER(HZ34),HZ34,IF(ISNUMBER(GD34),GD34,""))</f>
        <v>151.30000000000001</v>
      </c>
      <c r="JW34" s="110">
        <f t="shared" ref="JW34:JW65" si="202">IF(ISNUMBER(IA34),IA34,IF(ISNUMBER(GE34),GE34,""))</f>
        <v>0.7</v>
      </c>
      <c r="JX34" s="110">
        <f t="shared" ref="JX34:JX65" si="203">IF(ISNUMBER(IB34),IB34,IF(ISNUMBER(GF34),GF34,""))</f>
        <v>-6.4</v>
      </c>
      <c r="JY34" s="110">
        <f t="shared" ref="JY34:JY65" si="204">IF(ISNUMBER(IC34),IC34,IF(ISNUMBER(GG34),GG34,""))</f>
        <v>-6.9</v>
      </c>
      <c r="JZ34" s="110">
        <f t="shared" ref="JZ34:JZ65" si="205">IF(ISNUMBER(ID34),ID34,IF(ISNUMBER(GH34),GH34,""))</f>
        <v>-6.6</v>
      </c>
      <c r="KA34" s="110">
        <f t="shared" ref="KA34:KA65" si="206">IF(ISNUMBER(IE34),IE34,IF(ISNUMBER(GI34),GI34,""))</f>
        <v>177.9</v>
      </c>
      <c r="KB34" s="110">
        <f t="shared" ref="KB34:KB65" si="207">IF(ISNUMBER(IF34),IF34,IF(ISNUMBER(GJ34),GJ34,""))</f>
        <v>0.5</v>
      </c>
      <c r="KC34" s="110">
        <f t="shared" ref="KC34:KC65" si="208">IF(ISNUMBER(IG34),IG34,IF(ISNUMBER(GK34),GK34,""))</f>
        <v>4.3</v>
      </c>
      <c r="KD34" s="110">
        <f t="shared" ref="KD34:KD65" si="209">IF(ISNUMBER(IH34),IH34,IF(ISNUMBER(GL34),GL34,""))</f>
        <v>12.7</v>
      </c>
      <c r="KE34" s="110">
        <f t="shared" ref="KE34:KE65" si="210">IF(ISNUMBER(II34),II34,IF(ISNUMBER(GM34),GM34,""))</f>
        <v>27.1</v>
      </c>
      <c r="KF34" s="110">
        <f t="shared" ref="KF34:KF65" si="211">IF(ISNUMBER(IJ34),IJ34,IF(ISNUMBER(GN34),GN34,""))</f>
        <v>64.5</v>
      </c>
      <c r="KG34" s="121">
        <f t="shared" ref="KG34:KG65" si="212">IF(ISNUMBER(IK34),IK34,IF(ISNUMBER(GO34),GO34,""))</f>
        <v>40</v>
      </c>
      <c r="KH34" s="83">
        <f t="shared" ref="KH34:KH65" si="213">IF(AND(ISNUMBER(IL34),ISNUMBER(CX34)),IL34-CX34,"")</f>
        <v>-8.0000000000000071E-2</v>
      </c>
      <c r="KI34" s="4">
        <f t="shared" ref="KI34:KI65" si="214">IF(AND(ISNUMBER(IM34),ISNUMBER(CY34)),IM34-CY34,"")</f>
        <v>-0.13999999999999968</v>
      </c>
      <c r="KJ34" s="4">
        <f t="shared" ref="KJ34:KJ65" si="215">IF(AND(ISNUMBER(IN34),ISNUMBER(CZ34)),IN34-CZ34,"")</f>
        <v>7.9000000000000057</v>
      </c>
      <c r="KK34" s="4">
        <f t="shared" ref="KK34:KK65" si="216">IF(AND(ISNUMBER(IO34),ISNUMBER(DA34)),IO34-DA34,"")</f>
        <v>-0.39999999999999997</v>
      </c>
      <c r="KL34" s="4">
        <f t="shared" ref="KL34:KL65" si="217">IF(AND(ISNUMBER(IP34),ISNUMBER(DB34)),IP34-DB34,"")</f>
        <v>0.12000000000000001</v>
      </c>
      <c r="KM34" s="4">
        <f t="shared" ref="KM34:KM65" si="218">IF(AND(ISNUMBER(IQ34),ISNUMBER(DC34)),IQ34-DC34,"")</f>
        <v>0.18999999999999995</v>
      </c>
      <c r="KN34" s="4">
        <f t="shared" ref="KN34:KN65" si="219">IF(AND(ISNUMBER(IR34),ISNUMBER(DD34)),IR34-DD34,"")</f>
        <v>1.83</v>
      </c>
      <c r="KO34" s="4">
        <f t="shared" ref="KO34:KO65" si="220">IF(AND(ISNUMBER(IS34),ISNUMBER(DE34)),IS34-DE34,"")</f>
        <v>1.81</v>
      </c>
      <c r="KP34" s="4">
        <f t="shared" ref="KP34:KP65" si="221">IF(AND(ISNUMBER(IT34),ISNUMBER(DF34)),IT34-DF34,"")</f>
        <v>-9</v>
      </c>
      <c r="KQ34" s="4">
        <f t="shared" ref="KQ34:KQ65" si="222">IF(AND(ISNUMBER(IU34),ISNUMBER(DG34)),IU34-DG34,"")</f>
        <v>-6</v>
      </c>
      <c r="KR34" s="4">
        <f t="shared" ref="KR34:KR65" si="223">IF(AND(ISNUMBER(IV34),ISNUMBER(DH34)),IV34-DH34,"")</f>
        <v>-18</v>
      </c>
      <c r="KS34" s="4">
        <f t="shared" ref="KS34:KS65" si="224">IF(AND(ISNUMBER(IW34),ISNUMBER(DI34)),IW34-DI34,"")</f>
        <v>2</v>
      </c>
      <c r="KT34" s="4">
        <f t="shared" ref="KT34:KT65" si="225">IF(AND(ISNUMBER(IX34),ISNUMBER(DJ34)),IX34-DJ34,"")</f>
        <v>28</v>
      </c>
      <c r="KU34" s="4">
        <f t="shared" ref="KU34:KU65" si="226">IF(AND(ISNUMBER(IY34),ISNUMBER(DK34)),IY34-DK34,"")</f>
        <v>11</v>
      </c>
      <c r="KV34" s="4">
        <f t="shared" ref="KV34:KV65" si="227">IF(AND(ISNUMBER(IZ34),ISNUMBER(DL34)),IZ34-DL34,"")</f>
        <v>-21</v>
      </c>
      <c r="KW34" s="4">
        <f t="shared" ref="KW34:KW65" si="228">IF(AND(ISNUMBER(JA34),ISNUMBER(DM34)),JA34-DM34,"")</f>
        <v>0.36</v>
      </c>
      <c r="KX34" s="4">
        <f t="shared" ref="KX34:KX65" si="229">IF(AND(ISNUMBER(JB34),ISNUMBER(DN34)),JB34-DN34,"")</f>
        <v>-0.19</v>
      </c>
      <c r="KY34" s="4">
        <f t="shared" ref="KY34:KY65" si="230">IF(AND(ISNUMBER(JC34),ISNUMBER(DO34)),JC34-DO34,"")</f>
        <v>-8.9999999999999858E-2</v>
      </c>
      <c r="KZ34" s="4">
        <f t="shared" ref="KZ34:KZ65" si="231">IF(AND(ISNUMBER(JD34),ISNUMBER(DP34)),JD34-DP34,"")</f>
        <v>-8.0000000000000071E-2</v>
      </c>
      <c r="LA34" s="4">
        <f t="shared" ref="LA34:LA65" si="232">IF(AND(ISNUMBER(JE34),ISNUMBER(DQ34)),JE34-DQ34,"")</f>
        <v>-1.0000000000000675E-2</v>
      </c>
      <c r="LB34" s="4">
        <f t="shared" ref="LB34:LB65" si="233">IF(AND(ISNUMBER(JF34),ISNUMBER(DR34)),JF34-DR34,"")</f>
        <v>0.14999999999999947</v>
      </c>
      <c r="LC34" s="4">
        <f t="shared" ref="LC34:LC65" si="234">IF(AND(ISNUMBER(JG34),ISNUMBER(DS34)),JG34-DS34,"")</f>
        <v>0.11999999999999922</v>
      </c>
      <c r="LD34" s="4">
        <f t="shared" ref="LD34:LD65" si="235">IF(AND(ISNUMBER(JH34),ISNUMBER(DT34)),JH34-DT34,"")</f>
        <v>-1.0000000000001563E-2</v>
      </c>
      <c r="LE34" s="4">
        <f t="shared" ref="LE34:LE65" si="236">IF(AND(ISNUMBER(JI34),ISNUMBER(DU34)),JI34-DU34,"")</f>
        <v>0</v>
      </c>
      <c r="LF34" s="4">
        <f t="shared" ref="LF34:LF65" si="237">IF(AND(ISNUMBER(JJ34),ISNUMBER(DV34)),JJ34-DV34,"")</f>
        <v>0.19999999999999996</v>
      </c>
      <c r="LG34" s="4">
        <f t="shared" ref="LG34:LG65" si="238">IF(AND(ISNUMBER(JK34),ISNUMBER(DW34)),JK34-DW34,"")</f>
        <v>-0.21999999999999975</v>
      </c>
      <c r="LH34" s="4">
        <f t="shared" ref="LH34:LH65" si="239">IF(AND(ISNUMBER(JL34),ISNUMBER(DX34)),JL34-DX34,"")</f>
        <v>-0.11000000000000032</v>
      </c>
      <c r="LI34" s="4">
        <f t="shared" ref="LI34:LI65" si="240">IF(AND(ISNUMBER(JM34),ISNUMBER(DY34)),JM34-DY34,"")</f>
        <v>-5.0000000000000711E-2</v>
      </c>
      <c r="LJ34" s="4">
        <f t="shared" ref="LJ34:LJ65" si="241">IF(AND(ISNUMBER(JN34),ISNUMBER(DZ34)),JN34-DZ34,"")</f>
        <v>-4.0000000000000036E-2</v>
      </c>
      <c r="LK34" s="4">
        <f t="shared" ref="LK34:LK65" si="242">IF(AND(ISNUMBER(JO34),ISNUMBER(EA34)),JO34-EA34,"")</f>
        <v>4.9999999999999822E-2</v>
      </c>
      <c r="LL34" s="4">
        <f t="shared" ref="LL34:LL65" si="243">IF(AND(ISNUMBER(JP34),ISNUMBER(EB34)),JP34-EB34,"")</f>
        <v>0</v>
      </c>
      <c r="LM34" s="4">
        <f t="shared" ref="LM34:LM65" si="244">IF(AND(ISNUMBER(JQ34),ISNUMBER(EC34)),JQ34-EC34,"")</f>
        <v>0</v>
      </c>
      <c r="LN34" s="4">
        <f t="shared" ref="LN34:LN65" si="245">IF(AND(ISNUMBER(JR34),ISNUMBER(ED34)),JR34-ED34,"")</f>
        <v>0.19999999999999996</v>
      </c>
      <c r="LO34" s="4">
        <f t="shared" ref="LO34:LO65" si="246">IF(AND(ISNUMBER(JS34),ISNUMBER(EE34)),JS34-EE34,"")</f>
        <v>0.39999999999999858</v>
      </c>
      <c r="LP34" s="4">
        <f t="shared" ref="LP34:LP65" si="247">IF(AND(ISNUMBER(JT34),ISNUMBER(EF34)),JT34-EF34,"")</f>
        <v>0.79999999999999716</v>
      </c>
      <c r="LQ34" s="4">
        <f t="shared" ref="LQ34:LQ65" si="248">IF(AND(ISNUMBER(JU34),ISNUMBER(EG34)),JU34-EG34,"")</f>
        <v>0.70000000000000284</v>
      </c>
      <c r="LR34" s="4">
        <f t="shared" ref="LR34:LR65" si="249">IF(AND(ISNUMBER(JV34),ISNUMBER(EH34)),JV34-EH34,"")</f>
        <v>7.9000000000000057</v>
      </c>
      <c r="LS34" s="4">
        <f t="shared" ref="LS34:LS65" si="250">IF(AND(ISNUMBER(JW34),ISNUMBER(EI34)),JW34-EI34,"")</f>
        <v>1</v>
      </c>
      <c r="LT34" s="4">
        <f t="shared" ref="LT34:LT65" si="251">IF(AND(ISNUMBER(JX34),ISNUMBER(EJ34)),JX34-EJ34,"")</f>
        <v>-0.20000000000000018</v>
      </c>
      <c r="LU34" s="4">
        <f t="shared" ref="LU34:LU65" si="252">IF(AND(ISNUMBER(JY34),ISNUMBER(EK34)),JY34-EK34,"")</f>
        <v>-0.20000000000000018</v>
      </c>
      <c r="LV34" s="4">
        <f t="shared" ref="LV34:LV65" si="253">IF(AND(ISNUMBER(JZ34),ISNUMBER(EL34)),JZ34-EL34,"")</f>
        <v>-0.19999999999999929</v>
      </c>
      <c r="LW34" s="4">
        <f t="shared" ref="LW34:LW65" si="254">IF(AND(ISNUMBER(KA34),ISNUMBER(EM34)),KA34-EM34,"")</f>
        <v>-1.6999999999999886</v>
      </c>
      <c r="LX34" s="4">
        <f t="shared" ref="LX34:LX65" si="255">IF(AND(ISNUMBER(KB34),ISNUMBER(EN34)),KB34-EN34,"")</f>
        <v>9.9999999999999978E-2</v>
      </c>
      <c r="LY34" s="4">
        <f t="shared" ref="LY34:LY65" si="256">IF(AND(ISNUMBER(KC34),ISNUMBER(EO34)),KC34-EO34,"")</f>
        <v>-0.10000000000000053</v>
      </c>
      <c r="LZ34" s="4">
        <f t="shared" ref="LZ34:LZ65" si="257">IF(AND(ISNUMBER(KD34),ISNUMBER(EP34)),KD34-EP34,"")</f>
        <v>0</v>
      </c>
      <c r="MA34" s="4">
        <f t="shared" ref="MA34:MA65" si="258">IF(AND(ISNUMBER(KE34),ISNUMBER(EQ34)),KE34-EQ34,"")</f>
        <v>0</v>
      </c>
      <c r="MB34" s="4">
        <f t="shared" ref="MB34:MB65" si="259">IF(AND(ISNUMBER(KF34),ISNUMBER(ER34)),KF34-ER34,"")</f>
        <v>0.70000000000000284</v>
      </c>
      <c r="MC34" s="4">
        <f t="shared" ref="MC34:MC65" si="260">IF(AND(ISNUMBER(KG34),ISNUMBER(ES34)),KG34-ES34,"")</f>
        <v>15</v>
      </c>
      <c r="MD34" s="4" t="str">
        <f t="shared" ref="MD34:MD65" si="261">IF(AND(ISNUMBER(HW34),ISNUMBER(GA34)),HW34-GA34,"")</f>
        <v/>
      </c>
      <c r="ME34" s="4" t="str">
        <f t="shared" ref="ME34:ME65" si="262">IF(AND(ISNUMBER(HX34),ISNUMBER(GB34)),HX34-GB34,"")</f>
        <v/>
      </c>
      <c r="MF34" s="4" t="str">
        <f t="shared" ref="MF34:MF65" si="263">IF(AND(ISNUMBER(IB34),ISNUMBER(GF34)),IB34-GF34,"")</f>
        <v/>
      </c>
      <c r="MG34" s="4">
        <f t="shared" ref="MG34:MG65" si="264">IC34-GG34</f>
        <v>6.9</v>
      </c>
    </row>
    <row r="35" spans="1:345" ht="26.25" customHeight="1" thickBot="1" x14ac:dyDescent="0.25">
      <c r="A35" s="35">
        <v>41150</v>
      </c>
      <c r="B35" s="36" t="s">
        <v>210</v>
      </c>
      <c r="C35" s="36" t="s">
        <v>167</v>
      </c>
      <c r="D35" s="31" t="s">
        <v>111</v>
      </c>
      <c r="E35" s="4">
        <v>71</v>
      </c>
      <c r="F35" s="3">
        <v>14875</v>
      </c>
      <c r="G35" s="4" t="s">
        <v>87</v>
      </c>
      <c r="H35" s="4" t="s">
        <v>108</v>
      </c>
      <c r="I35" s="4">
        <v>1835069</v>
      </c>
      <c r="J35" s="2" t="s">
        <v>309</v>
      </c>
      <c r="K35" s="227"/>
      <c r="L35" s="228">
        <v>1</v>
      </c>
      <c r="M35" s="228"/>
      <c r="N35" s="98" t="s">
        <v>646</v>
      </c>
      <c r="O35" s="258"/>
      <c r="P35" s="228"/>
      <c r="Q35" s="228"/>
      <c r="R35" s="4">
        <v>-0.5</v>
      </c>
      <c r="S35" s="4">
        <v>-0.46</v>
      </c>
      <c r="T35" s="39" t="s">
        <v>249</v>
      </c>
      <c r="U35" s="70">
        <v>24.5</v>
      </c>
      <c r="V35" s="124">
        <v>41129</v>
      </c>
      <c r="W35" s="67">
        <v>2</v>
      </c>
      <c r="X35" s="67">
        <v>1.5</v>
      </c>
      <c r="Y35" s="4">
        <v>10</v>
      </c>
      <c r="Z35" s="4">
        <v>20</v>
      </c>
      <c r="AA35" s="4">
        <v>13</v>
      </c>
      <c r="AB35" s="4">
        <v>582</v>
      </c>
      <c r="AC35" s="4">
        <v>22.45</v>
      </c>
      <c r="AD35" s="4">
        <v>11</v>
      </c>
      <c r="AE35" s="4">
        <v>4.67</v>
      </c>
      <c r="AF35" s="4">
        <v>2.97</v>
      </c>
      <c r="AG35" s="4">
        <v>44.12</v>
      </c>
      <c r="AH35" s="4">
        <v>100</v>
      </c>
      <c r="AI35" s="4">
        <v>44.82</v>
      </c>
      <c r="AJ35" s="4">
        <v>10</v>
      </c>
      <c r="AK35" s="4">
        <v>0</v>
      </c>
      <c r="AL35" s="4" t="b">
        <f t="shared" si="135"/>
        <v>0</v>
      </c>
      <c r="AN35" s="32">
        <v>41319</v>
      </c>
      <c r="AO35" s="60">
        <v>70</v>
      </c>
      <c r="AP35" s="67">
        <v>-2.25</v>
      </c>
      <c r="AQ35" s="67">
        <v>0.5</v>
      </c>
      <c r="AR35" s="4">
        <v>32</v>
      </c>
      <c r="AS35" s="4">
        <v>25</v>
      </c>
      <c r="AT35" s="4">
        <v>18</v>
      </c>
      <c r="AU35" s="4">
        <v>564</v>
      </c>
      <c r="AV35" s="4">
        <v>1530</v>
      </c>
      <c r="BC35" s="4">
        <f t="shared" si="136"/>
        <v>-2</v>
      </c>
      <c r="BD35" s="4">
        <f t="shared" si="133"/>
        <v>-1.54</v>
      </c>
      <c r="BE35" s="4">
        <f t="shared" si="137"/>
        <v>-18</v>
      </c>
      <c r="BF35" s="3">
        <v>41501</v>
      </c>
      <c r="BG35" s="59"/>
      <c r="BH35" s="67">
        <v>-1.75</v>
      </c>
      <c r="BI35" s="67">
        <v>0.5</v>
      </c>
      <c r="BJ35" s="4">
        <v>3</v>
      </c>
      <c r="BK35" s="4">
        <v>20</v>
      </c>
      <c r="BL35" s="4">
        <v>14</v>
      </c>
      <c r="BM35" s="4">
        <v>566</v>
      </c>
      <c r="BN35" s="4">
        <v>1412</v>
      </c>
      <c r="BO35" s="51" t="s">
        <v>282</v>
      </c>
      <c r="BP35" s="51" t="s">
        <v>282</v>
      </c>
      <c r="BQ35" s="51" t="s">
        <v>282</v>
      </c>
      <c r="BR35" s="51" t="s">
        <v>282</v>
      </c>
      <c r="BS35" s="51" t="s">
        <v>282</v>
      </c>
      <c r="BT35" s="51" t="s">
        <v>282</v>
      </c>
      <c r="BU35" s="4">
        <f t="shared" si="134"/>
        <v>-1.5</v>
      </c>
      <c r="BV35" s="4">
        <f t="shared" si="138"/>
        <v>-1.04</v>
      </c>
      <c r="BW35" s="4">
        <f t="shared" si="139"/>
        <v>-16</v>
      </c>
      <c r="BX35" s="4">
        <f t="shared" si="140"/>
        <v>1</v>
      </c>
      <c r="BY35" s="4">
        <f t="shared" si="141"/>
        <v>1</v>
      </c>
      <c r="BZ35" s="4">
        <f t="shared" si="142"/>
        <v>2.75</v>
      </c>
      <c r="CA35" s="4">
        <f t="shared" si="143"/>
        <v>-2</v>
      </c>
      <c r="CB35" s="4">
        <f t="shared" si="144"/>
        <v>-1.5</v>
      </c>
      <c r="CC35" s="53">
        <f t="shared" si="145"/>
        <v>351</v>
      </c>
      <c r="CD35" s="55">
        <f t="shared" si="146"/>
        <v>11.7</v>
      </c>
      <c r="CE35" s="4">
        <f t="shared" si="147"/>
        <v>0.5</v>
      </c>
      <c r="CF35" s="4" t="str">
        <f t="shared" si="148"/>
        <v/>
      </c>
      <c r="CG35" s="4" t="str">
        <f t="shared" si="149"/>
        <v/>
      </c>
      <c r="CH35" s="4" t="str">
        <f t="shared" si="150"/>
        <v/>
      </c>
      <c r="CI35" s="4">
        <f t="shared" si="151"/>
        <v>2.75</v>
      </c>
      <c r="CJ35" s="4">
        <f t="shared" si="152"/>
        <v>-1.5</v>
      </c>
      <c r="CK35" s="93">
        <f t="shared" si="153"/>
        <v>-1.04</v>
      </c>
      <c r="CL35" s="83">
        <f t="shared" si="154"/>
        <v>-16</v>
      </c>
      <c r="CM35" s="4" t="str">
        <f t="shared" si="155"/>
        <v/>
      </c>
      <c r="CN35" s="96">
        <f t="shared" si="156"/>
        <v>-0.46</v>
      </c>
      <c r="CO35" s="96">
        <f t="shared" ref="CO35:CO80" si="265">IF(AND(OR(ISNUMBER(BK35),ISNUMBER(AS35)),ISNUMBER(Z35)),-LOG(20/Z35)--LOG(20/IF(ISNUMBER(BK35),BK35,AS35)),"")</f>
        <v>0</v>
      </c>
      <c r="CP35" s="127">
        <f t="shared" si="157"/>
        <v>0.5</v>
      </c>
      <c r="CQ35" s="127">
        <f t="shared" si="158"/>
        <v>-1</v>
      </c>
      <c r="CR35" s="136">
        <f t="shared" si="159"/>
        <v>20</v>
      </c>
      <c r="CS35" s="136">
        <f t="shared" si="160"/>
        <v>20</v>
      </c>
      <c r="CT35" s="135">
        <f t="shared" si="161"/>
        <v>70</v>
      </c>
      <c r="CU35" s="139">
        <f t="shared" si="162"/>
        <v>0</v>
      </c>
      <c r="CV35" s="96">
        <f t="shared" si="163"/>
        <v>1</v>
      </c>
      <c r="CW35" s="141" t="b">
        <f t="shared" si="164"/>
        <v>0</v>
      </c>
      <c r="CX35">
        <v>7.62</v>
      </c>
      <c r="CY35" s="4">
        <v>7.65</v>
      </c>
      <c r="CZ35" s="4">
        <v>88.1</v>
      </c>
      <c r="DA35" s="4">
        <v>0.2</v>
      </c>
      <c r="DB35" s="4">
        <v>-0.04</v>
      </c>
      <c r="DC35" s="4">
        <v>0.53</v>
      </c>
      <c r="DD35" s="4">
        <v>2.2999999999999998</v>
      </c>
      <c r="DE35" s="4">
        <v>2.91</v>
      </c>
      <c r="DF35" s="4">
        <v>612</v>
      </c>
      <c r="DG35" s="4">
        <v>612</v>
      </c>
      <c r="DH35" s="4">
        <v>707</v>
      </c>
      <c r="DI35" s="4">
        <v>680</v>
      </c>
      <c r="DJ35" s="4">
        <v>697</v>
      </c>
      <c r="DK35" s="4">
        <v>687</v>
      </c>
      <c r="DL35" s="4">
        <v>610</v>
      </c>
      <c r="DM35" s="4">
        <v>-0.34</v>
      </c>
      <c r="DN35" s="4">
        <v>-0.41</v>
      </c>
      <c r="DO35" s="4">
        <v>7.7</v>
      </c>
      <c r="DP35" s="4">
        <v>7.57</v>
      </c>
      <c r="DQ35" s="4">
        <v>7.54</v>
      </c>
      <c r="DR35" s="4">
        <v>7.72</v>
      </c>
      <c r="DS35" s="4">
        <v>8.0500000000000007</v>
      </c>
      <c r="DT35" s="4">
        <v>8.42</v>
      </c>
      <c r="DU35" s="4">
        <v>0</v>
      </c>
      <c r="DV35" s="4">
        <v>1.3</v>
      </c>
      <c r="DW35" s="4">
        <v>6.29</v>
      </c>
      <c r="DX35" s="4">
        <v>6.12</v>
      </c>
      <c r="DY35" s="4">
        <v>6.3</v>
      </c>
      <c r="DZ35" s="4">
        <v>6.76</v>
      </c>
      <c r="EA35" s="4">
        <v>7.03</v>
      </c>
      <c r="EB35" s="4">
        <v>0</v>
      </c>
      <c r="EC35" s="4">
        <v>0</v>
      </c>
      <c r="ED35" s="89">
        <v>1.3</v>
      </c>
      <c r="EE35" s="110">
        <v>44.1</v>
      </c>
      <c r="EF35" s="110">
        <v>44.3</v>
      </c>
      <c r="EG35" s="110">
        <v>44.2</v>
      </c>
      <c r="EH35" s="110">
        <v>88.1</v>
      </c>
      <c r="EI35" s="110">
        <v>0.2</v>
      </c>
      <c r="EJ35" s="110">
        <v>-6.4</v>
      </c>
      <c r="EK35" s="110">
        <v>-6.6</v>
      </c>
      <c r="EL35" s="110">
        <v>-6.5</v>
      </c>
      <c r="EM35" s="110">
        <v>1.6</v>
      </c>
      <c r="EN35" s="110">
        <v>0.2</v>
      </c>
      <c r="EO35" s="110">
        <v>4.4000000000000004</v>
      </c>
      <c r="EP35" s="110">
        <v>12.9</v>
      </c>
      <c r="EQ35" s="110">
        <v>27.6</v>
      </c>
      <c r="ER35" s="110">
        <v>64.8</v>
      </c>
      <c r="ES35" s="114">
        <v>15</v>
      </c>
      <c r="ET35" s="83">
        <v>7.59</v>
      </c>
      <c r="EU35" s="4">
        <v>7.61</v>
      </c>
      <c r="EV35" s="4">
        <v>49.7</v>
      </c>
      <c r="EW35" s="4">
        <v>0.1</v>
      </c>
      <c r="EX35" s="4">
        <v>0</v>
      </c>
      <c r="EY35" s="4">
        <v>0.69</v>
      </c>
      <c r="EZ35" s="4">
        <v>3.91</v>
      </c>
      <c r="FA35" s="4">
        <v>4.5</v>
      </c>
      <c r="FB35" s="4">
        <v>585</v>
      </c>
      <c r="FC35" s="4">
        <v>586</v>
      </c>
      <c r="FD35" s="4">
        <v>707</v>
      </c>
      <c r="FE35" s="4">
        <v>692</v>
      </c>
      <c r="FF35" s="4">
        <v>709</v>
      </c>
      <c r="FG35" s="4">
        <v>650</v>
      </c>
      <c r="FH35" s="4">
        <v>582</v>
      </c>
      <c r="FI35" s="4">
        <v>-0.68</v>
      </c>
      <c r="FJ35" s="4">
        <v>-0.21</v>
      </c>
      <c r="FK35" s="4">
        <v>7.7</v>
      </c>
      <c r="FL35" s="4">
        <v>7.51</v>
      </c>
      <c r="FM35" s="4">
        <v>7.52</v>
      </c>
      <c r="FN35" s="4">
        <v>7.87</v>
      </c>
      <c r="FO35" s="4">
        <v>8.25</v>
      </c>
      <c r="FP35" s="4">
        <v>8.57</v>
      </c>
      <c r="FQ35" s="4">
        <v>0</v>
      </c>
      <c r="FR35" s="4">
        <v>1.5</v>
      </c>
      <c r="FS35" s="4">
        <v>6.1</v>
      </c>
      <c r="FT35" s="4">
        <v>5.93</v>
      </c>
      <c r="FU35" s="4">
        <v>6.28</v>
      </c>
      <c r="FV35" s="4">
        <v>6.9</v>
      </c>
      <c r="FW35" s="4">
        <v>7.18</v>
      </c>
      <c r="FX35" s="4">
        <v>0</v>
      </c>
      <c r="FY35" s="4">
        <v>0</v>
      </c>
      <c r="FZ35" s="86">
        <v>1.5</v>
      </c>
      <c r="GA35" s="110">
        <v>44.4</v>
      </c>
      <c r="GB35" s="110">
        <v>44.4</v>
      </c>
      <c r="GC35" s="110">
        <v>44.4</v>
      </c>
      <c r="GD35" s="110">
        <v>49.7</v>
      </c>
      <c r="GE35" s="110">
        <v>0.1</v>
      </c>
      <c r="GF35" s="110">
        <v>-6.5</v>
      </c>
      <c r="GG35" s="110">
        <v>-6.9</v>
      </c>
      <c r="GH35" s="110">
        <v>-6.7</v>
      </c>
      <c r="GI35" s="110">
        <v>8.1999999999999993</v>
      </c>
      <c r="GJ35" s="110">
        <v>0.5</v>
      </c>
      <c r="GK35" s="110">
        <v>4.3</v>
      </c>
      <c r="GL35" s="110">
        <v>12.6</v>
      </c>
      <c r="GM35" s="110">
        <v>27.1</v>
      </c>
      <c r="GN35" s="110">
        <v>64.099999999999994</v>
      </c>
      <c r="GO35" s="119">
        <v>30</v>
      </c>
      <c r="IL35" s="83">
        <f t="shared" si="165"/>
        <v>7.59</v>
      </c>
      <c r="IM35" s="4">
        <f t="shared" si="166"/>
        <v>7.61</v>
      </c>
      <c r="IN35" s="4">
        <f t="shared" si="167"/>
        <v>49.7</v>
      </c>
      <c r="IO35" s="4">
        <f t="shared" si="168"/>
        <v>0.1</v>
      </c>
      <c r="IP35" s="4">
        <f t="shared" si="169"/>
        <v>0</v>
      </c>
      <c r="IQ35" s="4">
        <f t="shared" si="170"/>
        <v>0.69</v>
      </c>
      <c r="IR35" s="4">
        <f t="shared" si="171"/>
        <v>3.91</v>
      </c>
      <c r="IS35" s="4">
        <f t="shared" si="172"/>
        <v>4.5</v>
      </c>
      <c r="IT35" s="4">
        <f t="shared" si="173"/>
        <v>585</v>
      </c>
      <c r="IU35" s="4">
        <f t="shared" si="174"/>
        <v>586</v>
      </c>
      <c r="IV35" s="4">
        <f t="shared" si="175"/>
        <v>707</v>
      </c>
      <c r="IW35" s="4">
        <f t="shared" si="176"/>
        <v>692</v>
      </c>
      <c r="IX35" s="4">
        <f t="shared" si="177"/>
        <v>709</v>
      </c>
      <c r="IY35" s="4">
        <f t="shared" si="178"/>
        <v>650</v>
      </c>
      <c r="IZ35" s="4">
        <f t="shared" si="179"/>
        <v>582</v>
      </c>
      <c r="JA35" s="4">
        <f t="shared" si="180"/>
        <v>-0.68</v>
      </c>
      <c r="JB35" s="4">
        <f t="shared" si="181"/>
        <v>-0.21</v>
      </c>
      <c r="JC35" s="4">
        <f t="shared" si="182"/>
        <v>7.7</v>
      </c>
      <c r="JD35" s="4">
        <f t="shared" si="183"/>
        <v>7.51</v>
      </c>
      <c r="JE35" s="4">
        <f t="shared" si="184"/>
        <v>7.52</v>
      </c>
      <c r="JF35" s="4">
        <f t="shared" si="185"/>
        <v>7.87</v>
      </c>
      <c r="JG35" s="4">
        <f t="shared" si="186"/>
        <v>8.25</v>
      </c>
      <c r="JH35" s="4">
        <f t="shared" si="187"/>
        <v>8.57</v>
      </c>
      <c r="JI35" s="4">
        <f t="shared" si="188"/>
        <v>0</v>
      </c>
      <c r="JJ35" s="4">
        <f t="shared" si="189"/>
        <v>1.5</v>
      </c>
      <c r="JK35" s="4">
        <f t="shared" si="190"/>
        <v>6.1</v>
      </c>
      <c r="JL35" s="4">
        <f t="shared" si="191"/>
        <v>5.93</v>
      </c>
      <c r="JM35" s="4">
        <f t="shared" si="192"/>
        <v>6.28</v>
      </c>
      <c r="JN35" s="4">
        <f t="shared" si="193"/>
        <v>6.9</v>
      </c>
      <c r="JO35" s="4">
        <f t="shared" si="194"/>
        <v>7.18</v>
      </c>
      <c r="JP35" s="4">
        <f t="shared" si="195"/>
        <v>0</v>
      </c>
      <c r="JQ35" s="117">
        <f t="shared" si="196"/>
        <v>0</v>
      </c>
      <c r="JR35" s="110">
        <f t="shared" si="197"/>
        <v>1.5</v>
      </c>
      <c r="JS35" s="110">
        <f t="shared" si="198"/>
        <v>44.4</v>
      </c>
      <c r="JT35" s="110">
        <f t="shared" si="199"/>
        <v>44.4</v>
      </c>
      <c r="JU35" s="110">
        <f t="shared" si="200"/>
        <v>44.4</v>
      </c>
      <c r="JV35" s="110">
        <f t="shared" si="201"/>
        <v>49.7</v>
      </c>
      <c r="JW35" s="110">
        <f t="shared" si="202"/>
        <v>0.1</v>
      </c>
      <c r="JX35" s="110">
        <f t="shared" si="203"/>
        <v>-6.5</v>
      </c>
      <c r="JY35" s="110">
        <f t="shared" si="204"/>
        <v>-6.9</v>
      </c>
      <c r="JZ35" s="110">
        <f t="shared" si="205"/>
        <v>-6.7</v>
      </c>
      <c r="KA35" s="110">
        <f t="shared" si="206"/>
        <v>8.1999999999999993</v>
      </c>
      <c r="KB35" s="110">
        <f t="shared" si="207"/>
        <v>0.5</v>
      </c>
      <c r="KC35" s="110">
        <f t="shared" si="208"/>
        <v>4.3</v>
      </c>
      <c r="KD35" s="110">
        <f t="shared" si="209"/>
        <v>12.6</v>
      </c>
      <c r="KE35" s="110">
        <f t="shared" si="210"/>
        <v>27.1</v>
      </c>
      <c r="KF35" s="110">
        <f t="shared" si="211"/>
        <v>64.099999999999994</v>
      </c>
      <c r="KG35" s="121">
        <f t="shared" si="212"/>
        <v>30</v>
      </c>
      <c r="KH35" s="83">
        <f t="shared" si="213"/>
        <v>-3.0000000000000249E-2</v>
      </c>
      <c r="KI35" s="4">
        <f t="shared" si="214"/>
        <v>-4.0000000000000036E-2</v>
      </c>
      <c r="KJ35" s="4">
        <f t="shared" si="215"/>
        <v>-38.399999999999991</v>
      </c>
      <c r="KK35" s="4">
        <f t="shared" si="216"/>
        <v>-0.1</v>
      </c>
      <c r="KL35" s="4">
        <f t="shared" si="217"/>
        <v>0.04</v>
      </c>
      <c r="KM35" s="4">
        <f t="shared" si="218"/>
        <v>0.15999999999999992</v>
      </c>
      <c r="KN35" s="4">
        <f t="shared" si="219"/>
        <v>1.6100000000000003</v>
      </c>
      <c r="KO35" s="4">
        <f t="shared" si="220"/>
        <v>1.5899999999999999</v>
      </c>
      <c r="KP35" s="4">
        <f t="shared" si="221"/>
        <v>-27</v>
      </c>
      <c r="KQ35" s="4">
        <f t="shared" si="222"/>
        <v>-26</v>
      </c>
      <c r="KR35" s="4">
        <f t="shared" si="223"/>
        <v>0</v>
      </c>
      <c r="KS35" s="4">
        <f t="shared" si="224"/>
        <v>12</v>
      </c>
      <c r="KT35" s="4">
        <f t="shared" si="225"/>
        <v>12</v>
      </c>
      <c r="KU35" s="4">
        <f t="shared" si="226"/>
        <v>-37</v>
      </c>
      <c r="KV35" s="4">
        <f t="shared" si="227"/>
        <v>-28</v>
      </c>
      <c r="KW35" s="4">
        <f t="shared" si="228"/>
        <v>-0.34</v>
      </c>
      <c r="KX35" s="4">
        <f t="shared" si="229"/>
        <v>0.19999999999999998</v>
      </c>
      <c r="KY35" s="4">
        <f t="shared" si="230"/>
        <v>0</v>
      </c>
      <c r="KZ35" s="4">
        <f t="shared" si="231"/>
        <v>-6.0000000000000497E-2</v>
      </c>
      <c r="LA35" s="4">
        <f t="shared" si="232"/>
        <v>-2.0000000000000462E-2</v>
      </c>
      <c r="LB35" s="4">
        <f t="shared" si="233"/>
        <v>0.15000000000000036</v>
      </c>
      <c r="LC35" s="4">
        <f t="shared" si="234"/>
        <v>0.19999999999999929</v>
      </c>
      <c r="LD35" s="4">
        <f t="shared" si="235"/>
        <v>0.15000000000000036</v>
      </c>
      <c r="LE35" s="4">
        <f t="shared" si="236"/>
        <v>0</v>
      </c>
      <c r="LF35" s="4">
        <f t="shared" si="237"/>
        <v>0.19999999999999996</v>
      </c>
      <c r="LG35" s="4">
        <f t="shared" si="238"/>
        <v>-0.19000000000000039</v>
      </c>
      <c r="LH35" s="4">
        <f t="shared" si="239"/>
        <v>-0.19000000000000039</v>
      </c>
      <c r="LI35" s="4">
        <f t="shared" si="240"/>
        <v>-1.9999999999999574E-2</v>
      </c>
      <c r="LJ35" s="4">
        <f t="shared" si="241"/>
        <v>0.14000000000000057</v>
      </c>
      <c r="LK35" s="4">
        <f t="shared" si="242"/>
        <v>0.14999999999999947</v>
      </c>
      <c r="LL35" s="4">
        <f t="shared" si="243"/>
        <v>0</v>
      </c>
      <c r="LM35" s="4">
        <f t="shared" si="244"/>
        <v>0</v>
      </c>
      <c r="LN35" s="4">
        <f t="shared" si="245"/>
        <v>0.19999999999999996</v>
      </c>
      <c r="LO35" s="4">
        <f t="shared" si="246"/>
        <v>0.29999999999999716</v>
      </c>
      <c r="LP35" s="4">
        <f t="shared" si="247"/>
        <v>0.10000000000000142</v>
      </c>
      <c r="LQ35" s="4">
        <f t="shared" si="248"/>
        <v>0.19999999999999574</v>
      </c>
      <c r="LR35" s="4">
        <f t="shared" si="249"/>
        <v>-38.399999999999991</v>
      </c>
      <c r="LS35" s="4">
        <f t="shared" si="250"/>
        <v>-0.1</v>
      </c>
      <c r="LT35" s="4">
        <f t="shared" si="251"/>
        <v>-9.9999999999999645E-2</v>
      </c>
      <c r="LU35" s="4">
        <f t="shared" si="252"/>
        <v>-0.30000000000000071</v>
      </c>
      <c r="LV35" s="4">
        <f t="shared" si="253"/>
        <v>-0.20000000000000018</v>
      </c>
      <c r="LW35" s="4">
        <f t="shared" si="254"/>
        <v>6.6</v>
      </c>
      <c r="LX35" s="4">
        <f t="shared" si="255"/>
        <v>0.3</v>
      </c>
      <c r="LY35" s="4">
        <f t="shared" si="256"/>
        <v>-0.10000000000000053</v>
      </c>
      <c r="LZ35" s="4">
        <f t="shared" si="257"/>
        <v>-0.30000000000000071</v>
      </c>
      <c r="MA35" s="4">
        <f t="shared" si="258"/>
        <v>-0.5</v>
      </c>
      <c r="MB35" s="4">
        <f t="shared" si="259"/>
        <v>-0.70000000000000284</v>
      </c>
      <c r="MC35" s="4">
        <f t="shared" si="260"/>
        <v>15</v>
      </c>
      <c r="MD35" s="4" t="str">
        <f t="shared" si="261"/>
        <v/>
      </c>
      <c r="ME35" s="4" t="str">
        <f t="shared" si="262"/>
        <v/>
      </c>
      <c r="MF35" s="4" t="str">
        <f t="shared" si="263"/>
        <v/>
      </c>
      <c r="MG35" s="4">
        <f t="shared" si="264"/>
        <v>6.9</v>
      </c>
    </row>
    <row r="36" spans="1:345" ht="26.25" customHeight="1" thickBot="1" x14ac:dyDescent="0.25">
      <c r="A36" s="35">
        <v>41178</v>
      </c>
      <c r="B36" s="36" t="s">
        <v>172</v>
      </c>
      <c r="C36" s="36" t="s">
        <v>5</v>
      </c>
      <c r="D36" s="31" t="s">
        <v>110</v>
      </c>
      <c r="E36" s="4">
        <v>64</v>
      </c>
      <c r="F36" s="3">
        <v>17632</v>
      </c>
      <c r="G36" s="4" t="s">
        <v>87</v>
      </c>
      <c r="H36" s="4" t="s">
        <v>108</v>
      </c>
      <c r="I36" s="4">
        <v>1835115</v>
      </c>
      <c r="J36" s="2" t="s">
        <v>309</v>
      </c>
      <c r="K36" s="235"/>
      <c r="L36" s="236"/>
      <c r="M36" s="236"/>
      <c r="N36" s="98" t="s">
        <v>647</v>
      </c>
      <c r="O36" s="235"/>
      <c r="P36" s="236"/>
      <c r="Q36" s="236"/>
      <c r="R36" s="4">
        <v>-0.5</v>
      </c>
      <c r="S36" s="4">
        <v>-0.64</v>
      </c>
      <c r="T36" s="4" t="s">
        <v>249</v>
      </c>
      <c r="U36" s="67">
        <v>19.25</v>
      </c>
      <c r="V36" s="124">
        <v>41165</v>
      </c>
      <c r="W36" s="67">
        <v>0.75</v>
      </c>
      <c r="X36" s="67">
        <v>0.5</v>
      </c>
      <c r="Y36" s="4">
        <v>160</v>
      </c>
      <c r="Z36" s="4">
        <v>30</v>
      </c>
      <c r="AA36" s="4">
        <v>13</v>
      </c>
      <c r="AB36" s="4">
        <v>631</v>
      </c>
      <c r="AC36" s="4">
        <v>24.64</v>
      </c>
      <c r="AD36" s="4">
        <v>12.2</v>
      </c>
      <c r="AE36" s="4">
        <v>4.3600000000000003</v>
      </c>
      <c r="AF36" s="4">
        <v>3.29</v>
      </c>
      <c r="AG36" s="4">
        <v>42.03</v>
      </c>
      <c r="AH36" s="4">
        <v>24</v>
      </c>
      <c r="AI36" s="4">
        <v>43.32</v>
      </c>
      <c r="AJ36" s="4">
        <v>114</v>
      </c>
      <c r="AK36" s="4">
        <v>0</v>
      </c>
      <c r="AL36" s="4" t="b">
        <f t="shared" si="135"/>
        <v>0</v>
      </c>
      <c r="AN36" s="32">
        <v>41416</v>
      </c>
      <c r="AO36" s="60">
        <v>20</v>
      </c>
      <c r="AP36" s="67">
        <v>0</v>
      </c>
      <c r="AQ36" s="67">
        <v>0</v>
      </c>
      <c r="AR36" s="4">
        <v>0</v>
      </c>
      <c r="AS36" s="4">
        <v>20</v>
      </c>
      <c r="AT36" s="4">
        <v>12</v>
      </c>
      <c r="AU36" s="4">
        <v>567</v>
      </c>
      <c r="BC36" s="4">
        <f t="shared" si="136"/>
        <v>0</v>
      </c>
      <c r="BD36" s="4">
        <f t="shared" si="133"/>
        <v>0.64</v>
      </c>
      <c r="BE36" s="4">
        <f t="shared" si="137"/>
        <v>-64</v>
      </c>
      <c r="BF36" s="3">
        <v>41603</v>
      </c>
      <c r="BG36" s="56">
        <v>25</v>
      </c>
      <c r="BH36" s="67">
        <v>-0.5</v>
      </c>
      <c r="BI36" s="67">
        <v>0.5</v>
      </c>
      <c r="BJ36" s="4">
        <v>169</v>
      </c>
      <c r="BK36" s="4">
        <v>25</v>
      </c>
      <c r="BL36" s="4">
        <v>12</v>
      </c>
      <c r="BM36" s="4">
        <v>545</v>
      </c>
      <c r="BO36" s="4">
        <v>24.67</v>
      </c>
      <c r="BP36" s="4" t="s">
        <v>282</v>
      </c>
      <c r="BQ36" s="4">
        <v>41.72</v>
      </c>
      <c r="BR36" s="4">
        <v>26</v>
      </c>
      <c r="BS36" s="4">
        <v>42.19</v>
      </c>
      <c r="BT36" s="4">
        <v>116</v>
      </c>
      <c r="BU36" s="4">
        <f t="shared" si="134"/>
        <v>-0.25</v>
      </c>
      <c r="BV36" s="4">
        <f t="shared" si="138"/>
        <v>0.39</v>
      </c>
      <c r="BW36" s="4">
        <f t="shared" si="139"/>
        <v>-86</v>
      </c>
      <c r="BX36" s="4">
        <f t="shared" si="140"/>
        <v>1</v>
      </c>
      <c r="BY36" s="4">
        <f t="shared" si="141"/>
        <v>1</v>
      </c>
      <c r="BZ36" s="4">
        <f t="shared" si="142"/>
        <v>1</v>
      </c>
      <c r="CA36" s="4">
        <f t="shared" si="143"/>
        <v>0</v>
      </c>
      <c r="CB36" s="4">
        <f t="shared" si="144"/>
        <v>-0.25</v>
      </c>
      <c r="CC36" s="53">
        <f t="shared" si="145"/>
        <v>425</v>
      </c>
      <c r="CD36" s="55">
        <f t="shared" si="146"/>
        <v>14.166666666666666</v>
      </c>
      <c r="CE36" s="4">
        <f t="shared" si="147"/>
        <v>-0.25</v>
      </c>
      <c r="CF36" s="4" t="str">
        <f t="shared" si="148"/>
        <v/>
      </c>
      <c r="CG36" s="4">
        <f t="shared" si="149"/>
        <v>-0.71999999999999886</v>
      </c>
      <c r="CH36" s="4">
        <f t="shared" si="150"/>
        <v>-0.71999999999999886</v>
      </c>
      <c r="CI36" s="4">
        <f t="shared" si="151"/>
        <v>1</v>
      </c>
      <c r="CJ36" s="4">
        <f t="shared" si="152"/>
        <v>-0.25</v>
      </c>
      <c r="CK36" s="93">
        <f t="shared" si="153"/>
        <v>0.39</v>
      </c>
      <c r="CL36" s="83">
        <f t="shared" si="154"/>
        <v>-86</v>
      </c>
      <c r="CM36" s="4">
        <f t="shared" si="155"/>
        <v>3.0000000000001137E-2</v>
      </c>
      <c r="CN36" s="96">
        <f t="shared" si="156"/>
        <v>-0.64</v>
      </c>
      <c r="CO36" s="96">
        <f t="shared" si="265"/>
        <v>7.9181246047624873E-2</v>
      </c>
      <c r="CP36" s="127">
        <f t="shared" si="157"/>
        <v>0.5</v>
      </c>
      <c r="CQ36" s="127">
        <f t="shared" si="158"/>
        <v>0</v>
      </c>
      <c r="CR36" s="136">
        <f t="shared" si="159"/>
        <v>25</v>
      </c>
      <c r="CS36" s="136">
        <f t="shared" si="160"/>
        <v>30</v>
      </c>
      <c r="CT36" s="135">
        <f t="shared" si="161"/>
        <v>25</v>
      </c>
      <c r="CU36" s="139">
        <f t="shared" si="162"/>
        <v>1</v>
      </c>
      <c r="CV36" s="96">
        <f t="shared" si="163"/>
        <v>0</v>
      </c>
      <c r="CW36" s="141" t="b">
        <f t="shared" si="164"/>
        <v>0</v>
      </c>
      <c r="CX36">
        <v>8.1</v>
      </c>
      <c r="CY36" s="4">
        <v>7.85</v>
      </c>
      <c r="CZ36" s="4">
        <v>28.1</v>
      </c>
      <c r="DA36" s="4">
        <v>-1.3</v>
      </c>
      <c r="DB36" s="4">
        <v>0.56999999999999995</v>
      </c>
      <c r="DC36" s="4">
        <v>0.64</v>
      </c>
      <c r="DD36" s="4">
        <v>3.01</v>
      </c>
      <c r="DE36" s="4">
        <v>3.65</v>
      </c>
      <c r="DF36" s="4">
        <v>631</v>
      </c>
      <c r="DG36" s="4">
        <v>637</v>
      </c>
      <c r="DH36" s="4">
        <v>670</v>
      </c>
      <c r="DI36" s="4">
        <v>634</v>
      </c>
      <c r="DJ36" s="4">
        <v>638</v>
      </c>
      <c r="DK36" s="4">
        <v>681</v>
      </c>
      <c r="DL36" s="4">
        <v>614</v>
      </c>
      <c r="DM36" s="4">
        <v>-0.71</v>
      </c>
      <c r="DN36" s="4">
        <v>-1.27</v>
      </c>
      <c r="DO36" s="4">
        <v>7.97</v>
      </c>
      <c r="DP36" s="4">
        <v>7.99</v>
      </c>
      <c r="DQ36" s="4">
        <v>8.0500000000000007</v>
      </c>
      <c r="DR36" s="4">
        <v>8.25</v>
      </c>
      <c r="DS36" s="4">
        <v>8.61</v>
      </c>
      <c r="DT36" s="4">
        <v>8.8000000000000007</v>
      </c>
      <c r="DU36" s="4">
        <v>0</v>
      </c>
      <c r="DV36" s="4">
        <v>0.7</v>
      </c>
      <c r="DW36" s="4">
        <v>7.23</v>
      </c>
      <c r="DX36" s="4">
        <v>7.12</v>
      </c>
      <c r="DY36" s="4">
        <v>7.06</v>
      </c>
      <c r="DZ36" s="4">
        <v>7.13</v>
      </c>
      <c r="EA36" s="4">
        <v>7.19</v>
      </c>
      <c r="EB36" s="4">
        <v>7.35</v>
      </c>
      <c r="EC36" s="4">
        <v>0</v>
      </c>
      <c r="ED36" s="89">
        <v>0.7</v>
      </c>
      <c r="EE36" s="110">
        <v>41.7</v>
      </c>
      <c r="EF36" s="110">
        <v>43</v>
      </c>
      <c r="EG36" s="110">
        <v>42.3</v>
      </c>
      <c r="EH36" s="110">
        <v>28.1</v>
      </c>
      <c r="EI36" s="110">
        <v>1.3</v>
      </c>
      <c r="EJ36" s="110">
        <v>-5.4</v>
      </c>
      <c r="EK36" s="110">
        <v>-5.7</v>
      </c>
      <c r="EL36" s="110">
        <v>-5.5</v>
      </c>
      <c r="EM36" s="110">
        <v>132.1</v>
      </c>
      <c r="EN36" s="110">
        <v>0.2</v>
      </c>
      <c r="EO36" s="110">
        <v>4.5</v>
      </c>
      <c r="EP36" s="110">
        <v>12.8</v>
      </c>
      <c r="EQ36" s="110">
        <v>26.3</v>
      </c>
      <c r="ER36" s="110">
        <v>60.4</v>
      </c>
      <c r="ES36" s="114">
        <v>15</v>
      </c>
      <c r="GP36" s="83">
        <v>8.1199999999999992</v>
      </c>
      <c r="GQ36" s="4">
        <v>7.95</v>
      </c>
      <c r="GR36" s="4">
        <v>20.3</v>
      </c>
      <c r="GS36" s="4">
        <v>-0.9</v>
      </c>
      <c r="GT36" s="4">
        <v>0.7</v>
      </c>
      <c r="GU36" s="4">
        <v>0.69</v>
      </c>
      <c r="GV36" s="4">
        <v>4.4400000000000004</v>
      </c>
      <c r="GW36" s="4">
        <v>4.99</v>
      </c>
      <c r="GX36" s="4">
        <v>549</v>
      </c>
      <c r="GY36" s="4">
        <v>549</v>
      </c>
      <c r="GZ36" s="4">
        <v>663</v>
      </c>
      <c r="HA36" s="4">
        <v>594</v>
      </c>
      <c r="HB36" s="4">
        <v>644</v>
      </c>
      <c r="HC36" s="4">
        <v>610</v>
      </c>
      <c r="HD36" s="4">
        <v>538</v>
      </c>
      <c r="HE36" s="4">
        <v>0.81</v>
      </c>
      <c r="HF36" s="4">
        <v>-0.48</v>
      </c>
      <c r="HG36" s="4">
        <v>8.0500000000000007</v>
      </c>
      <c r="HH36" s="4">
        <v>8.0299999999999994</v>
      </c>
      <c r="HI36" s="4">
        <v>8.11</v>
      </c>
      <c r="HJ36" s="4">
        <v>8.35</v>
      </c>
      <c r="HK36" s="4">
        <v>8.68</v>
      </c>
      <c r="HL36" s="4">
        <v>8.84</v>
      </c>
      <c r="HM36" s="4">
        <v>0</v>
      </c>
      <c r="HN36" s="4">
        <v>1.2</v>
      </c>
      <c r="HO36" s="4">
        <v>6.66</v>
      </c>
      <c r="HP36" s="4">
        <v>6.59</v>
      </c>
      <c r="HQ36" s="4">
        <v>6.61</v>
      </c>
      <c r="HR36" s="4">
        <v>6.67</v>
      </c>
      <c r="HS36" s="4">
        <v>6.92</v>
      </c>
      <c r="HT36" s="4">
        <v>0</v>
      </c>
      <c r="HU36" s="4">
        <v>0</v>
      </c>
      <c r="HV36" s="93">
        <v>1.2</v>
      </c>
      <c r="HW36" s="110">
        <v>41.6</v>
      </c>
      <c r="HX36" s="110">
        <v>42.4</v>
      </c>
      <c r="HY36" s="110">
        <v>42</v>
      </c>
      <c r="HZ36" s="110">
        <v>20.3</v>
      </c>
      <c r="IA36" s="110">
        <v>0.9</v>
      </c>
      <c r="IB36" s="110">
        <v>-5.9</v>
      </c>
      <c r="IC36" s="110">
        <v>-6.1</v>
      </c>
      <c r="ID36" s="110">
        <v>-6</v>
      </c>
      <c r="IE36" s="110">
        <v>3.9</v>
      </c>
      <c r="IF36" s="110">
        <v>0.2</v>
      </c>
      <c r="IG36" s="110">
        <v>4</v>
      </c>
      <c r="IH36" s="110">
        <v>11.6</v>
      </c>
      <c r="II36" s="110">
        <v>24.8</v>
      </c>
      <c r="IJ36" s="110">
        <v>61.2</v>
      </c>
      <c r="IK36" s="121">
        <v>17</v>
      </c>
      <c r="IL36" s="83">
        <f t="shared" si="165"/>
        <v>8.1199999999999992</v>
      </c>
      <c r="IM36" s="4">
        <f t="shared" si="166"/>
        <v>7.95</v>
      </c>
      <c r="IN36" s="4">
        <f t="shared" si="167"/>
        <v>20.3</v>
      </c>
      <c r="IO36" s="4">
        <f t="shared" si="168"/>
        <v>-0.9</v>
      </c>
      <c r="IP36" s="4">
        <f t="shared" si="169"/>
        <v>0.7</v>
      </c>
      <c r="IQ36" s="4">
        <f t="shared" si="170"/>
        <v>0.69</v>
      </c>
      <c r="IR36" s="4">
        <f t="shared" si="171"/>
        <v>4.4400000000000004</v>
      </c>
      <c r="IS36" s="4">
        <f t="shared" si="172"/>
        <v>4.99</v>
      </c>
      <c r="IT36" s="4">
        <f t="shared" si="173"/>
        <v>549</v>
      </c>
      <c r="IU36" s="4">
        <f t="shared" si="174"/>
        <v>549</v>
      </c>
      <c r="IV36" s="4">
        <f t="shared" si="175"/>
        <v>663</v>
      </c>
      <c r="IW36" s="4">
        <f t="shared" si="176"/>
        <v>594</v>
      </c>
      <c r="IX36" s="4">
        <f t="shared" si="177"/>
        <v>644</v>
      </c>
      <c r="IY36" s="4">
        <f t="shared" si="178"/>
        <v>610</v>
      </c>
      <c r="IZ36" s="4">
        <f t="shared" si="179"/>
        <v>538</v>
      </c>
      <c r="JA36" s="4">
        <f t="shared" si="180"/>
        <v>0.81</v>
      </c>
      <c r="JB36" s="4">
        <f t="shared" si="181"/>
        <v>-0.48</v>
      </c>
      <c r="JC36" s="4">
        <f t="shared" si="182"/>
        <v>8.0500000000000007</v>
      </c>
      <c r="JD36" s="4">
        <f t="shared" si="183"/>
        <v>8.0299999999999994</v>
      </c>
      <c r="JE36" s="4">
        <f t="shared" si="184"/>
        <v>8.11</v>
      </c>
      <c r="JF36" s="4">
        <f t="shared" si="185"/>
        <v>8.35</v>
      </c>
      <c r="JG36" s="4">
        <f t="shared" si="186"/>
        <v>8.68</v>
      </c>
      <c r="JH36" s="4">
        <f t="shared" si="187"/>
        <v>8.84</v>
      </c>
      <c r="JI36" s="4">
        <f t="shared" si="188"/>
        <v>0</v>
      </c>
      <c r="JJ36" s="4">
        <f t="shared" si="189"/>
        <v>1.2</v>
      </c>
      <c r="JK36" s="4">
        <f t="shared" si="190"/>
        <v>6.66</v>
      </c>
      <c r="JL36" s="4">
        <f t="shared" si="191"/>
        <v>6.59</v>
      </c>
      <c r="JM36" s="4">
        <f t="shared" si="192"/>
        <v>6.61</v>
      </c>
      <c r="JN36" s="4">
        <f t="shared" si="193"/>
        <v>6.67</v>
      </c>
      <c r="JO36" s="4">
        <f t="shared" si="194"/>
        <v>6.92</v>
      </c>
      <c r="JP36" s="4">
        <f t="shared" si="195"/>
        <v>0</v>
      </c>
      <c r="JQ36" s="117">
        <f t="shared" si="196"/>
        <v>0</v>
      </c>
      <c r="JR36" s="110">
        <f t="shared" si="197"/>
        <v>1.2</v>
      </c>
      <c r="JS36" s="110">
        <f t="shared" si="198"/>
        <v>41.6</v>
      </c>
      <c r="JT36" s="110">
        <f t="shared" si="199"/>
        <v>42.4</v>
      </c>
      <c r="JU36" s="110">
        <f t="shared" si="200"/>
        <v>42</v>
      </c>
      <c r="JV36" s="110">
        <f t="shared" si="201"/>
        <v>20.3</v>
      </c>
      <c r="JW36" s="110">
        <f t="shared" si="202"/>
        <v>0.9</v>
      </c>
      <c r="JX36" s="110">
        <f t="shared" si="203"/>
        <v>-5.9</v>
      </c>
      <c r="JY36" s="110">
        <f t="shared" si="204"/>
        <v>-6.1</v>
      </c>
      <c r="JZ36" s="110">
        <f t="shared" si="205"/>
        <v>-6</v>
      </c>
      <c r="KA36" s="110">
        <f t="shared" si="206"/>
        <v>3.9</v>
      </c>
      <c r="KB36" s="110">
        <f t="shared" si="207"/>
        <v>0.2</v>
      </c>
      <c r="KC36" s="110">
        <f t="shared" si="208"/>
        <v>4</v>
      </c>
      <c r="KD36" s="110">
        <f t="shared" si="209"/>
        <v>11.6</v>
      </c>
      <c r="KE36" s="110">
        <f t="shared" si="210"/>
        <v>24.8</v>
      </c>
      <c r="KF36" s="110">
        <f t="shared" si="211"/>
        <v>61.2</v>
      </c>
      <c r="KG36" s="121">
        <f t="shared" si="212"/>
        <v>17</v>
      </c>
      <c r="KH36" s="83">
        <f t="shared" si="213"/>
        <v>1.9999999999999574E-2</v>
      </c>
      <c r="KI36" s="4">
        <f t="shared" si="214"/>
        <v>0.10000000000000053</v>
      </c>
      <c r="KJ36" s="4">
        <f t="shared" si="215"/>
        <v>-7.8000000000000007</v>
      </c>
      <c r="KK36" s="4">
        <f t="shared" si="216"/>
        <v>0.4</v>
      </c>
      <c r="KL36" s="4">
        <f t="shared" si="217"/>
        <v>0.13</v>
      </c>
      <c r="KM36" s="4">
        <f t="shared" si="218"/>
        <v>4.9999999999999933E-2</v>
      </c>
      <c r="KN36" s="4">
        <f t="shared" si="219"/>
        <v>1.4300000000000006</v>
      </c>
      <c r="KO36" s="4">
        <f t="shared" si="220"/>
        <v>1.3400000000000003</v>
      </c>
      <c r="KP36" s="4">
        <f t="shared" si="221"/>
        <v>-82</v>
      </c>
      <c r="KQ36" s="4">
        <f t="shared" si="222"/>
        <v>-88</v>
      </c>
      <c r="KR36" s="4">
        <f t="shared" si="223"/>
        <v>-7</v>
      </c>
      <c r="KS36" s="4">
        <f t="shared" si="224"/>
        <v>-40</v>
      </c>
      <c r="KT36" s="4">
        <f t="shared" si="225"/>
        <v>6</v>
      </c>
      <c r="KU36" s="4">
        <f t="shared" si="226"/>
        <v>-71</v>
      </c>
      <c r="KV36" s="4">
        <f t="shared" si="227"/>
        <v>-76</v>
      </c>
      <c r="KW36" s="4">
        <f t="shared" si="228"/>
        <v>1.52</v>
      </c>
      <c r="KX36" s="4">
        <f t="shared" si="229"/>
        <v>0.79</v>
      </c>
      <c r="KY36" s="4">
        <f t="shared" si="230"/>
        <v>8.0000000000000959E-2</v>
      </c>
      <c r="KZ36" s="4">
        <f t="shared" si="231"/>
        <v>3.9999999999999147E-2</v>
      </c>
      <c r="LA36" s="4">
        <f t="shared" si="232"/>
        <v>5.9999999999998721E-2</v>
      </c>
      <c r="LB36" s="4">
        <f t="shared" si="233"/>
        <v>9.9999999999999645E-2</v>
      </c>
      <c r="LC36" s="4">
        <f t="shared" si="234"/>
        <v>7.0000000000000284E-2</v>
      </c>
      <c r="LD36" s="4">
        <f t="shared" si="235"/>
        <v>3.9999999999999147E-2</v>
      </c>
      <c r="LE36" s="4">
        <f t="shared" si="236"/>
        <v>0</v>
      </c>
      <c r="LF36" s="4">
        <f t="shared" si="237"/>
        <v>0.5</v>
      </c>
      <c r="LG36" s="4">
        <f t="shared" si="238"/>
        <v>-0.57000000000000028</v>
      </c>
      <c r="LH36" s="4">
        <f t="shared" si="239"/>
        <v>-0.53000000000000025</v>
      </c>
      <c r="LI36" s="4">
        <f t="shared" si="240"/>
        <v>-0.44999999999999929</v>
      </c>
      <c r="LJ36" s="4">
        <f t="shared" si="241"/>
        <v>-0.45999999999999996</v>
      </c>
      <c r="LK36" s="4">
        <f t="shared" si="242"/>
        <v>-0.27000000000000046</v>
      </c>
      <c r="LL36" s="4">
        <f t="shared" si="243"/>
        <v>-7.35</v>
      </c>
      <c r="LM36" s="4">
        <f t="shared" si="244"/>
        <v>0</v>
      </c>
      <c r="LN36" s="4">
        <f t="shared" si="245"/>
        <v>0.5</v>
      </c>
      <c r="LO36" s="4">
        <f t="shared" si="246"/>
        <v>-0.10000000000000142</v>
      </c>
      <c r="LP36" s="4">
        <f t="shared" si="247"/>
        <v>-0.60000000000000142</v>
      </c>
      <c r="LQ36" s="4">
        <f t="shared" si="248"/>
        <v>-0.29999999999999716</v>
      </c>
      <c r="LR36" s="4">
        <f t="shared" si="249"/>
        <v>-7.8000000000000007</v>
      </c>
      <c r="LS36" s="4">
        <f t="shared" si="250"/>
        <v>-0.4</v>
      </c>
      <c r="LT36" s="4">
        <f t="shared" si="251"/>
        <v>-0.5</v>
      </c>
      <c r="LU36" s="4">
        <f t="shared" si="252"/>
        <v>-0.39999999999999947</v>
      </c>
      <c r="LV36" s="4">
        <f t="shared" si="253"/>
        <v>-0.5</v>
      </c>
      <c r="LW36" s="4">
        <f t="shared" si="254"/>
        <v>-128.19999999999999</v>
      </c>
      <c r="LX36" s="4">
        <f t="shared" si="255"/>
        <v>0</v>
      </c>
      <c r="LY36" s="4">
        <f t="shared" si="256"/>
        <v>-0.5</v>
      </c>
      <c r="LZ36" s="4">
        <f t="shared" si="257"/>
        <v>-1.2000000000000011</v>
      </c>
      <c r="MA36" s="4">
        <f t="shared" si="258"/>
        <v>-1.5</v>
      </c>
      <c r="MB36" s="4">
        <f t="shared" si="259"/>
        <v>0.80000000000000426</v>
      </c>
      <c r="MC36" s="4">
        <f t="shared" si="260"/>
        <v>2</v>
      </c>
      <c r="MD36" s="4" t="str">
        <f t="shared" si="261"/>
        <v/>
      </c>
      <c r="ME36" s="4" t="str">
        <f t="shared" si="262"/>
        <v/>
      </c>
      <c r="MF36" s="4" t="str">
        <f t="shared" si="263"/>
        <v/>
      </c>
      <c r="MG36" s="4">
        <f t="shared" si="264"/>
        <v>-6.1</v>
      </c>
    </row>
    <row r="37" spans="1:345" ht="26.25" customHeight="1" thickBot="1" x14ac:dyDescent="0.25">
      <c r="A37" s="35">
        <v>41192</v>
      </c>
      <c r="B37" s="36" t="s">
        <v>214</v>
      </c>
      <c r="C37" s="36" t="s">
        <v>8</v>
      </c>
      <c r="D37" s="31" t="s">
        <v>110</v>
      </c>
      <c r="E37" s="4">
        <v>58</v>
      </c>
      <c r="F37" s="3">
        <v>19771</v>
      </c>
      <c r="G37" s="4" t="s">
        <v>87</v>
      </c>
      <c r="H37" s="4" t="s">
        <v>112</v>
      </c>
      <c r="I37" s="4">
        <v>1835157</v>
      </c>
      <c r="J37" s="2" t="s">
        <v>309</v>
      </c>
      <c r="L37" s="51">
        <v>1</v>
      </c>
      <c r="N37" s="98" t="s">
        <v>648</v>
      </c>
      <c r="R37" s="4">
        <v>-2</v>
      </c>
      <c r="S37" s="4">
        <v>-1.79</v>
      </c>
      <c r="T37" s="4" t="s">
        <v>249</v>
      </c>
      <c r="U37" s="67">
        <v>18.75</v>
      </c>
      <c r="V37" s="124">
        <v>41074</v>
      </c>
      <c r="W37" s="67">
        <v>-0.25</v>
      </c>
      <c r="X37" s="67">
        <v>0.75</v>
      </c>
      <c r="Y37" s="4">
        <v>138</v>
      </c>
      <c r="Z37" s="4">
        <v>30</v>
      </c>
      <c r="AA37" s="4">
        <v>21</v>
      </c>
      <c r="AB37" s="4">
        <v>684</v>
      </c>
      <c r="AC37" s="4">
        <v>24.86</v>
      </c>
      <c r="AD37" s="4">
        <v>12.2</v>
      </c>
      <c r="AE37" s="4">
        <v>4.2300000000000004</v>
      </c>
      <c r="AF37" s="4">
        <v>3.59</v>
      </c>
      <c r="AG37" s="4">
        <v>42.51</v>
      </c>
      <c r="AH37" s="4">
        <v>86</v>
      </c>
      <c r="AI37" s="4">
        <v>42.72</v>
      </c>
      <c r="AJ37" s="4">
        <v>176</v>
      </c>
      <c r="AK37" s="4">
        <v>1</v>
      </c>
      <c r="AL37" s="4" t="b">
        <f t="shared" si="135"/>
        <v>1</v>
      </c>
      <c r="AN37" s="37">
        <v>41400</v>
      </c>
      <c r="AO37" s="59">
        <v>40</v>
      </c>
      <c r="AP37" s="67">
        <v>-0.75</v>
      </c>
      <c r="AQ37" s="67">
        <v>0.75</v>
      </c>
      <c r="AR37" s="4">
        <v>155</v>
      </c>
      <c r="AS37" s="4">
        <v>30</v>
      </c>
      <c r="AT37" s="4">
        <v>18</v>
      </c>
      <c r="AU37" s="4">
        <v>612</v>
      </c>
      <c r="AV37" s="4">
        <v>2169</v>
      </c>
      <c r="BC37" s="4">
        <f t="shared" si="136"/>
        <v>-0.375</v>
      </c>
      <c r="BD37" s="4">
        <f t="shared" si="133"/>
        <v>1.415</v>
      </c>
      <c r="BE37" s="4">
        <f t="shared" si="137"/>
        <v>-72</v>
      </c>
      <c r="BF37" s="3">
        <v>41554</v>
      </c>
      <c r="BG37" s="56">
        <v>40</v>
      </c>
      <c r="BH37" s="67">
        <v>-1</v>
      </c>
      <c r="BI37" s="67">
        <v>1</v>
      </c>
      <c r="BJ37" s="4">
        <v>135</v>
      </c>
      <c r="BK37" s="4">
        <v>30</v>
      </c>
      <c r="BL37" s="4">
        <v>16</v>
      </c>
      <c r="BM37" s="4">
        <v>606</v>
      </c>
      <c r="BN37" s="4" t="s">
        <v>282</v>
      </c>
      <c r="BO37" s="4" t="s">
        <v>282</v>
      </c>
      <c r="BP37" s="4" t="s">
        <v>282</v>
      </c>
      <c r="BQ37" s="4" t="s">
        <v>282</v>
      </c>
      <c r="BR37" s="4" t="s">
        <v>282</v>
      </c>
      <c r="BS37" s="4" t="s">
        <v>282</v>
      </c>
      <c r="BT37" s="4" t="s">
        <v>282</v>
      </c>
      <c r="BU37" s="4">
        <f t="shared" si="134"/>
        <v>-0.5</v>
      </c>
      <c r="BV37" s="4">
        <f t="shared" si="138"/>
        <v>1.29</v>
      </c>
      <c r="BW37" s="4">
        <f t="shared" si="139"/>
        <v>-78</v>
      </c>
      <c r="BX37" s="4">
        <f t="shared" si="140"/>
        <v>1</v>
      </c>
      <c r="BY37" s="4">
        <f t="shared" si="141"/>
        <v>1</v>
      </c>
      <c r="BZ37" s="4">
        <f t="shared" si="142"/>
        <v>0.125</v>
      </c>
      <c r="CA37" s="4">
        <f t="shared" si="143"/>
        <v>-0.375</v>
      </c>
      <c r="CB37" s="4">
        <f t="shared" si="144"/>
        <v>-0.5</v>
      </c>
      <c r="CC37" s="53">
        <f t="shared" si="145"/>
        <v>362</v>
      </c>
      <c r="CD37" s="55">
        <f t="shared" si="146"/>
        <v>12.066666666666666</v>
      </c>
      <c r="CE37" s="4">
        <f t="shared" si="147"/>
        <v>-0.125</v>
      </c>
      <c r="CF37" s="4" t="str">
        <f t="shared" si="148"/>
        <v/>
      </c>
      <c r="CG37" s="4" t="str">
        <f t="shared" si="149"/>
        <v/>
      </c>
      <c r="CH37" s="4" t="str">
        <f t="shared" si="150"/>
        <v/>
      </c>
      <c r="CI37" s="4">
        <f t="shared" si="151"/>
        <v>0.125</v>
      </c>
      <c r="CJ37" s="4">
        <f t="shared" si="152"/>
        <v>-0.5</v>
      </c>
      <c r="CK37" s="93">
        <f t="shared" si="153"/>
        <v>1.29</v>
      </c>
      <c r="CL37" s="83">
        <f t="shared" si="154"/>
        <v>-78</v>
      </c>
      <c r="CM37" s="4" t="str">
        <f t="shared" si="155"/>
        <v/>
      </c>
      <c r="CN37" s="96">
        <f t="shared" si="156"/>
        <v>-1.79</v>
      </c>
      <c r="CO37" s="96">
        <f t="shared" si="265"/>
        <v>0</v>
      </c>
      <c r="CP37" s="127">
        <f t="shared" si="157"/>
        <v>1</v>
      </c>
      <c r="CQ37" s="127">
        <f t="shared" si="158"/>
        <v>0.25</v>
      </c>
      <c r="CR37" s="136">
        <f t="shared" si="159"/>
        <v>30</v>
      </c>
      <c r="CS37" s="136">
        <f t="shared" si="160"/>
        <v>30</v>
      </c>
      <c r="CT37" s="135" t="str">
        <f t="shared" si="161"/>
        <v/>
      </c>
      <c r="CU37" s="139">
        <f t="shared" si="162"/>
        <v>0</v>
      </c>
      <c r="CV37" s="96">
        <f t="shared" si="163"/>
        <v>0</v>
      </c>
      <c r="CW37" s="141" t="b">
        <f t="shared" si="164"/>
        <v>0</v>
      </c>
      <c r="CX37">
        <v>8.18</v>
      </c>
      <c r="CY37" s="4">
        <v>8.0299999999999994</v>
      </c>
      <c r="CZ37" s="4">
        <v>41.6</v>
      </c>
      <c r="DA37" s="4">
        <v>-0.8</v>
      </c>
      <c r="DB37" s="4">
        <v>0.1</v>
      </c>
      <c r="DC37" s="4">
        <v>0.37</v>
      </c>
      <c r="DD37" s="4">
        <v>2.75</v>
      </c>
      <c r="DE37" s="4">
        <v>3.48</v>
      </c>
      <c r="DF37" s="4">
        <v>728</v>
      </c>
      <c r="DG37" s="4">
        <v>730</v>
      </c>
      <c r="DH37" s="4">
        <v>733</v>
      </c>
      <c r="DI37" s="4">
        <v>753</v>
      </c>
      <c r="DJ37" s="4">
        <v>735</v>
      </c>
      <c r="DK37" s="4">
        <v>751</v>
      </c>
      <c r="DL37" s="4">
        <v>701</v>
      </c>
      <c r="DM37" s="4">
        <v>-0.51</v>
      </c>
      <c r="DN37" s="4">
        <v>1.59</v>
      </c>
      <c r="DO37" s="4">
        <v>8.1199999999999992</v>
      </c>
      <c r="DP37" s="4">
        <v>8.1</v>
      </c>
      <c r="DQ37" s="4">
        <v>8.07</v>
      </c>
      <c r="DR37" s="4">
        <v>8.15</v>
      </c>
      <c r="DS37" s="4">
        <v>8.52</v>
      </c>
      <c r="DT37" s="4">
        <v>8.94</v>
      </c>
      <c r="DU37" s="4">
        <v>0</v>
      </c>
      <c r="DV37" s="4">
        <v>0.4</v>
      </c>
      <c r="DW37" s="4">
        <v>7.65</v>
      </c>
      <c r="DX37" s="4">
        <v>7.14</v>
      </c>
      <c r="DY37" s="4">
        <v>6.9</v>
      </c>
      <c r="DZ37" s="4">
        <v>7.07</v>
      </c>
      <c r="EA37" s="4">
        <v>7.45</v>
      </c>
      <c r="EB37" s="4">
        <v>7.48</v>
      </c>
      <c r="EC37" s="4">
        <v>0</v>
      </c>
      <c r="ED37" s="89">
        <v>0.4</v>
      </c>
      <c r="EE37" s="110">
        <v>41.2</v>
      </c>
      <c r="EF37" s="110">
        <v>42</v>
      </c>
      <c r="EG37" s="110">
        <v>41.6</v>
      </c>
      <c r="EH37" s="110">
        <v>41.6</v>
      </c>
      <c r="EI37" s="110">
        <v>0.8</v>
      </c>
      <c r="EJ37" s="110">
        <v>-5.2</v>
      </c>
      <c r="EK37" s="110">
        <v>-5.6</v>
      </c>
      <c r="EL37" s="110">
        <v>-5.4</v>
      </c>
      <c r="EM37" s="110">
        <v>56.5</v>
      </c>
      <c r="EN37" s="110">
        <v>0.4</v>
      </c>
      <c r="EO37" s="110">
        <v>5.0999999999999996</v>
      </c>
      <c r="EP37" s="110">
        <v>14.6</v>
      </c>
      <c r="EQ37" s="110">
        <v>30.1</v>
      </c>
      <c r="ER37" s="110">
        <v>68.400000000000006</v>
      </c>
      <c r="ES37" s="114">
        <v>17</v>
      </c>
      <c r="ET37" s="83">
        <v>8</v>
      </c>
      <c r="EU37" s="4">
        <v>8.11</v>
      </c>
      <c r="EV37" s="4">
        <v>65</v>
      </c>
      <c r="EW37" s="4">
        <v>0.5</v>
      </c>
      <c r="EX37" s="4">
        <v>0.37</v>
      </c>
      <c r="EY37" s="4">
        <v>0.41</v>
      </c>
      <c r="EZ37" s="4">
        <v>-0.64</v>
      </c>
      <c r="FA37" s="4">
        <v>-0.05</v>
      </c>
      <c r="FB37" s="4">
        <v>595</v>
      </c>
      <c r="FC37" s="4">
        <v>599</v>
      </c>
      <c r="FD37" s="4">
        <v>735</v>
      </c>
      <c r="FE37" s="4">
        <v>695</v>
      </c>
      <c r="FF37" s="4">
        <v>726</v>
      </c>
      <c r="FG37" s="4">
        <v>665</v>
      </c>
      <c r="FH37" s="4">
        <v>586</v>
      </c>
      <c r="FI37" s="4">
        <v>0.71</v>
      </c>
      <c r="FJ37" s="4">
        <v>-0.65</v>
      </c>
      <c r="FK37" s="4">
        <v>8.08</v>
      </c>
      <c r="FL37" s="4">
        <v>8.0500000000000007</v>
      </c>
      <c r="FM37" s="4">
        <v>8.06</v>
      </c>
      <c r="FN37" s="4">
        <v>8.17</v>
      </c>
      <c r="FO37" s="4">
        <v>8.42</v>
      </c>
      <c r="FP37" s="4">
        <v>8.7100000000000009</v>
      </c>
      <c r="FQ37" s="4">
        <v>0</v>
      </c>
      <c r="FR37" s="4">
        <v>1.6</v>
      </c>
      <c r="FS37" s="4">
        <v>6.29</v>
      </c>
      <c r="FT37" s="4">
        <v>6.25</v>
      </c>
      <c r="FU37" s="4">
        <v>6.51</v>
      </c>
      <c r="FV37" s="4">
        <v>7.06</v>
      </c>
      <c r="FW37" s="4">
        <v>7.24</v>
      </c>
      <c r="FX37" s="4">
        <v>0</v>
      </c>
      <c r="FY37" s="4">
        <v>0</v>
      </c>
      <c r="FZ37" s="86">
        <v>1.6</v>
      </c>
      <c r="GA37" s="110">
        <v>41.6</v>
      </c>
      <c r="GB37" s="110">
        <v>42.2</v>
      </c>
      <c r="GC37" s="110">
        <v>41.9</v>
      </c>
      <c r="GD37" s="110">
        <v>65</v>
      </c>
      <c r="GE37" s="110">
        <v>0.5</v>
      </c>
      <c r="GF37" s="110">
        <v>-6.1</v>
      </c>
      <c r="GG37" s="110">
        <v>-6.7</v>
      </c>
      <c r="GH37" s="110">
        <v>-6.4</v>
      </c>
      <c r="GI37" s="110">
        <v>162.9</v>
      </c>
      <c r="GJ37" s="110">
        <v>0.5</v>
      </c>
      <c r="GK37" s="110">
        <v>4.3</v>
      </c>
      <c r="GL37" s="110">
        <v>12.8</v>
      </c>
      <c r="GM37" s="110">
        <v>27.6</v>
      </c>
      <c r="GN37" s="110">
        <v>65.599999999999994</v>
      </c>
      <c r="GO37" s="119">
        <v>13</v>
      </c>
      <c r="GP37" s="83">
        <v>8.0299999999999994</v>
      </c>
      <c r="GQ37" s="4">
        <v>8.1199999999999992</v>
      </c>
      <c r="GR37" s="4">
        <v>59.6</v>
      </c>
      <c r="GS37" s="4">
        <v>0.5</v>
      </c>
      <c r="GT37" s="4">
        <v>0.37</v>
      </c>
      <c r="GU37" s="4">
        <v>0.42</v>
      </c>
      <c r="GV37" s="4">
        <v>4</v>
      </c>
      <c r="GW37" s="4">
        <v>4.6100000000000003</v>
      </c>
      <c r="GX37" s="4">
        <v>605</v>
      </c>
      <c r="GY37" s="4">
        <v>609</v>
      </c>
      <c r="GZ37" s="4">
        <v>742</v>
      </c>
      <c r="HA37" s="4">
        <v>701</v>
      </c>
      <c r="HB37" s="4">
        <v>725</v>
      </c>
      <c r="HC37" s="4">
        <v>666</v>
      </c>
      <c r="HD37" s="4">
        <v>595</v>
      </c>
      <c r="HE37" s="4">
        <v>0.68</v>
      </c>
      <c r="HF37" s="4">
        <v>-0.61</v>
      </c>
      <c r="HG37" s="4">
        <v>8.08</v>
      </c>
      <c r="HH37" s="4">
        <v>8.06</v>
      </c>
      <c r="HI37" s="4">
        <v>8.07</v>
      </c>
      <c r="HJ37" s="4">
        <v>8.17</v>
      </c>
      <c r="HK37" s="4">
        <v>8.4499999999999993</v>
      </c>
      <c r="HL37" s="4">
        <v>8.83</v>
      </c>
      <c r="HM37" s="4">
        <v>0</v>
      </c>
      <c r="HN37" s="4">
        <v>1.5</v>
      </c>
      <c r="HO37" s="4">
        <v>6.34</v>
      </c>
      <c r="HP37" s="4">
        <v>6.33</v>
      </c>
      <c r="HQ37" s="4">
        <v>6.53</v>
      </c>
      <c r="HR37" s="4">
        <v>7.05</v>
      </c>
      <c r="HS37" s="4">
        <v>7.36</v>
      </c>
      <c r="HT37" s="4">
        <v>0</v>
      </c>
      <c r="HU37" s="4">
        <v>0</v>
      </c>
      <c r="HV37" s="93">
        <v>1.5</v>
      </c>
      <c r="HW37" s="110">
        <v>41.6</v>
      </c>
      <c r="HX37" s="110">
        <v>42</v>
      </c>
      <c r="HY37" s="110">
        <v>41.8</v>
      </c>
      <c r="HZ37" s="110">
        <v>59.6</v>
      </c>
      <c r="IA37" s="110">
        <v>0.5</v>
      </c>
      <c r="IB37" s="110">
        <v>-6.1</v>
      </c>
      <c r="IC37" s="110">
        <v>-6.5</v>
      </c>
      <c r="ID37" s="110">
        <v>-6.3</v>
      </c>
      <c r="IE37" s="110">
        <v>165.7</v>
      </c>
      <c r="IF37" s="110">
        <v>0.4</v>
      </c>
      <c r="IG37" s="110">
        <v>4.4000000000000004</v>
      </c>
      <c r="IH37" s="110">
        <v>12.9</v>
      </c>
      <c r="II37" s="110">
        <v>27.7</v>
      </c>
      <c r="IJ37" s="110">
        <v>65.8</v>
      </c>
      <c r="IK37" s="121">
        <v>14</v>
      </c>
      <c r="IL37" s="83">
        <f t="shared" si="165"/>
        <v>8.0299999999999994</v>
      </c>
      <c r="IM37" s="4">
        <f t="shared" si="166"/>
        <v>8.1199999999999992</v>
      </c>
      <c r="IN37" s="4">
        <f t="shared" si="167"/>
        <v>59.6</v>
      </c>
      <c r="IO37" s="4">
        <f t="shared" si="168"/>
        <v>0.5</v>
      </c>
      <c r="IP37" s="4">
        <f t="shared" si="169"/>
        <v>0.37</v>
      </c>
      <c r="IQ37" s="4">
        <f t="shared" si="170"/>
        <v>0.42</v>
      </c>
      <c r="IR37" s="4">
        <f t="shared" si="171"/>
        <v>4</v>
      </c>
      <c r="IS37" s="4">
        <f t="shared" si="172"/>
        <v>4.6100000000000003</v>
      </c>
      <c r="IT37" s="4">
        <f t="shared" si="173"/>
        <v>605</v>
      </c>
      <c r="IU37" s="4">
        <f t="shared" si="174"/>
        <v>609</v>
      </c>
      <c r="IV37" s="4">
        <f t="shared" si="175"/>
        <v>742</v>
      </c>
      <c r="IW37" s="4">
        <f t="shared" si="176"/>
        <v>701</v>
      </c>
      <c r="IX37" s="4">
        <f t="shared" si="177"/>
        <v>725</v>
      </c>
      <c r="IY37" s="4">
        <f t="shared" si="178"/>
        <v>666</v>
      </c>
      <c r="IZ37" s="4">
        <f t="shared" si="179"/>
        <v>595</v>
      </c>
      <c r="JA37" s="4">
        <f t="shared" si="180"/>
        <v>0.68</v>
      </c>
      <c r="JB37" s="4">
        <f t="shared" si="181"/>
        <v>-0.61</v>
      </c>
      <c r="JC37" s="4">
        <f t="shared" si="182"/>
        <v>8.08</v>
      </c>
      <c r="JD37" s="4">
        <f t="shared" si="183"/>
        <v>8.06</v>
      </c>
      <c r="JE37" s="4">
        <f t="shared" si="184"/>
        <v>8.07</v>
      </c>
      <c r="JF37" s="4">
        <f t="shared" si="185"/>
        <v>8.17</v>
      </c>
      <c r="JG37" s="4">
        <f t="shared" si="186"/>
        <v>8.4499999999999993</v>
      </c>
      <c r="JH37" s="4">
        <f t="shared" si="187"/>
        <v>8.83</v>
      </c>
      <c r="JI37" s="4">
        <f t="shared" si="188"/>
        <v>0</v>
      </c>
      <c r="JJ37" s="4">
        <f t="shared" si="189"/>
        <v>1.5</v>
      </c>
      <c r="JK37" s="4">
        <f t="shared" si="190"/>
        <v>6.34</v>
      </c>
      <c r="JL37" s="4">
        <f t="shared" si="191"/>
        <v>6.33</v>
      </c>
      <c r="JM37" s="4">
        <f t="shared" si="192"/>
        <v>6.53</v>
      </c>
      <c r="JN37" s="4">
        <f t="shared" si="193"/>
        <v>7.05</v>
      </c>
      <c r="JO37" s="4">
        <f t="shared" si="194"/>
        <v>7.36</v>
      </c>
      <c r="JP37" s="4">
        <f t="shared" si="195"/>
        <v>0</v>
      </c>
      <c r="JQ37" s="117">
        <f t="shared" si="196"/>
        <v>0</v>
      </c>
      <c r="JR37" s="110">
        <f t="shared" si="197"/>
        <v>1.5</v>
      </c>
      <c r="JS37" s="110">
        <f t="shared" si="198"/>
        <v>41.6</v>
      </c>
      <c r="JT37" s="110">
        <f t="shared" si="199"/>
        <v>42</v>
      </c>
      <c r="JU37" s="110">
        <f t="shared" si="200"/>
        <v>41.8</v>
      </c>
      <c r="JV37" s="110">
        <f t="shared" si="201"/>
        <v>59.6</v>
      </c>
      <c r="JW37" s="110">
        <f t="shared" si="202"/>
        <v>0.5</v>
      </c>
      <c r="JX37" s="110">
        <f t="shared" si="203"/>
        <v>-6.1</v>
      </c>
      <c r="JY37" s="110">
        <f t="shared" si="204"/>
        <v>-6.5</v>
      </c>
      <c r="JZ37" s="110">
        <f t="shared" si="205"/>
        <v>-6.3</v>
      </c>
      <c r="KA37" s="110">
        <f t="shared" si="206"/>
        <v>165.7</v>
      </c>
      <c r="KB37" s="110">
        <f t="shared" si="207"/>
        <v>0.4</v>
      </c>
      <c r="KC37" s="110">
        <f t="shared" si="208"/>
        <v>4.4000000000000004</v>
      </c>
      <c r="KD37" s="110">
        <f t="shared" si="209"/>
        <v>12.9</v>
      </c>
      <c r="KE37" s="110">
        <f t="shared" si="210"/>
        <v>27.7</v>
      </c>
      <c r="KF37" s="110">
        <f t="shared" si="211"/>
        <v>65.8</v>
      </c>
      <c r="KG37" s="121">
        <f t="shared" si="212"/>
        <v>14</v>
      </c>
      <c r="KH37" s="83">
        <f t="shared" si="213"/>
        <v>-0.15000000000000036</v>
      </c>
      <c r="KI37" s="4">
        <f t="shared" si="214"/>
        <v>8.9999999999999858E-2</v>
      </c>
      <c r="KJ37" s="4">
        <f t="shared" si="215"/>
        <v>18</v>
      </c>
      <c r="KK37" s="4">
        <f t="shared" si="216"/>
        <v>1.3</v>
      </c>
      <c r="KL37" s="4">
        <f t="shared" si="217"/>
        <v>0.27</v>
      </c>
      <c r="KM37" s="4">
        <f t="shared" si="218"/>
        <v>4.9999999999999989E-2</v>
      </c>
      <c r="KN37" s="4">
        <f t="shared" si="219"/>
        <v>1.25</v>
      </c>
      <c r="KO37" s="4">
        <f t="shared" si="220"/>
        <v>1.1300000000000003</v>
      </c>
      <c r="KP37" s="4">
        <f t="shared" si="221"/>
        <v>-123</v>
      </c>
      <c r="KQ37" s="4">
        <f t="shared" si="222"/>
        <v>-121</v>
      </c>
      <c r="KR37" s="4">
        <f t="shared" si="223"/>
        <v>9</v>
      </c>
      <c r="KS37" s="4">
        <f t="shared" si="224"/>
        <v>-52</v>
      </c>
      <c r="KT37" s="4">
        <f t="shared" si="225"/>
        <v>-10</v>
      </c>
      <c r="KU37" s="4">
        <f t="shared" si="226"/>
        <v>-85</v>
      </c>
      <c r="KV37" s="4">
        <f t="shared" si="227"/>
        <v>-106</v>
      </c>
      <c r="KW37" s="4">
        <f t="shared" si="228"/>
        <v>1.19</v>
      </c>
      <c r="KX37" s="4">
        <f t="shared" si="229"/>
        <v>-2.2000000000000002</v>
      </c>
      <c r="KY37" s="4">
        <f t="shared" si="230"/>
        <v>-3.9999999999999147E-2</v>
      </c>
      <c r="KZ37" s="4">
        <f t="shared" si="231"/>
        <v>-3.9999999999999147E-2</v>
      </c>
      <c r="LA37" s="4">
        <f t="shared" si="232"/>
        <v>0</v>
      </c>
      <c r="LB37" s="4">
        <f t="shared" si="233"/>
        <v>1.9999999999999574E-2</v>
      </c>
      <c r="LC37" s="4">
        <f t="shared" si="234"/>
        <v>-7.0000000000000284E-2</v>
      </c>
      <c r="LD37" s="4">
        <f t="shared" si="235"/>
        <v>-0.10999999999999943</v>
      </c>
      <c r="LE37" s="4">
        <f t="shared" si="236"/>
        <v>0</v>
      </c>
      <c r="LF37" s="4">
        <f t="shared" si="237"/>
        <v>1.1000000000000001</v>
      </c>
      <c r="LG37" s="4">
        <f t="shared" si="238"/>
        <v>-1.3100000000000005</v>
      </c>
      <c r="LH37" s="4">
        <f t="shared" si="239"/>
        <v>-0.80999999999999961</v>
      </c>
      <c r="LI37" s="4">
        <f t="shared" si="240"/>
        <v>-0.37000000000000011</v>
      </c>
      <c r="LJ37" s="4">
        <f t="shared" si="241"/>
        <v>-2.0000000000000462E-2</v>
      </c>
      <c r="LK37" s="4">
        <f t="shared" si="242"/>
        <v>-8.9999999999999858E-2</v>
      </c>
      <c r="LL37" s="4">
        <f t="shared" si="243"/>
        <v>-7.48</v>
      </c>
      <c r="LM37" s="4">
        <f t="shared" si="244"/>
        <v>0</v>
      </c>
      <c r="LN37" s="4">
        <f t="shared" si="245"/>
        <v>1.1000000000000001</v>
      </c>
      <c r="LO37" s="4">
        <f t="shared" si="246"/>
        <v>0.39999999999999858</v>
      </c>
      <c r="LP37" s="4">
        <f t="shared" si="247"/>
        <v>0</v>
      </c>
      <c r="LQ37" s="4">
        <f t="shared" si="248"/>
        <v>0.19999999999999574</v>
      </c>
      <c r="LR37" s="4">
        <f t="shared" si="249"/>
        <v>18</v>
      </c>
      <c r="LS37" s="4">
        <f t="shared" si="250"/>
        <v>-0.30000000000000004</v>
      </c>
      <c r="LT37" s="4">
        <f t="shared" si="251"/>
        <v>-0.89999999999999947</v>
      </c>
      <c r="LU37" s="4">
        <f t="shared" si="252"/>
        <v>-0.90000000000000036</v>
      </c>
      <c r="LV37" s="4">
        <f t="shared" si="253"/>
        <v>-0.89999999999999947</v>
      </c>
      <c r="LW37" s="4">
        <f t="shared" si="254"/>
        <v>109.19999999999999</v>
      </c>
      <c r="LX37" s="4">
        <f t="shared" si="255"/>
        <v>0</v>
      </c>
      <c r="LY37" s="4">
        <f t="shared" si="256"/>
        <v>-0.69999999999999929</v>
      </c>
      <c r="LZ37" s="4">
        <f t="shared" si="257"/>
        <v>-1.6999999999999993</v>
      </c>
      <c r="MA37" s="4">
        <f t="shared" si="258"/>
        <v>-2.4000000000000021</v>
      </c>
      <c r="MB37" s="4">
        <f t="shared" si="259"/>
        <v>-2.6000000000000085</v>
      </c>
      <c r="MC37" s="4">
        <f t="shared" si="260"/>
        <v>-3</v>
      </c>
      <c r="MD37" s="4">
        <f t="shared" si="261"/>
        <v>0</v>
      </c>
      <c r="ME37" s="4">
        <f t="shared" si="262"/>
        <v>-0.20000000000000284</v>
      </c>
      <c r="MF37" s="4">
        <f t="shared" si="263"/>
        <v>0</v>
      </c>
      <c r="MG37" s="4">
        <f t="shared" si="264"/>
        <v>0.20000000000000018</v>
      </c>
    </row>
    <row r="38" spans="1:345" ht="26.25" customHeight="1" thickBot="1" x14ac:dyDescent="0.25">
      <c r="A38" s="35">
        <v>41178</v>
      </c>
      <c r="B38" s="36" t="s">
        <v>163</v>
      </c>
      <c r="C38" s="36" t="s">
        <v>241</v>
      </c>
      <c r="D38" s="31" t="s">
        <v>111</v>
      </c>
      <c r="E38" s="4">
        <v>65</v>
      </c>
      <c r="F38" s="3">
        <v>17149</v>
      </c>
      <c r="G38" s="4" t="s">
        <v>87</v>
      </c>
      <c r="H38" s="4" t="s">
        <v>108</v>
      </c>
      <c r="I38" s="4">
        <v>1835189</v>
      </c>
      <c r="J38" s="2" t="s">
        <v>309</v>
      </c>
      <c r="K38" s="235"/>
      <c r="L38" s="236">
        <v>1</v>
      </c>
      <c r="M38" s="236"/>
      <c r="N38" s="98" t="s">
        <v>649</v>
      </c>
      <c r="O38" s="235"/>
      <c r="P38" s="236"/>
      <c r="Q38" s="236"/>
      <c r="R38" s="33">
        <v>-0.5</v>
      </c>
      <c r="S38" s="33">
        <v>-0.5</v>
      </c>
      <c r="T38" s="4" t="s">
        <v>249</v>
      </c>
      <c r="U38" s="67">
        <v>22.5</v>
      </c>
      <c r="V38" s="124">
        <v>41157</v>
      </c>
      <c r="W38" s="67">
        <v>0</v>
      </c>
      <c r="X38" s="67">
        <v>0</v>
      </c>
      <c r="Y38" s="4">
        <v>0</v>
      </c>
      <c r="Z38" s="4">
        <v>30</v>
      </c>
      <c r="AA38" s="4">
        <v>14</v>
      </c>
      <c r="AB38" s="4">
        <v>639</v>
      </c>
      <c r="AC38" s="4">
        <v>23.38</v>
      </c>
      <c r="AD38" s="4">
        <v>11.7</v>
      </c>
      <c r="AE38" s="4">
        <v>4.6399999999999997</v>
      </c>
      <c r="AF38" s="4">
        <v>2.5299999999999998</v>
      </c>
      <c r="AG38" s="4">
        <v>43.21</v>
      </c>
      <c r="AH38" s="4">
        <v>158</v>
      </c>
      <c r="AI38" s="4">
        <v>44.29</v>
      </c>
      <c r="AJ38" s="4">
        <v>68</v>
      </c>
      <c r="AK38" s="4">
        <v>0</v>
      </c>
      <c r="AL38" s="4" t="b">
        <f t="shared" si="135"/>
        <v>0</v>
      </c>
      <c r="AN38" s="32">
        <v>41302</v>
      </c>
      <c r="AO38" s="60">
        <v>30</v>
      </c>
      <c r="AP38" s="67">
        <v>1</v>
      </c>
      <c r="AQ38" s="67">
        <v>0.75</v>
      </c>
      <c r="AR38" s="4">
        <v>75</v>
      </c>
      <c r="AS38" s="4">
        <v>20</v>
      </c>
      <c r="AT38" s="4">
        <v>17</v>
      </c>
      <c r="AU38" s="4">
        <v>501</v>
      </c>
      <c r="AV38" s="4">
        <v>1804</v>
      </c>
      <c r="BC38" s="4">
        <f t="shared" si="136"/>
        <v>1.375</v>
      </c>
      <c r="BD38" s="4">
        <f t="shared" si="133"/>
        <v>1.875</v>
      </c>
      <c r="BE38" s="4">
        <f t="shared" si="137"/>
        <v>-138</v>
      </c>
      <c r="BF38" s="3">
        <v>41575</v>
      </c>
      <c r="BH38" s="67">
        <v>0.75</v>
      </c>
      <c r="BI38" s="67">
        <v>0.75</v>
      </c>
      <c r="BJ38" s="4">
        <v>64</v>
      </c>
      <c r="BK38" s="4">
        <v>20</v>
      </c>
      <c r="BL38" s="4">
        <v>13</v>
      </c>
      <c r="BM38" s="4">
        <v>515</v>
      </c>
      <c r="BO38" s="4">
        <v>23.39</v>
      </c>
      <c r="BP38" s="4" t="s">
        <v>282</v>
      </c>
      <c r="BQ38" s="4">
        <v>41.67</v>
      </c>
      <c r="BR38" s="4">
        <v>142</v>
      </c>
      <c r="BS38" s="4">
        <v>42.56</v>
      </c>
      <c r="BT38" s="4">
        <v>52</v>
      </c>
      <c r="BU38" s="4">
        <f t="shared" si="134"/>
        <v>1.125</v>
      </c>
      <c r="BV38" s="4">
        <f t="shared" si="138"/>
        <v>1.625</v>
      </c>
      <c r="BW38" s="4">
        <f t="shared" si="139"/>
        <v>-124</v>
      </c>
      <c r="BX38" s="4">
        <f t="shared" si="140"/>
        <v>1</v>
      </c>
      <c r="BY38" s="4">
        <f t="shared" si="141"/>
        <v>1</v>
      </c>
      <c r="BZ38" s="4">
        <f t="shared" si="142"/>
        <v>0</v>
      </c>
      <c r="CA38" s="4">
        <f t="shared" si="143"/>
        <v>1.375</v>
      </c>
      <c r="CB38" s="4">
        <f t="shared" si="144"/>
        <v>1.125</v>
      </c>
      <c r="CC38" s="53">
        <f t="shared" si="145"/>
        <v>397</v>
      </c>
      <c r="CD38" s="55">
        <f t="shared" si="146"/>
        <v>13.233333333333333</v>
      </c>
      <c r="CE38" s="4">
        <f t="shared" si="147"/>
        <v>-0.25</v>
      </c>
      <c r="CF38" s="4" t="str">
        <f t="shared" si="148"/>
        <v/>
      </c>
      <c r="CG38" s="4">
        <f t="shared" si="149"/>
        <v>-1.634999999999998</v>
      </c>
      <c r="CH38" s="4">
        <f t="shared" si="150"/>
        <v>-1.634999999999998</v>
      </c>
      <c r="CI38" s="4">
        <f t="shared" si="151"/>
        <v>0</v>
      </c>
      <c r="CJ38" s="4">
        <f t="shared" si="152"/>
        <v>1.125</v>
      </c>
      <c r="CK38" s="93">
        <f t="shared" si="153"/>
        <v>1.625</v>
      </c>
      <c r="CL38" s="83">
        <f t="shared" si="154"/>
        <v>-124</v>
      </c>
      <c r="CM38" s="4">
        <f t="shared" si="155"/>
        <v>1.0000000000001563E-2</v>
      </c>
      <c r="CN38" s="96">
        <f t="shared" si="156"/>
        <v>-0.5</v>
      </c>
      <c r="CO38" s="96">
        <f t="shared" si="265"/>
        <v>0.17609125905568127</v>
      </c>
      <c r="CP38" s="127">
        <f t="shared" si="157"/>
        <v>0.75</v>
      </c>
      <c r="CQ38" s="127">
        <f t="shared" si="158"/>
        <v>0.75</v>
      </c>
      <c r="CR38" s="136">
        <f t="shared" si="159"/>
        <v>20</v>
      </c>
      <c r="CS38" s="136">
        <f t="shared" si="160"/>
        <v>30</v>
      </c>
      <c r="CT38" s="135">
        <f t="shared" si="161"/>
        <v>30</v>
      </c>
      <c r="CU38" s="139">
        <f t="shared" si="162"/>
        <v>0</v>
      </c>
      <c r="CV38" s="96">
        <f t="shared" si="163"/>
        <v>0</v>
      </c>
      <c r="CW38" s="141" t="b">
        <f t="shared" si="164"/>
        <v>0</v>
      </c>
      <c r="CX38">
        <v>8.0399999999999991</v>
      </c>
      <c r="CY38" s="4">
        <v>7.86</v>
      </c>
      <c r="CZ38" s="4">
        <v>173.3</v>
      </c>
      <c r="DA38" s="4">
        <v>-1</v>
      </c>
      <c r="DB38" s="4">
        <v>0.42</v>
      </c>
      <c r="DC38" s="4">
        <v>0.49</v>
      </c>
      <c r="DD38" s="4">
        <v>2.2000000000000002</v>
      </c>
      <c r="DE38" s="4">
        <v>2.85</v>
      </c>
      <c r="DF38" s="4">
        <v>644</v>
      </c>
      <c r="DG38" s="4">
        <v>654</v>
      </c>
      <c r="DH38" s="4">
        <v>670</v>
      </c>
      <c r="DI38" s="4">
        <v>631</v>
      </c>
      <c r="DJ38" s="4">
        <v>639</v>
      </c>
      <c r="DK38" s="4">
        <v>665</v>
      </c>
      <c r="DL38" s="4">
        <v>616</v>
      </c>
      <c r="DM38" s="4">
        <v>1.51</v>
      </c>
      <c r="DN38" s="4">
        <v>-0.72</v>
      </c>
      <c r="DO38" s="4">
        <v>7.94</v>
      </c>
      <c r="DP38" s="4">
        <v>7.93</v>
      </c>
      <c r="DQ38" s="4">
        <v>7.95</v>
      </c>
      <c r="DR38" s="4">
        <v>8.06</v>
      </c>
      <c r="DS38" s="4">
        <v>8.3000000000000007</v>
      </c>
      <c r="DT38" s="4">
        <v>8.6199999999999992</v>
      </c>
      <c r="DU38" s="4">
        <v>0</v>
      </c>
      <c r="DV38" s="4">
        <v>0.4</v>
      </c>
      <c r="DW38" s="4">
        <v>7.77</v>
      </c>
      <c r="DX38" s="4">
        <v>7.15</v>
      </c>
      <c r="DY38" s="4">
        <v>6.86</v>
      </c>
      <c r="DZ38" s="4">
        <v>7.04</v>
      </c>
      <c r="EA38" s="4">
        <v>7.47</v>
      </c>
      <c r="EB38" s="4">
        <v>7.86</v>
      </c>
      <c r="EC38" s="4">
        <v>0</v>
      </c>
      <c r="ED38" s="89">
        <v>0.4</v>
      </c>
      <c r="EE38" s="110">
        <v>42</v>
      </c>
      <c r="EF38" s="110">
        <v>43</v>
      </c>
      <c r="EG38" s="110">
        <v>42.5</v>
      </c>
      <c r="EH38" s="110">
        <v>173.3</v>
      </c>
      <c r="EI38" s="110">
        <v>1</v>
      </c>
      <c r="EJ38" s="110">
        <v>-5.2</v>
      </c>
      <c r="EK38" s="110">
        <v>-5.4</v>
      </c>
      <c r="EL38" s="110">
        <v>-5.3</v>
      </c>
      <c r="EM38" s="110">
        <v>124.8</v>
      </c>
      <c r="EN38" s="110">
        <v>0.2</v>
      </c>
      <c r="EO38" s="110">
        <v>4.5</v>
      </c>
      <c r="EP38" s="110">
        <v>12.8</v>
      </c>
      <c r="EQ38" s="110">
        <v>26.5</v>
      </c>
      <c r="ER38" s="110">
        <v>60.6</v>
      </c>
      <c r="ES38" s="114">
        <v>9</v>
      </c>
      <c r="ET38" s="83">
        <v>8.26</v>
      </c>
      <c r="EU38" s="4">
        <v>8.0399999999999991</v>
      </c>
      <c r="EV38" s="4">
        <v>148.69999999999999</v>
      </c>
      <c r="EW38" s="4">
        <v>-1.1000000000000001</v>
      </c>
      <c r="EX38" s="4">
        <v>-0.12</v>
      </c>
      <c r="EY38" s="4">
        <v>0.45</v>
      </c>
      <c r="EZ38" s="4">
        <v>4.3499999999999996</v>
      </c>
      <c r="FA38" s="4">
        <v>4.8499999999999996</v>
      </c>
      <c r="FB38" s="4">
        <v>504</v>
      </c>
      <c r="FC38" s="4">
        <v>497</v>
      </c>
      <c r="FD38" s="4">
        <v>639</v>
      </c>
      <c r="FE38" s="4">
        <v>589</v>
      </c>
      <c r="FF38" s="4">
        <v>620</v>
      </c>
      <c r="FG38" s="4">
        <v>605</v>
      </c>
      <c r="FH38" s="4">
        <v>484</v>
      </c>
      <c r="FI38" s="4">
        <v>-1.25</v>
      </c>
      <c r="FJ38" s="4">
        <v>-0.59</v>
      </c>
      <c r="FK38" s="4">
        <v>8.2200000000000006</v>
      </c>
      <c r="FL38" s="4">
        <v>8.0500000000000007</v>
      </c>
      <c r="FM38" s="4">
        <v>8.02</v>
      </c>
      <c r="FN38" s="4">
        <v>8.2100000000000009</v>
      </c>
      <c r="FO38" s="4">
        <v>8.41</v>
      </c>
      <c r="FP38" s="4">
        <v>8.68</v>
      </c>
      <c r="FQ38" s="4">
        <v>9</v>
      </c>
      <c r="FR38" s="4">
        <v>1.5</v>
      </c>
      <c r="FS38" s="4">
        <v>6.48</v>
      </c>
      <c r="FT38" s="4">
        <v>6.33</v>
      </c>
      <c r="FU38" s="4">
        <v>6.51</v>
      </c>
      <c r="FV38" s="4">
        <v>7.04</v>
      </c>
      <c r="FW38" s="4">
        <v>7.36</v>
      </c>
      <c r="FX38" s="4">
        <v>7.95</v>
      </c>
      <c r="FY38" s="4">
        <v>0</v>
      </c>
      <c r="FZ38" s="86">
        <v>1.5</v>
      </c>
      <c r="GA38" s="110">
        <v>40.9</v>
      </c>
      <c r="GB38" s="110">
        <v>42</v>
      </c>
      <c r="GC38" s="110">
        <v>41.4</v>
      </c>
      <c r="GD38" s="110">
        <v>148.69999999999999</v>
      </c>
      <c r="GE38" s="110">
        <v>1.1000000000000001</v>
      </c>
      <c r="GF38" s="110">
        <v>-6</v>
      </c>
      <c r="GG38" s="110">
        <v>-6.5</v>
      </c>
      <c r="GH38" s="110">
        <v>-6.3</v>
      </c>
      <c r="GI38" s="110">
        <v>7.1</v>
      </c>
      <c r="GJ38" s="110">
        <v>0.5</v>
      </c>
      <c r="GK38" s="110">
        <v>3.7</v>
      </c>
      <c r="GL38" s="110">
        <v>10.9</v>
      </c>
      <c r="GM38" s="110">
        <v>23.8</v>
      </c>
      <c r="GN38" s="110">
        <v>57.7</v>
      </c>
      <c r="GO38" s="119">
        <v>24</v>
      </c>
      <c r="GP38" s="83">
        <v>8.11</v>
      </c>
      <c r="GQ38" s="4">
        <v>7.94</v>
      </c>
      <c r="GR38" s="4">
        <v>145.5</v>
      </c>
      <c r="GS38" s="4">
        <v>-0.9</v>
      </c>
      <c r="GT38" s="4">
        <v>0.33</v>
      </c>
      <c r="GU38" s="4">
        <v>0.46</v>
      </c>
      <c r="GV38" s="4">
        <v>4.54</v>
      </c>
      <c r="GW38" s="4">
        <v>5.0599999999999996</v>
      </c>
      <c r="GX38" s="4">
        <v>523</v>
      </c>
      <c r="GY38" s="4">
        <v>518</v>
      </c>
      <c r="GZ38" s="4">
        <v>660</v>
      </c>
      <c r="HA38" s="4">
        <v>600</v>
      </c>
      <c r="HB38" s="4">
        <v>626</v>
      </c>
      <c r="HC38" s="4">
        <v>612</v>
      </c>
      <c r="HD38" s="4">
        <v>501</v>
      </c>
      <c r="HE38" s="4">
        <v>-1.31</v>
      </c>
      <c r="HF38" s="4">
        <v>-0.62</v>
      </c>
      <c r="HG38" s="4">
        <v>8.0399999999999991</v>
      </c>
      <c r="HH38" s="4">
        <v>8.01</v>
      </c>
      <c r="HI38" s="4">
        <v>8</v>
      </c>
      <c r="HJ38" s="4">
        <v>8.14</v>
      </c>
      <c r="HK38" s="4">
        <v>8.36</v>
      </c>
      <c r="HL38" s="4">
        <v>8.5500000000000007</v>
      </c>
      <c r="HM38" s="4">
        <v>0</v>
      </c>
      <c r="HN38" s="4">
        <v>1.3</v>
      </c>
      <c r="HO38" s="4">
        <v>6.49</v>
      </c>
      <c r="HP38" s="4">
        <v>6.39</v>
      </c>
      <c r="HQ38" s="4">
        <v>6.51</v>
      </c>
      <c r="HR38" s="4">
        <v>6.84</v>
      </c>
      <c r="HS38" s="4">
        <v>7.01</v>
      </c>
      <c r="HT38" s="4">
        <v>0</v>
      </c>
      <c r="HU38" s="4">
        <v>0</v>
      </c>
      <c r="HV38" s="93">
        <v>1.3</v>
      </c>
      <c r="HW38" s="110">
        <v>41.6</v>
      </c>
      <c r="HX38" s="110">
        <v>42.5</v>
      </c>
      <c r="HY38" s="110">
        <v>42</v>
      </c>
      <c r="HZ38" s="110">
        <v>145.5</v>
      </c>
      <c r="IA38" s="110">
        <v>0.9</v>
      </c>
      <c r="IB38" s="110">
        <v>-6</v>
      </c>
      <c r="IC38" s="110">
        <v>-6.5</v>
      </c>
      <c r="ID38" s="110">
        <v>-6.2</v>
      </c>
      <c r="IE38" s="110">
        <v>6.4</v>
      </c>
      <c r="IF38" s="110">
        <v>0.6</v>
      </c>
      <c r="IG38" s="110">
        <v>3.8</v>
      </c>
      <c r="IH38" s="110">
        <v>11.2</v>
      </c>
      <c r="II38" s="110">
        <v>24.2</v>
      </c>
      <c r="IJ38" s="110">
        <v>59.3</v>
      </c>
      <c r="IK38" s="121">
        <v>12</v>
      </c>
      <c r="IL38" s="83">
        <f t="shared" si="165"/>
        <v>8.11</v>
      </c>
      <c r="IM38" s="4">
        <f t="shared" si="166"/>
        <v>7.94</v>
      </c>
      <c r="IN38" s="4">
        <f t="shared" si="167"/>
        <v>145.5</v>
      </c>
      <c r="IO38" s="4">
        <f t="shared" si="168"/>
        <v>-0.9</v>
      </c>
      <c r="IP38" s="4">
        <f t="shared" si="169"/>
        <v>0.33</v>
      </c>
      <c r="IQ38" s="4">
        <f t="shared" si="170"/>
        <v>0.46</v>
      </c>
      <c r="IR38" s="4">
        <f t="shared" si="171"/>
        <v>4.54</v>
      </c>
      <c r="IS38" s="4">
        <f t="shared" si="172"/>
        <v>5.0599999999999996</v>
      </c>
      <c r="IT38" s="4">
        <f t="shared" si="173"/>
        <v>523</v>
      </c>
      <c r="IU38" s="4">
        <f t="shared" si="174"/>
        <v>518</v>
      </c>
      <c r="IV38" s="4">
        <f t="shared" si="175"/>
        <v>660</v>
      </c>
      <c r="IW38" s="4">
        <f t="shared" si="176"/>
        <v>600</v>
      </c>
      <c r="IX38" s="4">
        <f t="shared" si="177"/>
        <v>626</v>
      </c>
      <c r="IY38" s="4">
        <f t="shared" si="178"/>
        <v>612</v>
      </c>
      <c r="IZ38" s="4">
        <f t="shared" si="179"/>
        <v>501</v>
      </c>
      <c r="JA38" s="4">
        <f t="shared" si="180"/>
        <v>-1.31</v>
      </c>
      <c r="JB38" s="4">
        <f t="shared" si="181"/>
        <v>-0.62</v>
      </c>
      <c r="JC38" s="4">
        <f t="shared" si="182"/>
        <v>8.0399999999999991</v>
      </c>
      <c r="JD38" s="4">
        <f t="shared" si="183"/>
        <v>8.01</v>
      </c>
      <c r="JE38" s="4">
        <f t="shared" si="184"/>
        <v>8</v>
      </c>
      <c r="JF38" s="4">
        <f t="shared" si="185"/>
        <v>8.14</v>
      </c>
      <c r="JG38" s="4">
        <f t="shared" si="186"/>
        <v>8.36</v>
      </c>
      <c r="JH38" s="4">
        <f t="shared" si="187"/>
        <v>8.5500000000000007</v>
      </c>
      <c r="JI38" s="4">
        <f t="shared" si="188"/>
        <v>0</v>
      </c>
      <c r="JJ38" s="4">
        <f t="shared" si="189"/>
        <v>1.3</v>
      </c>
      <c r="JK38" s="4">
        <f t="shared" si="190"/>
        <v>6.49</v>
      </c>
      <c r="JL38" s="4">
        <f t="shared" si="191"/>
        <v>6.39</v>
      </c>
      <c r="JM38" s="4">
        <f t="shared" si="192"/>
        <v>6.51</v>
      </c>
      <c r="JN38" s="4">
        <f t="shared" si="193"/>
        <v>6.84</v>
      </c>
      <c r="JO38" s="4">
        <f t="shared" si="194"/>
        <v>7.01</v>
      </c>
      <c r="JP38" s="4">
        <f t="shared" si="195"/>
        <v>0</v>
      </c>
      <c r="JQ38" s="117">
        <f t="shared" si="196"/>
        <v>0</v>
      </c>
      <c r="JR38" s="110">
        <f t="shared" si="197"/>
        <v>1.3</v>
      </c>
      <c r="JS38" s="110">
        <f t="shared" si="198"/>
        <v>41.6</v>
      </c>
      <c r="JT38" s="110">
        <f t="shared" si="199"/>
        <v>42.5</v>
      </c>
      <c r="JU38" s="110">
        <f t="shared" si="200"/>
        <v>42</v>
      </c>
      <c r="JV38" s="110">
        <f t="shared" si="201"/>
        <v>145.5</v>
      </c>
      <c r="JW38" s="110">
        <f t="shared" si="202"/>
        <v>0.9</v>
      </c>
      <c r="JX38" s="110">
        <f t="shared" si="203"/>
        <v>-6</v>
      </c>
      <c r="JY38" s="110">
        <f t="shared" si="204"/>
        <v>-6.5</v>
      </c>
      <c r="JZ38" s="110">
        <f t="shared" si="205"/>
        <v>-6.2</v>
      </c>
      <c r="KA38" s="110">
        <f t="shared" si="206"/>
        <v>6.4</v>
      </c>
      <c r="KB38" s="110">
        <f t="shared" si="207"/>
        <v>0.6</v>
      </c>
      <c r="KC38" s="110">
        <f t="shared" si="208"/>
        <v>3.8</v>
      </c>
      <c r="KD38" s="110">
        <f t="shared" si="209"/>
        <v>11.2</v>
      </c>
      <c r="KE38" s="110">
        <f t="shared" si="210"/>
        <v>24.2</v>
      </c>
      <c r="KF38" s="110">
        <f t="shared" si="211"/>
        <v>59.3</v>
      </c>
      <c r="KG38" s="121">
        <f t="shared" si="212"/>
        <v>12</v>
      </c>
      <c r="KH38" s="83">
        <f t="shared" si="213"/>
        <v>7.0000000000000284E-2</v>
      </c>
      <c r="KI38" s="4">
        <f t="shared" si="214"/>
        <v>8.0000000000000071E-2</v>
      </c>
      <c r="KJ38" s="4">
        <f t="shared" si="215"/>
        <v>-27.800000000000011</v>
      </c>
      <c r="KK38" s="4">
        <f t="shared" si="216"/>
        <v>9.9999999999999978E-2</v>
      </c>
      <c r="KL38" s="4">
        <f t="shared" si="217"/>
        <v>-8.9999999999999969E-2</v>
      </c>
      <c r="KM38" s="4">
        <f t="shared" si="218"/>
        <v>-2.9999999999999971E-2</v>
      </c>
      <c r="KN38" s="4">
        <f t="shared" si="219"/>
        <v>2.34</v>
      </c>
      <c r="KO38" s="4">
        <f t="shared" si="220"/>
        <v>2.2099999999999995</v>
      </c>
      <c r="KP38" s="4">
        <f t="shared" si="221"/>
        <v>-121</v>
      </c>
      <c r="KQ38" s="4">
        <f t="shared" si="222"/>
        <v>-136</v>
      </c>
      <c r="KR38" s="4">
        <f t="shared" si="223"/>
        <v>-10</v>
      </c>
      <c r="KS38" s="4">
        <f t="shared" si="224"/>
        <v>-31</v>
      </c>
      <c r="KT38" s="4">
        <f t="shared" si="225"/>
        <v>-13</v>
      </c>
      <c r="KU38" s="4">
        <f t="shared" si="226"/>
        <v>-53</v>
      </c>
      <c r="KV38" s="4">
        <f t="shared" si="227"/>
        <v>-115</v>
      </c>
      <c r="KW38" s="4">
        <f t="shared" si="228"/>
        <v>-2.8200000000000003</v>
      </c>
      <c r="KX38" s="4">
        <f t="shared" si="229"/>
        <v>9.9999999999999978E-2</v>
      </c>
      <c r="KY38" s="4">
        <f t="shared" si="230"/>
        <v>9.9999999999998757E-2</v>
      </c>
      <c r="KZ38" s="4">
        <f t="shared" si="231"/>
        <v>8.0000000000000071E-2</v>
      </c>
      <c r="LA38" s="4">
        <f t="shared" si="232"/>
        <v>4.9999999999999822E-2</v>
      </c>
      <c r="LB38" s="4">
        <f t="shared" si="233"/>
        <v>8.0000000000000071E-2</v>
      </c>
      <c r="LC38" s="4">
        <f t="shared" si="234"/>
        <v>5.9999999999998721E-2</v>
      </c>
      <c r="LD38" s="4">
        <f t="shared" si="235"/>
        <v>-6.9999999999998508E-2</v>
      </c>
      <c r="LE38" s="4">
        <f t="shared" si="236"/>
        <v>0</v>
      </c>
      <c r="LF38" s="4">
        <f t="shared" si="237"/>
        <v>0.9</v>
      </c>
      <c r="LG38" s="4">
        <f t="shared" si="238"/>
        <v>-1.2799999999999994</v>
      </c>
      <c r="LH38" s="4">
        <f t="shared" si="239"/>
        <v>-0.76000000000000068</v>
      </c>
      <c r="LI38" s="4">
        <f t="shared" si="240"/>
        <v>-0.35000000000000053</v>
      </c>
      <c r="LJ38" s="4">
        <f t="shared" si="241"/>
        <v>-0.20000000000000018</v>
      </c>
      <c r="LK38" s="4">
        <f t="shared" si="242"/>
        <v>-0.45999999999999996</v>
      </c>
      <c r="LL38" s="4">
        <f t="shared" si="243"/>
        <v>-7.86</v>
      </c>
      <c r="LM38" s="4">
        <f t="shared" si="244"/>
        <v>0</v>
      </c>
      <c r="LN38" s="4">
        <f t="shared" si="245"/>
        <v>0.9</v>
      </c>
      <c r="LO38" s="4">
        <f t="shared" si="246"/>
        <v>-0.39999999999999858</v>
      </c>
      <c r="LP38" s="4">
        <f t="shared" si="247"/>
        <v>-0.5</v>
      </c>
      <c r="LQ38" s="4">
        <f t="shared" si="248"/>
        <v>-0.5</v>
      </c>
      <c r="LR38" s="4">
        <f t="shared" si="249"/>
        <v>-27.800000000000011</v>
      </c>
      <c r="LS38" s="4">
        <f t="shared" si="250"/>
        <v>-9.9999999999999978E-2</v>
      </c>
      <c r="LT38" s="4">
        <f t="shared" si="251"/>
        <v>-0.79999999999999982</v>
      </c>
      <c r="LU38" s="4">
        <f t="shared" si="252"/>
        <v>-1.0999999999999996</v>
      </c>
      <c r="LV38" s="4">
        <f t="shared" si="253"/>
        <v>-0.90000000000000036</v>
      </c>
      <c r="LW38" s="4">
        <f t="shared" si="254"/>
        <v>-118.39999999999999</v>
      </c>
      <c r="LX38" s="4">
        <f t="shared" si="255"/>
        <v>0.39999999999999997</v>
      </c>
      <c r="LY38" s="4">
        <f t="shared" si="256"/>
        <v>-0.70000000000000018</v>
      </c>
      <c r="LZ38" s="4">
        <f t="shared" si="257"/>
        <v>-1.6000000000000014</v>
      </c>
      <c r="MA38" s="4">
        <f t="shared" si="258"/>
        <v>-2.3000000000000007</v>
      </c>
      <c r="MB38" s="4">
        <f t="shared" si="259"/>
        <v>-1.3000000000000043</v>
      </c>
      <c r="MC38" s="4">
        <f t="shared" si="260"/>
        <v>3</v>
      </c>
      <c r="MD38" s="4">
        <f t="shared" si="261"/>
        <v>0.70000000000000284</v>
      </c>
      <c r="ME38" s="4">
        <f t="shared" si="262"/>
        <v>0.5</v>
      </c>
      <c r="MF38" s="4">
        <f t="shared" si="263"/>
        <v>0</v>
      </c>
      <c r="MG38" s="4">
        <f t="shared" si="264"/>
        <v>0</v>
      </c>
    </row>
    <row r="39" spans="1:345" ht="26.25" customHeight="1" thickBot="1" x14ac:dyDescent="0.25">
      <c r="A39" s="35">
        <v>41262</v>
      </c>
      <c r="B39" s="36" t="s">
        <v>122</v>
      </c>
      <c r="C39" s="36" t="s">
        <v>16</v>
      </c>
      <c r="D39" s="31" t="s">
        <v>110</v>
      </c>
      <c r="E39" s="4">
        <v>67</v>
      </c>
      <c r="F39" s="3">
        <v>16427</v>
      </c>
      <c r="G39" s="4" t="s">
        <v>87</v>
      </c>
      <c r="H39" s="4" t="s">
        <v>112</v>
      </c>
      <c r="I39" s="4">
        <v>1835204</v>
      </c>
      <c r="J39" s="2" t="s">
        <v>309</v>
      </c>
      <c r="K39" s="227"/>
      <c r="L39" s="228"/>
      <c r="M39" s="228"/>
      <c r="N39" s="98" t="s">
        <v>650</v>
      </c>
      <c r="O39" s="258"/>
      <c r="P39" s="228"/>
      <c r="Q39" s="228"/>
      <c r="R39" s="33">
        <v>-0.5</v>
      </c>
      <c r="S39" s="33">
        <v>-0.42</v>
      </c>
      <c r="T39" s="33" t="s">
        <v>249</v>
      </c>
      <c r="U39" s="67">
        <v>10</v>
      </c>
      <c r="V39" s="124">
        <v>41261</v>
      </c>
      <c r="W39" s="67">
        <v>-8.75</v>
      </c>
      <c r="X39" s="67">
        <v>1.75</v>
      </c>
      <c r="Y39" s="4">
        <v>165</v>
      </c>
      <c r="Z39" s="4">
        <v>50</v>
      </c>
      <c r="AA39" s="4">
        <v>14</v>
      </c>
      <c r="AB39" s="4">
        <v>624</v>
      </c>
      <c r="AC39" s="4">
        <v>27.66</v>
      </c>
      <c r="AD39" s="4">
        <v>12.3</v>
      </c>
      <c r="AE39" s="4">
        <v>5</v>
      </c>
      <c r="AF39" s="4">
        <v>3.65</v>
      </c>
      <c r="AG39" s="4">
        <v>43.38</v>
      </c>
      <c r="AH39" s="4">
        <v>64</v>
      </c>
      <c r="AI39" s="4">
        <v>44.06</v>
      </c>
      <c r="AJ39" s="4">
        <v>154</v>
      </c>
      <c r="AK39" s="4">
        <v>0</v>
      </c>
      <c r="AL39" s="4" t="b">
        <f t="shared" si="135"/>
        <v>0</v>
      </c>
      <c r="AN39" s="3">
        <v>41464</v>
      </c>
      <c r="AO39" s="56">
        <v>30</v>
      </c>
      <c r="AP39" s="67">
        <v>-0.5</v>
      </c>
      <c r="AQ39" s="67">
        <v>0.75</v>
      </c>
      <c r="AR39" s="4">
        <v>10</v>
      </c>
      <c r="AS39" s="4">
        <v>20</v>
      </c>
      <c r="AT39" s="4">
        <v>18</v>
      </c>
      <c r="AU39" s="4">
        <v>547</v>
      </c>
      <c r="AV39" s="4">
        <v>2532</v>
      </c>
      <c r="BC39" s="4">
        <f t="shared" si="136"/>
        <v>-0.125</v>
      </c>
      <c r="BD39" s="4">
        <f t="shared" si="133"/>
        <v>0.29499999999999998</v>
      </c>
      <c r="BE39" s="4">
        <f t="shared" si="137"/>
        <v>-77</v>
      </c>
      <c r="BF39" s="3">
        <v>41590</v>
      </c>
      <c r="BH39" s="67">
        <v>0</v>
      </c>
      <c r="BI39" s="67">
        <v>1.25</v>
      </c>
      <c r="BJ39" s="4">
        <v>140</v>
      </c>
      <c r="BK39" s="4">
        <v>30</v>
      </c>
      <c r="BL39" s="4">
        <v>18</v>
      </c>
      <c r="BM39" s="4">
        <v>563</v>
      </c>
      <c r="BN39" s="4">
        <v>2500</v>
      </c>
      <c r="BO39" s="4" t="s">
        <v>282</v>
      </c>
      <c r="BP39" s="4" t="s">
        <v>282</v>
      </c>
      <c r="BQ39" s="4">
        <v>42.61</v>
      </c>
      <c r="BR39" s="4">
        <v>72</v>
      </c>
      <c r="BS39" s="4">
        <v>43.21</v>
      </c>
      <c r="BT39" s="4">
        <v>162</v>
      </c>
      <c r="BU39" s="4">
        <f t="shared" si="134"/>
        <v>0.625</v>
      </c>
      <c r="BV39" s="4">
        <f t="shared" si="138"/>
        <v>1.0449999999999999</v>
      </c>
      <c r="BW39" s="4">
        <f t="shared" si="139"/>
        <v>-61</v>
      </c>
      <c r="BX39" s="4">
        <f t="shared" si="140"/>
        <v>1</v>
      </c>
      <c r="BY39" s="4">
        <f t="shared" si="141"/>
        <v>1</v>
      </c>
      <c r="BZ39" s="4">
        <f t="shared" si="142"/>
        <v>-7.875</v>
      </c>
      <c r="CA39" s="4">
        <f t="shared" si="143"/>
        <v>-0.125</v>
      </c>
      <c r="CB39" s="4">
        <f t="shared" si="144"/>
        <v>0.625</v>
      </c>
      <c r="CC39" s="53">
        <f t="shared" si="145"/>
        <v>328</v>
      </c>
      <c r="CD39" s="55">
        <f t="shared" si="146"/>
        <v>10.933333333333334</v>
      </c>
      <c r="CE39" s="4">
        <f t="shared" si="147"/>
        <v>0.75</v>
      </c>
      <c r="CF39" s="4" t="str">
        <f t="shared" si="148"/>
        <v/>
      </c>
      <c r="CG39" s="4">
        <f t="shared" si="149"/>
        <v>-0.81000000000000227</v>
      </c>
      <c r="CH39" s="4">
        <f t="shared" si="150"/>
        <v>-0.81000000000000227</v>
      </c>
      <c r="CI39" s="4">
        <f t="shared" si="151"/>
        <v>-7.875</v>
      </c>
      <c r="CJ39" s="4">
        <f t="shared" si="152"/>
        <v>0.625</v>
      </c>
      <c r="CK39" s="93">
        <f t="shared" si="153"/>
        <v>1.0449999999999999</v>
      </c>
      <c r="CL39" s="83">
        <f t="shared" si="154"/>
        <v>-61</v>
      </c>
      <c r="CM39" s="4" t="str">
        <f t="shared" si="155"/>
        <v/>
      </c>
      <c r="CN39" s="96">
        <f t="shared" si="156"/>
        <v>-0.42</v>
      </c>
      <c r="CO39" s="96">
        <f t="shared" si="265"/>
        <v>0.22184874961635634</v>
      </c>
      <c r="CP39" s="127">
        <f t="shared" si="157"/>
        <v>1.25</v>
      </c>
      <c r="CQ39" s="127">
        <f t="shared" si="158"/>
        <v>-0.5</v>
      </c>
      <c r="CR39" s="136">
        <f t="shared" si="159"/>
        <v>30</v>
      </c>
      <c r="CS39" s="136">
        <f t="shared" si="160"/>
        <v>50</v>
      </c>
      <c r="CT39" s="135">
        <f t="shared" si="161"/>
        <v>30</v>
      </c>
      <c r="CU39" s="139" t="str">
        <f t="shared" si="162"/>
        <v/>
      </c>
      <c r="CV39" s="96" t="str">
        <f t="shared" si="163"/>
        <v/>
      </c>
      <c r="CW39" s="141" t="str">
        <f t="shared" si="164"/>
        <v/>
      </c>
      <c r="ET39" s="83">
        <v>7.85</v>
      </c>
      <c r="EU39" s="4">
        <v>7.93</v>
      </c>
      <c r="EV39" s="4">
        <v>67.599999999999994</v>
      </c>
      <c r="EW39" s="4">
        <v>0.4</v>
      </c>
      <c r="EX39" s="4">
        <v>0.23</v>
      </c>
      <c r="EY39" s="4">
        <v>0.35</v>
      </c>
      <c r="EZ39" s="4">
        <v>4.99</v>
      </c>
      <c r="FA39" s="4">
        <v>5.54</v>
      </c>
      <c r="FB39" s="4">
        <v>548</v>
      </c>
      <c r="FC39" s="4">
        <v>543</v>
      </c>
      <c r="FD39" s="4">
        <v>640</v>
      </c>
      <c r="FE39" s="4">
        <v>627</v>
      </c>
      <c r="FF39" s="4">
        <v>633</v>
      </c>
      <c r="FG39" s="4">
        <v>625</v>
      </c>
      <c r="FH39" s="4">
        <v>538</v>
      </c>
      <c r="FI39" s="4">
        <v>0.56999999999999995</v>
      </c>
      <c r="FJ39" s="4">
        <v>-0.78</v>
      </c>
      <c r="FK39" s="4">
        <v>7.88</v>
      </c>
      <c r="FL39" s="4">
        <v>7.88</v>
      </c>
      <c r="FM39" s="4">
        <v>7.88</v>
      </c>
      <c r="FN39" s="4">
        <v>7.95</v>
      </c>
      <c r="FO39" s="4">
        <v>8.15</v>
      </c>
      <c r="FP39" s="4">
        <v>8.44</v>
      </c>
      <c r="FQ39" s="4">
        <v>0</v>
      </c>
      <c r="FR39" s="4">
        <v>1.3</v>
      </c>
      <c r="FS39" s="4">
        <v>6.45</v>
      </c>
      <c r="FT39" s="4">
        <v>6.4</v>
      </c>
      <c r="FU39" s="4">
        <v>6.51</v>
      </c>
      <c r="FV39" s="4">
        <v>6.78</v>
      </c>
      <c r="FW39" s="4">
        <v>6.98</v>
      </c>
      <c r="FX39" s="4">
        <v>7.32</v>
      </c>
      <c r="FY39" s="4">
        <v>0</v>
      </c>
      <c r="FZ39" s="86">
        <v>1.3</v>
      </c>
      <c r="GP39" s="83">
        <v>7.86</v>
      </c>
      <c r="GQ39" s="4">
        <v>7.96</v>
      </c>
      <c r="GR39" s="4">
        <v>62.1</v>
      </c>
      <c r="GS39" s="4">
        <v>0.6</v>
      </c>
      <c r="GT39" s="4">
        <v>0.16</v>
      </c>
      <c r="GU39" s="4">
        <v>0.31</v>
      </c>
      <c r="GV39" s="4">
        <v>4.95</v>
      </c>
      <c r="GW39" s="4">
        <v>5.49</v>
      </c>
      <c r="GX39" s="4">
        <v>542</v>
      </c>
      <c r="GY39" s="4">
        <v>538</v>
      </c>
      <c r="GZ39" s="4">
        <v>633</v>
      </c>
      <c r="HA39" s="4">
        <v>634</v>
      </c>
      <c r="HB39" s="4">
        <v>629</v>
      </c>
      <c r="HC39" s="4">
        <v>627</v>
      </c>
      <c r="HD39" s="4">
        <v>534</v>
      </c>
      <c r="HE39" s="4">
        <v>0.63</v>
      </c>
      <c r="HF39" s="4">
        <v>-0.7</v>
      </c>
      <c r="HG39" s="4">
        <v>7.9</v>
      </c>
      <c r="HH39" s="4">
        <v>7.89</v>
      </c>
      <c r="HI39" s="4">
        <v>7.89</v>
      </c>
      <c r="HJ39" s="4">
        <v>7.94</v>
      </c>
      <c r="HK39" s="4">
        <v>8.15</v>
      </c>
      <c r="HL39" s="4">
        <v>8.4499999999999993</v>
      </c>
      <c r="HM39" s="4">
        <v>0</v>
      </c>
      <c r="HN39" s="4">
        <v>1.3</v>
      </c>
      <c r="HO39" s="4">
        <v>6.45</v>
      </c>
      <c r="HP39" s="4">
        <v>6.39</v>
      </c>
      <c r="HQ39" s="4">
        <v>6.54</v>
      </c>
      <c r="HR39" s="4">
        <v>6.82</v>
      </c>
      <c r="HS39" s="4">
        <v>6.98</v>
      </c>
      <c r="HT39" s="4">
        <v>7.33</v>
      </c>
      <c r="HU39" s="4">
        <v>0</v>
      </c>
      <c r="HV39" s="93">
        <v>1.3</v>
      </c>
      <c r="IL39" s="83">
        <f t="shared" si="165"/>
        <v>7.86</v>
      </c>
      <c r="IM39" s="4">
        <f t="shared" si="166"/>
        <v>7.96</v>
      </c>
      <c r="IN39" s="4">
        <f t="shared" si="167"/>
        <v>62.1</v>
      </c>
      <c r="IO39" s="4">
        <f t="shared" si="168"/>
        <v>0.6</v>
      </c>
      <c r="IP39" s="4">
        <f t="shared" si="169"/>
        <v>0.16</v>
      </c>
      <c r="IQ39" s="4">
        <f t="shared" si="170"/>
        <v>0.31</v>
      </c>
      <c r="IR39" s="4">
        <f t="shared" si="171"/>
        <v>4.95</v>
      </c>
      <c r="IS39" s="4">
        <f t="shared" si="172"/>
        <v>5.49</v>
      </c>
      <c r="IT39" s="4">
        <f t="shared" si="173"/>
        <v>542</v>
      </c>
      <c r="IU39" s="4">
        <f t="shared" si="174"/>
        <v>538</v>
      </c>
      <c r="IV39" s="4">
        <f t="shared" si="175"/>
        <v>633</v>
      </c>
      <c r="IW39" s="4">
        <f t="shared" si="176"/>
        <v>634</v>
      </c>
      <c r="IX39" s="4">
        <f t="shared" si="177"/>
        <v>629</v>
      </c>
      <c r="IY39" s="4">
        <f t="shared" si="178"/>
        <v>627</v>
      </c>
      <c r="IZ39" s="4">
        <f t="shared" si="179"/>
        <v>534</v>
      </c>
      <c r="JA39" s="4">
        <f t="shared" si="180"/>
        <v>0.63</v>
      </c>
      <c r="JB39" s="4">
        <f t="shared" si="181"/>
        <v>-0.7</v>
      </c>
      <c r="JC39" s="4">
        <f t="shared" si="182"/>
        <v>7.9</v>
      </c>
      <c r="JD39" s="4">
        <f t="shared" si="183"/>
        <v>7.89</v>
      </c>
      <c r="JE39" s="4">
        <f t="shared" si="184"/>
        <v>7.89</v>
      </c>
      <c r="JF39" s="4">
        <f t="shared" si="185"/>
        <v>7.94</v>
      </c>
      <c r="JG39" s="4">
        <f t="shared" si="186"/>
        <v>8.15</v>
      </c>
      <c r="JH39" s="4">
        <f t="shared" si="187"/>
        <v>8.4499999999999993</v>
      </c>
      <c r="JI39" s="4">
        <f t="shared" si="188"/>
        <v>0</v>
      </c>
      <c r="JJ39" s="4">
        <f t="shared" si="189"/>
        <v>1.3</v>
      </c>
      <c r="JK39" s="4">
        <f t="shared" si="190"/>
        <v>6.45</v>
      </c>
      <c r="JL39" s="4">
        <f t="shared" si="191"/>
        <v>6.39</v>
      </c>
      <c r="JM39" s="4">
        <f t="shared" si="192"/>
        <v>6.54</v>
      </c>
      <c r="JN39" s="4">
        <f t="shared" si="193"/>
        <v>6.82</v>
      </c>
      <c r="JO39" s="4">
        <f t="shared" si="194"/>
        <v>6.98</v>
      </c>
      <c r="JP39" s="4">
        <f t="shared" si="195"/>
        <v>7.33</v>
      </c>
      <c r="JQ39" s="117">
        <f t="shared" si="196"/>
        <v>0</v>
      </c>
      <c r="JR39" s="110">
        <f t="shared" si="197"/>
        <v>1.3</v>
      </c>
      <c r="JS39" s="110" t="str">
        <f t="shared" si="198"/>
        <v/>
      </c>
      <c r="JT39" s="110" t="str">
        <f t="shared" si="199"/>
        <v/>
      </c>
      <c r="JU39" s="110" t="str">
        <f t="shared" si="200"/>
        <v/>
      </c>
      <c r="JV39" s="110" t="str">
        <f t="shared" si="201"/>
        <v/>
      </c>
      <c r="JW39" s="110" t="str">
        <f t="shared" si="202"/>
        <v/>
      </c>
      <c r="JX39" s="110" t="str">
        <f t="shared" si="203"/>
        <v/>
      </c>
      <c r="JY39" s="110" t="str">
        <f t="shared" si="204"/>
        <v/>
      </c>
      <c r="JZ39" s="110" t="str">
        <f t="shared" si="205"/>
        <v/>
      </c>
      <c r="KA39" s="110" t="str">
        <f t="shared" si="206"/>
        <v/>
      </c>
      <c r="KB39" s="110" t="str">
        <f t="shared" si="207"/>
        <v/>
      </c>
      <c r="KC39" s="110" t="str">
        <f t="shared" si="208"/>
        <v/>
      </c>
      <c r="KD39" s="110" t="str">
        <f t="shared" si="209"/>
        <v/>
      </c>
      <c r="KE39" s="110" t="str">
        <f t="shared" si="210"/>
        <v/>
      </c>
      <c r="KF39" s="110" t="str">
        <f t="shared" si="211"/>
        <v/>
      </c>
      <c r="KG39" s="121" t="str">
        <f t="shared" si="212"/>
        <v/>
      </c>
      <c r="KH39" s="83" t="str">
        <f t="shared" si="213"/>
        <v/>
      </c>
      <c r="KI39" s="4" t="str">
        <f t="shared" si="214"/>
        <v/>
      </c>
      <c r="KJ39" s="4" t="str">
        <f t="shared" si="215"/>
        <v/>
      </c>
      <c r="KK39" s="4" t="str">
        <f t="shared" si="216"/>
        <v/>
      </c>
      <c r="KL39" s="4" t="str">
        <f t="shared" si="217"/>
        <v/>
      </c>
      <c r="KM39" s="4" t="str">
        <f t="shared" si="218"/>
        <v/>
      </c>
      <c r="KN39" s="4" t="str">
        <f t="shared" si="219"/>
        <v/>
      </c>
      <c r="KO39" s="4" t="str">
        <f t="shared" si="220"/>
        <v/>
      </c>
      <c r="KP39" s="4" t="str">
        <f t="shared" si="221"/>
        <v/>
      </c>
      <c r="KQ39" s="4" t="str">
        <f t="shared" si="222"/>
        <v/>
      </c>
      <c r="KR39" s="4" t="str">
        <f t="shared" si="223"/>
        <v/>
      </c>
      <c r="KS39" s="4" t="str">
        <f t="shared" si="224"/>
        <v/>
      </c>
      <c r="KT39" s="4" t="str">
        <f t="shared" si="225"/>
        <v/>
      </c>
      <c r="KU39" s="4" t="str">
        <f t="shared" si="226"/>
        <v/>
      </c>
      <c r="KV39" s="4" t="str">
        <f t="shared" si="227"/>
        <v/>
      </c>
      <c r="KW39" s="4" t="str">
        <f t="shared" si="228"/>
        <v/>
      </c>
      <c r="KX39" s="4" t="str">
        <f t="shared" si="229"/>
        <v/>
      </c>
      <c r="KY39" s="4" t="str">
        <f t="shared" si="230"/>
        <v/>
      </c>
      <c r="KZ39" s="4" t="str">
        <f t="shared" si="231"/>
        <v/>
      </c>
      <c r="LA39" s="4" t="str">
        <f t="shared" si="232"/>
        <v/>
      </c>
      <c r="LB39" s="4" t="str">
        <f t="shared" si="233"/>
        <v/>
      </c>
      <c r="LC39" s="4" t="str">
        <f t="shared" si="234"/>
        <v/>
      </c>
      <c r="LD39" s="4" t="str">
        <f t="shared" si="235"/>
        <v/>
      </c>
      <c r="LE39" s="4" t="str">
        <f t="shared" si="236"/>
        <v/>
      </c>
      <c r="LF39" s="4" t="str">
        <f t="shared" si="237"/>
        <v/>
      </c>
      <c r="LG39" s="4" t="str">
        <f t="shared" si="238"/>
        <v/>
      </c>
      <c r="LH39" s="4" t="str">
        <f t="shared" si="239"/>
        <v/>
      </c>
      <c r="LI39" s="4" t="str">
        <f t="shared" si="240"/>
        <v/>
      </c>
      <c r="LJ39" s="4" t="str">
        <f t="shared" si="241"/>
        <v/>
      </c>
      <c r="LK39" s="4" t="str">
        <f t="shared" si="242"/>
        <v/>
      </c>
      <c r="LL39" s="4" t="str">
        <f t="shared" si="243"/>
        <v/>
      </c>
      <c r="LM39" s="4" t="str">
        <f t="shared" si="244"/>
        <v/>
      </c>
      <c r="LN39" s="4" t="str">
        <f t="shared" si="245"/>
        <v/>
      </c>
      <c r="LO39" s="4" t="str">
        <f t="shared" si="246"/>
        <v/>
      </c>
      <c r="LP39" s="4" t="str">
        <f t="shared" si="247"/>
        <v/>
      </c>
      <c r="LQ39" s="4" t="str">
        <f t="shared" si="248"/>
        <v/>
      </c>
      <c r="LR39" s="4" t="str">
        <f t="shared" si="249"/>
        <v/>
      </c>
      <c r="LS39" s="4" t="str">
        <f t="shared" si="250"/>
        <v/>
      </c>
      <c r="LT39" s="4" t="str">
        <f t="shared" si="251"/>
        <v/>
      </c>
      <c r="LU39" s="4" t="str">
        <f t="shared" si="252"/>
        <v/>
      </c>
      <c r="LV39" s="4" t="str">
        <f t="shared" si="253"/>
        <v/>
      </c>
      <c r="LW39" s="4" t="str">
        <f t="shared" si="254"/>
        <v/>
      </c>
      <c r="LX39" s="4" t="str">
        <f t="shared" si="255"/>
        <v/>
      </c>
      <c r="LY39" s="4" t="str">
        <f t="shared" si="256"/>
        <v/>
      </c>
      <c r="LZ39" s="4" t="str">
        <f t="shared" si="257"/>
        <v/>
      </c>
      <c r="MA39" s="4" t="str">
        <f t="shared" si="258"/>
        <v/>
      </c>
      <c r="MB39" s="4" t="str">
        <f t="shared" si="259"/>
        <v/>
      </c>
      <c r="MC39" s="4" t="str">
        <f t="shared" si="260"/>
        <v/>
      </c>
      <c r="MD39" s="4" t="str">
        <f t="shared" si="261"/>
        <v/>
      </c>
      <c r="ME39" s="4" t="str">
        <f t="shared" si="262"/>
        <v/>
      </c>
      <c r="MF39" s="4" t="str">
        <f t="shared" si="263"/>
        <v/>
      </c>
      <c r="MG39" s="4">
        <f t="shared" si="264"/>
        <v>0</v>
      </c>
    </row>
    <row r="40" spans="1:345" ht="26.25" customHeight="1" thickBot="1" x14ac:dyDescent="0.25">
      <c r="A40" s="35">
        <v>41213</v>
      </c>
      <c r="B40" s="36" t="s">
        <v>164</v>
      </c>
      <c r="C40" s="36" t="s">
        <v>16</v>
      </c>
      <c r="D40" s="31" t="s">
        <v>111</v>
      </c>
      <c r="E40" s="4">
        <v>67</v>
      </c>
      <c r="F40" s="3">
        <v>16427</v>
      </c>
      <c r="G40" s="4" t="s">
        <v>87</v>
      </c>
      <c r="H40" s="4" t="s">
        <v>112</v>
      </c>
      <c r="I40" s="4">
        <v>1835204</v>
      </c>
      <c r="J40" s="2" t="s">
        <v>309</v>
      </c>
      <c r="K40" s="227"/>
      <c r="L40" s="228"/>
      <c r="M40" s="228"/>
      <c r="N40" s="98" t="s">
        <v>650</v>
      </c>
      <c r="O40" s="258"/>
      <c r="P40" s="228"/>
      <c r="Q40" s="228"/>
      <c r="R40" s="4">
        <v>-0.5</v>
      </c>
      <c r="S40" s="4">
        <v>-0.56999999999999995</v>
      </c>
      <c r="T40" s="4" t="s">
        <v>249</v>
      </c>
      <c r="U40" s="67">
        <v>10.5</v>
      </c>
      <c r="V40" s="124">
        <v>41172</v>
      </c>
      <c r="W40" s="67">
        <v>-8.25</v>
      </c>
      <c r="X40" s="67">
        <v>0.75</v>
      </c>
      <c r="Y40" s="4">
        <v>56</v>
      </c>
      <c r="Z40" s="4">
        <v>70</v>
      </c>
      <c r="AA40" s="4">
        <v>11</v>
      </c>
      <c r="AB40" s="4">
        <v>650</v>
      </c>
      <c r="AC40" s="4">
        <v>26.97</v>
      </c>
      <c r="AD40" s="4">
        <v>12.1</v>
      </c>
      <c r="AF40" s="4">
        <v>2.1800000000000002</v>
      </c>
      <c r="AG40" s="4">
        <v>44.18</v>
      </c>
      <c r="AH40" s="4">
        <v>66</v>
      </c>
      <c r="AI40" s="4">
        <v>44.35</v>
      </c>
      <c r="AJ40" s="4">
        <v>156</v>
      </c>
      <c r="AK40" s="4">
        <v>1</v>
      </c>
      <c r="AL40" s="4" t="b">
        <f t="shared" si="135"/>
        <v>1</v>
      </c>
      <c r="AN40" s="37">
        <v>41374</v>
      </c>
      <c r="AO40" s="59">
        <v>60</v>
      </c>
      <c r="AP40" s="67">
        <v>0.5</v>
      </c>
      <c r="AQ40" s="67">
        <v>1</v>
      </c>
      <c r="AR40" s="4">
        <v>16</v>
      </c>
      <c r="AS40" s="4">
        <v>30</v>
      </c>
      <c r="AT40" s="4">
        <v>15</v>
      </c>
      <c r="AU40" s="4">
        <v>551</v>
      </c>
      <c r="AV40" s="4">
        <v>1767</v>
      </c>
      <c r="BC40" s="4">
        <f t="shared" si="136"/>
        <v>1</v>
      </c>
      <c r="BD40" s="4">
        <f t="shared" si="133"/>
        <v>1.5699999999999998</v>
      </c>
      <c r="BE40" s="4">
        <f t="shared" si="137"/>
        <v>-99</v>
      </c>
      <c r="BF40" s="3">
        <v>41590</v>
      </c>
      <c r="BH40" s="67">
        <v>0.5</v>
      </c>
      <c r="BI40" s="67">
        <v>1.5</v>
      </c>
      <c r="BJ40" s="4">
        <v>30</v>
      </c>
      <c r="BK40" s="4">
        <v>30</v>
      </c>
      <c r="BL40" s="4">
        <v>18</v>
      </c>
      <c r="BM40" s="4">
        <v>534</v>
      </c>
      <c r="BN40" s="4">
        <v>2141</v>
      </c>
      <c r="BO40" s="4" t="s">
        <v>282</v>
      </c>
      <c r="BP40" s="4" t="s">
        <v>282</v>
      </c>
      <c r="BQ40" s="4">
        <v>43.1</v>
      </c>
      <c r="BR40" s="4">
        <v>123</v>
      </c>
      <c r="BS40" s="4">
        <v>43.32</v>
      </c>
      <c r="BT40" s="4">
        <v>33</v>
      </c>
      <c r="BU40" s="4">
        <f t="shared" si="134"/>
        <v>1.25</v>
      </c>
      <c r="BV40" s="4">
        <f t="shared" si="138"/>
        <v>1.8199999999999998</v>
      </c>
      <c r="BW40" s="4">
        <f t="shared" si="139"/>
        <v>-116</v>
      </c>
      <c r="BX40" s="4">
        <f t="shared" si="140"/>
        <v>1</v>
      </c>
      <c r="BY40" s="4">
        <f t="shared" si="141"/>
        <v>1</v>
      </c>
      <c r="BZ40" s="4">
        <f t="shared" si="142"/>
        <v>-7.875</v>
      </c>
      <c r="CA40" s="4">
        <f t="shared" si="143"/>
        <v>1</v>
      </c>
      <c r="CB40" s="4">
        <f t="shared" si="144"/>
        <v>1.25</v>
      </c>
      <c r="CC40" s="53">
        <f t="shared" si="145"/>
        <v>377</v>
      </c>
      <c r="CD40" s="55">
        <f t="shared" si="146"/>
        <v>12.566666666666666</v>
      </c>
      <c r="CE40" s="4">
        <f t="shared" si="147"/>
        <v>0.25</v>
      </c>
      <c r="CF40" s="4" t="str">
        <f t="shared" si="148"/>
        <v/>
      </c>
      <c r="CG40" s="4">
        <f t="shared" si="149"/>
        <v>-1.0549999999999997</v>
      </c>
      <c r="CH40" s="4">
        <f t="shared" si="150"/>
        <v>-1.0549999999999997</v>
      </c>
      <c r="CI40" s="4">
        <f t="shared" si="151"/>
        <v>-7.875</v>
      </c>
      <c r="CJ40" s="4">
        <f t="shared" si="152"/>
        <v>1.25</v>
      </c>
      <c r="CK40" s="93">
        <f t="shared" si="153"/>
        <v>1.8199999999999998</v>
      </c>
      <c r="CL40" s="83">
        <f t="shared" si="154"/>
        <v>-116</v>
      </c>
      <c r="CM40" s="4" t="str">
        <f t="shared" si="155"/>
        <v/>
      </c>
      <c r="CN40" s="96">
        <f t="shared" si="156"/>
        <v>-0.56999999999999995</v>
      </c>
      <c r="CO40" s="96">
        <f t="shared" si="265"/>
        <v>0.36797678529459443</v>
      </c>
      <c r="CP40" s="127">
        <f t="shared" si="157"/>
        <v>1.5</v>
      </c>
      <c r="CQ40" s="127">
        <f t="shared" si="158"/>
        <v>0.75</v>
      </c>
      <c r="CR40" s="136">
        <f t="shared" si="159"/>
        <v>30</v>
      </c>
      <c r="CS40" s="136">
        <f t="shared" si="160"/>
        <v>70</v>
      </c>
      <c r="CT40" s="135">
        <f t="shared" si="161"/>
        <v>60</v>
      </c>
      <c r="CU40" s="139" t="str">
        <f t="shared" si="162"/>
        <v/>
      </c>
      <c r="CV40" s="96" t="str">
        <f t="shared" si="163"/>
        <v/>
      </c>
      <c r="CW40" s="141" t="str">
        <f t="shared" si="164"/>
        <v/>
      </c>
      <c r="ET40" s="83">
        <v>7.87</v>
      </c>
      <c r="EU40" s="4">
        <v>8.0500000000000007</v>
      </c>
      <c r="EV40" s="4">
        <v>105.5</v>
      </c>
      <c r="EW40" s="4">
        <v>1</v>
      </c>
      <c r="EX40" s="4">
        <v>-0.01</v>
      </c>
      <c r="EY40" s="4">
        <v>0.28999999999999998</v>
      </c>
      <c r="EZ40" s="4">
        <v>-0.67</v>
      </c>
      <c r="FA40" s="4">
        <v>-0.14000000000000001</v>
      </c>
      <c r="FB40" s="4">
        <v>530</v>
      </c>
      <c r="FC40" s="4">
        <v>525</v>
      </c>
      <c r="FD40" s="4">
        <v>661</v>
      </c>
      <c r="FE40" s="4">
        <v>646</v>
      </c>
      <c r="FF40" s="4">
        <v>634</v>
      </c>
      <c r="FG40" s="4">
        <v>619</v>
      </c>
      <c r="FH40" s="4">
        <v>513</v>
      </c>
      <c r="FI40" s="4">
        <v>-1.01</v>
      </c>
      <c r="FJ40" s="4">
        <v>-0.54</v>
      </c>
      <c r="FK40" s="4">
        <v>7.96</v>
      </c>
      <c r="FL40" s="4">
        <v>7.93</v>
      </c>
      <c r="FM40" s="4">
        <v>7.91</v>
      </c>
      <c r="FN40" s="4">
        <v>7.97</v>
      </c>
      <c r="FO40" s="4">
        <v>8.15</v>
      </c>
      <c r="FP40" s="4">
        <v>8.36</v>
      </c>
      <c r="FQ40" s="4">
        <v>0</v>
      </c>
      <c r="FR40" s="4">
        <v>1.5</v>
      </c>
      <c r="FS40" s="4">
        <v>6.29</v>
      </c>
      <c r="FT40" s="4">
        <v>6.22</v>
      </c>
      <c r="FU40" s="4">
        <v>6.31</v>
      </c>
      <c r="FV40" s="4">
        <v>6.59</v>
      </c>
      <c r="FW40" s="4">
        <v>6.94</v>
      </c>
      <c r="FX40" s="4">
        <v>0</v>
      </c>
      <c r="FY40" s="4">
        <v>0</v>
      </c>
      <c r="FZ40" s="86">
        <v>1.5</v>
      </c>
      <c r="GP40" s="83">
        <v>7.78</v>
      </c>
      <c r="GQ40" s="4">
        <v>7.92</v>
      </c>
      <c r="GR40" s="4">
        <v>117.6</v>
      </c>
      <c r="GS40" s="4">
        <v>0.7</v>
      </c>
      <c r="GT40" s="4">
        <v>0.19</v>
      </c>
      <c r="GU40" s="4">
        <v>0.35</v>
      </c>
      <c r="GV40" s="4">
        <v>4.68</v>
      </c>
      <c r="GW40" s="4">
        <v>5.21</v>
      </c>
      <c r="GX40" s="4">
        <v>538</v>
      </c>
      <c r="GY40" s="4">
        <v>532</v>
      </c>
      <c r="GZ40" s="4">
        <v>639</v>
      </c>
      <c r="HA40" s="4">
        <v>625</v>
      </c>
      <c r="HB40" s="4">
        <v>630</v>
      </c>
      <c r="HC40" s="4">
        <v>609</v>
      </c>
      <c r="HD40" s="4">
        <v>523</v>
      </c>
      <c r="HE40" s="4">
        <v>-0.98</v>
      </c>
      <c r="HF40" s="4">
        <v>-0.63</v>
      </c>
      <c r="HG40" s="4">
        <v>7.84</v>
      </c>
      <c r="HH40" s="4">
        <v>7.86</v>
      </c>
      <c r="HI40" s="4">
        <v>7.87</v>
      </c>
      <c r="HJ40" s="4">
        <v>7.93</v>
      </c>
      <c r="HK40" s="4">
        <v>8.1199999999999992</v>
      </c>
      <c r="HL40" s="4">
        <v>8.4</v>
      </c>
      <c r="HM40" s="4">
        <v>0</v>
      </c>
      <c r="HN40" s="4">
        <v>1.3</v>
      </c>
      <c r="HO40" s="4">
        <v>6.36</v>
      </c>
      <c r="HP40" s="4">
        <v>6.33</v>
      </c>
      <c r="HQ40" s="4">
        <v>6.47</v>
      </c>
      <c r="HR40" s="4">
        <v>6.76</v>
      </c>
      <c r="HS40" s="4">
        <v>6.96</v>
      </c>
      <c r="HT40" s="4">
        <v>7.21</v>
      </c>
      <c r="HU40" s="4">
        <v>0</v>
      </c>
      <c r="HV40" s="93">
        <v>1.3</v>
      </c>
      <c r="IL40" s="83">
        <f t="shared" si="165"/>
        <v>7.78</v>
      </c>
      <c r="IM40" s="4">
        <f t="shared" si="166"/>
        <v>7.92</v>
      </c>
      <c r="IN40" s="4">
        <f t="shared" si="167"/>
        <v>117.6</v>
      </c>
      <c r="IO40" s="4">
        <f t="shared" si="168"/>
        <v>0.7</v>
      </c>
      <c r="IP40" s="4">
        <f t="shared" si="169"/>
        <v>0.19</v>
      </c>
      <c r="IQ40" s="4">
        <f t="shared" si="170"/>
        <v>0.35</v>
      </c>
      <c r="IR40" s="4">
        <f t="shared" si="171"/>
        <v>4.68</v>
      </c>
      <c r="IS40" s="4">
        <f t="shared" si="172"/>
        <v>5.21</v>
      </c>
      <c r="IT40" s="4">
        <f t="shared" si="173"/>
        <v>538</v>
      </c>
      <c r="IU40" s="4">
        <f t="shared" si="174"/>
        <v>532</v>
      </c>
      <c r="IV40" s="4">
        <f t="shared" si="175"/>
        <v>639</v>
      </c>
      <c r="IW40" s="4">
        <f t="shared" si="176"/>
        <v>625</v>
      </c>
      <c r="IX40" s="4">
        <f t="shared" si="177"/>
        <v>630</v>
      </c>
      <c r="IY40" s="4">
        <f t="shared" si="178"/>
        <v>609</v>
      </c>
      <c r="IZ40" s="4">
        <f t="shared" si="179"/>
        <v>523</v>
      </c>
      <c r="JA40" s="4">
        <f t="shared" si="180"/>
        <v>-0.98</v>
      </c>
      <c r="JB40" s="4">
        <f t="shared" si="181"/>
        <v>-0.63</v>
      </c>
      <c r="JC40" s="4">
        <f t="shared" si="182"/>
        <v>7.84</v>
      </c>
      <c r="JD40" s="4">
        <f t="shared" si="183"/>
        <v>7.86</v>
      </c>
      <c r="JE40" s="4">
        <f t="shared" si="184"/>
        <v>7.87</v>
      </c>
      <c r="JF40" s="4">
        <f t="shared" si="185"/>
        <v>7.93</v>
      </c>
      <c r="JG40" s="4">
        <f t="shared" si="186"/>
        <v>8.1199999999999992</v>
      </c>
      <c r="JH40" s="4">
        <f t="shared" si="187"/>
        <v>8.4</v>
      </c>
      <c r="JI40" s="4">
        <f t="shared" si="188"/>
        <v>0</v>
      </c>
      <c r="JJ40" s="4">
        <f t="shared" si="189"/>
        <v>1.3</v>
      </c>
      <c r="JK40" s="4">
        <f t="shared" si="190"/>
        <v>6.36</v>
      </c>
      <c r="JL40" s="4">
        <f t="shared" si="191"/>
        <v>6.33</v>
      </c>
      <c r="JM40" s="4">
        <f t="shared" si="192"/>
        <v>6.47</v>
      </c>
      <c r="JN40" s="4">
        <f t="shared" si="193"/>
        <v>6.76</v>
      </c>
      <c r="JO40" s="4">
        <f t="shared" si="194"/>
        <v>6.96</v>
      </c>
      <c r="JP40" s="4">
        <f t="shared" si="195"/>
        <v>7.21</v>
      </c>
      <c r="JQ40" s="117">
        <f t="shared" si="196"/>
        <v>0</v>
      </c>
      <c r="JR40" s="110">
        <f t="shared" si="197"/>
        <v>1.3</v>
      </c>
      <c r="JS40" s="110" t="str">
        <f t="shared" si="198"/>
        <v/>
      </c>
      <c r="JT40" s="110" t="str">
        <f t="shared" si="199"/>
        <v/>
      </c>
      <c r="JU40" s="110" t="str">
        <f t="shared" si="200"/>
        <v/>
      </c>
      <c r="JV40" s="110" t="str">
        <f t="shared" si="201"/>
        <v/>
      </c>
      <c r="JW40" s="110" t="str">
        <f t="shared" si="202"/>
        <v/>
      </c>
      <c r="JX40" s="110" t="str">
        <f t="shared" si="203"/>
        <v/>
      </c>
      <c r="JY40" s="110" t="str">
        <f t="shared" si="204"/>
        <v/>
      </c>
      <c r="JZ40" s="110" t="str">
        <f t="shared" si="205"/>
        <v/>
      </c>
      <c r="KA40" s="110" t="str">
        <f t="shared" si="206"/>
        <v/>
      </c>
      <c r="KB40" s="110" t="str">
        <f t="shared" si="207"/>
        <v/>
      </c>
      <c r="KC40" s="110" t="str">
        <f t="shared" si="208"/>
        <v/>
      </c>
      <c r="KD40" s="110" t="str">
        <f t="shared" si="209"/>
        <v/>
      </c>
      <c r="KE40" s="110" t="str">
        <f t="shared" si="210"/>
        <v/>
      </c>
      <c r="KF40" s="110" t="str">
        <f t="shared" si="211"/>
        <v/>
      </c>
      <c r="KG40" s="121" t="str">
        <f t="shared" si="212"/>
        <v/>
      </c>
      <c r="KH40" s="83" t="str">
        <f t="shared" si="213"/>
        <v/>
      </c>
      <c r="KI40" s="4" t="str">
        <f t="shared" si="214"/>
        <v/>
      </c>
      <c r="KJ40" s="4" t="str">
        <f t="shared" si="215"/>
        <v/>
      </c>
      <c r="KK40" s="4" t="str">
        <f t="shared" si="216"/>
        <v/>
      </c>
      <c r="KL40" s="4" t="str">
        <f t="shared" si="217"/>
        <v/>
      </c>
      <c r="KM40" s="4" t="str">
        <f t="shared" si="218"/>
        <v/>
      </c>
      <c r="KN40" s="4" t="str">
        <f t="shared" si="219"/>
        <v/>
      </c>
      <c r="KO40" s="4" t="str">
        <f t="shared" si="220"/>
        <v/>
      </c>
      <c r="KP40" s="4" t="str">
        <f t="shared" si="221"/>
        <v/>
      </c>
      <c r="KQ40" s="4" t="str">
        <f t="shared" si="222"/>
        <v/>
      </c>
      <c r="KR40" s="4" t="str">
        <f t="shared" si="223"/>
        <v/>
      </c>
      <c r="KS40" s="4" t="str">
        <f t="shared" si="224"/>
        <v/>
      </c>
      <c r="KT40" s="4" t="str">
        <f t="shared" si="225"/>
        <v/>
      </c>
      <c r="KU40" s="4" t="str">
        <f t="shared" si="226"/>
        <v/>
      </c>
      <c r="KV40" s="4" t="str">
        <f t="shared" si="227"/>
        <v/>
      </c>
      <c r="KW40" s="4" t="str">
        <f t="shared" si="228"/>
        <v/>
      </c>
      <c r="KX40" s="4" t="str">
        <f t="shared" si="229"/>
        <v/>
      </c>
      <c r="KY40" s="4" t="str">
        <f t="shared" si="230"/>
        <v/>
      </c>
      <c r="KZ40" s="4" t="str">
        <f t="shared" si="231"/>
        <v/>
      </c>
      <c r="LA40" s="4" t="str">
        <f t="shared" si="232"/>
        <v/>
      </c>
      <c r="LB40" s="4" t="str">
        <f t="shared" si="233"/>
        <v/>
      </c>
      <c r="LC40" s="4" t="str">
        <f t="shared" si="234"/>
        <v/>
      </c>
      <c r="LD40" s="4" t="str">
        <f t="shared" si="235"/>
        <v/>
      </c>
      <c r="LE40" s="4" t="str">
        <f t="shared" si="236"/>
        <v/>
      </c>
      <c r="LF40" s="4" t="str">
        <f t="shared" si="237"/>
        <v/>
      </c>
      <c r="LG40" s="4" t="str">
        <f t="shared" si="238"/>
        <v/>
      </c>
      <c r="LH40" s="4" t="str">
        <f t="shared" si="239"/>
        <v/>
      </c>
      <c r="LI40" s="4" t="str">
        <f t="shared" si="240"/>
        <v/>
      </c>
      <c r="LJ40" s="4" t="str">
        <f t="shared" si="241"/>
        <v/>
      </c>
      <c r="LK40" s="4" t="str">
        <f t="shared" si="242"/>
        <v/>
      </c>
      <c r="LL40" s="4" t="str">
        <f t="shared" si="243"/>
        <v/>
      </c>
      <c r="LM40" s="4" t="str">
        <f t="shared" si="244"/>
        <v/>
      </c>
      <c r="LN40" s="4" t="str">
        <f t="shared" si="245"/>
        <v/>
      </c>
      <c r="LO40" s="4" t="str">
        <f t="shared" si="246"/>
        <v/>
      </c>
      <c r="LP40" s="4" t="str">
        <f t="shared" si="247"/>
        <v/>
      </c>
      <c r="LQ40" s="4" t="str">
        <f t="shared" si="248"/>
        <v/>
      </c>
      <c r="LR40" s="4" t="str">
        <f t="shared" si="249"/>
        <v/>
      </c>
      <c r="LS40" s="4" t="str">
        <f t="shared" si="250"/>
        <v/>
      </c>
      <c r="LT40" s="4" t="str">
        <f t="shared" si="251"/>
        <v/>
      </c>
      <c r="LU40" s="4" t="str">
        <f t="shared" si="252"/>
        <v/>
      </c>
      <c r="LV40" s="4" t="str">
        <f t="shared" si="253"/>
        <v/>
      </c>
      <c r="LW40" s="4" t="str">
        <f t="shared" si="254"/>
        <v/>
      </c>
      <c r="LX40" s="4" t="str">
        <f t="shared" si="255"/>
        <v/>
      </c>
      <c r="LY40" s="4" t="str">
        <f t="shared" si="256"/>
        <v/>
      </c>
      <c r="LZ40" s="4" t="str">
        <f t="shared" si="257"/>
        <v/>
      </c>
      <c r="MA40" s="4" t="str">
        <f t="shared" si="258"/>
        <v/>
      </c>
      <c r="MB40" s="4" t="str">
        <f t="shared" si="259"/>
        <v/>
      </c>
      <c r="MC40" s="4" t="str">
        <f t="shared" si="260"/>
        <v/>
      </c>
      <c r="MD40" s="4" t="str">
        <f t="shared" si="261"/>
        <v/>
      </c>
      <c r="ME40" s="4" t="str">
        <f t="shared" si="262"/>
        <v/>
      </c>
      <c r="MF40" s="4" t="str">
        <f t="shared" si="263"/>
        <v/>
      </c>
      <c r="MG40" s="4">
        <f t="shared" si="264"/>
        <v>0</v>
      </c>
    </row>
    <row r="41" spans="1:345" ht="26.25" customHeight="1" thickBot="1" x14ac:dyDescent="0.25">
      <c r="A41" s="35">
        <v>41150</v>
      </c>
      <c r="B41" s="36" t="s">
        <v>174</v>
      </c>
      <c r="C41" s="36" t="s">
        <v>3</v>
      </c>
      <c r="D41" s="31" t="s">
        <v>110</v>
      </c>
      <c r="E41" s="4">
        <v>69</v>
      </c>
      <c r="F41" s="3">
        <v>15728</v>
      </c>
      <c r="G41" s="4" t="s">
        <v>87</v>
      </c>
      <c r="H41" s="4" t="s">
        <v>112</v>
      </c>
      <c r="I41" s="4">
        <v>1835205</v>
      </c>
      <c r="J41" s="2" t="s">
        <v>309</v>
      </c>
      <c r="K41" s="235"/>
      <c r="L41" s="236"/>
      <c r="M41" s="236"/>
      <c r="N41" s="98" t="s">
        <v>651</v>
      </c>
      <c r="O41" s="235"/>
      <c r="P41" s="236"/>
      <c r="Q41" s="236"/>
      <c r="R41" s="4">
        <v>-0.5</v>
      </c>
      <c r="S41" s="4">
        <v>-0.52</v>
      </c>
      <c r="T41" s="4" t="s">
        <v>249</v>
      </c>
      <c r="U41" s="67">
        <v>16</v>
      </c>
      <c r="V41" s="124">
        <v>41071</v>
      </c>
      <c r="W41" s="67">
        <v>-4</v>
      </c>
      <c r="X41" s="67">
        <v>0.5</v>
      </c>
      <c r="Y41" s="4">
        <v>137</v>
      </c>
      <c r="Z41" s="4">
        <v>30</v>
      </c>
      <c r="AA41" s="4">
        <v>18</v>
      </c>
      <c r="AB41" s="4">
        <v>599</v>
      </c>
      <c r="AC41" s="4">
        <v>26.53</v>
      </c>
      <c r="AD41" s="4">
        <v>12.3</v>
      </c>
      <c r="AE41" s="4">
        <v>4.72</v>
      </c>
      <c r="AF41" s="4">
        <v>3.75</v>
      </c>
      <c r="AG41" s="4">
        <v>43.16</v>
      </c>
      <c r="AH41" s="4">
        <v>92</v>
      </c>
      <c r="AI41" s="4">
        <v>43.89</v>
      </c>
      <c r="AJ41" s="4">
        <v>2</v>
      </c>
      <c r="AK41" s="4">
        <v>0</v>
      </c>
      <c r="AL41" s="4" t="b">
        <f t="shared" si="135"/>
        <v>0</v>
      </c>
      <c r="AN41" s="37" t="s">
        <v>78</v>
      </c>
      <c r="BC41" s="4" t="str">
        <f t="shared" si="136"/>
        <v/>
      </c>
      <c r="BD41" s="4" t="str">
        <f t="shared" si="133"/>
        <v/>
      </c>
      <c r="BE41" s="4" t="str">
        <f t="shared" si="137"/>
        <v/>
      </c>
      <c r="BF41" s="3">
        <v>41570</v>
      </c>
      <c r="BG41" s="56">
        <v>100</v>
      </c>
      <c r="BH41" s="67">
        <v>-3.5</v>
      </c>
      <c r="BI41" s="67">
        <v>0.25</v>
      </c>
      <c r="BJ41" s="4">
        <v>130</v>
      </c>
      <c r="BK41" s="4">
        <v>25</v>
      </c>
      <c r="BL41" s="4">
        <v>15</v>
      </c>
      <c r="BM41" s="4">
        <v>538</v>
      </c>
      <c r="BN41" s="4">
        <v>2237</v>
      </c>
      <c r="BO41" s="51" t="s">
        <v>282</v>
      </c>
      <c r="BP41" s="51" t="s">
        <v>282</v>
      </c>
      <c r="BQ41" s="4">
        <v>42.4</v>
      </c>
      <c r="BR41" s="4">
        <v>92</v>
      </c>
      <c r="BS41" s="4">
        <v>42.99</v>
      </c>
      <c r="BT41" s="4">
        <v>2</v>
      </c>
      <c r="BU41" s="4">
        <f t="shared" si="134"/>
        <v>-3.375</v>
      </c>
      <c r="BV41" s="4">
        <f t="shared" si="138"/>
        <v>-2.855</v>
      </c>
      <c r="BW41" s="4">
        <f t="shared" si="139"/>
        <v>-61</v>
      </c>
      <c r="BX41" s="4">
        <f t="shared" si="140"/>
        <v>1</v>
      </c>
      <c r="BY41" s="4">
        <f t="shared" si="141"/>
        <v>0</v>
      </c>
      <c r="BZ41" s="4" t="str">
        <f t="shared" si="142"/>
        <v/>
      </c>
      <c r="CA41" s="4" t="str">
        <f t="shared" si="143"/>
        <v/>
      </c>
      <c r="CB41" s="4" t="str">
        <f t="shared" si="144"/>
        <v/>
      </c>
      <c r="CC41" s="53">
        <f t="shared" si="145"/>
        <v>420</v>
      </c>
      <c r="CD41" s="55">
        <f t="shared" si="146"/>
        <v>14</v>
      </c>
      <c r="CE41" s="4" t="str">
        <f t="shared" si="147"/>
        <v/>
      </c>
      <c r="CF41" s="4" t="str">
        <f t="shared" si="148"/>
        <v/>
      </c>
      <c r="CG41" s="4">
        <f t="shared" si="149"/>
        <v>-0.82999999999999829</v>
      </c>
      <c r="CH41" s="4">
        <f t="shared" si="150"/>
        <v>-0.82999999999999829</v>
      </c>
      <c r="CI41" s="4">
        <f t="shared" si="151"/>
        <v>-3.75</v>
      </c>
      <c r="CJ41" s="4">
        <f t="shared" si="152"/>
        <v>-3.375</v>
      </c>
      <c r="CK41" s="93">
        <f t="shared" si="153"/>
        <v>-2.855</v>
      </c>
      <c r="CL41" s="83">
        <f t="shared" si="154"/>
        <v>-61</v>
      </c>
      <c r="CM41" s="4" t="str">
        <f t="shared" si="155"/>
        <v/>
      </c>
      <c r="CN41" s="96">
        <f t="shared" si="156"/>
        <v>-0.52</v>
      </c>
      <c r="CO41" s="96">
        <f t="shared" si="265"/>
        <v>7.9181246047624873E-2</v>
      </c>
      <c r="CP41" s="127">
        <f t="shared" si="157"/>
        <v>0.25</v>
      </c>
      <c r="CQ41" s="127">
        <f t="shared" si="158"/>
        <v>-0.25</v>
      </c>
      <c r="CR41" s="136">
        <f t="shared" si="159"/>
        <v>25</v>
      </c>
      <c r="CS41" s="136">
        <f t="shared" si="160"/>
        <v>30</v>
      </c>
      <c r="CT41" s="135">
        <f t="shared" si="161"/>
        <v>100</v>
      </c>
      <c r="CU41" s="139" t="str">
        <f t="shared" si="162"/>
        <v/>
      </c>
      <c r="CV41" s="96">
        <f t="shared" si="163"/>
        <v>0</v>
      </c>
      <c r="CW41" s="141" t="b">
        <f t="shared" si="164"/>
        <v>0</v>
      </c>
      <c r="CX41">
        <v>7.89</v>
      </c>
      <c r="CY41" s="4">
        <v>7.93</v>
      </c>
      <c r="CZ41" s="4">
        <v>65.2</v>
      </c>
      <c r="DA41" s="4">
        <v>0.2</v>
      </c>
      <c r="DB41" s="4">
        <v>0.34</v>
      </c>
      <c r="DC41" s="4">
        <v>0.52</v>
      </c>
      <c r="DD41" s="4">
        <v>3.26</v>
      </c>
      <c r="DE41" s="4">
        <v>3.86</v>
      </c>
      <c r="DF41" s="4">
        <v>595</v>
      </c>
      <c r="DG41" s="4">
        <v>596</v>
      </c>
      <c r="DH41" s="4">
        <v>658</v>
      </c>
      <c r="DI41" s="4">
        <v>642</v>
      </c>
      <c r="DJ41" s="4">
        <v>628</v>
      </c>
      <c r="DK41" s="4">
        <v>641</v>
      </c>
      <c r="DL41" s="4">
        <v>590</v>
      </c>
      <c r="DM41" s="4">
        <v>-1.08</v>
      </c>
      <c r="DN41" s="4">
        <v>0.57999999999999996</v>
      </c>
      <c r="DO41" s="4">
        <v>7.92</v>
      </c>
      <c r="DP41" s="4">
        <v>7.91</v>
      </c>
      <c r="DQ41" s="4">
        <v>7.92</v>
      </c>
      <c r="DR41" s="4">
        <v>8.07</v>
      </c>
      <c r="DS41" s="4">
        <v>8.5</v>
      </c>
      <c r="DT41" s="4">
        <v>9</v>
      </c>
      <c r="DU41" s="4">
        <v>0</v>
      </c>
      <c r="DV41" s="4">
        <v>0.6</v>
      </c>
      <c r="DW41" s="4">
        <v>7.17</v>
      </c>
      <c r="DX41" s="4">
        <v>6.77</v>
      </c>
      <c r="DY41" s="4">
        <v>6.7</v>
      </c>
      <c r="DZ41" s="4">
        <v>6.89</v>
      </c>
      <c r="EA41" s="4">
        <v>7.13</v>
      </c>
      <c r="EB41" s="4">
        <v>7.28</v>
      </c>
      <c r="EC41" s="4">
        <v>0</v>
      </c>
      <c r="ED41" s="89">
        <v>0.6</v>
      </c>
      <c r="EE41" s="110">
        <v>42.6</v>
      </c>
      <c r="EF41" s="110">
        <v>42.8</v>
      </c>
      <c r="EG41" s="110">
        <v>42.7</v>
      </c>
      <c r="EH41" s="110">
        <v>65.2</v>
      </c>
      <c r="EI41" s="110">
        <v>0.2</v>
      </c>
      <c r="EJ41" s="110">
        <v>-5.6</v>
      </c>
      <c r="EK41" s="110">
        <v>-5.8</v>
      </c>
      <c r="EL41" s="110">
        <v>-5.7</v>
      </c>
      <c r="EM41" s="110">
        <v>157.5</v>
      </c>
      <c r="EN41" s="110">
        <v>0.2</v>
      </c>
      <c r="EO41" s="110">
        <v>4.2</v>
      </c>
      <c r="EP41" s="110">
        <v>12.1</v>
      </c>
      <c r="EQ41" s="110">
        <v>25.5</v>
      </c>
      <c r="ER41" s="110">
        <v>60.1</v>
      </c>
      <c r="ES41" s="114">
        <v>9</v>
      </c>
      <c r="GP41" s="83">
        <v>7.93</v>
      </c>
      <c r="GQ41" s="4">
        <v>8.0299999999999994</v>
      </c>
      <c r="GR41" s="4">
        <v>90</v>
      </c>
      <c r="GS41" s="4">
        <v>0.5</v>
      </c>
      <c r="GT41" s="4">
        <v>0.37</v>
      </c>
      <c r="GU41" s="4">
        <v>0.46</v>
      </c>
      <c r="GV41" s="4">
        <v>4.7</v>
      </c>
      <c r="GW41" s="4">
        <v>5.22</v>
      </c>
      <c r="GX41" s="4">
        <v>524</v>
      </c>
      <c r="GY41" s="4">
        <v>522</v>
      </c>
      <c r="GZ41" s="4">
        <v>657</v>
      </c>
      <c r="HA41" s="4">
        <v>617</v>
      </c>
      <c r="HB41" s="4">
        <v>615</v>
      </c>
      <c r="HC41" s="4">
        <v>611</v>
      </c>
      <c r="HD41" s="4">
        <v>519</v>
      </c>
      <c r="HE41" s="4">
        <v>0.61</v>
      </c>
      <c r="HF41" s="4">
        <v>7.0000000000000007E-2</v>
      </c>
      <c r="HG41" s="4">
        <v>8</v>
      </c>
      <c r="HH41" s="4">
        <v>7.94</v>
      </c>
      <c r="HI41" s="4">
        <v>7.93</v>
      </c>
      <c r="HJ41" s="4">
        <v>8.06</v>
      </c>
      <c r="HK41" s="4">
        <v>8.4700000000000006</v>
      </c>
      <c r="HL41" s="4">
        <v>8.69</v>
      </c>
      <c r="HM41" s="4">
        <v>0</v>
      </c>
      <c r="HN41" s="4">
        <v>1.6</v>
      </c>
      <c r="HO41" s="4">
        <v>6.27</v>
      </c>
      <c r="HP41" s="4">
        <v>6.35</v>
      </c>
      <c r="HQ41" s="4">
        <v>6.54</v>
      </c>
      <c r="HR41" s="4">
        <v>6.81</v>
      </c>
      <c r="HS41" s="4">
        <v>7.11</v>
      </c>
      <c r="HT41" s="4">
        <v>0</v>
      </c>
      <c r="HU41" s="4">
        <v>0</v>
      </c>
      <c r="HV41" s="93">
        <v>1.6</v>
      </c>
      <c r="HW41" s="110">
        <v>42</v>
      </c>
      <c r="HX41" s="110">
        <v>42.5</v>
      </c>
      <c r="HY41" s="110">
        <v>42.3</v>
      </c>
      <c r="HZ41" s="110">
        <v>90</v>
      </c>
      <c r="IA41" s="110">
        <v>0.5</v>
      </c>
      <c r="IB41" s="110">
        <v>-6.3</v>
      </c>
      <c r="IC41" s="110">
        <v>-6.5</v>
      </c>
      <c r="ID41" s="110">
        <v>-6.4</v>
      </c>
      <c r="IE41" s="110">
        <v>172.4</v>
      </c>
      <c r="IF41" s="110">
        <v>0.2</v>
      </c>
      <c r="IG41" s="110">
        <v>3.8</v>
      </c>
      <c r="IH41" s="110">
        <v>11.3</v>
      </c>
      <c r="II41" s="110">
        <v>24.4</v>
      </c>
      <c r="IJ41" s="110">
        <v>59.2</v>
      </c>
      <c r="IK41" s="121">
        <v>13</v>
      </c>
      <c r="IL41" s="83">
        <f t="shared" si="165"/>
        <v>7.93</v>
      </c>
      <c r="IM41" s="4">
        <f t="shared" si="166"/>
        <v>8.0299999999999994</v>
      </c>
      <c r="IN41" s="4">
        <f t="shared" si="167"/>
        <v>90</v>
      </c>
      <c r="IO41" s="4">
        <f t="shared" si="168"/>
        <v>0.5</v>
      </c>
      <c r="IP41" s="4">
        <f t="shared" si="169"/>
        <v>0.37</v>
      </c>
      <c r="IQ41" s="4">
        <f t="shared" si="170"/>
        <v>0.46</v>
      </c>
      <c r="IR41" s="4">
        <f t="shared" si="171"/>
        <v>4.7</v>
      </c>
      <c r="IS41" s="4">
        <f t="shared" si="172"/>
        <v>5.22</v>
      </c>
      <c r="IT41" s="4">
        <f t="shared" si="173"/>
        <v>524</v>
      </c>
      <c r="IU41" s="4">
        <f t="shared" si="174"/>
        <v>522</v>
      </c>
      <c r="IV41" s="4">
        <f t="shared" si="175"/>
        <v>657</v>
      </c>
      <c r="IW41" s="4">
        <f t="shared" si="176"/>
        <v>617</v>
      </c>
      <c r="IX41" s="4">
        <f t="shared" si="177"/>
        <v>615</v>
      </c>
      <c r="IY41" s="4">
        <f t="shared" si="178"/>
        <v>611</v>
      </c>
      <c r="IZ41" s="4">
        <f t="shared" si="179"/>
        <v>519</v>
      </c>
      <c r="JA41" s="4">
        <f t="shared" si="180"/>
        <v>0.61</v>
      </c>
      <c r="JB41" s="4">
        <f t="shared" si="181"/>
        <v>7.0000000000000007E-2</v>
      </c>
      <c r="JC41" s="4">
        <f t="shared" si="182"/>
        <v>8</v>
      </c>
      <c r="JD41" s="4">
        <f t="shared" si="183"/>
        <v>7.94</v>
      </c>
      <c r="JE41" s="4">
        <f t="shared" si="184"/>
        <v>7.93</v>
      </c>
      <c r="JF41" s="4">
        <f t="shared" si="185"/>
        <v>8.06</v>
      </c>
      <c r="JG41" s="4">
        <f t="shared" si="186"/>
        <v>8.4700000000000006</v>
      </c>
      <c r="JH41" s="4">
        <f t="shared" si="187"/>
        <v>8.69</v>
      </c>
      <c r="JI41" s="4">
        <f t="shared" si="188"/>
        <v>0</v>
      </c>
      <c r="JJ41" s="4">
        <f t="shared" si="189"/>
        <v>1.6</v>
      </c>
      <c r="JK41" s="4">
        <f t="shared" si="190"/>
        <v>6.27</v>
      </c>
      <c r="JL41" s="4">
        <f t="shared" si="191"/>
        <v>6.35</v>
      </c>
      <c r="JM41" s="4">
        <f t="shared" si="192"/>
        <v>6.54</v>
      </c>
      <c r="JN41" s="4">
        <f t="shared" si="193"/>
        <v>6.81</v>
      </c>
      <c r="JO41" s="4">
        <f t="shared" si="194"/>
        <v>7.11</v>
      </c>
      <c r="JP41" s="4">
        <f t="shared" si="195"/>
        <v>0</v>
      </c>
      <c r="JQ41" s="117">
        <f t="shared" si="196"/>
        <v>0</v>
      </c>
      <c r="JR41" s="110">
        <f t="shared" si="197"/>
        <v>1.6</v>
      </c>
      <c r="JS41" s="110">
        <f t="shared" si="198"/>
        <v>42</v>
      </c>
      <c r="JT41" s="110">
        <f t="shared" si="199"/>
        <v>42.5</v>
      </c>
      <c r="JU41" s="110">
        <f t="shared" si="200"/>
        <v>42.3</v>
      </c>
      <c r="JV41" s="110">
        <f t="shared" si="201"/>
        <v>90</v>
      </c>
      <c r="JW41" s="110">
        <f t="shared" si="202"/>
        <v>0.5</v>
      </c>
      <c r="JX41" s="110">
        <f t="shared" si="203"/>
        <v>-6.3</v>
      </c>
      <c r="JY41" s="110">
        <f t="shared" si="204"/>
        <v>-6.5</v>
      </c>
      <c r="JZ41" s="110">
        <f t="shared" si="205"/>
        <v>-6.4</v>
      </c>
      <c r="KA41" s="110">
        <f t="shared" si="206"/>
        <v>172.4</v>
      </c>
      <c r="KB41" s="110">
        <f t="shared" si="207"/>
        <v>0.2</v>
      </c>
      <c r="KC41" s="110">
        <f t="shared" si="208"/>
        <v>3.8</v>
      </c>
      <c r="KD41" s="110">
        <f t="shared" si="209"/>
        <v>11.3</v>
      </c>
      <c r="KE41" s="110">
        <f t="shared" si="210"/>
        <v>24.4</v>
      </c>
      <c r="KF41" s="110">
        <f t="shared" si="211"/>
        <v>59.2</v>
      </c>
      <c r="KG41" s="121">
        <f t="shared" si="212"/>
        <v>13</v>
      </c>
      <c r="KH41" s="83">
        <f t="shared" si="213"/>
        <v>4.0000000000000036E-2</v>
      </c>
      <c r="KI41" s="4">
        <f t="shared" si="214"/>
        <v>9.9999999999999645E-2</v>
      </c>
      <c r="KJ41" s="4">
        <f t="shared" si="215"/>
        <v>24.799999999999997</v>
      </c>
      <c r="KK41" s="4">
        <f t="shared" si="216"/>
        <v>0.3</v>
      </c>
      <c r="KL41" s="4">
        <f t="shared" si="217"/>
        <v>2.9999999999999971E-2</v>
      </c>
      <c r="KM41" s="4">
        <f t="shared" si="218"/>
        <v>-0.06</v>
      </c>
      <c r="KN41" s="4">
        <f t="shared" si="219"/>
        <v>1.4400000000000004</v>
      </c>
      <c r="KO41" s="4">
        <f t="shared" si="220"/>
        <v>1.3599999999999999</v>
      </c>
      <c r="KP41" s="4">
        <f t="shared" si="221"/>
        <v>-71</v>
      </c>
      <c r="KQ41" s="4">
        <f t="shared" si="222"/>
        <v>-74</v>
      </c>
      <c r="KR41" s="4">
        <f t="shared" si="223"/>
        <v>-1</v>
      </c>
      <c r="KS41" s="4">
        <f t="shared" si="224"/>
        <v>-25</v>
      </c>
      <c r="KT41" s="4">
        <f t="shared" si="225"/>
        <v>-13</v>
      </c>
      <c r="KU41" s="4">
        <f t="shared" si="226"/>
        <v>-30</v>
      </c>
      <c r="KV41" s="4">
        <f t="shared" si="227"/>
        <v>-71</v>
      </c>
      <c r="KW41" s="4">
        <f t="shared" si="228"/>
        <v>1.69</v>
      </c>
      <c r="KX41" s="4">
        <f t="shared" si="229"/>
        <v>-0.51</v>
      </c>
      <c r="KY41" s="4">
        <f t="shared" si="230"/>
        <v>8.0000000000000071E-2</v>
      </c>
      <c r="KZ41" s="4">
        <f t="shared" si="231"/>
        <v>3.0000000000000249E-2</v>
      </c>
      <c r="LA41" s="4">
        <f t="shared" si="232"/>
        <v>9.9999999999997868E-3</v>
      </c>
      <c r="LB41" s="4">
        <f t="shared" si="233"/>
        <v>-9.9999999999997868E-3</v>
      </c>
      <c r="LC41" s="4">
        <f t="shared" si="234"/>
        <v>-2.9999999999999361E-2</v>
      </c>
      <c r="LD41" s="4">
        <f t="shared" si="235"/>
        <v>-0.3100000000000005</v>
      </c>
      <c r="LE41" s="4">
        <f t="shared" si="236"/>
        <v>0</v>
      </c>
      <c r="LF41" s="4">
        <f t="shared" si="237"/>
        <v>1</v>
      </c>
      <c r="LG41" s="4">
        <f t="shared" si="238"/>
        <v>-0.90000000000000036</v>
      </c>
      <c r="LH41" s="4">
        <f t="shared" si="239"/>
        <v>-0.41999999999999993</v>
      </c>
      <c r="LI41" s="4">
        <f t="shared" si="240"/>
        <v>-0.16000000000000014</v>
      </c>
      <c r="LJ41" s="4">
        <f t="shared" si="241"/>
        <v>-8.0000000000000071E-2</v>
      </c>
      <c r="LK41" s="4">
        <f t="shared" si="242"/>
        <v>-1.9999999999999574E-2</v>
      </c>
      <c r="LL41" s="4">
        <f t="shared" si="243"/>
        <v>-7.28</v>
      </c>
      <c r="LM41" s="4">
        <f t="shared" si="244"/>
        <v>0</v>
      </c>
      <c r="LN41" s="4">
        <f t="shared" si="245"/>
        <v>1</v>
      </c>
      <c r="LO41" s="4">
        <f t="shared" si="246"/>
        <v>-0.60000000000000142</v>
      </c>
      <c r="LP41" s="4">
        <f t="shared" si="247"/>
        <v>-0.29999999999999716</v>
      </c>
      <c r="LQ41" s="4">
        <f t="shared" si="248"/>
        <v>-0.40000000000000568</v>
      </c>
      <c r="LR41" s="4">
        <f t="shared" si="249"/>
        <v>24.799999999999997</v>
      </c>
      <c r="LS41" s="4">
        <f t="shared" si="250"/>
        <v>0.3</v>
      </c>
      <c r="LT41" s="4">
        <f t="shared" si="251"/>
        <v>-0.70000000000000018</v>
      </c>
      <c r="LU41" s="4">
        <f t="shared" si="252"/>
        <v>-0.70000000000000018</v>
      </c>
      <c r="LV41" s="4">
        <f t="shared" si="253"/>
        <v>-0.70000000000000018</v>
      </c>
      <c r="LW41" s="4">
        <f t="shared" si="254"/>
        <v>14.900000000000006</v>
      </c>
      <c r="LX41" s="4">
        <f t="shared" si="255"/>
        <v>0</v>
      </c>
      <c r="LY41" s="4">
        <f t="shared" si="256"/>
        <v>-0.40000000000000036</v>
      </c>
      <c r="LZ41" s="4">
        <f t="shared" si="257"/>
        <v>-0.79999999999999893</v>
      </c>
      <c r="MA41" s="4">
        <f t="shared" si="258"/>
        <v>-1.1000000000000014</v>
      </c>
      <c r="MB41" s="4">
        <f t="shared" si="259"/>
        <v>-0.89999999999999858</v>
      </c>
      <c r="MC41" s="4">
        <f t="shared" si="260"/>
        <v>4</v>
      </c>
      <c r="MD41" s="4" t="str">
        <f t="shared" si="261"/>
        <v/>
      </c>
      <c r="ME41" s="4" t="str">
        <f t="shared" si="262"/>
        <v/>
      </c>
      <c r="MF41" s="4" t="str">
        <f t="shared" si="263"/>
        <v/>
      </c>
      <c r="MG41" s="4">
        <f t="shared" si="264"/>
        <v>-6.5</v>
      </c>
    </row>
    <row r="42" spans="1:345" ht="26.25" customHeight="1" thickBot="1" x14ac:dyDescent="0.25">
      <c r="A42" s="35">
        <v>41185</v>
      </c>
      <c r="B42" s="36" t="s">
        <v>174</v>
      </c>
      <c r="C42" s="36" t="s">
        <v>3</v>
      </c>
      <c r="D42" s="31" t="s">
        <v>111</v>
      </c>
      <c r="E42" s="4">
        <v>69</v>
      </c>
      <c r="F42" s="3">
        <v>15728</v>
      </c>
      <c r="G42" s="4" t="s">
        <v>87</v>
      </c>
      <c r="H42" s="4" t="s">
        <v>112</v>
      </c>
      <c r="I42" s="4">
        <v>1835205</v>
      </c>
      <c r="J42" s="2" t="s">
        <v>309</v>
      </c>
      <c r="K42" s="227"/>
      <c r="L42" s="228"/>
      <c r="M42" s="228"/>
      <c r="N42" s="98" t="s">
        <v>651</v>
      </c>
      <c r="O42" s="258"/>
      <c r="P42" s="228"/>
      <c r="Q42" s="228"/>
      <c r="R42" s="4">
        <v>-0.5</v>
      </c>
      <c r="S42" s="4">
        <v>-0.81</v>
      </c>
      <c r="T42" s="4" t="s">
        <v>249</v>
      </c>
      <c r="U42" s="67">
        <v>15.75</v>
      </c>
      <c r="V42" s="124">
        <v>41184</v>
      </c>
      <c r="W42" s="67">
        <v>-3.25</v>
      </c>
      <c r="X42" s="67">
        <v>0.5</v>
      </c>
      <c r="Y42" s="4">
        <v>148</v>
      </c>
      <c r="Z42" s="4">
        <v>30</v>
      </c>
      <c r="AA42" s="4">
        <v>15</v>
      </c>
      <c r="AB42" s="4">
        <v>600</v>
      </c>
      <c r="AC42" s="4">
        <v>26.59</v>
      </c>
      <c r="AD42" s="4">
        <v>12.4</v>
      </c>
      <c r="AE42" s="4">
        <v>4.6399999999999997</v>
      </c>
      <c r="AF42" s="4">
        <v>3.98</v>
      </c>
      <c r="AG42" s="4">
        <v>43.21</v>
      </c>
      <c r="AH42" s="4">
        <v>21</v>
      </c>
      <c r="AI42" s="4">
        <v>43.49</v>
      </c>
      <c r="AJ42" s="4">
        <v>111</v>
      </c>
      <c r="AK42" s="4">
        <v>1</v>
      </c>
      <c r="AL42" s="4" t="b">
        <f t="shared" si="135"/>
        <v>1</v>
      </c>
      <c r="AM42" s="54"/>
      <c r="AN42" s="37" t="s">
        <v>78</v>
      </c>
      <c r="AO42" s="60"/>
      <c r="BC42" s="4" t="str">
        <f t="shared" si="136"/>
        <v/>
      </c>
      <c r="BD42" s="4" t="str">
        <f t="shared" si="133"/>
        <v/>
      </c>
      <c r="BE42" s="4" t="str">
        <f t="shared" si="137"/>
        <v/>
      </c>
      <c r="BF42" s="3">
        <v>41570</v>
      </c>
      <c r="BG42" s="56">
        <v>100</v>
      </c>
      <c r="BH42" s="67">
        <v>-3.5</v>
      </c>
      <c r="BI42" s="67">
        <v>0.5</v>
      </c>
      <c r="BJ42" s="4">
        <v>95</v>
      </c>
      <c r="BK42" s="4">
        <v>30</v>
      </c>
      <c r="BL42" s="4">
        <v>15</v>
      </c>
      <c r="BM42" s="4">
        <v>530</v>
      </c>
      <c r="BN42" s="4">
        <v>2375</v>
      </c>
      <c r="BO42" s="4" t="s">
        <v>282</v>
      </c>
      <c r="BP42" s="4" t="s">
        <v>282</v>
      </c>
      <c r="BQ42" s="4">
        <v>42.03</v>
      </c>
      <c r="BR42" s="4">
        <v>83</v>
      </c>
      <c r="BS42" s="4">
        <v>42.72</v>
      </c>
      <c r="BT42" s="4">
        <v>173</v>
      </c>
      <c r="BU42" s="4">
        <f t="shared" si="134"/>
        <v>-3.25</v>
      </c>
      <c r="BV42" s="4">
        <f t="shared" si="138"/>
        <v>-2.44</v>
      </c>
      <c r="BW42" s="4">
        <f t="shared" si="139"/>
        <v>-70</v>
      </c>
      <c r="BX42" s="4">
        <f t="shared" si="140"/>
        <v>1</v>
      </c>
      <c r="BY42" s="4">
        <f t="shared" si="141"/>
        <v>0</v>
      </c>
      <c r="BZ42" s="4" t="str">
        <f t="shared" si="142"/>
        <v/>
      </c>
      <c r="CA42" s="4" t="str">
        <f t="shared" si="143"/>
        <v/>
      </c>
      <c r="CB42" s="4" t="str">
        <f t="shared" si="144"/>
        <v/>
      </c>
      <c r="CC42" s="53">
        <f t="shared" si="145"/>
        <v>385</v>
      </c>
      <c r="CD42" s="55">
        <f t="shared" si="146"/>
        <v>12.833333333333334</v>
      </c>
      <c r="CE42" s="4" t="str">
        <f t="shared" si="147"/>
        <v/>
      </c>
      <c r="CF42" s="4" t="str">
        <f t="shared" si="148"/>
        <v/>
      </c>
      <c r="CG42" s="4">
        <f t="shared" si="149"/>
        <v>-0.97500000000000142</v>
      </c>
      <c r="CH42" s="4">
        <f t="shared" si="150"/>
        <v>-0.97500000000000142</v>
      </c>
      <c r="CI42" s="4">
        <f t="shared" si="151"/>
        <v>-3</v>
      </c>
      <c r="CJ42" s="4">
        <f t="shared" si="152"/>
        <v>-3.25</v>
      </c>
      <c r="CK42" s="93">
        <f t="shared" si="153"/>
        <v>-2.44</v>
      </c>
      <c r="CL42" s="83">
        <f t="shared" si="154"/>
        <v>-70</v>
      </c>
      <c r="CM42" s="4" t="str">
        <f t="shared" si="155"/>
        <v/>
      </c>
      <c r="CN42" s="96">
        <f t="shared" si="156"/>
        <v>-0.81</v>
      </c>
      <c r="CO42" s="96">
        <f t="shared" si="265"/>
        <v>0</v>
      </c>
      <c r="CP42" s="127">
        <f t="shared" si="157"/>
        <v>0.5</v>
      </c>
      <c r="CQ42" s="127">
        <f t="shared" si="158"/>
        <v>0</v>
      </c>
      <c r="CR42" s="136">
        <f t="shared" si="159"/>
        <v>30</v>
      </c>
      <c r="CS42" s="136">
        <f t="shared" si="160"/>
        <v>30</v>
      </c>
      <c r="CT42" s="135">
        <f t="shared" si="161"/>
        <v>100</v>
      </c>
      <c r="CU42" s="139" t="str">
        <f t="shared" si="162"/>
        <v/>
      </c>
      <c r="CV42" s="96">
        <f t="shared" si="163"/>
        <v>0</v>
      </c>
      <c r="CW42" s="141" t="b">
        <f t="shared" si="164"/>
        <v>0</v>
      </c>
      <c r="CX42">
        <v>8</v>
      </c>
      <c r="CY42" s="4">
        <v>8.1199999999999992</v>
      </c>
      <c r="CZ42" s="4">
        <v>94.5</v>
      </c>
      <c r="DA42" s="4">
        <v>0.6</v>
      </c>
      <c r="DB42" s="4">
        <v>-0.01</v>
      </c>
      <c r="DC42" s="4">
        <v>0.4</v>
      </c>
      <c r="DD42" s="4">
        <v>3.19</v>
      </c>
      <c r="DE42" s="4">
        <v>3.82</v>
      </c>
      <c r="DF42" s="4">
        <v>632</v>
      </c>
      <c r="DG42" s="4">
        <v>632</v>
      </c>
      <c r="DH42" s="4">
        <v>679</v>
      </c>
      <c r="DI42" s="4">
        <v>676</v>
      </c>
      <c r="DJ42" s="4">
        <v>683</v>
      </c>
      <c r="DK42" s="4">
        <v>658</v>
      </c>
      <c r="DL42" s="4">
        <v>626</v>
      </c>
      <c r="DM42" s="4">
        <v>0.89</v>
      </c>
      <c r="DN42" s="4">
        <v>0.89</v>
      </c>
      <c r="DO42" s="4">
        <v>8.06</v>
      </c>
      <c r="DP42" s="4">
        <v>8</v>
      </c>
      <c r="DQ42" s="4">
        <v>7.97</v>
      </c>
      <c r="DR42" s="4">
        <v>8.09</v>
      </c>
      <c r="DS42" s="4">
        <v>8.4700000000000006</v>
      </c>
      <c r="DT42" s="4">
        <v>8.9600000000000009</v>
      </c>
      <c r="DU42" s="4">
        <v>9.02</v>
      </c>
      <c r="DV42" s="4">
        <v>0.4</v>
      </c>
      <c r="DW42" s="4">
        <v>7.44</v>
      </c>
      <c r="DX42" s="4">
        <v>6.89</v>
      </c>
      <c r="DY42" s="4">
        <v>6.72</v>
      </c>
      <c r="DZ42" s="4">
        <v>6.9</v>
      </c>
      <c r="EA42" s="4">
        <v>7.16</v>
      </c>
      <c r="EB42" s="4">
        <v>7.36</v>
      </c>
      <c r="EC42" s="4">
        <v>0</v>
      </c>
      <c r="ED42" s="89">
        <v>0.4</v>
      </c>
      <c r="EE42" s="110">
        <v>41.6</v>
      </c>
      <c r="EF42" s="110">
        <v>42.2</v>
      </c>
      <c r="EG42" s="110">
        <v>41.9</v>
      </c>
      <c r="EH42" s="110">
        <v>94.5</v>
      </c>
      <c r="EI42" s="110">
        <v>0.6</v>
      </c>
      <c r="EJ42" s="110">
        <v>-5.4</v>
      </c>
      <c r="EK42" s="110">
        <v>-5.6</v>
      </c>
      <c r="EL42" s="110">
        <v>-5.5</v>
      </c>
      <c r="EM42" s="110">
        <v>61.5</v>
      </c>
      <c r="EN42" s="110">
        <v>0.1</v>
      </c>
      <c r="EO42" s="110">
        <v>4.5</v>
      </c>
      <c r="EP42" s="110">
        <v>12.8</v>
      </c>
      <c r="EQ42" s="110">
        <v>26.7</v>
      </c>
      <c r="ER42" s="110">
        <v>62.7</v>
      </c>
      <c r="ES42" s="114">
        <v>12</v>
      </c>
      <c r="GP42" s="83">
        <v>7.98</v>
      </c>
      <c r="GQ42" s="4">
        <v>8.0500000000000007</v>
      </c>
      <c r="GR42" s="4">
        <v>95.2</v>
      </c>
      <c r="GS42" s="4">
        <v>0.4</v>
      </c>
      <c r="GT42" s="4">
        <v>0.32</v>
      </c>
      <c r="GU42" s="4">
        <v>0.45</v>
      </c>
      <c r="GV42" s="4">
        <v>5.19</v>
      </c>
      <c r="GW42" s="4">
        <v>5.7</v>
      </c>
      <c r="GX42" s="4">
        <v>516</v>
      </c>
      <c r="GY42" s="4">
        <v>514</v>
      </c>
      <c r="GZ42" s="4">
        <v>646</v>
      </c>
      <c r="HA42" s="4">
        <v>599</v>
      </c>
      <c r="HB42" s="4">
        <v>606</v>
      </c>
      <c r="HC42" s="4">
        <v>603</v>
      </c>
      <c r="HD42" s="4">
        <v>512</v>
      </c>
      <c r="HE42" s="4">
        <v>-0.55000000000000004</v>
      </c>
      <c r="HF42" s="4">
        <v>-7.0000000000000007E-2</v>
      </c>
      <c r="HG42" s="4">
        <v>8.07</v>
      </c>
      <c r="HH42" s="4">
        <v>7.95</v>
      </c>
      <c r="HI42" s="4">
        <v>7.96</v>
      </c>
      <c r="HJ42" s="4">
        <v>8.11</v>
      </c>
      <c r="HK42" s="4">
        <v>8.42</v>
      </c>
      <c r="HL42" s="4">
        <v>8.7200000000000006</v>
      </c>
      <c r="HM42" s="4">
        <v>0</v>
      </c>
      <c r="HN42" s="4">
        <v>1.6</v>
      </c>
      <c r="HO42" s="4">
        <v>6.33</v>
      </c>
      <c r="HP42" s="4">
        <v>6.38</v>
      </c>
      <c r="HQ42" s="4">
        <v>6.56</v>
      </c>
      <c r="HR42" s="4">
        <v>6.85</v>
      </c>
      <c r="HS42" s="4">
        <v>7.11</v>
      </c>
      <c r="HT42" s="4">
        <v>7.36</v>
      </c>
      <c r="HU42" s="4">
        <v>0</v>
      </c>
      <c r="HV42" s="93">
        <v>1.6</v>
      </c>
      <c r="HW42" s="110">
        <v>41.9</v>
      </c>
      <c r="HX42" s="110">
        <v>42.3</v>
      </c>
      <c r="HY42" s="110">
        <v>42.1</v>
      </c>
      <c r="HZ42" s="110">
        <v>95.2</v>
      </c>
      <c r="IA42" s="110">
        <v>0.4</v>
      </c>
      <c r="IB42" s="110">
        <v>-6.2</v>
      </c>
      <c r="IC42" s="110">
        <v>-6.4</v>
      </c>
      <c r="ID42" s="110">
        <v>-6.3</v>
      </c>
      <c r="IE42" s="110">
        <v>7.3</v>
      </c>
      <c r="IF42" s="110">
        <v>0.2</v>
      </c>
      <c r="IG42" s="110">
        <v>3.8</v>
      </c>
      <c r="IH42" s="110">
        <v>11.1</v>
      </c>
      <c r="II42" s="110">
        <v>24</v>
      </c>
      <c r="IJ42" s="110">
        <v>58.4</v>
      </c>
      <c r="IK42" s="121">
        <v>14</v>
      </c>
      <c r="IL42" s="83">
        <f t="shared" si="165"/>
        <v>7.98</v>
      </c>
      <c r="IM42" s="4">
        <f t="shared" si="166"/>
        <v>8.0500000000000007</v>
      </c>
      <c r="IN42" s="4">
        <f t="shared" si="167"/>
        <v>95.2</v>
      </c>
      <c r="IO42" s="4">
        <f t="shared" si="168"/>
        <v>0.4</v>
      </c>
      <c r="IP42" s="4">
        <f t="shared" si="169"/>
        <v>0.32</v>
      </c>
      <c r="IQ42" s="4">
        <f t="shared" si="170"/>
        <v>0.45</v>
      </c>
      <c r="IR42" s="4">
        <f t="shared" si="171"/>
        <v>5.19</v>
      </c>
      <c r="IS42" s="4">
        <f t="shared" si="172"/>
        <v>5.7</v>
      </c>
      <c r="IT42" s="4">
        <f t="shared" si="173"/>
        <v>516</v>
      </c>
      <c r="IU42" s="4">
        <f t="shared" si="174"/>
        <v>514</v>
      </c>
      <c r="IV42" s="4">
        <f t="shared" si="175"/>
        <v>646</v>
      </c>
      <c r="IW42" s="4">
        <f t="shared" si="176"/>
        <v>599</v>
      </c>
      <c r="IX42" s="4">
        <f t="shared" si="177"/>
        <v>606</v>
      </c>
      <c r="IY42" s="4">
        <f t="shared" si="178"/>
        <v>603</v>
      </c>
      <c r="IZ42" s="4">
        <f t="shared" si="179"/>
        <v>512</v>
      </c>
      <c r="JA42" s="4">
        <f t="shared" si="180"/>
        <v>-0.55000000000000004</v>
      </c>
      <c r="JB42" s="4">
        <f t="shared" si="181"/>
        <v>-7.0000000000000007E-2</v>
      </c>
      <c r="JC42" s="4">
        <f t="shared" si="182"/>
        <v>8.07</v>
      </c>
      <c r="JD42" s="4">
        <f t="shared" si="183"/>
        <v>7.95</v>
      </c>
      <c r="JE42" s="4">
        <f t="shared" si="184"/>
        <v>7.96</v>
      </c>
      <c r="JF42" s="4">
        <f t="shared" si="185"/>
        <v>8.11</v>
      </c>
      <c r="JG42" s="4">
        <f t="shared" si="186"/>
        <v>8.42</v>
      </c>
      <c r="JH42" s="4">
        <f t="shared" si="187"/>
        <v>8.7200000000000006</v>
      </c>
      <c r="JI42" s="4">
        <f t="shared" si="188"/>
        <v>0</v>
      </c>
      <c r="JJ42" s="4">
        <f t="shared" si="189"/>
        <v>1.6</v>
      </c>
      <c r="JK42" s="4">
        <f t="shared" si="190"/>
        <v>6.33</v>
      </c>
      <c r="JL42" s="4">
        <f t="shared" si="191"/>
        <v>6.38</v>
      </c>
      <c r="JM42" s="4">
        <f t="shared" si="192"/>
        <v>6.56</v>
      </c>
      <c r="JN42" s="4">
        <f t="shared" si="193"/>
        <v>6.85</v>
      </c>
      <c r="JO42" s="4">
        <f t="shared" si="194"/>
        <v>7.11</v>
      </c>
      <c r="JP42" s="4">
        <f t="shared" si="195"/>
        <v>7.36</v>
      </c>
      <c r="JQ42" s="117">
        <f t="shared" si="196"/>
        <v>0</v>
      </c>
      <c r="JR42" s="110">
        <f t="shared" si="197"/>
        <v>1.6</v>
      </c>
      <c r="JS42" s="110">
        <f t="shared" si="198"/>
        <v>41.9</v>
      </c>
      <c r="JT42" s="110">
        <f t="shared" si="199"/>
        <v>42.3</v>
      </c>
      <c r="JU42" s="110">
        <f t="shared" si="200"/>
        <v>42.1</v>
      </c>
      <c r="JV42" s="110">
        <f t="shared" si="201"/>
        <v>95.2</v>
      </c>
      <c r="JW42" s="110">
        <f t="shared" si="202"/>
        <v>0.4</v>
      </c>
      <c r="JX42" s="110">
        <f t="shared" si="203"/>
        <v>-6.2</v>
      </c>
      <c r="JY42" s="110">
        <f t="shared" si="204"/>
        <v>-6.4</v>
      </c>
      <c r="JZ42" s="110">
        <f t="shared" si="205"/>
        <v>-6.3</v>
      </c>
      <c r="KA42" s="110">
        <f t="shared" si="206"/>
        <v>7.3</v>
      </c>
      <c r="KB42" s="110">
        <f t="shared" si="207"/>
        <v>0.2</v>
      </c>
      <c r="KC42" s="110">
        <f t="shared" si="208"/>
        <v>3.8</v>
      </c>
      <c r="KD42" s="110">
        <f t="shared" si="209"/>
        <v>11.1</v>
      </c>
      <c r="KE42" s="110">
        <f t="shared" si="210"/>
        <v>24</v>
      </c>
      <c r="KF42" s="110">
        <f t="shared" si="211"/>
        <v>58.4</v>
      </c>
      <c r="KG42" s="121">
        <f t="shared" si="212"/>
        <v>14</v>
      </c>
      <c r="KH42" s="83">
        <f t="shared" si="213"/>
        <v>-1.9999999999999574E-2</v>
      </c>
      <c r="KI42" s="4">
        <f t="shared" si="214"/>
        <v>-6.9999999999998508E-2</v>
      </c>
      <c r="KJ42" s="4">
        <f t="shared" si="215"/>
        <v>0.70000000000000284</v>
      </c>
      <c r="KK42" s="4">
        <f t="shared" si="216"/>
        <v>-0.19999999999999996</v>
      </c>
      <c r="KL42" s="4">
        <f t="shared" si="217"/>
        <v>0.33</v>
      </c>
      <c r="KM42" s="4">
        <f t="shared" si="218"/>
        <v>4.9999999999999989E-2</v>
      </c>
      <c r="KN42" s="4">
        <f t="shared" si="219"/>
        <v>2.0000000000000004</v>
      </c>
      <c r="KO42" s="4">
        <f t="shared" si="220"/>
        <v>1.8800000000000003</v>
      </c>
      <c r="KP42" s="4">
        <f t="shared" si="221"/>
        <v>-116</v>
      </c>
      <c r="KQ42" s="4">
        <f t="shared" si="222"/>
        <v>-118</v>
      </c>
      <c r="KR42" s="4">
        <f t="shared" si="223"/>
        <v>-33</v>
      </c>
      <c r="KS42" s="4">
        <f t="shared" si="224"/>
        <v>-77</v>
      </c>
      <c r="KT42" s="4">
        <f t="shared" si="225"/>
        <v>-77</v>
      </c>
      <c r="KU42" s="4">
        <f t="shared" si="226"/>
        <v>-55</v>
      </c>
      <c r="KV42" s="4">
        <f t="shared" si="227"/>
        <v>-114</v>
      </c>
      <c r="KW42" s="4">
        <f t="shared" si="228"/>
        <v>-1.44</v>
      </c>
      <c r="KX42" s="4">
        <f t="shared" si="229"/>
        <v>-0.96</v>
      </c>
      <c r="KY42" s="4">
        <f t="shared" si="230"/>
        <v>9.9999999999997868E-3</v>
      </c>
      <c r="KZ42" s="4">
        <f t="shared" si="231"/>
        <v>-4.9999999999999822E-2</v>
      </c>
      <c r="LA42" s="4">
        <f t="shared" si="232"/>
        <v>-9.9999999999997868E-3</v>
      </c>
      <c r="LB42" s="4">
        <f t="shared" si="233"/>
        <v>1.9999999999999574E-2</v>
      </c>
      <c r="LC42" s="4">
        <f t="shared" si="234"/>
        <v>-5.0000000000000711E-2</v>
      </c>
      <c r="LD42" s="4">
        <f t="shared" si="235"/>
        <v>-0.24000000000000021</v>
      </c>
      <c r="LE42" s="4">
        <f t="shared" si="236"/>
        <v>-9.02</v>
      </c>
      <c r="LF42" s="4">
        <f t="shared" si="237"/>
        <v>1.2000000000000002</v>
      </c>
      <c r="LG42" s="4">
        <f t="shared" si="238"/>
        <v>-1.1100000000000003</v>
      </c>
      <c r="LH42" s="4">
        <f t="shared" si="239"/>
        <v>-0.50999999999999979</v>
      </c>
      <c r="LI42" s="4">
        <f t="shared" si="240"/>
        <v>-0.16000000000000014</v>
      </c>
      <c r="LJ42" s="4">
        <f t="shared" si="241"/>
        <v>-5.0000000000000711E-2</v>
      </c>
      <c r="LK42" s="4">
        <f t="shared" si="242"/>
        <v>-4.9999999999999822E-2</v>
      </c>
      <c r="LL42" s="4">
        <f t="shared" si="243"/>
        <v>0</v>
      </c>
      <c r="LM42" s="4">
        <f t="shared" si="244"/>
        <v>0</v>
      </c>
      <c r="LN42" s="4">
        <f t="shared" si="245"/>
        <v>1.2000000000000002</v>
      </c>
      <c r="LO42" s="4">
        <f t="shared" si="246"/>
        <v>0.29999999999999716</v>
      </c>
      <c r="LP42" s="4">
        <f t="shared" si="247"/>
        <v>9.9999999999994316E-2</v>
      </c>
      <c r="LQ42" s="4">
        <f t="shared" si="248"/>
        <v>0.20000000000000284</v>
      </c>
      <c r="LR42" s="4">
        <f t="shared" si="249"/>
        <v>0.70000000000000284</v>
      </c>
      <c r="LS42" s="4">
        <f t="shared" si="250"/>
        <v>-0.19999999999999996</v>
      </c>
      <c r="LT42" s="4">
        <f t="shared" si="251"/>
        <v>-0.79999999999999982</v>
      </c>
      <c r="LU42" s="4">
        <f t="shared" si="252"/>
        <v>-0.80000000000000071</v>
      </c>
      <c r="LV42" s="4">
        <f t="shared" si="253"/>
        <v>-0.79999999999999982</v>
      </c>
      <c r="LW42" s="4">
        <f t="shared" si="254"/>
        <v>-54.2</v>
      </c>
      <c r="LX42" s="4">
        <f t="shared" si="255"/>
        <v>0.1</v>
      </c>
      <c r="LY42" s="4">
        <f t="shared" si="256"/>
        <v>-0.70000000000000018</v>
      </c>
      <c r="LZ42" s="4">
        <f t="shared" si="257"/>
        <v>-1.7000000000000011</v>
      </c>
      <c r="MA42" s="4">
        <f t="shared" si="258"/>
        <v>-2.6999999999999993</v>
      </c>
      <c r="MB42" s="4">
        <f t="shared" si="259"/>
        <v>-4.3000000000000043</v>
      </c>
      <c r="MC42" s="4">
        <f t="shared" si="260"/>
        <v>2</v>
      </c>
      <c r="MD42" s="4" t="str">
        <f t="shared" si="261"/>
        <v/>
      </c>
      <c r="ME42" s="4" t="str">
        <f t="shared" si="262"/>
        <v/>
      </c>
      <c r="MF42" s="4" t="str">
        <f t="shared" si="263"/>
        <v/>
      </c>
      <c r="MG42" s="4">
        <f t="shared" si="264"/>
        <v>-6.4</v>
      </c>
    </row>
    <row r="43" spans="1:345" ht="26.25" customHeight="1" thickBot="1" x14ac:dyDescent="0.25">
      <c r="A43" s="35">
        <v>41227</v>
      </c>
      <c r="B43" s="36" t="s">
        <v>238</v>
      </c>
      <c r="C43" s="36" t="s">
        <v>18</v>
      </c>
      <c r="D43" s="31" t="s">
        <v>111</v>
      </c>
      <c r="E43" s="4">
        <v>61</v>
      </c>
      <c r="F43" s="3">
        <v>18727</v>
      </c>
      <c r="G43" s="4" t="s">
        <v>87</v>
      </c>
      <c r="H43" s="4" t="s">
        <v>112</v>
      </c>
      <c r="I43" s="4">
        <v>1835250</v>
      </c>
      <c r="J43" s="2" t="s">
        <v>309</v>
      </c>
      <c r="K43" s="241"/>
      <c r="L43" s="242">
        <v>1</v>
      </c>
      <c r="M43" s="242"/>
      <c r="N43" s="242"/>
      <c r="O43" s="263"/>
      <c r="P43" s="243"/>
      <c r="Q43" s="242"/>
      <c r="R43" s="4">
        <v>-0.5</v>
      </c>
      <c r="S43" s="4">
        <v>-0.85</v>
      </c>
      <c r="T43" s="4" t="s">
        <v>249</v>
      </c>
      <c r="U43" s="67">
        <v>23.25</v>
      </c>
      <c r="V43" s="124">
        <v>41216</v>
      </c>
      <c r="W43" s="67">
        <v>1.75</v>
      </c>
      <c r="X43" s="67">
        <v>0.75</v>
      </c>
      <c r="Y43" s="4">
        <v>30</v>
      </c>
      <c r="Z43" s="4">
        <v>50</v>
      </c>
      <c r="AA43" s="4">
        <v>17</v>
      </c>
      <c r="AB43" s="4">
        <v>580</v>
      </c>
      <c r="AC43" s="4">
        <v>22.51</v>
      </c>
      <c r="AD43" s="4">
        <v>11.5</v>
      </c>
      <c r="AE43" s="4">
        <v>5</v>
      </c>
      <c r="AF43" s="4">
        <v>2.7</v>
      </c>
      <c r="AG43" s="4">
        <v>44.35</v>
      </c>
      <c r="AH43" s="4">
        <v>146</v>
      </c>
      <c r="AI43" s="4">
        <v>45.67</v>
      </c>
      <c r="AJ43" s="4">
        <v>56</v>
      </c>
      <c r="AK43" s="4">
        <v>0</v>
      </c>
      <c r="AL43" s="4" t="b">
        <f t="shared" si="135"/>
        <v>0</v>
      </c>
      <c r="AN43" s="32">
        <v>41478</v>
      </c>
      <c r="AO43" s="60">
        <v>50</v>
      </c>
      <c r="AP43" s="67">
        <v>-0.5</v>
      </c>
      <c r="AQ43" s="67">
        <v>1.25</v>
      </c>
      <c r="AR43" s="4">
        <v>18</v>
      </c>
      <c r="AS43" s="4">
        <v>25</v>
      </c>
      <c r="AT43" s="4">
        <v>14</v>
      </c>
      <c r="AU43" s="4">
        <v>501</v>
      </c>
      <c r="AV43" s="4">
        <v>2155</v>
      </c>
      <c r="BC43" s="4">
        <f t="shared" si="136"/>
        <v>0.125</v>
      </c>
      <c r="BD43" s="4">
        <f t="shared" si="133"/>
        <v>0.97499999999999998</v>
      </c>
      <c r="BE43" s="4">
        <f t="shared" si="137"/>
        <v>-79</v>
      </c>
      <c r="BF43" s="3">
        <v>41660</v>
      </c>
      <c r="BG43" s="59">
        <v>50</v>
      </c>
      <c r="BH43" s="67">
        <v>0.75</v>
      </c>
      <c r="BI43" s="67">
        <v>-1.25</v>
      </c>
      <c r="BJ43" s="4">
        <v>110</v>
      </c>
      <c r="BK43" s="4">
        <v>20</v>
      </c>
      <c r="BL43" s="4">
        <v>13</v>
      </c>
      <c r="BM43" s="4">
        <v>506</v>
      </c>
      <c r="BN43" s="4">
        <v>2203</v>
      </c>
      <c r="BO43" s="4">
        <v>22.52</v>
      </c>
      <c r="BP43" s="4">
        <v>4.2300000000000004</v>
      </c>
      <c r="BQ43" s="4">
        <v>44.64</v>
      </c>
      <c r="BR43" s="4">
        <v>75</v>
      </c>
      <c r="BS43" s="4">
        <v>44.82</v>
      </c>
      <c r="BT43" s="4">
        <v>165</v>
      </c>
      <c r="BU43" s="4">
        <f t="shared" si="134"/>
        <v>0.125</v>
      </c>
      <c r="BV43" s="4">
        <f t="shared" si="138"/>
        <v>0.97499999999999998</v>
      </c>
      <c r="BW43" s="4">
        <f t="shared" si="139"/>
        <v>-74</v>
      </c>
      <c r="BX43" s="4">
        <f t="shared" si="140"/>
        <v>1</v>
      </c>
      <c r="BY43" s="4">
        <f t="shared" si="141"/>
        <v>1</v>
      </c>
      <c r="BZ43" s="4">
        <f t="shared" si="142"/>
        <v>2.125</v>
      </c>
      <c r="CA43" s="4">
        <f t="shared" si="143"/>
        <v>0.125</v>
      </c>
      <c r="CB43" s="4">
        <f t="shared" si="144"/>
        <v>0.125</v>
      </c>
      <c r="CC43" s="53">
        <f t="shared" si="145"/>
        <v>433</v>
      </c>
      <c r="CD43" s="55">
        <f t="shared" si="146"/>
        <v>14.433333333333334</v>
      </c>
      <c r="CE43" s="4">
        <f t="shared" si="147"/>
        <v>0</v>
      </c>
      <c r="CF43" s="4" t="str">
        <f t="shared" si="148"/>
        <v/>
      </c>
      <c r="CG43" s="4">
        <f t="shared" si="149"/>
        <v>-0.28000000000000114</v>
      </c>
      <c r="CH43" s="4">
        <f t="shared" si="150"/>
        <v>-0.28000000000000114</v>
      </c>
      <c r="CI43" s="4">
        <f t="shared" si="151"/>
        <v>2.125</v>
      </c>
      <c r="CJ43" s="4">
        <f t="shared" si="152"/>
        <v>0.125</v>
      </c>
      <c r="CK43" s="93">
        <f t="shared" si="153"/>
        <v>0.97499999999999998</v>
      </c>
      <c r="CL43" s="83">
        <f t="shared" si="154"/>
        <v>-74</v>
      </c>
      <c r="CM43" s="4">
        <f t="shared" si="155"/>
        <v>9.9999999999980105E-3</v>
      </c>
      <c r="CN43" s="96">
        <f t="shared" si="156"/>
        <v>-0.85</v>
      </c>
      <c r="CO43" s="96">
        <f t="shared" si="265"/>
        <v>0.3979400086720376</v>
      </c>
      <c r="CP43" s="127">
        <f t="shared" si="157"/>
        <v>-1.25</v>
      </c>
      <c r="CQ43" s="127">
        <f t="shared" si="158"/>
        <v>-2</v>
      </c>
      <c r="CR43" s="136">
        <f t="shared" si="159"/>
        <v>20</v>
      </c>
      <c r="CS43" s="136">
        <f t="shared" si="160"/>
        <v>50</v>
      </c>
      <c r="CT43" s="135">
        <f t="shared" si="161"/>
        <v>50</v>
      </c>
      <c r="CU43" s="139">
        <f t="shared" si="162"/>
        <v>1</v>
      </c>
      <c r="CV43" s="96">
        <f t="shared" si="163"/>
        <v>1</v>
      </c>
      <c r="CW43" s="141" t="b">
        <f t="shared" si="164"/>
        <v>0</v>
      </c>
      <c r="CX43">
        <v>7.68</v>
      </c>
      <c r="CY43" s="4">
        <v>7.57</v>
      </c>
      <c r="CZ43" s="4">
        <v>149.6</v>
      </c>
      <c r="DA43" s="4">
        <v>-0.7</v>
      </c>
      <c r="DB43" s="4">
        <v>0.05</v>
      </c>
      <c r="DC43" s="4">
        <v>0.59</v>
      </c>
      <c r="DD43" s="4">
        <v>2.25</v>
      </c>
      <c r="DE43" s="4">
        <v>2.85</v>
      </c>
      <c r="DF43" s="4">
        <v>601</v>
      </c>
      <c r="DG43" s="4">
        <v>604</v>
      </c>
      <c r="DH43" s="4">
        <v>654</v>
      </c>
      <c r="DI43" s="4">
        <v>607</v>
      </c>
      <c r="DJ43" s="4">
        <v>622</v>
      </c>
      <c r="DK43" s="4">
        <v>664</v>
      </c>
      <c r="DL43" s="4">
        <v>576</v>
      </c>
      <c r="DM43" s="4">
        <v>-0.9</v>
      </c>
      <c r="DN43" s="4">
        <v>-2.29</v>
      </c>
      <c r="DO43" s="4">
        <v>7.69</v>
      </c>
      <c r="DP43" s="4">
        <v>7.55</v>
      </c>
      <c r="DQ43" s="4">
        <v>7.57</v>
      </c>
      <c r="DR43" s="4">
        <v>7.83</v>
      </c>
      <c r="DS43" s="4">
        <v>8.16</v>
      </c>
      <c r="DT43" s="4">
        <v>8.2799999999999994</v>
      </c>
      <c r="DU43" s="4">
        <v>0</v>
      </c>
      <c r="DV43" s="4">
        <v>0.7</v>
      </c>
      <c r="DW43" s="4">
        <v>7.01</v>
      </c>
      <c r="DX43" s="4">
        <v>6.62</v>
      </c>
      <c r="DY43" s="4">
        <v>6.42</v>
      </c>
      <c r="DZ43" s="4">
        <v>6.8</v>
      </c>
      <c r="EA43" s="4">
        <v>7.15</v>
      </c>
      <c r="EB43" s="4">
        <v>0</v>
      </c>
      <c r="EC43" s="4">
        <v>0</v>
      </c>
      <c r="ED43" s="89">
        <v>0.7</v>
      </c>
      <c r="EE43" s="110">
        <v>43.9</v>
      </c>
      <c r="EF43" s="110">
        <v>44.6</v>
      </c>
      <c r="EG43" s="110">
        <v>44.3</v>
      </c>
      <c r="EH43" s="110">
        <v>149.6</v>
      </c>
      <c r="EI43" s="110">
        <v>0.7</v>
      </c>
      <c r="EJ43" s="110">
        <v>-5.8</v>
      </c>
      <c r="EK43" s="110">
        <v>-5.9</v>
      </c>
      <c r="EL43" s="110">
        <v>-5.9</v>
      </c>
      <c r="EM43" s="110">
        <v>117.5</v>
      </c>
      <c r="EN43" s="110">
        <v>0.1</v>
      </c>
      <c r="EO43" s="110">
        <v>4.3</v>
      </c>
      <c r="EP43" s="110">
        <v>12.2</v>
      </c>
      <c r="EQ43" s="110">
        <v>25.6</v>
      </c>
      <c r="ER43" s="110">
        <v>61</v>
      </c>
      <c r="ES43" s="114">
        <v>16</v>
      </c>
      <c r="IL43" s="83" t="str">
        <f t="shared" si="165"/>
        <v/>
      </c>
      <c r="IM43" s="4" t="str">
        <f t="shared" si="166"/>
        <v/>
      </c>
      <c r="IN43" s="4" t="str">
        <f t="shared" si="167"/>
        <v/>
      </c>
      <c r="IO43" s="4" t="str">
        <f t="shared" si="168"/>
        <v/>
      </c>
      <c r="IP43" s="4" t="str">
        <f t="shared" si="169"/>
        <v/>
      </c>
      <c r="IQ43" s="4" t="str">
        <f t="shared" si="170"/>
        <v/>
      </c>
      <c r="IR43" s="4" t="str">
        <f t="shared" si="171"/>
        <v/>
      </c>
      <c r="IS43" s="4" t="str">
        <f t="shared" si="172"/>
        <v/>
      </c>
      <c r="IT43" s="4" t="str">
        <f t="shared" si="173"/>
        <v/>
      </c>
      <c r="IU43" s="4" t="str">
        <f t="shared" si="174"/>
        <v/>
      </c>
      <c r="IV43" s="4" t="str">
        <f t="shared" si="175"/>
        <v/>
      </c>
      <c r="IW43" s="4" t="str">
        <f t="shared" si="176"/>
        <v/>
      </c>
      <c r="IX43" s="4" t="str">
        <f t="shared" si="177"/>
        <v/>
      </c>
      <c r="IY43" s="4" t="str">
        <f t="shared" si="178"/>
        <v/>
      </c>
      <c r="IZ43" s="4" t="str">
        <f t="shared" si="179"/>
        <v/>
      </c>
      <c r="JA43" s="4" t="str">
        <f t="shared" si="180"/>
        <v/>
      </c>
      <c r="JB43" s="4" t="str">
        <f t="shared" si="181"/>
        <v/>
      </c>
      <c r="JC43" s="4" t="str">
        <f t="shared" si="182"/>
        <v/>
      </c>
      <c r="JD43" s="4" t="str">
        <f t="shared" si="183"/>
        <v/>
      </c>
      <c r="JE43" s="4" t="str">
        <f t="shared" si="184"/>
        <v/>
      </c>
      <c r="JF43" s="4" t="str">
        <f t="shared" si="185"/>
        <v/>
      </c>
      <c r="JG43" s="4" t="str">
        <f t="shared" si="186"/>
        <v/>
      </c>
      <c r="JH43" s="4" t="str">
        <f t="shared" si="187"/>
        <v/>
      </c>
      <c r="JI43" s="4" t="str">
        <f t="shared" si="188"/>
        <v/>
      </c>
      <c r="JJ43" s="4" t="str">
        <f t="shared" si="189"/>
        <v/>
      </c>
      <c r="JK43" s="4" t="str">
        <f t="shared" si="190"/>
        <v/>
      </c>
      <c r="JL43" s="4" t="str">
        <f t="shared" si="191"/>
        <v/>
      </c>
      <c r="JM43" s="4" t="str">
        <f t="shared" si="192"/>
        <v/>
      </c>
      <c r="JN43" s="4" t="str">
        <f t="shared" si="193"/>
        <v/>
      </c>
      <c r="JO43" s="4" t="str">
        <f t="shared" si="194"/>
        <v/>
      </c>
      <c r="JP43" s="4" t="str">
        <f t="shared" si="195"/>
        <v/>
      </c>
      <c r="JQ43" s="117" t="str">
        <f t="shared" si="196"/>
        <v/>
      </c>
      <c r="JR43" s="110" t="str">
        <f t="shared" si="197"/>
        <v/>
      </c>
      <c r="JS43" s="110" t="str">
        <f t="shared" si="198"/>
        <v/>
      </c>
      <c r="JT43" s="110" t="str">
        <f t="shared" si="199"/>
        <v/>
      </c>
      <c r="JU43" s="110" t="str">
        <f t="shared" si="200"/>
        <v/>
      </c>
      <c r="JV43" s="110" t="str">
        <f t="shared" si="201"/>
        <v/>
      </c>
      <c r="JW43" s="110" t="str">
        <f t="shared" si="202"/>
        <v/>
      </c>
      <c r="JX43" s="110" t="str">
        <f t="shared" si="203"/>
        <v/>
      </c>
      <c r="JY43" s="110" t="str">
        <f t="shared" si="204"/>
        <v/>
      </c>
      <c r="JZ43" s="110" t="str">
        <f t="shared" si="205"/>
        <v/>
      </c>
      <c r="KA43" s="110" t="str">
        <f t="shared" si="206"/>
        <v/>
      </c>
      <c r="KB43" s="110" t="str">
        <f t="shared" si="207"/>
        <v/>
      </c>
      <c r="KC43" s="110" t="str">
        <f t="shared" si="208"/>
        <v/>
      </c>
      <c r="KD43" s="110" t="str">
        <f t="shared" si="209"/>
        <v/>
      </c>
      <c r="KE43" s="110" t="str">
        <f t="shared" si="210"/>
        <v/>
      </c>
      <c r="KF43" s="110" t="str">
        <f t="shared" si="211"/>
        <v/>
      </c>
      <c r="KG43" s="121" t="str">
        <f t="shared" si="212"/>
        <v/>
      </c>
      <c r="KH43" s="83" t="str">
        <f t="shared" si="213"/>
        <v/>
      </c>
      <c r="KI43" s="4" t="str">
        <f t="shared" si="214"/>
        <v/>
      </c>
      <c r="KJ43" s="4" t="str">
        <f t="shared" si="215"/>
        <v/>
      </c>
      <c r="KK43" s="4" t="str">
        <f t="shared" si="216"/>
        <v/>
      </c>
      <c r="KL43" s="4" t="str">
        <f t="shared" si="217"/>
        <v/>
      </c>
      <c r="KM43" s="4" t="str">
        <f t="shared" si="218"/>
        <v/>
      </c>
      <c r="KN43" s="4" t="str">
        <f t="shared" si="219"/>
        <v/>
      </c>
      <c r="KO43" s="4" t="str">
        <f t="shared" si="220"/>
        <v/>
      </c>
      <c r="KP43" s="4" t="str">
        <f t="shared" si="221"/>
        <v/>
      </c>
      <c r="KQ43" s="4" t="str">
        <f t="shared" si="222"/>
        <v/>
      </c>
      <c r="KR43" s="4" t="str">
        <f t="shared" si="223"/>
        <v/>
      </c>
      <c r="KS43" s="4" t="str">
        <f t="shared" si="224"/>
        <v/>
      </c>
      <c r="KT43" s="4" t="str">
        <f t="shared" si="225"/>
        <v/>
      </c>
      <c r="KU43" s="4" t="str">
        <f t="shared" si="226"/>
        <v/>
      </c>
      <c r="KV43" s="4" t="str">
        <f t="shared" si="227"/>
        <v/>
      </c>
      <c r="KW43" s="4" t="str">
        <f t="shared" si="228"/>
        <v/>
      </c>
      <c r="KX43" s="4" t="str">
        <f t="shared" si="229"/>
        <v/>
      </c>
      <c r="KY43" s="4" t="str">
        <f t="shared" si="230"/>
        <v/>
      </c>
      <c r="KZ43" s="4" t="str">
        <f t="shared" si="231"/>
        <v/>
      </c>
      <c r="LA43" s="4" t="str">
        <f t="shared" si="232"/>
        <v/>
      </c>
      <c r="LB43" s="4" t="str">
        <f t="shared" si="233"/>
        <v/>
      </c>
      <c r="LC43" s="4" t="str">
        <f t="shared" si="234"/>
        <v/>
      </c>
      <c r="LD43" s="4" t="str">
        <f t="shared" si="235"/>
        <v/>
      </c>
      <c r="LE43" s="4" t="str">
        <f t="shared" si="236"/>
        <v/>
      </c>
      <c r="LF43" s="4" t="str">
        <f t="shared" si="237"/>
        <v/>
      </c>
      <c r="LG43" s="4" t="str">
        <f t="shared" si="238"/>
        <v/>
      </c>
      <c r="LH43" s="4" t="str">
        <f t="shared" si="239"/>
        <v/>
      </c>
      <c r="LI43" s="4" t="str">
        <f t="shared" si="240"/>
        <v/>
      </c>
      <c r="LJ43" s="4" t="str">
        <f t="shared" si="241"/>
        <v/>
      </c>
      <c r="LK43" s="4" t="str">
        <f t="shared" si="242"/>
        <v/>
      </c>
      <c r="LL43" s="4" t="str">
        <f t="shared" si="243"/>
        <v/>
      </c>
      <c r="LM43" s="4" t="str">
        <f t="shared" si="244"/>
        <v/>
      </c>
      <c r="LN43" s="4" t="str">
        <f t="shared" si="245"/>
        <v/>
      </c>
      <c r="LO43" s="4" t="str">
        <f t="shared" si="246"/>
        <v/>
      </c>
      <c r="LP43" s="4" t="str">
        <f t="shared" si="247"/>
        <v/>
      </c>
      <c r="LQ43" s="4" t="str">
        <f t="shared" si="248"/>
        <v/>
      </c>
      <c r="LR43" s="4" t="str">
        <f t="shared" si="249"/>
        <v/>
      </c>
      <c r="LS43" s="4" t="str">
        <f t="shared" si="250"/>
        <v/>
      </c>
      <c r="LT43" s="4" t="str">
        <f t="shared" si="251"/>
        <v/>
      </c>
      <c r="LU43" s="4" t="str">
        <f t="shared" si="252"/>
        <v/>
      </c>
      <c r="LV43" s="4" t="str">
        <f t="shared" si="253"/>
        <v/>
      </c>
      <c r="LW43" s="4" t="str">
        <f t="shared" si="254"/>
        <v/>
      </c>
      <c r="LX43" s="4" t="str">
        <f t="shared" si="255"/>
        <v/>
      </c>
      <c r="LY43" s="4" t="str">
        <f t="shared" si="256"/>
        <v/>
      </c>
      <c r="LZ43" s="4" t="str">
        <f t="shared" si="257"/>
        <v/>
      </c>
      <c r="MA43" s="4" t="str">
        <f t="shared" si="258"/>
        <v/>
      </c>
      <c r="MB43" s="4" t="str">
        <f t="shared" si="259"/>
        <v/>
      </c>
      <c r="MC43" s="4" t="str">
        <f t="shared" si="260"/>
        <v/>
      </c>
      <c r="MD43" s="4" t="str">
        <f t="shared" si="261"/>
        <v/>
      </c>
      <c r="ME43" s="4" t="str">
        <f t="shared" si="262"/>
        <v/>
      </c>
      <c r="MF43" s="4" t="str">
        <f t="shared" si="263"/>
        <v/>
      </c>
      <c r="MG43" s="4">
        <f t="shared" si="264"/>
        <v>0</v>
      </c>
    </row>
    <row r="44" spans="1:345" ht="26.25" customHeight="1" thickBot="1" x14ac:dyDescent="0.25">
      <c r="A44" s="35">
        <v>41276</v>
      </c>
      <c r="B44" s="36" t="s">
        <v>228</v>
      </c>
      <c r="C44" s="36" t="s">
        <v>63</v>
      </c>
      <c r="D44" s="31" t="s">
        <v>111</v>
      </c>
      <c r="E44" s="4">
        <v>60</v>
      </c>
      <c r="F44" s="3">
        <v>18855</v>
      </c>
      <c r="G44" s="4" t="s">
        <v>87</v>
      </c>
      <c r="H44" s="4" t="s">
        <v>108</v>
      </c>
      <c r="I44" s="4">
        <v>1835272</v>
      </c>
      <c r="J44" s="2" t="s">
        <v>309</v>
      </c>
      <c r="K44" s="230"/>
      <c r="L44" s="231">
        <v>1</v>
      </c>
      <c r="M44" s="231"/>
      <c r="N44" s="98" t="s">
        <v>652</v>
      </c>
      <c r="O44" s="261"/>
      <c r="P44" s="231"/>
      <c r="Q44" s="231"/>
      <c r="R44" s="33">
        <v>-0.5</v>
      </c>
      <c r="S44" s="4">
        <v>-0.65</v>
      </c>
      <c r="T44" s="4" t="s">
        <v>249</v>
      </c>
      <c r="U44" s="67">
        <v>19.5</v>
      </c>
      <c r="V44" s="124">
        <v>41271</v>
      </c>
      <c r="W44" s="67">
        <v>-1</v>
      </c>
      <c r="X44" s="67">
        <v>2.75</v>
      </c>
      <c r="Y44" s="4">
        <v>175</v>
      </c>
      <c r="Z44" s="4">
        <v>20</v>
      </c>
      <c r="AA44" s="4">
        <v>13</v>
      </c>
      <c r="AB44" s="4">
        <v>566</v>
      </c>
      <c r="AC44" s="4">
        <v>23.34</v>
      </c>
      <c r="AD44" s="4">
        <v>11.4</v>
      </c>
      <c r="AE44" s="4">
        <v>4.74</v>
      </c>
      <c r="AF44" s="4">
        <v>2.29</v>
      </c>
      <c r="AG44" s="4">
        <v>45.36</v>
      </c>
      <c r="AH44" s="4">
        <v>75</v>
      </c>
      <c r="AI44" s="4">
        <v>46.3</v>
      </c>
      <c r="AJ44" s="4">
        <v>165</v>
      </c>
      <c r="AK44" s="4">
        <v>1</v>
      </c>
      <c r="AL44" s="4" t="b">
        <f t="shared" si="135"/>
        <v>1</v>
      </c>
      <c r="AN44" s="3">
        <v>41417</v>
      </c>
      <c r="AO44" s="56">
        <v>100</v>
      </c>
      <c r="AP44" s="67">
        <v>-1.5</v>
      </c>
      <c r="AQ44" s="67">
        <v>0.5</v>
      </c>
      <c r="AR44" s="4">
        <v>180</v>
      </c>
      <c r="AS44" s="4">
        <v>20</v>
      </c>
      <c r="AT44" s="4">
        <v>24</v>
      </c>
      <c r="AU44" s="4">
        <v>533</v>
      </c>
      <c r="AV44" s="4">
        <v>1083</v>
      </c>
      <c r="BC44" s="4">
        <f t="shared" si="136"/>
        <v>-1.25</v>
      </c>
      <c r="BD44" s="4">
        <f t="shared" si="133"/>
        <v>-0.6</v>
      </c>
      <c r="BE44" s="4">
        <f t="shared" si="137"/>
        <v>-33</v>
      </c>
      <c r="BF44" s="3">
        <v>41330</v>
      </c>
      <c r="BG44" s="56">
        <v>50</v>
      </c>
      <c r="BH44" s="67">
        <v>-0.5</v>
      </c>
      <c r="BI44" s="67">
        <v>-0.25</v>
      </c>
      <c r="BJ44" s="4">
        <v>75</v>
      </c>
      <c r="BK44" s="4">
        <v>25</v>
      </c>
      <c r="BL44" s="4">
        <v>8</v>
      </c>
      <c r="BM44" s="4">
        <v>570</v>
      </c>
      <c r="BN44" s="4">
        <v>1026</v>
      </c>
      <c r="BO44" s="4">
        <v>23.16</v>
      </c>
      <c r="BP44" s="4">
        <v>4.78</v>
      </c>
      <c r="BQ44" s="4">
        <v>45.3</v>
      </c>
      <c r="BR44" s="4">
        <v>78</v>
      </c>
      <c r="BS44" s="4">
        <v>45.92</v>
      </c>
      <c r="BT44" s="4">
        <v>768</v>
      </c>
      <c r="BU44" s="4">
        <f t="shared" si="134"/>
        <v>-0.625</v>
      </c>
      <c r="BV44" s="4">
        <f t="shared" si="138"/>
        <v>2.5000000000000022E-2</v>
      </c>
      <c r="BW44" s="4">
        <f t="shared" si="139"/>
        <v>4</v>
      </c>
      <c r="BX44" s="4">
        <f t="shared" si="140"/>
        <v>1</v>
      </c>
      <c r="BY44" s="4">
        <f t="shared" si="141"/>
        <v>1</v>
      </c>
      <c r="BZ44" s="4">
        <f t="shared" si="142"/>
        <v>0.375</v>
      </c>
      <c r="CA44" s="4">
        <f t="shared" si="143"/>
        <v>-1.25</v>
      </c>
      <c r="CB44" s="4">
        <f t="shared" si="144"/>
        <v>-0.625</v>
      </c>
      <c r="CC44" s="53">
        <f t="shared" si="145"/>
        <v>54</v>
      </c>
      <c r="CD44" s="55">
        <f t="shared" si="146"/>
        <v>1.8</v>
      </c>
      <c r="CE44" s="4">
        <f t="shared" si="147"/>
        <v>0.625</v>
      </c>
      <c r="CF44" s="4" t="str">
        <f t="shared" si="148"/>
        <v/>
      </c>
      <c r="CG44" s="4">
        <f t="shared" si="149"/>
        <v>-0.21999999999999886</v>
      </c>
      <c r="CH44" s="4">
        <f t="shared" si="150"/>
        <v>-0.21999999999999886</v>
      </c>
      <c r="CI44" s="4">
        <f t="shared" si="151"/>
        <v>0.375</v>
      </c>
      <c r="CJ44" s="4">
        <f t="shared" si="152"/>
        <v>-0.625</v>
      </c>
      <c r="CK44" s="93">
        <f t="shared" si="153"/>
        <v>2.5000000000000022E-2</v>
      </c>
      <c r="CL44" s="83">
        <f t="shared" si="154"/>
        <v>4</v>
      </c>
      <c r="CM44" s="4">
        <f t="shared" si="155"/>
        <v>-0.17999999999999972</v>
      </c>
      <c r="CN44" s="96">
        <f t="shared" si="156"/>
        <v>-0.65</v>
      </c>
      <c r="CO44" s="96">
        <f t="shared" si="265"/>
        <v>-9.6910013008056392E-2</v>
      </c>
      <c r="CP44" s="127">
        <f t="shared" si="157"/>
        <v>-0.25</v>
      </c>
      <c r="CQ44" s="127">
        <f t="shared" si="158"/>
        <v>-3</v>
      </c>
      <c r="CR44" s="136">
        <f t="shared" si="159"/>
        <v>25</v>
      </c>
      <c r="CS44" s="136">
        <f t="shared" si="160"/>
        <v>20</v>
      </c>
      <c r="CT44" s="135">
        <f t="shared" si="161"/>
        <v>50</v>
      </c>
      <c r="CU44" s="139">
        <f t="shared" si="162"/>
        <v>0</v>
      </c>
      <c r="CV44" s="96">
        <f t="shared" si="163"/>
        <v>0</v>
      </c>
      <c r="CW44" s="141" t="b">
        <f t="shared" si="164"/>
        <v>0</v>
      </c>
      <c r="CX44">
        <v>7.42</v>
      </c>
      <c r="CY44" s="4">
        <v>7.54</v>
      </c>
      <c r="CZ44" s="4">
        <v>93.5</v>
      </c>
      <c r="DA44" s="4">
        <v>0.7</v>
      </c>
      <c r="DB44" s="4">
        <v>0.25</v>
      </c>
      <c r="DC44" s="4">
        <v>0.67</v>
      </c>
      <c r="DD44" s="4">
        <v>2.62</v>
      </c>
      <c r="DE44" s="4">
        <v>3.26</v>
      </c>
      <c r="DF44" s="4">
        <v>635</v>
      </c>
      <c r="DG44" s="4">
        <v>637</v>
      </c>
      <c r="DH44" s="4">
        <v>683</v>
      </c>
      <c r="DI44" s="4">
        <v>652</v>
      </c>
      <c r="DJ44" s="4">
        <v>634</v>
      </c>
      <c r="DK44" s="4">
        <v>653</v>
      </c>
      <c r="DL44" s="4">
        <v>616</v>
      </c>
      <c r="DM44" s="4">
        <v>1.88</v>
      </c>
      <c r="DN44" s="4">
        <v>-0.91</v>
      </c>
      <c r="DO44" s="4">
        <v>7.5</v>
      </c>
      <c r="DP44" s="4">
        <v>7.44</v>
      </c>
      <c r="DQ44" s="4">
        <v>7.46</v>
      </c>
      <c r="DR44" s="4">
        <v>7.74</v>
      </c>
      <c r="DS44" s="4">
        <v>8.09</v>
      </c>
      <c r="DT44" s="4">
        <v>8.3800000000000008</v>
      </c>
      <c r="DU44" s="4">
        <v>0</v>
      </c>
      <c r="DV44" s="4">
        <v>0.6</v>
      </c>
      <c r="DW44" s="4">
        <v>6.87</v>
      </c>
      <c r="DX44" s="4">
        <v>6.59</v>
      </c>
      <c r="DY44" s="4">
        <v>6.51</v>
      </c>
      <c r="DZ44" s="4">
        <v>6.76</v>
      </c>
      <c r="EA44" s="4">
        <v>6.92</v>
      </c>
      <c r="EB44" s="4">
        <v>0</v>
      </c>
      <c r="EC44" s="4">
        <v>0</v>
      </c>
      <c r="ED44" s="89">
        <v>0.6</v>
      </c>
      <c r="EE44" s="110">
        <v>44.7</v>
      </c>
      <c r="EF44" s="110">
        <v>45.5</v>
      </c>
      <c r="EG44" s="110">
        <v>45.1</v>
      </c>
      <c r="EH44" s="110">
        <v>93.5</v>
      </c>
      <c r="EI44" s="110">
        <v>0.7</v>
      </c>
      <c r="EJ44" s="110">
        <v>-5.6</v>
      </c>
      <c r="EK44" s="110">
        <v>-6.2</v>
      </c>
      <c r="EL44" s="110">
        <v>-5.9</v>
      </c>
      <c r="EM44" s="110">
        <v>146.30000000000001</v>
      </c>
      <c r="EN44" s="110">
        <v>0.6</v>
      </c>
      <c r="EO44" s="110">
        <v>4.5</v>
      </c>
      <c r="EP44" s="110">
        <v>12.9</v>
      </c>
      <c r="EQ44" s="110">
        <v>26.7</v>
      </c>
      <c r="ER44" s="110">
        <v>61.3</v>
      </c>
      <c r="ES44" s="114">
        <v>23</v>
      </c>
      <c r="ET44" s="83">
        <v>7.42</v>
      </c>
      <c r="EU44" s="4">
        <v>7.45</v>
      </c>
      <c r="EV44" s="4">
        <v>66.099999999999994</v>
      </c>
      <c r="EW44" s="4">
        <v>0.2</v>
      </c>
      <c r="EX44" s="4">
        <v>0.56999999999999995</v>
      </c>
      <c r="EY44" s="4">
        <v>0.71</v>
      </c>
      <c r="EZ44" s="4">
        <v>-0.62</v>
      </c>
      <c r="FA44" s="4">
        <v>-0.1</v>
      </c>
      <c r="FB44" s="4">
        <v>519</v>
      </c>
      <c r="FC44" s="4">
        <v>520</v>
      </c>
      <c r="FD44" s="4">
        <v>635</v>
      </c>
      <c r="FE44" s="4">
        <v>607</v>
      </c>
      <c r="FF44" s="4">
        <v>607</v>
      </c>
      <c r="FG44" s="4">
        <v>597</v>
      </c>
      <c r="FH44" s="4">
        <v>505</v>
      </c>
      <c r="FI44" s="4">
        <v>-0.62</v>
      </c>
      <c r="FJ44" s="4">
        <v>-0.95</v>
      </c>
      <c r="FK44" s="4">
        <v>7.43</v>
      </c>
      <c r="FL44" s="4">
        <v>7.44</v>
      </c>
      <c r="FM44" s="4">
        <v>7.52</v>
      </c>
      <c r="FN44" s="4">
        <v>7.61</v>
      </c>
      <c r="FO44" s="4">
        <v>7.74</v>
      </c>
      <c r="FP44" s="4">
        <v>0</v>
      </c>
      <c r="FQ44" s="4">
        <v>0</v>
      </c>
      <c r="FR44" s="4">
        <v>1.2</v>
      </c>
      <c r="FS44" s="4">
        <v>6.17</v>
      </c>
      <c r="FT44" s="4">
        <v>6.12</v>
      </c>
      <c r="FU44" s="4">
        <v>6.27</v>
      </c>
      <c r="FV44" s="4">
        <v>6.3</v>
      </c>
      <c r="FW44" s="4">
        <v>0</v>
      </c>
      <c r="FX44" s="4">
        <v>0</v>
      </c>
      <c r="FY44" s="4">
        <v>0</v>
      </c>
      <c r="FZ44" s="86">
        <v>1.2</v>
      </c>
      <c r="GA44" s="110">
        <v>45.3</v>
      </c>
      <c r="GB44" s="110">
        <v>45.5</v>
      </c>
      <c r="GC44" s="110">
        <v>45.4</v>
      </c>
      <c r="GD44" s="110">
        <v>66.099999999999994</v>
      </c>
      <c r="GE44" s="110">
        <v>0.2</v>
      </c>
      <c r="GF44" s="110">
        <v>-6.4</v>
      </c>
      <c r="GG44" s="110">
        <v>-6.6</v>
      </c>
      <c r="GH44" s="110">
        <v>-6.5</v>
      </c>
      <c r="GI44" s="110">
        <v>43.4</v>
      </c>
      <c r="GJ44" s="110">
        <v>0.3</v>
      </c>
      <c r="GK44" s="110">
        <v>3.8</v>
      </c>
      <c r="GL44" s="110">
        <v>11.1</v>
      </c>
      <c r="GM44" s="110">
        <v>23.8</v>
      </c>
      <c r="GN44" s="110">
        <v>57.2</v>
      </c>
      <c r="GO44" s="119">
        <v>23</v>
      </c>
      <c r="GP44" s="83">
        <v>7.4</v>
      </c>
      <c r="GQ44" s="4">
        <v>7.49</v>
      </c>
      <c r="GR44" s="4">
        <v>71.5</v>
      </c>
      <c r="GS44" s="4">
        <v>0.6</v>
      </c>
      <c r="GT44" s="4">
        <v>0.54</v>
      </c>
      <c r="GU44" s="4">
        <v>0.59</v>
      </c>
      <c r="GV44" s="4">
        <v>4.87</v>
      </c>
      <c r="GW44" s="4">
        <v>5.4</v>
      </c>
      <c r="GX44" s="4">
        <v>534</v>
      </c>
      <c r="GY44" s="4">
        <v>535</v>
      </c>
      <c r="GZ44" s="4">
        <v>638</v>
      </c>
      <c r="HA44" s="4">
        <v>599</v>
      </c>
      <c r="HB44" s="4">
        <v>610</v>
      </c>
      <c r="HC44" s="4">
        <v>597</v>
      </c>
      <c r="HD44" s="4">
        <v>523</v>
      </c>
      <c r="HE44" s="4">
        <v>-0.7</v>
      </c>
      <c r="HF44" s="4">
        <v>-0.76</v>
      </c>
      <c r="HG44" s="4">
        <v>7.46</v>
      </c>
      <c r="HH44" s="4">
        <v>7.45</v>
      </c>
      <c r="HI44" s="4">
        <v>7.52</v>
      </c>
      <c r="HJ44" s="4">
        <v>7.68</v>
      </c>
      <c r="HK44" s="4">
        <v>7.87</v>
      </c>
      <c r="HL44" s="4">
        <v>7.94</v>
      </c>
      <c r="HM44" s="4">
        <v>0</v>
      </c>
      <c r="HN44" s="4">
        <v>1.2</v>
      </c>
      <c r="HO44" s="4">
        <v>6.26</v>
      </c>
      <c r="HP44" s="4">
        <v>6.21</v>
      </c>
      <c r="HQ44" s="4">
        <v>6.17</v>
      </c>
      <c r="HR44" s="4">
        <v>6.25</v>
      </c>
      <c r="HS44" s="4">
        <v>6.42</v>
      </c>
      <c r="HT44" s="4">
        <v>0</v>
      </c>
      <c r="HU44" s="4">
        <v>0</v>
      </c>
      <c r="HV44" s="93">
        <v>1.2</v>
      </c>
      <c r="HW44" s="110">
        <v>45</v>
      </c>
      <c r="HX44" s="110">
        <v>45.6</v>
      </c>
      <c r="HY44" s="110">
        <v>45.3</v>
      </c>
      <c r="HZ44" s="110">
        <v>71.5</v>
      </c>
      <c r="IA44" s="110">
        <v>0.6</v>
      </c>
      <c r="IB44" s="110">
        <v>-6.3</v>
      </c>
      <c r="IC44" s="110">
        <v>-6.5</v>
      </c>
      <c r="ID44" s="110">
        <v>-6.4</v>
      </c>
      <c r="IE44" s="110">
        <v>37.700000000000003</v>
      </c>
      <c r="IF44" s="110">
        <v>0.3</v>
      </c>
      <c r="IG44" s="110">
        <v>3.9</v>
      </c>
      <c r="IH44" s="110">
        <v>11.3</v>
      </c>
      <c r="II44" s="110">
        <v>24.3</v>
      </c>
      <c r="IJ44" s="110">
        <v>60.4</v>
      </c>
      <c r="IK44" s="121">
        <v>18</v>
      </c>
      <c r="IL44" s="83">
        <f t="shared" si="165"/>
        <v>7.4</v>
      </c>
      <c r="IM44" s="4">
        <f t="shared" si="166"/>
        <v>7.49</v>
      </c>
      <c r="IN44" s="4">
        <f t="shared" si="167"/>
        <v>71.5</v>
      </c>
      <c r="IO44" s="4">
        <f t="shared" si="168"/>
        <v>0.6</v>
      </c>
      <c r="IP44" s="4">
        <f t="shared" si="169"/>
        <v>0.54</v>
      </c>
      <c r="IQ44" s="4">
        <f t="shared" si="170"/>
        <v>0.59</v>
      </c>
      <c r="IR44" s="4">
        <f t="shared" si="171"/>
        <v>4.87</v>
      </c>
      <c r="IS44" s="4">
        <f t="shared" si="172"/>
        <v>5.4</v>
      </c>
      <c r="IT44" s="4">
        <f t="shared" si="173"/>
        <v>534</v>
      </c>
      <c r="IU44" s="4">
        <f t="shared" si="174"/>
        <v>535</v>
      </c>
      <c r="IV44" s="4">
        <f t="shared" si="175"/>
        <v>638</v>
      </c>
      <c r="IW44" s="4">
        <f t="shared" si="176"/>
        <v>599</v>
      </c>
      <c r="IX44" s="4">
        <f t="shared" si="177"/>
        <v>610</v>
      </c>
      <c r="IY44" s="4">
        <f t="shared" si="178"/>
        <v>597</v>
      </c>
      <c r="IZ44" s="4">
        <f t="shared" si="179"/>
        <v>523</v>
      </c>
      <c r="JA44" s="4">
        <f t="shared" si="180"/>
        <v>-0.7</v>
      </c>
      <c r="JB44" s="4">
        <f t="shared" si="181"/>
        <v>-0.76</v>
      </c>
      <c r="JC44" s="4">
        <f t="shared" si="182"/>
        <v>7.46</v>
      </c>
      <c r="JD44" s="4">
        <f t="shared" si="183"/>
        <v>7.45</v>
      </c>
      <c r="JE44" s="4">
        <f t="shared" si="184"/>
        <v>7.52</v>
      </c>
      <c r="JF44" s="4">
        <f t="shared" si="185"/>
        <v>7.68</v>
      </c>
      <c r="JG44" s="4">
        <f t="shared" si="186"/>
        <v>7.87</v>
      </c>
      <c r="JH44" s="4">
        <f t="shared" si="187"/>
        <v>7.94</v>
      </c>
      <c r="JI44" s="4">
        <f t="shared" si="188"/>
        <v>0</v>
      </c>
      <c r="JJ44" s="4">
        <f t="shared" si="189"/>
        <v>1.2</v>
      </c>
      <c r="JK44" s="4">
        <f t="shared" si="190"/>
        <v>6.26</v>
      </c>
      <c r="JL44" s="4">
        <f t="shared" si="191"/>
        <v>6.21</v>
      </c>
      <c r="JM44" s="4">
        <f t="shared" si="192"/>
        <v>6.17</v>
      </c>
      <c r="JN44" s="4">
        <f t="shared" si="193"/>
        <v>6.25</v>
      </c>
      <c r="JO44" s="4">
        <f t="shared" si="194"/>
        <v>6.42</v>
      </c>
      <c r="JP44" s="4">
        <f t="shared" si="195"/>
        <v>0</v>
      </c>
      <c r="JQ44" s="117">
        <f t="shared" si="196"/>
        <v>0</v>
      </c>
      <c r="JR44" s="110">
        <f t="shared" si="197"/>
        <v>1.2</v>
      </c>
      <c r="JS44" s="110">
        <f t="shared" si="198"/>
        <v>45</v>
      </c>
      <c r="JT44" s="110">
        <f t="shared" si="199"/>
        <v>45.6</v>
      </c>
      <c r="JU44" s="110">
        <f t="shared" si="200"/>
        <v>45.3</v>
      </c>
      <c r="JV44" s="110">
        <f t="shared" si="201"/>
        <v>71.5</v>
      </c>
      <c r="JW44" s="110">
        <f t="shared" si="202"/>
        <v>0.6</v>
      </c>
      <c r="JX44" s="110">
        <f t="shared" si="203"/>
        <v>-6.3</v>
      </c>
      <c r="JY44" s="110">
        <f t="shared" si="204"/>
        <v>-6.5</v>
      </c>
      <c r="JZ44" s="110">
        <f t="shared" si="205"/>
        <v>-6.4</v>
      </c>
      <c r="KA44" s="110">
        <f t="shared" si="206"/>
        <v>37.700000000000003</v>
      </c>
      <c r="KB44" s="110">
        <f t="shared" si="207"/>
        <v>0.3</v>
      </c>
      <c r="KC44" s="110">
        <f t="shared" si="208"/>
        <v>3.9</v>
      </c>
      <c r="KD44" s="110">
        <f t="shared" si="209"/>
        <v>11.3</v>
      </c>
      <c r="KE44" s="110">
        <f t="shared" si="210"/>
        <v>24.3</v>
      </c>
      <c r="KF44" s="110">
        <f t="shared" si="211"/>
        <v>60.4</v>
      </c>
      <c r="KG44" s="121">
        <f t="shared" si="212"/>
        <v>18</v>
      </c>
      <c r="KH44" s="83">
        <f t="shared" si="213"/>
        <v>-1.9999999999999574E-2</v>
      </c>
      <c r="KI44" s="4">
        <f t="shared" si="214"/>
        <v>-4.9999999999999822E-2</v>
      </c>
      <c r="KJ44" s="4">
        <f t="shared" si="215"/>
        <v>-22</v>
      </c>
      <c r="KK44" s="4">
        <f t="shared" si="216"/>
        <v>-9.9999999999999978E-2</v>
      </c>
      <c r="KL44" s="4">
        <f t="shared" si="217"/>
        <v>0.29000000000000004</v>
      </c>
      <c r="KM44" s="4">
        <f t="shared" si="218"/>
        <v>-8.0000000000000071E-2</v>
      </c>
      <c r="KN44" s="4">
        <f t="shared" si="219"/>
        <v>2.25</v>
      </c>
      <c r="KO44" s="4">
        <f t="shared" si="220"/>
        <v>2.1400000000000006</v>
      </c>
      <c r="KP44" s="4">
        <f t="shared" si="221"/>
        <v>-101</v>
      </c>
      <c r="KQ44" s="4">
        <f t="shared" si="222"/>
        <v>-102</v>
      </c>
      <c r="KR44" s="4">
        <f t="shared" si="223"/>
        <v>-45</v>
      </c>
      <c r="KS44" s="4">
        <f t="shared" si="224"/>
        <v>-53</v>
      </c>
      <c r="KT44" s="4">
        <f t="shared" si="225"/>
        <v>-24</v>
      </c>
      <c r="KU44" s="4">
        <f t="shared" si="226"/>
        <v>-56</v>
      </c>
      <c r="KV44" s="4">
        <f t="shared" si="227"/>
        <v>-93</v>
      </c>
      <c r="KW44" s="4">
        <f t="shared" si="228"/>
        <v>-2.58</v>
      </c>
      <c r="KX44" s="4">
        <f t="shared" si="229"/>
        <v>0.15000000000000002</v>
      </c>
      <c r="KY44" s="4">
        <f t="shared" si="230"/>
        <v>-4.0000000000000036E-2</v>
      </c>
      <c r="KZ44" s="4">
        <f t="shared" si="231"/>
        <v>9.9999999999997868E-3</v>
      </c>
      <c r="LA44" s="4">
        <f t="shared" si="232"/>
        <v>5.9999999999999609E-2</v>
      </c>
      <c r="LB44" s="4">
        <f t="shared" si="233"/>
        <v>-6.0000000000000497E-2</v>
      </c>
      <c r="LC44" s="4">
        <f t="shared" si="234"/>
        <v>-0.21999999999999975</v>
      </c>
      <c r="LD44" s="4">
        <f t="shared" si="235"/>
        <v>-0.44000000000000039</v>
      </c>
      <c r="LE44" s="4">
        <f t="shared" si="236"/>
        <v>0</v>
      </c>
      <c r="LF44" s="4">
        <f t="shared" si="237"/>
        <v>0.6</v>
      </c>
      <c r="LG44" s="4">
        <f t="shared" si="238"/>
        <v>-0.61000000000000032</v>
      </c>
      <c r="LH44" s="4">
        <f t="shared" si="239"/>
        <v>-0.37999999999999989</v>
      </c>
      <c r="LI44" s="4">
        <f t="shared" si="240"/>
        <v>-0.33999999999999986</v>
      </c>
      <c r="LJ44" s="4">
        <f t="shared" si="241"/>
        <v>-0.50999999999999979</v>
      </c>
      <c r="LK44" s="4">
        <f t="shared" si="242"/>
        <v>-0.5</v>
      </c>
      <c r="LL44" s="4">
        <f t="shared" si="243"/>
        <v>0</v>
      </c>
      <c r="LM44" s="4">
        <f t="shared" si="244"/>
        <v>0</v>
      </c>
      <c r="LN44" s="4">
        <f t="shared" si="245"/>
        <v>0.6</v>
      </c>
      <c r="LO44" s="4">
        <f t="shared" si="246"/>
        <v>0.29999999999999716</v>
      </c>
      <c r="LP44" s="4">
        <f t="shared" si="247"/>
        <v>0.10000000000000142</v>
      </c>
      <c r="LQ44" s="4">
        <f t="shared" si="248"/>
        <v>0.19999999999999574</v>
      </c>
      <c r="LR44" s="4">
        <f t="shared" si="249"/>
        <v>-22</v>
      </c>
      <c r="LS44" s="4">
        <f t="shared" si="250"/>
        <v>-9.9999999999999978E-2</v>
      </c>
      <c r="LT44" s="4">
        <f t="shared" si="251"/>
        <v>-0.70000000000000018</v>
      </c>
      <c r="LU44" s="4">
        <f t="shared" si="252"/>
        <v>-0.29999999999999982</v>
      </c>
      <c r="LV44" s="4">
        <f t="shared" si="253"/>
        <v>-0.5</v>
      </c>
      <c r="LW44" s="4">
        <f t="shared" si="254"/>
        <v>-108.60000000000001</v>
      </c>
      <c r="LX44" s="4">
        <f t="shared" si="255"/>
        <v>-0.3</v>
      </c>
      <c r="LY44" s="4">
        <f t="shared" si="256"/>
        <v>-0.60000000000000009</v>
      </c>
      <c r="LZ44" s="4">
        <f t="shared" si="257"/>
        <v>-1.5999999999999996</v>
      </c>
      <c r="MA44" s="4">
        <f t="shared" si="258"/>
        <v>-2.3999999999999986</v>
      </c>
      <c r="MB44" s="4">
        <f t="shared" si="259"/>
        <v>-0.89999999999999858</v>
      </c>
      <c r="MC44" s="4">
        <f t="shared" si="260"/>
        <v>-5</v>
      </c>
      <c r="MD44" s="4">
        <f t="shared" si="261"/>
        <v>-0.29999999999999716</v>
      </c>
      <c r="ME44" s="4">
        <f t="shared" si="262"/>
        <v>0.10000000000000142</v>
      </c>
      <c r="MF44" s="4">
        <f t="shared" si="263"/>
        <v>0.10000000000000053</v>
      </c>
      <c r="MG44" s="4">
        <f t="shared" si="264"/>
        <v>9.9999999999999645E-2</v>
      </c>
    </row>
    <row r="45" spans="1:345" ht="26.25" customHeight="1" thickBot="1" x14ac:dyDescent="0.25">
      <c r="A45" s="35">
        <v>41213</v>
      </c>
      <c r="B45" s="36" t="s">
        <v>137</v>
      </c>
      <c r="C45" s="36" t="s">
        <v>229</v>
      </c>
      <c r="D45" s="31" t="s">
        <v>110</v>
      </c>
      <c r="E45" s="4">
        <v>55</v>
      </c>
      <c r="F45" s="3">
        <v>21053</v>
      </c>
      <c r="G45" s="4" t="s">
        <v>87</v>
      </c>
      <c r="H45" s="4" t="s">
        <v>108</v>
      </c>
      <c r="I45" s="4">
        <v>1835663</v>
      </c>
      <c r="J45" s="2" t="s">
        <v>309</v>
      </c>
      <c r="K45" s="227"/>
      <c r="L45" s="228"/>
      <c r="M45" s="228"/>
      <c r="N45" s="228"/>
      <c r="O45" s="258"/>
      <c r="P45" s="228"/>
      <c r="Q45" s="228"/>
      <c r="R45" s="4">
        <v>-0.5</v>
      </c>
      <c r="S45" s="4">
        <v>-0.52</v>
      </c>
      <c r="T45" s="4" t="s">
        <v>249</v>
      </c>
      <c r="U45" s="67">
        <v>21.75</v>
      </c>
      <c r="V45" s="124">
        <v>41179</v>
      </c>
      <c r="W45" s="67">
        <v>0</v>
      </c>
      <c r="X45" s="67">
        <v>1.25</v>
      </c>
      <c r="Y45" s="4">
        <v>7</v>
      </c>
      <c r="Z45" s="4">
        <v>60</v>
      </c>
      <c r="AA45" s="4">
        <v>14</v>
      </c>
      <c r="AB45" s="4">
        <v>697</v>
      </c>
      <c r="AC45" s="4">
        <v>23.83</v>
      </c>
      <c r="AD45" s="4">
        <v>12.1</v>
      </c>
      <c r="AE45" s="4">
        <v>4.72</v>
      </c>
      <c r="AF45" s="4">
        <v>2.78</v>
      </c>
      <c r="AG45" s="4">
        <v>41.75</v>
      </c>
      <c r="AH45" s="4">
        <v>1</v>
      </c>
      <c r="AI45" s="4">
        <v>43</v>
      </c>
      <c r="AJ45" s="4">
        <v>91</v>
      </c>
      <c r="AK45" s="4">
        <v>0</v>
      </c>
      <c r="AL45" s="4" t="b">
        <f t="shared" si="135"/>
        <v>0</v>
      </c>
      <c r="AM45" s="43" t="s">
        <v>275</v>
      </c>
      <c r="AN45" s="32">
        <v>41340</v>
      </c>
      <c r="AO45" s="60">
        <v>40</v>
      </c>
      <c r="AP45" s="67">
        <v>-1.25</v>
      </c>
      <c r="AQ45" s="67">
        <v>0.5</v>
      </c>
      <c r="AR45" s="4">
        <v>60</v>
      </c>
      <c r="AS45" s="4">
        <v>20</v>
      </c>
      <c r="AT45" s="4">
        <v>12</v>
      </c>
      <c r="AU45" s="4">
        <v>514</v>
      </c>
      <c r="AV45" s="4">
        <v>1961</v>
      </c>
      <c r="BC45" s="4">
        <f t="shared" si="136"/>
        <v>-1</v>
      </c>
      <c r="BD45" s="4">
        <f t="shared" si="133"/>
        <v>-0.48</v>
      </c>
      <c r="BE45" s="4">
        <f t="shared" si="137"/>
        <v>-183</v>
      </c>
      <c r="BF45" s="51" t="s">
        <v>501</v>
      </c>
      <c r="BU45" s="4" t="str">
        <f t="shared" si="134"/>
        <v/>
      </c>
      <c r="BV45" s="4" t="str">
        <f t="shared" si="138"/>
        <v/>
      </c>
      <c r="BW45" s="4" t="str">
        <f t="shared" si="139"/>
        <v/>
      </c>
      <c r="BX45" s="4">
        <f t="shared" si="140"/>
        <v>1</v>
      </c>
      <c r="BY45" s="4">
        <f t="shared" si="141"/>
        <v>0</v>
      </c>
      <c r="BZ45" s="4" t="str">
        <f t="shared" si="142"/>
        <v/>
      </c>
      <c r="CA45" s="4" t="str">
        <f t="shared" si="143"/>
        <v/>
      </c>
      <c r="CB45" s="4" t="str">
        <f t="shared" si="144"/>
        <v/>
      </c>
      <c r="CC45" s="53">
        <f t="shared" si="145"/>
        <v>127</v>
      </c>
      <c r="CD45" s="55">
        <f t="shared" si="146"/>
        <v>4.2333333333333334</v>
      </c>
      <c r="CE45" s="4" t="str">
        <f t="shared" si="147"/>
        <v/>
      </c>
      <c r="CF45" s="4" t="str">
        <f t="shared" si="148"/>
        <v/>
      </c>
      <c r="CG45" s="4" t="str">
        <f t="shared" si="149"/>
        <v/>
      </c>
      <c r="CH45" s="4" t="str">
        <f t="shared" si="150"/>
        <v/>
      </c>
      <c r="CI45" s="4">
        <f t="shared" si="151"/>
        <v>0.625</v>
      </c>
      <c r="CJ45" s="4">
        <f t="shared" si="152"/>
        <v>-1</v>
      </c>
      <c r="CK45" s="93">
        <f t="shared" si="153"/>
        <v>-0.48</v>
      </c>
      <c r="CL45" s="83">
        <f t="shared" si="154"/>
        <v>-183</v>
      </c>
      <c r="CM45" s="4" t="str">
        <f t="shared" si="155"/>
        <v/>
      </c>
      <c r="CN45" s="96">
        <f t="shared" si="156"/>
        <v>-0.52</v>
      </c>
      <c r="CO45" s="96">
        <f t="shared" si="265"/>
        <v>0.47712125471966244</v>
      </c>
      <c r="CP45" s="127">
        <f t="shared" si="157"/>
        <v>0.5</v>
      </c>
      <c r="CQ45" s="127">
        <f t="shared" si="158"/>
        <v>-0.75</v>
      </c>
      <c r="CR45" s="136">
        <f t="shared" si="159"/>
        <v>20</v>
      </c>
      <c r="CS45" s="136">
        <f t="shared" si="160"/>
        <v>60</v>
      </c>
      <c r="CT45" s="135">
        <f t="shared" si="161"/>
        <v>40</v>
      </c>
      <c r="CU45" s="139" t="str">
        <f t="shared" si="162"/>
        <v/>
      </c>
      <c r="CV45" s="96" t="str">
        <f t="shared" si="163"/>
        <v/>
      </c>
      <c r="CW45" s="141" t="str">
        <f t="shared" si="164"/>
        <v/>
      </c>
      <c r="ET45" s="83">
        <v>8.23</v>
      </c>
      <c r="EU45" s="4">
        <v>8.01</v>
      </c>
      <c r="EV45" s="4">
        <v>14.8</v>
      </c>
      <c r="EW45" s="4">
        <v>-1.1000000000000001</v>
      </c>
      <c r="EX45" s="4">
        <v>0.68</v>
      </c>
      <c r="EY45" s="4">
        <v>0.71</v>
      </c>
      <c r="EZ45" s="4">
        <v>4.3899999999999997</v>
      </c>
      <c r="FA45" s="4">
        <v>4.93</v>
      </c>
      <c r="FB45" s="4">
        <v>532</v>
      </c>
      <c r="FC45" s="4">
        <v>528</v>
      </c>
      <c r="FD45" s="4">
        <v>683</v>
      </c>
      <c r="FE45" s="4">
        <v>582</v>
      </c>
      <c r="FF45" s="4">
        <v>605</v>
      </c>
      <c r="FG45" s="4">
        <v>615</v>
      </c>
      <c r="FH45" s="4">
        <v>518</v>
      </c>
      <c r="FI45" s="4">
        <v>1.3</v>
      </c>
      <c r="FJ45" s="4">
        <v>-0.79</v>
      </c>
      <c r="FK45" s="4">
        <v>8.1</v>
      </c>
      <c r="FL45" s="4">
        <v>8.1199999999999992</v>
      </c>
      <c r="FM45" s="4">
        <v>8.1999999999999993</v>
      </c>
      <c r="FN45" s="4">
        <v>8.4499999999999993</v>
      </c>
      <c r="FO45" s="4">
        <v>8.85</v>
      </c>
      <c r="FP45" s="4">
        <v>9</v>
      </c>
      <c r="FQ45" s="4">
        <v>0</v>
      </c>
      <c r="FR45" s="4">
        <v>0.9</v>
      </c>
      <c r="FS45" s="4">
        <v>6.95</v>
      </c>
      <c r="FT45" s="4">
        <v>6.6</v>
      </c>
      <c r="FU45" s="4">
        <v>6.65</v>
      </c>
      <c r="FV45" s="4">
        <v>7.2</v>
      </c>
      <c r="FW45" s="4">
        <v>7.61</v>
      </c>
      <c r="FX45" s="4">
        <v>7.57</v>
      </c>
      <c r="FY45" s="4">
        <v>0</v>
      </c>
      <c r="FZ45" s="86">
        <v>0.9</v>
      </c>
      <c r="IL45" s="83">
        <f t="shared" si="165"/>
        <v>8.23</v>
      </c>
      <c r="IM45" s="4">
        <f t="shared" si="166"/>
        <v>8.01</v>
      </c>
      <c r="IN45" s="4">
        <f t="shared" si="167"/>
        <v>14.8</v>
      </c>
      <c r="IO45" s="4">
        <f t="shared" si="168"/>
        <v>-1.1000000000000001</v>
      </c>
      <c r="IP45" s="4">
        <f t="shared" si="169"/>
        <v>0.68</v>
      </c>
      <c r="IQ45" s="4">
        <f t="shared" si="170"/>
        <v>0.71</v>
      </c>
      <c r="IR45" s="4">
        <f t="shared" si="171"/>
        <v>4.3899999999999997</v>
      </c>
      <c r="IS45" s="4">
        <f t="shared" si="172"/>
        <v>4.93</v>
      </c>
      <c r="IT45" s="4">
        <f t="shared" si="173"/>
        <v>532</v>
      </c>
      <c r="IU45" s="4">
        <f t="shared" si="174"/>
        <v>528</v>
      </c>
      <c r="IV45" s="4">
        <f t="shared" si="175"/>
        <v>683</v>
      </c>
      <c r="IW45" s="4">
        <f t="shared" si="176"/>
        <v>582</v>
      </c>
      <c r="IX45" s="4">
        <f t="shared" si="177"/>
        <v>605</v>
      </c>
      <c r="IY45" s="4">
        <f t="shared" si="178"/>
        <v>615</v>
      </c>
      <c r="IZ45" s="4">
        <f t="shared" si="179"/>
        <v>518</v>
      </c>
      <c r="JA45" s="4">
        <f t="shared" si="180"/>
        <v>1.3</v>
      </c>
      <c r="JB45" s="4">
        <f t="shared" si="181"/>
        <v>-0.79</v>
      </c>
      <c r="JC45" s="4">
        <f t="shared" si="182"/>
        <v>8.1</v>
      </c>
      <c r="JD45" s="4">
        <f t="shared" si="183"/>
        <v>8.1199999999999992</v>
      </c>
      <c r="JE45" s="4">
        <f t="shared" si="184"/>
        <v>8.1999999999999993</v>
      </c>
      <c r="JF45" s="4">
        <f t="shared" si="185"/>
        <v>8.4499999999999993</v>
      </c>
      <c r="JG45" s="4">
        <f t="shared" si="186"/>
        <v>8.85</v>
      </c>
      <c r="JH45" s="4">
        <f t="shared" si="187"/>
        <v>9</v>
      </c>
      <c r="JI45" s="4">
        <f t="shared" si="188"/>
        <v>0</v>
      </c>
      <c r="JJ45" s="4">
        <f t="shared" si="189"/>
        <v>0.9</v>
      </c>
      <c r="JK45" s="4">
        <f t="shared" si="190"/>
        <v>6.95</v>
      </c>
      <c r="JL45" s="4">
        <f t="shared" si="191"/>
        <v>6.6</v>
      </c>
      <c r="JM45" s="4">
        <f t="shared" si="192"/>
        <v>6.65</v>
      </c>
      <c r="JN45" s="4">
        <f t="shared" si="193"/>
        <v>7.2</v>
      </c>
      <c r="JO45" s="4">
        <f t="shared" si="194"/>
        <v>7.61</v>
      </c>
      <c r="JP45" s="4">
        <f t="shared" si="195"/>
        <v>7.57</v>
      </c>
      <c r="JQ45" s="117">
        <f t="shared" si="196"/>
        <v>0</v>
      </c>
      <c r="JR45" s="110">
        <f t="shared" si="197"/>
        <v>0.9</v>
      </c>
      <c r="JS45" s="110" t="str">
        <f t="shared" si="198"/>
        <v/>
      </c>
      <c r="JT45" s="110" t="str">
        <f t="shared" si="199"/>
        <v/>
      </c>
      <c r="JU45" s="110" t="str">
        <f t="shared" si="200"/>
        <v/>
      </c>
      <c r="JV45" s="110" t="str">
        <f t="shared" si="201"/>
        <v/>
      </c>
      <c r="JW45" s="110" t="str">
        <f t="shared" si="202"/>
        <v/>
      </c>
      <c r="JX45" s="110" t="str">
        <f t="shared" si="203"/>
        <v/>
      </c>
      <c r="JY45" s="110" t="str">
        <f t="shared" si="204"/>
        <v/>
      </c>
      <c r="JZ45" s="110" t="str">
        <f t="shared" si="205"/>
        <v/>
      </c>
      <c r="KA45" s="110" t="str">
        <f t="shared" si="206"/>
        <v/>
      </c>
      <c r="KB45" s="110" t="str">
        <f t="shared" si="207"/>
        <v/>
      </c>
      <c r="KC45" s="110" t="str">
        <f t="shared" si="208"/>
        <v/>
      </c>
      <c r="KD45" s="110" t="str">
        <f t="shared" si="209"/>
        <v/>
      </c>
      <c r="KE45" s="110" t="str">
        <f t="shared" si="210"/>
        <v/>
      </c>
      <c r="KF45" s="110" t="str">
        <f t="shared" si="211"/>
        <v/>
      </c>
      <c r="KG45" s="121" t="str">
        <f t="shared" si="212"/>
        <v/>
      </c>
      <c r="KH45" s="83" t="str">
        <f t="shared" si="213"/>
        <v/>
      </c>
      <c r="KI45" s="4" t="str">
        <f t="shared" si="214"/>
        <v/>
      </c>
      <c r="KJ45" s="4" t="str">
        <f t="shared" si="215"/>
        <v/>
      </c>
      <c r="KK45" s="4" t="str">
        <f t="shared" si="216"/>
        <v/>
      </c>
      <c r="KL45" s="4" t="str">
        <f t="shared" si="217"/>
        <v/>
      </c>
      <c r="KM45" s="4" t="str">
        <f t="shared" si="218"/>
        <v/>
      </c>
      <c r="KN45" s="4" t="str">
        <f t="shared" si="219"/>
        <v/>
      </c>
      <c r="KO45" s="4" t="str">
        <f t="shared" si="220"/>
        <v/>
      </c>
      <c r="KP45" s="4" t="str">
        <f t="shared" si="221"/>
        <v/>
      </c>
      <c r="KQ45" s="4" t="str">
        <f t="shared" si="222"/>
        <v/>
      </c>
      <c r="KR45" s="4" t="str">
        <f t="shared" si="223"/>
        <v/>
      </c>
      <c r="KS45" s="4" t="str">
        <f t="shared" si="224"/>
        <v/>
      </c>
      <c r="KT45" s="4" t="str">
        <f t="shared" si="225"/>
        <v/>
      </c>
      <c r="KU45" s="4" t="str">
        <f t="shared" si="226"/>
        <v/>
      </c>
      <c r="KV45" s="4" t="str">
        <f t="shared" si="227"/>
        <v/>
      </c>
      <c r="KW45" s="4" t="str">
        <f t="shared" si="228"/>
        <v/>
      </c>
      <c r="KX45" s="4" t="str">
        <f t="shared" si="229"/>
        <v/>
      </c>
      <c r="KY45" s="4" t="str">
        <f t="shared" si="230"/>
        <v/>
      </c>
      <c r="KZ45" s="4" t="str">
        <f t="shared" si="231"/>
        <v/>
      </c>
      <c r="LA45" s="4" t="str">
        <f t="shared" si="232"/>
        <v/>
      </c>
      <c r="LB45" s="4" t="str">
        <f t="shared" si="233"/>
        <v/>
      </c>
      <c r="LC45" s="4" t="str">
        <f t="shared" si="234"/>
        <v/>
      </c>
      <c r="LD45" s="4" t="str">
        <f t="shared" si="235"/>
        <v/>
      </c>
      <c r="LE45" s="4" t="str">
        <f t="shared" si="236"/>
        <v/>
      </c>
      <c r="LF45" s="4" t="str">
        <f t="shared" si="237"/>
        <v/>
      </c>
      <c r="LG45" s="4" t="str">
        <f t="shared" si="238"/>
        <v/>
      </c>
      <c r="LH45" s="4" t="str">
        <f t="shared" si="239"/>
        <v/>
      </c>
      <c r="LI45" s="4" t="str">
        <f t="shared" si="240"/>
        <v/>
      </c>
      <c r="LJ45" s="4" t="str">
        <f t="shared" si="241"/>
        <v/>
      </c>
      <c r="LK45" s="4" t="str">
        <f t="shared" si="242"/>
        <v/>
      </c>
      <c r="LL45" s="4" t="str">
        <f t="shared" si="243"/>
        <v/>
      </c>
      <c r="LM45" s="4" t="str">
        <f t="shared" si="244"/>
        <v/>
      </c>
      <c r="LN45" s="4" t="str">
        <f t="shared" si="245"/>
        <v/>
      </c>
      <c r="LO45" s="4" t="str">
        <f t="shared" si="246"/>
        <v/>
      </c>
      <c r="LP45" s="4" t="str">
        <f t="shared" si="247"/>
        <v/>
      </c>
      <c r="LQ45" s="4" t="str">
        <f t="shared" si="248"/>
        <v/>
      </c>
      <c r="LR45" s="4" t="str">
        <f t="shared" si="249"/>
        <v/>
      </c>
      <c r="LS45" s="4" t="str">
        <f t="shared" si="250"/>
        <v/>
      </c>
      <c r="LT45" s="4" t="str">
        <f t="shared" si="251"/>
        <v/>
      </c>
      <c r="LU45" s="4" t="str">
        <f t="shared" si="252"/>
        <v/>
      </c>
      <c r="LV45" s="4" t="str">
        <f t="shared" si="253"/>
        <v/>
      </c>
      <c r="LW45" s="4" t="str">
        <f t="shared" si="254"/>
        <v/>
      </c>
      <c r="LX45" s="4" t="str">
        <f t="shared" si="255"/>
        <v/>
      </c>
      <c r="LY45" s="4" t="str">
        <f t="shared" si="256"/>
        <v/>
      </c>
      <c r="LZ45" s="4" t="str">
        <f t="shared" si="257"/>
        <v/>
      </c>
      <c r="MA45" s="4" t="str">
        <f t="shared" si="258"/>
        <v/>
      </c>
      <c r="MB45" s="4" t="str">
        <f t="shared" si="259"/>
        <v/>
      </c>
      <c r="MC45" s="4" t="str">
        <f t="shared" si="260"/>
        <v/>
      </c>
      <c r="MD45" s="4" t="str">
        <f t="shared" si="261"/>
        <v/>
      </c>
      <c r="ME45" s="4" t="str">
        <f t="shared" si="262"/>
        <v/>
      </c>
      <c r="MF45" s="4" t="str">
        <f t="shared" si="263"/>
        <v/>
      </c>
      <c r="MG45" s="4">
        <f t="shared" si="264"/>
        <v>0</v>
      </c>
    </row>
    <row r="46" spans="1:345" ht="26.25" customHeight="1" thickBot="1" x14ac:dyDescent="0.25">
      <c r="A46" s="35">
        <v>41206</v>
      </c>
      <c r="B46" s="36" t="s">
        <v>214</v>
      </c>
      <c r="C46" s="36" t="s">
        <v>9</v>
      </c>
      <c r="D46" s="31" t="s">
        <v>111</v>
      </c>
      <c r="E46" s="4">
        <v>57</v>
      </c>
      <c r="F46" s="3">
        <v>20225</v>
      </c>
      <c r="G46" s="4" t="s">
        <v>87</v>
      </c>
      <c r="H46" s="4" t="s">
        <v>112</v>
      </c>
      <c r="I46" s="4">
        <v>1835684</v>
      </c>
      <c r="J46" s="2" t="s">
        <v>309</v>
      </c>
      <c r="K46" s="227"/>
      <c r="L46" s="228"/>
      <c r="M46" s="228"/>
      <c r="N46" s="228"/>
      <c r="O46" s="258"/>
      <c r="P46" s="228"/>
      <c r="Q46" s="228"/>
      <c r="R46" s="4">
        <v>-0.5</v>
      </c>
      <c r="S46" s="4">
        <v>-0.52</v>
      </c>
      <c r="T46" s="39" t="s">
        <v>249</v>
      </c>
      <c r="U46" s="70">
        <v>12.5</v>
      </c>
      <c r="V46" s="124">
        <v>41204</v>
      </c>
      <c r="W46" s="67">
        <v>-14.5</v>
      </c>
      <c r="X46" s="67">
        <v>1</v>
      </c>
      <c r="Y46" s="4">
        <v>80</v>
      </c>
      <c r="Z46" s="4">
        <v>80</v>
      </c>
      <c r="AA46" s="4">
        <v>24</v>
      </c>
      <c r="AB46" s="4">
        <v>522</v>
      </c>
      <c r="AC46" s="4">
        <v>25.73</v>
      </c>
      <c r="AD46" s="4">
        <v>12.1</v>
      </c>
      <c r="AE46" s="4">
        <v>4.6900000000000004</v>
      </c>
      <c r="AF46" s="4">
        <v>3.71</v>
      </c>
      <c r="AG46" s="4">
        <v>44.64</v>
      </c>
      <c r="AH46" s="4">
        <v>177</v>
      </c>
      <c r="AI46" s="4">
        <v>45.42</v>
      </c>
      <c r="AJ46" s="4">
        <v>87</v>
      </c>
      <c r="AK46" s="4">
        <v>0</v>
      </c>
      <c r="AL46" s="4" t="b">
        <f t="shared" si="135"/>
        <v>0</v>
      </c>
      <c r="AN46" s="3" t="s">
        <v>78</v>
      </c>
      <c r="AP46" s="69">
        <v>0</v>
      </c>
      <c r="AQ46" s="69">
        <v>0.5</v>
      </c>
      <c r="AR46" s="64">
        <v>45</v>
      </c>
      <c r="AS46" s="64">
        <v>20</v>
      </c>
      <c r="AT46" s="64">
        <v>14</v>
      </c>
      <c r="AU46" s="64">
        <v>490</v>
      </c>
      <c r="AV46" s="64">
        <v>2326</v>
      </c>
      <c r="BC46" s="4">
        <f t="shared" si="136"/>
        <v>0.25</v>
      </c>
      <c r="BD46" s="4">
        <f t="shared" si="133"/>
        <v>0.77</v>
      </c>
      <c r="BE46" s="4">
        <f t="shared" si="137"/>
        <v>-32</v>
      </c>
      <c r="BF46" s="37">
        <v>41600</v>
      </c>
      <c r="BG46" s="268">
        <v>20</v>
      </c>
      <c r="BH46" s="269">
        <v>-0.5</v>
      </c>
      <c r="BI46" s="269">
        <v>0</v>
      </c>
      <c r="BJ46" s="270">
        <v>0</v>
      </c>
      <c r="BK46" s="270">
        <v>20</v>
      </c>
      <c r="BU46" s="4">
        <f t="shared" si="134"/>
        <v>-0.5</v>
      </c>
      <c r="BV46" s="4">
        <f t="shared" si="138"/>
        <v>2.0000000000000018E-2</v>
      </c>
      <c r="BW46" s="4" t="str">
        <f t="shared" si="139"/>
        <v/>
      </c>
      <c r="BX46" s="4">
        <f t="shared" si="140"/>
        <v>1</v>
      </c>
      <c r="BY46" s="4">
        <f t="shared" si="141"/>
        <v>1</v>
      </c>
      <c r="BZ46" s="4">
        <f t="shared" si="142"/>
        <v>-14</v>
      </c>
      <c r="CA46" s="4">
        <f t="shared" si="143"/>
        <v>0.25</v>
      </c>
      <c r="CB46" s="4">
        <f t="shared" si="144"/>
        <v>-0.5</v>
      </c>
      <c r="CC46" s="53">
        <f t="shared" si="145"/>
        <v>394</v>
      </c>
      <c r="CD46" s="55">
        <f t="shared" si="146"/>
        <v>13.133333333333333</v>
      </c>
      <c r="CE46" s="4">
        <f t="shared" si="147"/>
        <v>-0.75</v>
      </c>
      <c r="CF46" s="4" t="str">
        <f t="shared" si="148"/>
        <v/>
      </c>
      <c r="CG46" s="4" t="str">
        <f t="shared" si="149"/>
        <v/>
      </c>
      <c r="CH46" s="4" t="str">
        <f t="shared" si="150"/>
        <v/>
      </c>
      <c r="CI46" s="4">
        <f t="shared" si="151"/>
        <v>-14</v>
      </c>
      <c r="CJ46" s="4">
        <f t="shared" si="152"/>
        <v>-0.5</v>
      </c>
      <c r="CK46" s="93">
        <f t="shared" si="153"/>
        <v>2.0000000000000018E-2</v>
      </c>
      <c r="CL46" s="83">
        <f t="shared" si="154"/>
        <v>-32</v>
      </c>
      <c r="CM46" s="4" t="str">
        <f t="shared" si="155"/>
        <v/>
      </c>
      <c r="CN46" s="96">
        <f t="shared" si="156"/>
        <v>-0.52</v>
      </c>
      <c r="CO46" s="96">
        <f t="shared" si="265"/>
        <v>0.6020599913279624</v>
      </c>
      <c r="CP46" s="127">
        <f t="shared" si="157"/>
        <v>0</v>
      </c>
      <c r="CQ46" s="127">
        <f t="shared" si="158"/>
        <v>-1</v>
      </c>
      <c r="CR46" s="136">
        <f t="shared" si="159"/>
        <v>20</v>
      </c>
      <c r="CS46" s="136">
        <f t="shared" si="160"/>
        <v>80</v>
      </c>
      <c r="CT46" s="135">
        <f t="shared" si="161"/>
        <v>20</v>
      </c>
      <c r="CU46" s="139" t="str">
        <f t="shared" si="162"/>
        <v/>
      </c>
      <c r="CV46" s="96" t="str">
        <f t="shared" si="163"/>
        <v/>
      </c>
      <c r="CW46" s="141" t="str">
        <f t="shared" si="164"/>
        <v/>
      </c>
      <c r="IL46" s="83" t="str">
        <f t="shared" si="165"/>
        <v/>
      </c>
      <c r="IM46" s="4" t="str">
        <f t="shared" si="166"/>
        <v/>
      </c>
      <c r="IN46" s="4" t="str">
        <f t="shared" si="167"/>
        <v/>
      </c>
      <c r="IO46" s="4" t="str">
        <f t="shared" si="168"/>
        <v/>
      </c>
      <c r="IP46" s="4" t="str">
        <f t="shared" si="169"/>
        <v/>
      </c>
      <c r="IQ46" s="4" t="str">
        <f t="shared" si="170"/>
        <v/>
      </c>
      <c r="IR46" s="4" t="str">
        <f t="shared" si="171"/>
        <v/>
      </c>
      <c r="IS46" s="4" t="str">
        <f t="shared" si="172"/>
        <v/>
      </c>
      <c r="IT46" s="4" t="str">
        <f t="shared" si="173"/>
        <v/>
      </c>
      <c r="IU46" s="4" t="str">
        <f t="shared" si="174"/>
        <v/>
      </c>
      <c r="IV46" s="4" t="str">
        <f t="shared" si="175"/>
        <v/>
      </c>
      <c r="IW46" s="4" t="str">
        <f t="shared" si="176"/>
        <v/>
      </c>
      <c r="IX46" s="4" t="str">
        <f t="shared" si="177"/>
        <v/>
      </c>
      <c r="IY46" s="4" t="str">
        <f t="shared" si="178"/>
        <v/>
      </c>
      <c r="IZ46" s="4" t="str">
        <f t="shared" si="179"/>
        <v/>
      </c>
      <c r="JA46" s="4" t="str">
        <f t="shared" si="180"/>
        <v/>
      </c>
      <c r="JB46" s="4" t="str">
        <f t="shared" si="181"/>
        <v/>
      </c>
      <c r="JC46" s="4" t="str">
        <f t="shared" si="182"/>
        <v/>
      </c>
      <c r="JD46" s="4" t="str">
        <f t="shared" si="183"/>
        <v/>
      </c>
      <c r="JE46" s="4" t="str">
        <f t="shared" si="184"/>
        <v/>
      </c>
      <c r="JF46" s="4" t="str">
        <f t="shared" si="185"/>
        <v/>
      </c>
      <c r="JG46" s="4" t="str">
        <f t="shared" si="186"/>
        <v/>
      </c>
      <c r="JH46" s="4" t="str">
        <f t="shared" si="187"/>
        <v/>
      </c>
      <c r="JI46" s="4" t="str">
        <f t="shared" si="188"/>
        <v/>
      </c>
      <c r="JJ46" s="4" t="str">
        <f t="shared" si="189"/>
        <v/>
      </c>
      <c r="JK46" s="4" t="str">
        <f t="shared" si="190"/>
        <v/>
      </c>
      <c r="JL46" s="4" t="str">
        <f t="shared" si="191"/>
        <v/>
      </c>
      <c r="JM46" s="4" t="str">
        <f t="shared" si="192"/>
        <v/>
      </c>
      <c r="JN46" s="4" t="str">
        <f t="shared" si="193"/>
        <v/>
      </c>
      <c r="JO46" s="4" t="str">
        <f t="shared" si="194"/>
        <v/>
      </c>
      <c r="JP46" s="4" t="str">
        <f t="shared" si="195"/>
        <v/>
      </c>
      <c r="JQ46" s="117" t="str">
        <f t="shared" si="196"/>
        <v/>
      </c>
      <c r="JR46" s="110" t="str">
        <f t="shared" si="197"/>
        <v/>
      </c>
      <c r="JS46" s="110" t="str">
        <f t="shared" si="198"/>
        <v/>
      </c>
      <c r="JT46" s="110" t="str">
        <f t="shared" si="199"/>
        <v/>
      </c>
      <c r="JU46" s="110" t="str">
        <f t="shared" si="200"/>
        <v/>
      </c>
      <c r="JV46" s="110" t="str">
        <f t="shared" si="201"/>
        <v/>
      </c>
      <c r="JW46" s="110" t="str">
        <f t="shared" si="202"/>
        <v/>
      </c>
      <c r="JX46" s="110" t="str">
        <f t="shared" si="203"/>
        <v/>
      </c>
      <c r="JY46" s="110" t="str">
        <f t="shared" si="204"/>
        <v/>
      </c>
      <c r="JZ46" s="110" t="str">
        <f t="shared" si="205"/>
        <v/>
      </c>
      <c r="KA46" s="110" t="str">
        <f t="shared" si="206"/>
        <v/>
      </c>
      <c r="KB46" s="110" t="str">
        <f t="shared" si="207"/>
        <v/>
      </c>
      <c r="KC46" s="110" t="str">
        <f t="shared" si="208"/>
        <v/>
      </c>
      <c r="KD46" s="110" t="str">
        <f t="shared" si="209"/>
        <v/>
      </c>
      <c r="KE46" s="110" t="str">
        <f t="shared" si="210"/>
        <v/>
      </c>
      <c r="KF46" s="110" t="str">
        <f t="shared" si="211"/>
        <v/>
      </c>
      <c r="KG46" s="121" t="str">
        <f t="shared" si="212"/>
        <v/>
      </c>
      <c r="KH46" s="83" t="str">
        <f t="shared" si="213"/>
        <v/>
      </c>
      <c r="KI46" s="4" t="str">
        <f t="shared" si="214"/>
        <v/>
      </c>
      <c r="KJ46" s="4" t="str">
        <f t="shared" si="215"/>
        <v/>
      </c>
      <c r="KK46" s="4" t="str">
        <f t="shared" si="216"/>
        <v/>
      </c>
      <c r="KL46" s="4" t="str">
        <f t="shared" si="217"/>
        <v/>
      </c>
      <c r="KM46" s="4" t="str">
        <f t="shared" si="218"/>
        <v/>
      </c>
      <c r="KN46" s="4" t="str">
        <f t="shared" si="219"/>
        <v/>
      </c>
      <c r="KO46" s="4" t="str">
        <f t="shared" si="220"/>
        <v/>
      </c>
      <c r="KP46" s="4" t="str">
        <f t="shared" si="221"/>
        <v/>
      </c>
      <c r="KQ46" s="4" t="str">
        <f t="shared" si="222"/>
        <v/>
      </c>
      <c r="KR46" s="4" t="str">
        <f t="shared" si="223"/>
        <v/>
      </c>
      <c r="KS46" s="4" t="str">
        <f t="shared" si="224"/>
        <v/>
      </c>
      <c r="KT46" s="4" t="str">
        <f t="shared" si="225"/>
        <v/>
      </c>
      <c r="KU46" s="4" t="str">
        <f t="shared" si="226"/>
        <v/>
      </c>
      <c r="KV46" s="4" t="str">
        <f t="shared" si="227"/>
        <v/>
      </c>
      <c r="KW46" s="4" t="str">
        <f t="shared" si="228"/>
        <v/>
      </c>
      <c r="KX46" s="4" t="str">
        <f t="shared" si="229"/>
        <v/>
      </c>
      <c r="KY46" s="4" t="str">
        <f t="shared" si="230"/>
        <v/>
      </c>
      <c r="KZ46" s="4" t="str">
        <f t="shared" si="231"/>
        <v/>
      </c>
      <c r="LA46" s="4" t="str">
        <f t="shared" si="232"/>
        <v/>
      </c>
      <c r="LB46" s="4" t="str">
        <f t="shared" si="233"/>
        <v/>
      </c>
      <c r="LC46" s="4" t="str">
        <f t="shared" si="234"/>
        <v/>
      </c>
      <c r="LD46" s="4" t="str">
        <f t="shared" si="235"/>
        <v/>
      </c>
      <c r="LE46" s="4" t="str">
        <f t="shared" si="236"/>
        <v/>
      </c>
      <c r="LF46" s="4" t="str">
        <f t="shared" si="237"/>
        <v/>
      </c>
      <c r="LG46" s="4" t="str">
        <f t="shared" si="238"/>
        <v/>
      </c>
      <c r="LH46" s="4" t="str">
        <f t="shared" si="239"/>
        <v/>
      </c>
      <c r="LI46" s="4" t="str">
        <f t="shared" si="240"/>
        <v/>
      </c>
      <c r="LJ46" s="4" t="str">
        <f t="shared" si="241"/>
        <v/>
      </c>
      <c r="LK46" s="4" t="str">
        <f t="shared" si="242"/>
        <v/>
      </c>
      <c r="LL46" s="4" t="str">
        <f t="shared" si="243"/>
        <v/>
      </c>
      <c r="LM46" s="4" t="str">
        <f t="shared" si="244"/>
        <v/>
      </c>
      <c r="LN46" s="4" t="str">
        <f t="shared" si="245"/>
        <v/>
      </c>
      <c r="LO46" s="4" t="str">
        <f t="shared" si="246"/>
        <v/>
      </c>
      <c r="LP46" s="4" t="str">
        <f t="shared" si="247"/>
        <v/>
      </c>
      <c r="LQ46" s="4" t="str">
        <f t="shared" si="248"/>
        <v/>
      </c>
      <c r="LR46" s="4" t="str">
        <f t="shared" si="249"/>
        <v/>
      </c>
      <c r="LS46" s="4" t="str">
        <f t="shared" si="250"/>
        <v/>
      </c>
      <c r="LT46" s="4" t="str">
        <f t="shared" si="251"/>
        <v/>
      </c>
      <c r="LU46" s="4" t="str">
        <f t="shared" si="252"/>
        <v/>
      </c>
      <c r="LV46" s="4" t="str">
        <f t="shared" si="253"/>
        <v/>
      </c>
      <c r="LW46" s="4" t="str">
        <f t="shared" si="254"/>
        <v/>
      </c>
      <c r="LX46" s="4" t="str">
        <f t="shared" si="255"/>
        <v/>
      </c>
      <c r="LY46" s="4" t="str">
        <f t="shared" si="256"/>
        <v/>
      </c>
      <c r="LZ46" s="4" t="str">
        <f t="shared" si="257"/>
        <v/>
      </c>
      <c r="MA46" s="4" t="str">
        <f t="shared" si="258"/>
        <v/>
      </c>
      <c r="MB46" s="4" t="str">
        <f t="shared" si="259"/>
        <v/>
      </c>
      <c r="MC46" s="4" t="str">
        <f t="shared" si="260"/>
        <v/>
      </c>
      <c r="MD46" s="4" t="str">
        <f t="shared" si="261"/>
        <v/>
      </c>
      <c r="ME46" s="4" t="str">
        <f t="shared" si="262"/>
        <v/>
      </c>
      <c r="MF46" s="4" t="str">
        <f t="shared" si="263"/>
        <v/>
      </c>
      <c r="MG46" s="4">
        <f t="shared" si="264"/>
        <v>0</v>
      </c>
    </row>
    <row r="47" spans="1:345" ht="26.25" customHeight="1" thickBot="1" x14ac:dyDescent="0.25">
      <c r="A47" s="35">
        <v>41206</v>
      </c>
      <c r="B47" s="36" t="s">
        <v>138</v>
      </c>
      <c r="C47" s="36" t="s">
        <v>215</v>
      </c>
      <c r="D47" s="31" t="s">
        <v>111</v>
      </c>
      <c r="E47" s="4">
        <v>73</v>
      </c>
      <c r="F47" s="3">
        <v>14372</v>
      </c>
      <c r="G47" s="4" t="s">
        <v>87</v>
      </c>
      <c r="H47" s="4" t="s">
        <v>108</v>
      </c>
      <c r="I47" s="4">
        <v>1835691</v>
      </c>
      <c r="J47" s="2" t="s">
        <v>309</v>
      </c>
      <c r="K47" s="227" t="s">
        <v>655</v>
      </c>
      <c r="L47" s="228">
        <v>1</v>
      </c>
      <c r="M47" s="228"/>
      <c r="N47" s="274" t="s">
        <v>654</v>
      </c>
      <c r="O47" s="258"/>
      <c r="P47" s="228"/>
      <c r="Q47" s="228"/>
      <c r="R47" s="4">
        <v>-0.75</v>
      </c>
      <c r="S47" s="4">
        <v>-0.75</v>
      </c>
      <c r="T47" s="39" t="s">
        <v>249</v>
      </c>
      <c r="U47" s="70">
        <v>28.5</v>
      </c>
      <c r="V47" s="124">
        <v>41197</v>
      </c>
      <c r="W47" s="67">
        <v>4.5</v>
      </c>
      <c r="X47" s="67">
        <v>0.5</v>
      </c>
      <c r="Y47" s="4">
        <v>150</v>
      </c>
      <c r="Z47" s="4">
        <v>60</v>
      </c>
      <c r="AA47" s="4">
        <v>12</v>
      </c>
      <c r="AB47" s="4">
        <v>819</v>
      </c>
      <c r="AC47" s="4">
        <v>21.48</v>
      </c>
      <c r="AD47" s="4">
        <v>11.2</v>
      </c>
      <c r="AE47" s="4">
        <v>5.03</v>
      </c>
      <c r="AF47" s="4">
        <v>2.17</v>
      </c>
      <c r="AG47" s="4">
        <v>43.21</v>
      </c>
      <c r="AH47" s="4">
        <v>5</v>
      </c>
      <c r="AI47" s="4">
        <v>44</v>
      </c>
      <c r="AJ47" s="4">
        <v>95</v>
      </c>
      <c r="AK47" s="4">
        <v>2</v>
      </c>
      <c r="AL47" s="4" t="b">
        <f t="shared" si="135"/>
        <v>1</v>
      </c>
      <c r="AM47" s="54"/>
      <c r="AN47" s="32">
        <v>41417</v>
      </c>
      <c r="AO47" s="60">
        <v>40</v>
      </c>
      <c r="AP47" s="67">
        <v>-0.75</v>
      </c>
      <c r="AQ47" s="67">
        <v>0.25</v>
      </c>
      <c r="AR47" s="4">
        <v>89</v>
      </c>
      <c r="AS47" s="4">
        <v>30</v>
      </c>
      <c r="AT47" s="4">
        <v>17</v>
      </c>
      <c r="AU47" s="4">
        <v>523</v>
      </c>
      <c r="AV47" s="4">
        <v>1351</v>
      </c>
      <c r="BC47" s="4">
        <f t="shared" si="136"/>
        <v>-0.625</v>
      </c>
      <c r="BD47" s="4">
        <f t="shared" si="133"/>
        <v>0.125</v>
      </c>
      <c r="BE47" s="4">
        <f t="shared" si="137"/>
        <v>-296</v>
      </c>
      <c r="BF47" s="3">
        <v>41599</v>
      </c>
      <c r="BH47" s="67">
        <v>-1.75</v>
      </c>
      <c r="BI47" s="67">
        <v>1</v>
      </c>
      <c r="BJ47" s="4">
        <v>15</v>
      </c>
      <c r="BK47" s="4">
        <v>20</v>
      </c>
      <c r="BL47" s="4">
        <v>14</v>
      </c>
      <c r="BM47" s="4">
        <v>518</v>
      </c>
      <c r="BN47" s="4">
        <v>1422</v>
      </c>
      <c r="BO47" s="4">
        <v>21.56</v>
      </c>
      <c r="BP47" s="4">
        <v>3.34</v>
      </c>
      <c r="BQ47" s="4">
        <v>44.06</v>
      </c>
      <c r="BR47" s="4">
        <v>44</v>
      </c>
      <c r="BS47" s="4">
        <v>44.76</v>
      </c>
      <c r="BT47" s="4">
        <v>134</v>
      </c>
      <c r="BU47" s="4">
        <f t="shared" si="134"/>
        <v>-1.25</v>
      </c>
      <c r="BV47" s="4">
        <f t="shared" si="138"/>
        <v>-0.5</v>
      </c>
      <c r="BW47" s="4">
        <f t="shared" si="139"/>
        <v>-301</v>
      </c>
      <c r="BX47" s="4">
        <f t="shared" si="140"/>
        <v>1</v>
      </c>
      <c r="BY47" s="4">
        <f t="shared" si="141"/>
        <v>1</v>
      </c>
      <c r="BZ47" s="4">
        <f t="shared" si="142"/>
        <v>4.75</v>
      </c>
      <c r="CA47" s="4">
        <f t="shared" si="143"/>
        <v>-0.625</v>
      </c>
      <c r="CB47" s="4">
        <f t="shared" si="144"/>
        <v>-1.25</v>
      </c>
      <c r="CC47" s="53">
        <f t="shared" si="145"/>
        <v>393</v>
      </c>
      <c r="CD47" s="55">
        <f t="shared" si="146"/>
        <v>13.1</v>
      </c>
      <c r="CE47" s="4">
        <f t="shared" si="147"/>
        <v>-0.625</v>
      </c>
      <c r="CF47" s="4" t="str">
        <f t="shared" si="148"/>
        <v/>
      </c>
      <c r="CG47" s="4">
        <f t="shared" si="149"/>
        <v>0.80499999999999261</v>
      </c>
      <c r="CH47" s="4">
        <f t="shared" si="150"/>
        <v>0.80499999999999261</v>
      </c>
      <c r="CI47" s="4">
        <f t="shared" si="151"/>
        <v>4.75</v>
      </c>
      <c r="CJ47" s="4">
        <f t="shared" si="152"/>
        <v>-1.25</v>
      </c>
      <c r="CK47" s="93">
        <f t="shared" si="153"/>
        <v>-0.5</v>
      </c>
      <c r="CL47" s="83">
        <f t="shared" si="154"/>
        <v>-301</v>
      </c>
      <c r="CM47" s="4">
        <f t="shared" si="155"/>
        <v>7.9999999999998295E-2</v>
      </c>
      <c r="CN47" s="96">
        <f t="shared" si="156"/>
        <v>-0.75</v>
      </c>
      <c r="CO47" s="96">
        <f t="shared" si="265"/>
        <v>0.47712125471966244</v>
      </c>
      <c r="CP47" s="127">
        <f t="shared" si="157"/>
        <v>1</v>
      </c>
      <c r="CQ47" s="127">
        <f t="shared" si="158"/>
        <v>0.5</v>
      </c>
      <c r="CR47" s="136">
        <f t="shared" si="159"/>
        <v>20</v>
      </c>
      <c r="CS47" s="136">
        <f t="shared" si="160"/>
        <v>60</v>
      </c>
      <c r="CT47" s="135">
        <f t="shared" si="161"/>
        <v>40</v>
      </c>
      <c r="CU47" s="139">
        <f t="shared" si="162"/>
        <v>1</v>
      </c>
      <c r="CV47" s="96">
        <f t="shared" si="163"/>
        <v>0</v>
      </c>
      <c r="CW47" s="141" t="b">
        <f t="shared" si="164"/>
        <v>0</v>
      </c>
      <c r="CX47">
        <v>7.82</v>
      </c>
      <c r="CY47" s="4">
        <v>7.54</v>
      </c>
      <c r="CZ47" s="4">
        <v>9.6999999999999993</v>
      </c>
      <c r="DA47" s="4">
        <v>-1.6</v>
      </c>
      <c r="DB47" s="4">
        <v>0.56000000000000005</v>
      </c>
      <c r="DC47" s="4">
        <v>0.9</v>
      </c>
      <c r="DD47" s="4">
        <v>1.65</v>
      </c>
      <c r="DE47" s="4">
        <v>2.4500000000000002</v>
      </c>
      <c r="DF47" s="4">
        <v>792</v>
      </c>
      <c r="DG47" s="4">
        <v>821</v>
      </c>
      <c r="DH47" s="4">
        <v>873</v>
      </c>
      <c r="DI47" s="4">
        <v>934</v>
      </c>
      <c r="DJ47" s="4">
        <v>730</v>
      </c>
      <c r="DK47" s="4">
        <v>900</v>
      </c>
      <c r="DL47" s="4">
        <v>713</v>
      </c>
      <c r="DM47" s="4">
        <v>1.61</v>
      </c>
      <c r="DN47" s="4">
        <v>0.56000000000000005</v>
      </c>
      <c r="DO47" s="4">
        <v>7.73</v>
      </c>
      <c r="DP47" s="4">
        <v>7.62</v>
      </c>
      <c r="DQ47" s="4">
        <v>7.76</v>
      </c>
      <c r="DR47" s="4">
        <v>8.23</v>
      </c>
      <c r="DS47" s="4">
        <v>8.4</v>
      </c>
      <c r="DT47" s="4">
        <v>8.44</v>
      </c>
      <c r="DU47" s="4">
        <v>0</v>
      </c>
      <c r="DV47" s="4">
        <v>0.9</v>
      </c>
      <c r="DW47" s="4">
        <v>6.71</v>
      </c>
      <c r="DX47" s="4">
        <v>6.35</v>
      </c>
      <c r="DY47" s="4">
        <v>6.52</v>
      </c>
      <c r="DZ47" s="4">
        <v>7.16</v>
      </c>
      <c r="EA47" s="4">
        <v>7.47</v>
      </c>
      <c r="EB47" s="4">
        <v>0</v>
      </c>
      <c r="EC47" s="4">
        <v>0</v>
      </c>
      <c r="ED47" s="89">
        <v>0.9</v>
      </c>
      <c r="EE47" s="110">
        <v>43.2</v>
      </c>
      <c r="EF47" s="110">
        <v>44.7</v>
      </c>
      <c r="EG47" s="110">
        <v>43.9</v>
      </c>
      <c r="EH47" s="110">
        <v>9.6999999999999993</v>
      </c>
      <c r="EI47" s="110">
        <v>1.6</v>
      </c>
      <c r="EJ47" s="110">
        <v>-5.7</v>
      </c>
      <c r="EK47" s="110">
        <v>-6.6</v>
      </c>
      <c r="EL47" s="110">
        <v>-6.1</v>
      </c>
      <c r="EM47" s="110">
        <v>170.4</v>
      </c>
      <c r="EN47" s="110">
        <v>0.8</v>
      </c>
      <c r="EO47" s="110">
        <v>5.7</v>
      </c>
      <c r="EP47" s="110">
        <v>16.3</v>
      </c>
      <c r="EQ47" s="110">
        <v>34.299999999999997</v>
      </c>
      <c r="ER47" s="110">
        <v>79.099999999999994</v>
      </c>
      <c r="ES47" s="114">
        <v>35</v>
      </c>
      <c r="GP47" s="83">
        <v>7.7</v>
      </c>
      <c r="GQ47" s="4">
        <v>7.53</v>
      </c>
      <c r="GR47" s="4">
        <v>162.80000000000001</v>
      </c>
      <c r="GS47" s="4">
        <v>-0.9</v>
      </c>
      <c r="GT47" s="4">
        <v>0.75</v>
      </c>
      <c r="GU47" s="4">
        <v>0.83</v>
      </c>
      <c r="GV47" s="4">
        <v>4.28</v>
      </c>
      <c r="GW47" s="4">
        <v>4.79</v>
      </c>
      <c r="GX47" s="4">
        <v>511</v>
      </c>
      <c r="GY47" s="4">
        <v>502</v>
      </c>
      <c r="GZ47" s="4">
        <v>745</v>
      </c>
      <c r="HA47" s="4">
        <v>580</v>
      </c>
      <c r="HB47" s="4">
        <v>598</v>
      </c>
      <c r="HC47" s="4">
        <v>585</v>
      </c>
      <c r="HD47" s="4">
        <v>491</v>
      </c>
      <c r="HE47" s="4">
        <v>-1.0900000000000001</v>
      </c>
      <c r="HF47" s="4">
        <v>-0.19</v>
      </c>
      <c r="HG47" s="4">
        <v>7.6</v>
      </c>
      <c r="HH47" s="4">
        <v>7.63</v>
      </c>
      <c r="HI47" s="4">
        <v>7.81</v>
      </c>
      <c r="HJ47" s="4">
        <v>8.07</v>
      </c>
      <c r="HK47" s="4">
        <v>8.24</v>
      </c>
      <c r="HL47" s="4">
        <v>8.31</v>
      </c>
      <c r="HM47" s="4">
        <v>0</v>
      </c>
      <c r="HN47" s="4">
        <v>1.7</v>
      </c>
      <c r="HO47" s="4">
        <v>6</v>
      </c>
      <c r="HP47" s="4">
        <v>6.11</v>
      </c>
      <c r="HQ47" s="4">
        <v>6.19</v>
      </c>
      <c r="HR47" s="4">
        <v>6.36</v>
      </c>
      <c r="HS47" s="4">
        <v>6.46</v>
      </c>
      <c r="HT47" s="4">
        <v>0</v>
      </c>
      <c r="HU47" s="4">
        <v>0</v>
      </c>
      <c r="HV47" s="93">
        <v>1.7</v>
      </c>
      <c r="HW47" s="110">
        <v>43.9</v>
      </c>
      <c r="HX47" s="110">
        <v>44.8</v>
      </c>
      <c r="HY47" s="110">
        <v>44.3</v>
      </c>
      <c r="HZ47" s="110">
        <v>162.80000000000001</v>
      </c>
      <c r="IA47" s="110">
        <v>0.9</v>
      </c>
      <c r="IB47" s="110">
        <v>-6.2</v>
      </c>
      <c r="IC47" s="110">
        <v>-7.1</v>
      </c>
      <c r="ID47" s="110">
        <v>-6.6</v>
      </c>
      <c r="IE47" s="110">
        <v>2.7</v>
      </c>
      <c r="IF47" s="110">
        <v>0.8</v>
      </c>
      <c r="IG47" s="110">
        <v>3.7</v>
      </c>
      <c r="IH47" s="110">
        <v>11.1</v>
      </c>
      <c r="II47" s="110">
        <v>24.4</v>
      </c>
      <c r="IJ47" s="110">
        <v>61.8</v>
      </c>
      <c r="IK47" s="121">
        <v>35</v>
      </c>
      <c r="IL47" s="83">
        <f t="shared" si="165"/>
        <v>7.7</v>
      </c>
      <c r="IM47" s="4">
        <f t="shared" si="166"/>
        <v>7.53</v>
      </c>
      <c r="IN47" s="4">
        <f t="shared" si="167"/>
        <v>162.80000000000001</v>
      </c>
      <c r="IO47" s="4">
        <f t="shared" si="168"/>
        <v>-0.9</v>
      </c>
      <c r="IP47" s="4">
        <f t="shared" si="169"/>
        <v>0.75</v>
      </c>
      <c r="IQ47" s="4">
        <f t="shared" si="170"/>
        <v>0.83</v>
      </c>
      <c r="IR47" s="4">
        <f t="shared" si="171"/>
        <v>4.28</v>
      </c>
      <c r="IS47" s="4">
        <f t="shared" si="172"/>
        <v>4.79</v>
      </c>
      <c r="IT47" s="4">
        <f t="shared" si="173"/>
        <v>511</v>
      </c>
      <c r="IU47" s="4">
        <f t="shared" si="174"/>
        <v>502</v>
      </c>
      <c r="IV47" s="4">
        <f t="shared" si="175"/>
        <v>745</v>
      </c>
      <c r="IW47" s="4">
        <f t="shared" si="176"/>
        <v>580</v>
      </c>
      <c r="IX47" s="4">
        <f t="shared" si="177"/>
        <v>598</v>
      </c>
      <c r="IY47" s="4">
        <f t="shared" si="178"/>
        <v>585</v>
      </c>
      <c r="IZ47" s="4">
        <f t="shared" si="179"/>
        <v>491</v>
      </c>
      <c r="JA47" s="4">
        <f t="shared" si="180"/>
        <v>-1.0900000000000001</v>
      </c>
      <c r="JB47" s="4">
        <f t="shared" si="181"/>
        <v>-0.19</v>
      </c>
      <c r="JC47" s="4">
        <f t="shared" si="182"/>
        <v>7.6</v>
      </c>
      <c r="JD47" s="4">
        <f t="shared" si="183"/>
        <v>7.63</v>
      </c>
      <c r="JE47" s="4">
        <f t="shared" si="184"/>
        <v>7.81</v>
      </c>
      <c r="JF47" s="4">
        <f t="shared" si="185"/>
        <v>8.07</v>
      </c>
      <c r="JG47" s="4">
        <f t="shared" si="186"/>
        <v>8.24</v>
      </c>
      <c r="JH47" s="4">
        <f t="shared" si="187"/>
        <v>8.31</v>
      </c>
      <c r="JI47" s="4">
        <f t="shared" si="188"/>
        <v>0</v>
      </c>
      <c r="JJ47" s="4">
        <f t="shared" si="189"/>
        <v>1.7</v>
      </c>
      <c r="JK47" s="4">
        <f t="shared" si="190"/>
        <v>6</v>
      </c>
      <c r="JL47" s="4">
        <f t="shared" si="191"/>
        <v>6.11</v>
      </c>
      <c r="JM47" s="4">
        <f t="shared" si="192"/>
        <v>6.19</v>
      </c>
      <c r="JN47" s="4">
        <f t="shared" si="193"/>
        <v>6.36</v>
      </c>
      <c r="JO47" s="4">
        <f t="shared" si="194"/>
        <v>6.46</v>
      </c>
      <c r="JP47" s="4">
        <f t="shared" si="195"/>
        <v>0</v>
      </c>
      <c r="JQ47" s="117">
        <f t="shared" si="196"/>
        <v>0</v>
      </c>
      <c r="JR47" s="110">
        <f t="shared" si="197"/>
        <v>1.7</v>
      </c>
      <c r="JS47" s="110">
        <f t="shared" si="198"/>
        <v>43.9</v>
      </c>
      <c r="JT47" s="110">
        <f t="shared" si="199"/>
        <v>44.8</v>
      </c>
      <c r="JU47" s="110">
        <f t="shared" si="200"/>
        <v>44.3</v>
      </c>
      <c r="JV47" s="110">
        <f t="shared" si="201"/>
        <v>162.80000000000001</v>
      </c>
      <c r="JW47" s="110">
        <f t="shared" si="202"/>
        <v>0.9</v>
      </c>
      <c r="JX47" s="110">
        <f t="shared" si="203"/>
        <v>-6.2</v>
      </c>
      <c r="JY47" s="110">
        <f t="shared" si="204"/>
        <v>-7.1</v>
      </c>
      <c r="JZ47" s="110">
        <f t="shared" si="205"/>
        <v>-6.6</v>
      </c>
      <c r="KA47" s="110">
        <f t="shared" si="206"/>
        <v>2.7</v>
      </c>
      <c r="KB47" s="110">
        <f t="shared" si="207"/>
        <v>0.8</v>
      </c>
      <c r="KC47" s="110">
        <f t="shared" si="208"/>
        <v>3.7</v>
      </c>
      <c r="KD47" s="110">
        <f t="shared" si="209"/>
        <v>11.1</v>
      </c>
      <c r="KE47" s="110">
        <f t="shared" si="210"/>
        <v>24.4</v>
      </c>
      <c r="KF47" s="110">
        <f t="shared" si="211"/>
        <v>61.8</v>
      </c>
      <c r="KG47" s="121">
        <f t="shared" si="212"/>
        <v>35</v>
      </c>
      <c r="KH47" s="83">
        <f t="shared" si="213"/>
        <v>-0.12000000000000011</v>
      </c>
      <c r="KI47" s="4">
        <f t="shared" si="214"/>
        <v>-9.9999999999997868E-3</v>
      </c>
      <c r="KJ47" s="4">
        <f t="shared" si="215"/>
        <v>153.10000000000002</v>
      </c>
      <c r="KK47" s="4">
        <f t="shared" si="216"/>
        <v>0.70000000000000007</v>
      </c>
      <c r="KL47" s="4">
        <f t="shared" si="217"/>
        <v>0.18999999999999995</v>
      </c>
      <c r="KM47" s="4">
        <f t="shared" si="218"/>
        <v>-7.0000000000000062E-2</v>
      </c>
      <c r="KN47" s="4">
        <f t="shared" si="219"/>
        <v>2.6300000000000003</v>
      </c>
      <c r="KO47" s="4">
        <f t="shared" si="220"/>
        <v>2.34</v>
      </c>
      <c r="KP47" s="4">
        <f t="shared" si="221"/>
        <v>-281</v>
      </c>
      <c r="KQ47" s="4">
        <f t="shared" si="222"/>
        <v>-319</v>
      </c>
      <c r="KR47" s="4">
        <f t="shared" si="223"/>
        <v>-128</v>
      </c>
      <c r="KS47" s="4">
        <f t="shared" si="224"/>
        <v>-354</v>
      </c>
      <c r="KT47" s="4">
        <f t="shared" si="225"/>
        <v>-132</v>
      </c>
      <c r="KU47" s="4">
        <f t="shared" si="226"/>
        <v>-315</v>
      </c>
      <c r="KV47" s="4">
        <f t="shared" si="227"/>
        <v>-222</v>
      </c>
      <c r="KW47" s="4">
        <f t="shared" si="228"/>
        <v>-2.7</v>
      </c>
      <c r="KX47" s="4">
        <f t="shared" si="229"/>
        <v>-0.75</v>
      </c>
      <c r="KY47" s="4">
        <f t="shared" si="230"/>
        <v>-0.13000000000000078</v>
      </c>
      <c r="KZ47" s="4">
        <f t="shared" si="231"/>
        <v>9.9999999999997868E-3</v>
      </c>
      <c r="LA47" s="4">
        <f t="shared" si="232"/>
        <v>4.9999999999999822E-2</v>
      </c>
      <c r="LB47" s="4">
        <f t="shared" si="233"/>
        <v>-0.16000000000000014</v>
      </c>
      <c r="LC47" s="4">
        <f t="shared" si="234"/>
        <v>-0.16000000000000014</v>
      </c>
      <c r="LD47" s="4">
        <f t="shared" si="235"/>
        <v>-0.12999999999999901</v>
      </c>
      <c r="LE47" s="4">
        <f t="shared" si="236"/>
        <v>0</v>
      </c>
      <c r="LF47" s="4">
        <f t="shared" si="237"/>
        <v>0.79999999999999993</v>
      </c>
      <c r="LG47" s="4">
        <f t="shared" si="238"/>
        <v>-0.71</v>
      </c>
      <c r="LH47" s="4">
        <f t="shared" si="239"/>
        <v>-0.23999999999999932</v>
      </c>
      <c r="LI47" s="4">
        <f t="shared" si="240"/>
        <v>-0.32999999999999918</v>
      </c>
      <c r="LJ47" s="4">
        <f t="shared" si="241"/>
        <v>-0.79999999999999982</v>
      </c>
      <c r="LK47" s="4">
        <f t="shared" si="242"/>
        <v>-1.0099999999999998</v>
      </c>
      <c r="LL47" s="4">
        <f t="shared" si="243"/>
        <v>0</v>
      </c>
      <c r="LM47" s="4">
        <f t="shared" si="244"/>
        <v>0</v>
      </c>
      <c r="LN47" s="4">
        <f t="shared" si="245"/>
        <v>0.79999999999999993</v>
      </c>
      <c r="LO47" s="4">
        <f t="shared" si="246"/>
        <v>0.69999999999999574</v>
      </c>
      <c r="LP47" s="4">
        <f t="shared" si="247"/>
        <v>9.9999999999994316E-2</v>
      </c>
      <c r="LQ47" s="4">
        <f t="shared" si="248"/>
        <v>0.39999999999999858</v>
      </c>
      <c r="LR47" s="4">
        <f t="shared" si="249"/>
        <v>153.10000000000002</v>
      </c>
      <c r="LS47" s="4">
        <f t="shared" si="250"/>
        <v>-0.70000000000000007</v>
      </c>
      <c r="LT47" s="4">
        <f t="shared" si="251"/>
        <v>-0.5</v>
      </c>
      <c r="LU47" s="4">
        <f t="shared" si="252"/>
        <v>-0.5</v>
      </c>
      <c r="LV47" s="4">
        <f t="shared" si="253"/>
        <v>-0.5</v>
      </c>
      <c r="LW47" s="4">
        <f t="shared" si="254"/>
        <v>-167.70000000000002</v>
      </c>
      <c r="LX47" s="4">
        <f t="shared" si="255"/>
        <v>0</v>
      </c>
      <c r="LY47" s="4">
        <f t="shared" si="256"/>
        <v>-2</v>
      </c>
      <c r="LZ47" s="4">
        <f t="shared" si="257"/>
        <v>-5.2000000000000011</v>
      </c>
      <c r="MA47" s="4">
        <f t="shared" si="258"/>
        <v>-9.8999999999999986</v>
      </c>
      <c r="MB47" s="4">
        <f t="shared" si="259"/>
        <v>-17.299999999999997</v>
      </c>
      <c r="MC47" s="4">
        <f t="shared" si="260"/>
        <v>0</v>
      </c>
      <c r="MD47" s="4" t="str">
        <f t="shared" si="261"/>
        <v/>
      </c>
      <c r="ME47" s="4" t="str">
        <f t="shared" si="262"/>
        <v/>
      </c>
      <c r="MF47" s="4" t="str">
        <f t="shared" si="263"/>
        <v/>
      </c>
      <c r="MG47" s="4">
        <f t="shared" si="264"/>
        <v>-7.1</v>
      </c>
    </row>
    <row r="48" spans="1:345" ht="26.25" customHeight="1" thickBot="1" x14ac:dyDescent="0.25">
      <c r="A48" s="35">
        <v>41213</v>
      </c>
      <c r="B48" s="36" t="s">
        <v>176</v>
      </c>
      <c r="C48" s="36" t="s">
        <v>122</v>
      </c>
      <c r="D48" s="31" t="s">
        <v>110</v>
      </c>
      <c r="E48" s="4">
        <v>68</v>
      </c>
      <c r="F48" s="3">
        <v>16096</v>
      </c>
      <c r="G48" s="4" t="s">
        <v>87</v>
      </c>
      <c r="H48" s="4" t="s">
        <v>112</v>
      </c>
      <c r="I48" s="4">
        <v>1835693</v>
      </c>
      <c r="J48" s="2" t="s">
        <v>309</v>
      </c>
      <c r="K48" s="227"/>
      <c r="L48" s="228"/>
      <c r="M48" s="228"/>
      <c r="N48" s="260" t="s">
        <v>656</v>
      </c>
      <c r="O48" s="258" t="s">
        <v>657</v>
      </c>
      <c r="P48" s="228"/>
      <c r="Q48" s="228"/>
      <c r="R48" s="33">
        <v>-0.5</v>
      </c>
      <c r="S48" s="33">
        <v>-0.53</v>
      </c>
      <c r="T48" s="33" t="s">
        <v>249</v>
      </c>
      <c r="U48" s="67">
        <v>21</v>
      </c>
      <c r="V48" s="124">
        <v>41190</v>
      </c>
      <c r="W48" s="67">
        <v>3</v>
      </c>
      <c r="X48" s="67">
        <v>0</v>
      </c>
      <c r="Y48" s="4">
        <v>0</v>
      </c>
      <c r="Z48" s="4">
        <v>40</v>
      </c>
      <c r="AA48" s="4">
        <v>24</v>
      </c>
      <c r="AB48" s="4">
        <v>535</v>
      </c>
      <c r="AC48" s="4">
        <v>23.15</v>
      </c>
      <c r="AD48" s="4">
        <v>12.4</v>
      </c>
      <c r="AE48" s="4">
        <v>5</v>
      </c>
      <c r="AF48" s="4">
        <v>3.01</v>
      </c>
      <c r="AG48" s="4">
        <v>44.53</v>
      </c>
      <c r="AH48" s="4">
        <v>146</v>
      </c>
      <c r="AI48" s="4">
        <v>45.12</v>
      </c>
      <c r="AJ48" s="4">
        <v>56</v>
      </c>
      <c r="AK48" s="4">
        <v>0</v>
      </c>
      <c r="AL48" s="4" t="b">
        <f t="shared" si="135"/>
        <v>0</v>
      </c>
      <c r="AN48" s="32">
        <v>41389</v>
      </c>
      <c r="AO48" s="60">
        <v>60</v>
      </c>
      <c r="AP48" s="67">
        <v>2</v>
      </c>
      <c r="AQ48" s="67">
        <v>0.5</v>
      </c>
      <c r="AR48" s="4">
        <v>135</v>
      </c>
      <c r="AS48" s="4">
        <v>25</v>
      </c>
      <c r="AT48" s="4">
        <v>14</v>
      </c>
      <c r="AU48" s="4">
        <v>451</v>
      </c>
      <c r="AV48" s="4">
        <v>1842</v>
      </c>
      <c r="BC48" s="4">
        <f t="shared" si="136"/>
        <v>2.25</v>
      </c>
      <c r="BD48" s="4">
        <f t="shared" si="133"/>
        <v>2.7800000000000002</v>
      </c>
      <c r="BE48" s="4">
        <f t="shared" si="137"/>
        <v>-84</v>
      </c>
      <c r="BF48" s="3">
        <v>41648</v>
      </c>
      <c r="BG48" s="56">
        <v>50</v>
      </c>
      <c r="BH48" s="67">
        <v>1</v>
      </c>
      <c r="BI48" s="67">
        <v>0.75</v>
      </c>
      <c r="BJ48" s="4">
        <v>150</v>
      </c>
      <c r="BK48" s="4">
        <v>20</v>
      </c>
      <c r="BL48" s="4">
        <v>18</v>
      </c>
      <c r="BM48" s="51">
        <v>455</v>
      </c>
      <c r="BN48" s="51">
        <v>2404</v>
      </c>
      <c r="BO48" s="51">
        <v>23.16</v>
      </c>
      <c r="BP48" s="4">
        <v>2.62</v>
      </c>
      <c r="BQ48" s="4">
        <v>42.56</v>
      </c>
      <c r="BR48" s="4">
        <v>0</v>
      </c>
      <c r="BS48" s="4">
        <v>44.06</v>
      </c>
      <c r="BT48" s="4">
        <v>120</v>
      </c>
      <c r="BU48" s="4">
        <f t="shared" si="134"/>
        <v>1.375</v>
      </c>
      <c r="BV48" s="4">
        <f t="shared" si="138"/>
        <v>1.905</v>
      </c>
      <c r="BW48" s="4">
        <f t="shared" si="139"/>
        <v>-80</v>
      </c>
      <c r="BX48" s="4">
        <f t="shared" si="140"/>
        <v>1</v>
      </c>
      <c r="BY48" s="4">
        <f t="shared" si="141"/>
        <v>1</v>
      </c>
      <c r="BZ48" s="4">
        <f t="shared" si="142"/>
        <v>3</v>
      </c>
      <c r="CA48" s="4">
        <f t="shared" si="143"/>
        <v>2.25</v>
      </c>
      <c r="CB48" s="4">
        <f t="shared" si="144"/>
        <v>1.375</v>
      </c>
      <c r="CC48" s="53">
        <f t="shared" si="145"/>
        <v>435</v>
      </c>
      <c r="CD48" s="55">
        <f t="shared" si="146"/>
        <v>14.5</v>
      </c>
      <c r="CE48" s="4">
        <f t="shared" si="147"/>
        <v>-0.875</v>
      </c>
      <c r="CF48" s="4" t="str">
        <f t="shared" si="148"/>
        <v/>
      </c>
      <c r="CG48" s="4">
        <f t="shared" si="149"/>
        <v>-1.5150000000000006</v>
      </c>
      <c r="CH48" s="4">
        <f t="shared" si="150"/>
        <v>-1.5150000000000006</v>
      </c>
      <c r="CI48" s="4">
        <f t="shared" si="151"/>
        <v>3</v>
      </c>
      <c r="CJ48" s="4">
        <f t="shared" si="152"/>
        <v>1.375</v>
      </c>
      <c r="CK48" s="93">
        <f t="shared" si="153"/>
        <v>1.905</v>
      </c>
      <c r="CL48" s="83">
        <f t="shared" si="154"/>
        <v>-80</v>
      </c>
      <c r="CM48" s="4">
        <f t="shared" si="155"/>
        <v>1.0000000000001563E-2</v>
      </c>
      <c r="CN48" s="96">
        <f t="shared" si="156"/>
        <v>-0.53</v>
      </c>
      <c r="CO48" s="96">
        <f t="shared" si="265"/>
        <v>0.3010299956639812</v>
      </c>
      <c r="CP48" s="127">
        <f t="shared" si="157"/>
        <v>0.75</v>
      </c>
      <c r="CQ48" s="127">
        <f t="shared" si="158"/>
        <v>0.75</v>
      </c>
      <c r="CR48" s="136">
        <f t="shared" si="159"/>
        <v>20</v>
      </c>
      <c r="CS48" s="136">
        <f t="shared" si="160"/>
        <v>40</v>
      </c>
      <c r="CT48" s="135">
        <f t="shared" si="161"/>
        <v>50</v>
      </c>
      <c r="CU48" s="139" t="str">
        <f t="shared" si="162"/>
        <v/>
      </c>
      <c r="CV48" s="96" t="str">
        <f t="shared" si="163"/>
        <v/>
      </c>
      <c r="CW48" s="141" t="str">
        <f t="shared" si="164"/>
        <v/>
      </c>
      <c r="IL48" s="83" t="str">
        <f t="shared" si="165"/>
        <v/>
      </c>
      <c r="IM48" s="4" t="str">
        <f t="shared" si="166"/>
        <v/>
      </c>
      <c r="IN48" s="4" t="str">
        <f t="shared" si="167"/>
        <v/>
      </c>
      <c r="IO48" s="4" t="str">
        <f t="shared" si="168"/>
        <v/>
      </c>
      <c r="IP48" s="4" t="str">
        <f t="shared" si="169"/>
        <v/>
      </c>
      <c r="IQ48" s="4" t="str">
        <f t="shared" si="170"/>
        <v/>
      </c>
      <c r="IR48" s="4" t="str">
        <f t="shared" si="171"/>
        <v/>
      </c>
      <c r="IS48" s="4" t="str">
        <f t="shared" si="172"/>
        <v/>
      </c>
      <c r="IT48" s="4" t="str">
        <f t="shared" si="173"/>
        <v/>
      </c>
      <c r="IU48" s="4" t="str">
        <f t="shared" si="174"/>
        <v/>
      </c>
      <c r="IV48" s="4" t="str">
        <f t="shared" si="175"/>
        <v/>
      </c>
      <c r="IW48" s="4" t="str">
        <f t="shared" si="176"/>
        <v/>
      </c>
      <c r="IX48" s="4" t="str">
        <f t="shared" si="177"/>
        <v/>
      </c>
      <c r="IY48" s="4" t="str">
        <f t="shared" si="178"/>
        <v/>
      </c>
      <c r="IZ48" s="4" t="str">
        <f t="shared" si="179"/>
        <v/>
      </c>
      <c r="JA48" s="4" t="str">
        <f t="shared" si="180"/>
        <v/>
      </c>
      <c r="JB48" s="4" t="str">
        <f t="shared" si="181"/>
        <v/>
      </c>
      <c r="JC48" s="4" t="str">
        <f t="shared" si="182"/>
        <v/>
      </c>
      <c r="JD48" s="4" t="str">
        <f t="shared" si="183"/>
        <v/>
      </c>
      <c r="JE48" s="4" t="str">
        <f t="shared" si="184"/>
        <v/>
      </c>
      <c r="JF48" s="4" t="str">
        <f t="shared" si="185"/>
        <v/>
      </c>
      <c r="JG48" s="4" t="str">
        <f t="shared" si="186"/>
        <v/>
      </c>
      <c r="JH48" s="4" t="str">
        <f t="shared" si="187"/>
        <v/>
      </c>
      <c r="JI48" s="4" t="str">
        <f t="shared" si="188"/>
        <v/>
      </c>
      <c r="JJ48" s="4" t="str">
        <f t="shared" si="189"/>
        <v/>
      </c>
      <c r="JK48" s="4" t="str">
        <f t="shared" si="190"/>
        <v/>
      </c>
      <c r="JL48" s="4" t="str">
        <f t="shared" si="191"/>
        <v/>
      </c>
      <c r="JM48" s="4" t="str">
        <f t="shared" si="192"/>
        <v/>
      </c>
      <c r="JN48" s="4" t="str">
        <f t="shared" si="193"/>
        <v/>
      </c>
      <c r="JO48" s="4" t="str">
        <f t="shared" si="194"/>
        <v/>
      </c>
      <c r="JP48" s="4" t="str">
        <f t="shared" si="195"/>
        <v/>
      </c>
      <c r="JQ48" s="117" t="str">
        <f t="shared" si="196"/>
        <v/>
      </c>
      <c r="JR48" s="110" t="str">
        <f t="shared" si="197"/>
        <v/>
      </c>
      <c r="JS48" s="110" t="str">
        <f t="shared" si="198"/>
        <v/>
      </c>
      <c r="JT48" s="110" t="str">
        <f t="shared" si="199"/>
        <v/>
      </c>
      <c r="JU48" s="110" t="str">
        <f t="shared" si="200"/>
        <v/>
      </c>
      <c r="JV48" s="110" t="str">
        <f t="shared" si="201"/>
        <v/>
      </c>
      <c r="JW48" s="110" t="str">
        <f t="shared" si="202"/>
        <v/>
      </c>
      <c r="JX48" s="110" t="str">
        <f t="shared" si="203"/>
        <v/>
      </c>
      <c r="JY48" s="110" t="str">
        <f t="shared" si="204"/>
        <v/>
      </c>
      <c r="JZ48" s="110" t="str">
        <f t="shared" si="205"/>
        <v/>
      </c>
      <c r="KA48" s="110" t="str">
        <f t="shared" si="206"/>
        <v/>
      </c>
      <c r="KB48" s="110" t="str">
        <f t="shared" si="207"/>
        <v/>
      </c>
      <c r="KC48" s="110" t="str">
        <f t="shared" si="208"/>
        <v/>
      </c>
      <c r="KD48" s="110" t="str">
        <f t="shared" si="209"/>
        <v/>
      </c>
      <c r="KE48" s="110" t="str">
        <f t="shared" si="210"/>
        <v/>
      </c>
      <c r="KF48" s="110" t="str">
        <f t="shared" si="211"/>
        <v/>
      </c>
      <c r="KG48" s="121" t="str">
        <f t="shared" si="212"/>
        <v/>
      </c>
      <c r="KH48" s="83" t="str">
        <f t="shared" si="213"/>
        <v/>
      </c>
      <c r="KI48" s="4" t="str">
        <f t="shared" si="214"/>
        <v/>
      </c>
      <c r="KJ48" s="4" t="str">
        <f t="shared" si="215"/>
        <v/>
      </c>
      <c r="KK48" s="4" t="str">
        <f t="shared" si="216"/>
        <v/>
      </c>
      <c r="KL48" s="4" t="str">
        <f t="shared" si="217"/>
        <v/>
      </c>
      <c r="KM48" s="4" t="str">
        <f t="shared" si="218"/>
        <v/>
      </c>
      <c r="KN48" s="4" t="str">
        <f t="shared" si="219"/>
        <v/>
      </c>
      <c r="KO48" s="4" t="str">
        <f t="shared" si="220"/>
        <v/>
      </c>
      <c r="KP48" s="4" t="str">
        <f t="shared" si="221"/>
        <v/>
      </c>
      <c r="KQ48" s="4" t="str">
        <f t="shared" si="222"/>
        <v/>
      </c>
      <c r="KR48" s="4" t="str">
        <f t="shared" si="223"/>
        <v/>
      </c>
      <c r="KS48" s="4" t="str">
        <f t="shared" si="224"/>
        <v/>
      </c>
      <c r="KT48" s="4" t="str">
        <f t="shared" si="225"/>
        <v/>
      </c>
      <c r="KU48" s="4" t="str">
        <f t="shared" si="226"/>
        <v/>
      </c>
      <c r="KV48" s="4" t="str">
        <f t="shared" si="227"/>
        <v/>
      </c>
      <c r="KW48" s="4" t="str">
        <f t="shared" si="228"/>
        <v/>
      </c>
      <c r="KX48" s="4" t="str">
        <f t="shared" si="229"/>
        <v/>
      </c>
      <c r="KY48" s="4" t="str">
        <f t="shared" si="230"/>
        <v/>
      </c>
      <c r="KZ48" s="4" t="str">
        <f t="shared" si="231"/>
        <v/>
      </c>
      <c r="LA48" s="4" t="str">
        <f t="shared" si="232"/>
        <v/>
      </c>
      <c r="LB48" s="4" t="str">
        <f t="shared" si="233"/>
        <v/>
      </c>
      <c r="LC48" s="4" t="str">
        <f t="shared" si="234"/>
        <v/>
      </c>
      <c r="LD48" s="4" t="str">
        <f t="shared" si="235"/>
        <v/>
      </c>
      <c r="LE48" s="4" t="str">
        <f t="shared" si="236"/>
        <v/>
      </c>
      <c r="LF48" s="4" t="str">
        <f t="shared" si="237"/>
        <v/>
      </c>
      <c r="LG48" s="4" t="str">
        <f t="shared" si="238"/>
        <v/>
      </c>
      <c r="LH48" s="4" t="str">
        <f t="shared" si="239"/>
        <v/>
      </c>
      <c r="LI48" s="4" t="str">
        <f t="shared" si="240"/>
        <v/>
      </c>
      <c r="LJ48" s="4" t="str">
        <f t="shared" si="241"/>
        <v/>
      </c>
      <c r="LK48" s="4" t="str">
        <f t="shared" si="242"/>
        <v/>
      </c>
      <c r="LL48" s="4" t="str">
        <f t="shared" si="243"/>
        <v/>
      </c>
      <c r="LM48" s="4" t="str">
        <f t="shared" si="244"/>
        <v/>
      </c>
      <c r="LN48" s="4" t="str">
        <f t="shared" si="245"/>
        <v/>
      </c>
      <c r="LO48" s="4" t="str">
        <f t="shared" si="246"/>
        <v/>
      </c>
      <c r="LP48" s="4" t="str">
        <f t="shared" si="247"/>
        <v/>
      </c>
      <c r="LQ48" s="4" t="str">
        <f t="shared" si="248"/>
        <v/>
      </c>
      <c r="LR48" s="4" t="str">
        <f t="shared" si="249"/>
        <v/>
      </c>
      <c r="LS48" s="4" t="str">
        <f t="shared" si="250"/>
        <v/>
      </c>
      <c r="LT48" s="4" t="str">
        <f t="shared" si="251"/>
        <v/>
      </c>
      <c r="LU48" s="4" t="str">
        <f t="shared" si="252"/>
        <v/>
      </c>
      <c r="LV48" s="4" t="str">
        <f t="shared" si="253"/>
        <v/>
      </c>
      <c r="LW48" s="4" t="str">
        <f t="shared" si="254"/>
        <v/>
      </c>
      <c r="LX48" s="4" t="str">
        <f t="shared" si="255"/>
        <v/>
      </c>
      <c r="LY48" s="4" t="str">
        <f t="shared" si="256"/>
        <v/>
      </c>
      <c r="LZ48" s="4" t="str">
        <f t="shared" si="257"/>
        <v/>
      </c>
      <c r="MA48" s="4" t="str">
        <f t="shared" si="258"/>
        <v/>
      </c>
      <c r="MB48" s="4" t="str">
        <f t="shared" si="259"/>
        <v/>
      </c>
      <c r="MC48" s="4" t="str">
        <f t="shared" si="260"/>
        <v/>
      </c>
      <c r="MD48" s="4" t="str">
        <f t="shared" si="261"/>
        <v/>
      </c>
      <c r="ME48" s="4" t="str">
        <f t="shared" si="262"/>
        <v/>
      </c>
      <c r="MF48" s="4" t="str">
        <f t="shared" si="263"/>
        <v/>
      </c>
      <c r="MG48" s="4">
        <f t="shared" si="264"/>
        <v>0</v>
      </c>
    </row>
    <row r="49" spans="1:345" ht="26.25" customHeight="1" thickBot="1" x14ac:dyDescent="0.25">
      <c r="A49" s="44">
        <v>41430</v>
      </c>
      <c r="B49" s="36" t="s">
        <v>176</v>
      </c>
      <c r="C49" s="36" t="s">
        <v>258</v>
      </c>
      <c r="D49" s="31" t="s">
        <v>111</v>
      </c>
      <c r="E49" s="4">
        <v>69</v>
      </c>
      <c r="F49" s="3">
        <v>41299</v>
      </c>
      <c r="G49" s="38" t="s">
        <v>87</v>
      </c>
      <c r="H49" s="38" t="s">
        <v>112</v>
      </c>
      <c r="I49" s="45">
        <v>1835693</v>
      </c>
      <c r="J49" s="2" t="s">
        <v>309</v>
      </c>
      <c r="N49" s="260" t="s">
        <v>656</v>
      </c>
      <c r="O49" s="54" t="s">
        <v>658</v>
      </c>
      <c r="R49" s="33">
        <v>-0.5</v>
      </c>
      <c r="S49" s="33">
        <v>-0.65</v>
      </c>
      <c r="T49" s="33" t="s">
        <v>249</v>
      </c>
      <c r="U49" s="67">
        <v>21</v>
      </c>
      <c r="V49" s="125">
        <v>41417</v>
      </c>
      <c r="W49" s="67">
        <v>-0.25</v>
      </c>
      <c r="X49" s="67">
        <v>0.75</v>
      </c>
      <c r="Y49" s="4">
        <v>175</v>
      </c>
      <c r="Z49" s="4">
        <v>40</v>
      </c>
      <c r="AA49" s="4">
        <v>18</v>
      </c>
      <c r="AB49" s="4">
        <v>530</v>
      </c>
      <c r="AC49" s="4">
        <v>23.09</v>
      </c>
      <c r="AD49" s="4">
        <v>12.2</v>
      </c>
      <c r="AE49" s="4">
        <v>4.97</v>
      </c>
      <c r="AF49" s="4">
        <v>3.18</v>
      </c>
      <c r="AG49" s="4">
        <v>44.7</v>
      </c>
      <c r="AH49" s="4">
        <v>30</v>
      </c>
      <c r="AI49" s="4">
        <v>45.18</v>
      </c>
      <c r="AJ49" s="4">
        <v>120</v>
      </c>
      <c r="AK49" s="4">
        <v>0</v>
      </c>
      <c r="AL49" s="4" t="b">
        <f t="shared" si="135"/>
        <v>0</v>
      </c>
      <c r="AN49" s="75">
        <v>41648</v>
      </c>
      <c r="AO49" s="56">
        <v>70</v>
      </c>
      <c r="AP49" s="67">
        <v>0.75</v>
      </c>
      <c r="AQ49" s="67">
        <v>1.25</v>
      </c>
      <c r="AR49" s="4">
        <v>40</v>
      </c>
      <c r="AS49" s="4">
        <v>20</v>
      </c>
      <c r="AT49" s="4">
        <v>18</v>
      </c>
      <c r="AU49" s="4">
        <v>448</v>
      </c>
      <c r="AV49" s="4">
        <v>2315</v>
      </c>
      <c r="AW49" s="4">
        <v>23.18</v>
      </c>
      <c r="AX49" s="4">
        <v>4.67</v>
      </c>
      <c r="AY49" s="4">
        <v>42.61</v>
      </c>
      <c r="AZ49" s="4">
        <v>157</v>
      </c>
      <c r="BA49" s="4">
        <v>44.47</v>
      </c>
      <c r="BB49" s="4">
        <v>67</v>
      </c>
      <c r="BC49" s="4">
        <f t="shared" si="136"/>
        <v>1.375</v>
      </c>
      <c r="BD49" s="4">
        <f t="shared" si="133"/>
        <v>2.0249999999999999</v>
      </c>
      <c r="BE49" s="4">
        <f t="shared" si="137"/>
        <v>-82</v>
      </c>
      <c r="BF49" s="137">
        <v>41829</v>
      </c>
      <c r="BV49" s="4" t="str">
        <f t="shared" si="138"/>
        <v/>
      </c>
      <c r="BW49" s="4" t="str">
        <f t="shared" si="139"/>
        <v/>
      </c>
      <c r="BX49" s="4">
        <f t="shared" si="140"/>
        <v>1</v>
      </c>
      <c r="BY49" s="4">
        <f t="shared" si="141"/>
        <v>0</v>
      </c>
      <c r="BZ49" s="4" t="str">
        <f t="shared" si="142"/>
        <v/>
      </c>
      <c r="CA49" s="4" t="str">
        <f t="shared" si="143"/>
        <v/>
      </c>
      <c r="CB49" s="4" t="str">
        <f t="shared" si="144"/>
        <v/>
      </c>
      <c r="CC49" s="53">
        <f t="shared" si="145"/>
        <v>218</v>
      </c>
      <c r="CD49" s="55">
        <f t="shared" si="146"/>
        <v>7.2666666666666666</v>
      </c>
      <c r="CE49" s="4" t="str">
        <f t="shared" si="147"/>
        <v/>
      </c>
      <c r="CF49" s="4">
        <f t="shared" si="148"/>
        <v>-1.3999999999999986</v>
      </c>
      <c r="CG49" s="4" t="str">
        <f t="shared" si="149"/>
        <v/>
      </c>
      <c r="CH49" s="4">
        <f t="shared" si="150"/>
        <v>-1.3999999999999986</v>
      </c>
      <c r="CI49" s="4">
        <f t="shared" si="151"/>
        <v>0.125</v>
      </c>
      <c r="CJ49" s="4">
        <f t="shared" si="152"/>
        <v>1.375</v>
      </c>
      <c r="CK49" s="93">
        <f t="shared" si="153"/>
        <v>2.0249999999999999</v>
      </c>
      <c r="CL49" s="83">
        <f t="shared" si="154"/>
        <v>-82</v>
      </c>
      <c r="CM49" s="4">
        <f t="shared" si="155"/>
        <v>8.9999999999999858E-2</v>
      </c>
      <c r="CN49" s="96">
        <f t="shared" si="156"/>
        <v>-0.65</v>
      </c>
      <c r="CO49" s="96">
        <f t="shared" si="265"/>
        <v>0.3010299956639812</v>
      </c>
      <c r="CP49" s="127">
        <f t="shared" si="157"/>
        <v>1.25</v>
      </c>
      <c r="CQ49" s="127">
        <f t="shared" si="158"/>
        <v>0.5</v>
      </c>
      <c r="CR49" s="136">
        <f t="shared" si="159"/>
        <v>20</v>
      </c>
      <c r="CS49" s="136">
        <f t="shared" si="160"/>
        <v>40</v>
      </c>
      <c r="CT49" s="135">
        <f t="shared" si="161"/>
        <v>70</v>
      </c>
      <c r="CU49" s="139">
        <f t="shared" si="162"/>
        <v>0</v>
      </c>
      <c r="CV49" s="96" t="str">
        <f t="shared" si="163"/>
        <v/>
      </c>
      <c r="CW49" s="141" t="b">
        <f t="shared" si="164"/>
        <v>0</v>
      </c>
      <c r="CX49">
        <v>7.71</v>
      </c>
      <c r="CY49" s="4">
        <v>7.54</v>
      </c>
      <c r="CZ49" s="4">
        <v>17.100000000000001</v>
      </c>
      <c r="DA49" s="4">
        <v>-0.9</v>
      </c>
      <c r="DB49" s="4">
        <v>0.08</v>
      </c>
      <c r="DC49" s="4">
        <v>0.24</v>
      </c>
      <c r="DD49" s="4">
        <v>2.38</v>
      </c>
      <c r="DE49" s="4">
        <v>2.92</v>
      </c>
      <c r="DF49" s="4">
        <v>541</v>
      </c>
      <c r="DG49" s="4">
        <v>542</v>
      </c>
      <c r="DH49" s="4">
        <v>618</v>
      </c>
      <c r="DI49" s="4">
        <v>576</v>
      </c>
      <c r="DJ49" s="4">
        <v>604</v>
      </c>
      <c r="DK49" s="4">
        <v>550</v>
      </c>
      <c r="DL49" s="4">
        <v>527</v>
      </c>
      <c r="DM49" s="4">
        <v>-1.73</v>
      </c>
      <c r="DN49" s="4">
        <v>0.57999999999999996</v>
      </c>
      <c r="DO49" s="4">
        <v>7.65</v>
      </c>
      <c r="DP49" s="4">
        <v>7.6</v>
      </c>
      <c r="DQ49" s="4">
        <v>7.63</v>
      </c>
      <c r="DR49" s="4">
        <v>7.65</v>
      </c>
      <c r="DS49" s="4">
        <v>7.81</v>
      </c>
      <c r="DT49" s="4">
        <v>7.9</v>
      </c>
      <c r="DU49" s="4">
        <v>0</v>
      </c>
      <c r="DV49" s="4">
        <v>0.6</v>
      </c>
      <c r="DW49" s="4">
        <v>6.94</v>
      </c>
      <c r="DX49" s="4">
        <v>6.58</v>
      </c>
      <c r="DY49" s="4">
        <v>6.55</v>
      </c>
      <c r="DZ49" s="4">
        <v>6.68</v>
      </c>
      <c r="EA49" s="4">
        <v>6.82</v>
      </c>
      <c r="EB49" s="4">
        <v>0</v>
      </c>
      <c r="EC49" s="4">
        <v>0</v>
      </c>
      <c r="ED49" s="89">
        <v>0.6</v>
      </c>
      <c r="EE49" s="110">
        <v>43.8</v>
      </c>
      <c r="EF49" s="110">
        <v>44.7</v>
      </c>
      <c r="EG49" s="110">
        <v>44.3</v>
      </c>
      <c r="EH49" s="110">
        <v>17.100000000000001</v>
      </c>
      <c r="EI49" s="110">
        <v>0.9</v>
      </c>
      <c r="EJ49" s="110">
        <v>-5.7</v>
      </c>
      <c r="EK49" s="110">
        <v>-6.2</v>
      </c>
      <c r="EL49" s="110">
        <v>-5.9</v>
      </c>
      <c r="EM49" s="110">
        <v>172.3</v>
      </c>
      <c r="EN49" s="110">
        <v>0.4</v>
      </c>
      <c r="EO49" s="110">
        <v>3.9</v>
      </c>
      <c r="EP49" s="110">
        <v>11.1</v>
      </c>
      <c r="EQ49" s="110">
        <v>23.4</v>
      </c>
      <c r="ER49" s="110">
        <v>55.5</v>
      </c>
      <c r="ES49" s="114">
        <v>13</v>
      </c>
      <c r="ET49" s="97">
        <v>7.82</v>
      </c>
      <c r="EU49" s="130">
        <v>7.45</v>
      </c>
      <c r="EV49" s="130">
        <v>148.9</v>
      </c>
      <c r="EW49" s="130">
        <v>-2.2000000000000002</v>
      </c>
      <c r="EX49" s="130">
        <v>0</v>
      </c>
      <c r="EY49" s="130">
        <v>0.3</v>
      </c>
      <c r="EZ49" s="130">
        <v>4.0999999999999996</v>
      </c>
      <c r="FA49" s="130">
        <v>4.5599999999999996</v>
      </c>
      <c r="FB49" s="130">
        <v>462</v>
      </c>
      <c r="FC49" s="130">
        <v>461</v>
      </c>
      <c r="FD49" s="130">
        <v>575</v>
      </c>
      <c r="FE49" s="130">
        <v>536</v>
      </c>
      <c r="FF49" s="130">
        <v>552</v>
      </c>
      <c r="FG49" s="130">
        <v>516</v>
      </c>
      <c r="FH49" s="130">
        <v>443</v>
      </c>
      <c r="FI49" s="130">
        <v>-0.85</v>
      </c>
      <c r="FJ49" s="130">
        <v>-1.1100000000000001</v>
      </c>
      <c r="FK49" s="130">
        <v>7.6</v>
      </c>
      <c r="FL49" s="130">
        <v>7.65</v>
      </c>
      <c r="FM49" s="130">
        <v>7.68</v>
      </c>
      <c r="FN49" s="130">
        <v>7.7</v>
      </c>
      <c r="FO49" s="130">
        <v>7.85</v>
      </c>
      <c r="FP49" s="130">
        <v>8.01</v>
      </c>
      <c r="FQ49" s="130">
        <v>0</v>
      </c>
      <c r="FR49" s="130">
        <v>1</v>
      </c>
      <c r="FS49" s="130">
        <v>6.43</v>
      </c>
      <c r="FT49" s="130">
        <v>6.29</v>
      </c>
      <c r="FU49" s="130">
        <v>6.48</v>
      </c>
      <c r="FV49" s="130">
        <v>6.82</v>
      </c>
      <c r="FW49" s="130">
        <v>6.91</v>
      </c>
      <c r="FX49" s="130">
        <v>0</v>
      </c>
      <c r="FY49" s="130">
        <v>0</v>
      </c>
      <c r="FZ49" s="143">
        <v>1</v>
      </c>
      <c r="GA49" s="112">
        <v>43.2</v>
      </c>
      <c r="GB49" s="112">
        <v>45.3</v>
      </c>
      <c r="GC49" s="112">
        <v>44.2</v>
      </c>
      <c r="GD49" s="112">
        <v>148.9</v>
      </c>
      <c r="GE49" s="112">
        <v>2.2000000000000002</v>
      </c>
      <c r="GF49" s="112">
        <v>-6.2</v>
      </c>
      <c r="GG49" s="112">
        <v>-6.5</v>
      </c>
      <c r="GH49" s="112">
        <v>-6.3</v>
      </c>
      <c r="GI49" s="112">
        <v>14.4</v>
      </c>
      <c r="GJ49" s="112">
        <v>0.3</v>
      </c>
      <c r="GK49" s="112">
        <v>3.3</v>
      </c>
      <c r="GL49" s="112">
        <v>9.8000000000000007</v>
      </c>
      <c r="GM49" s="112">
        <v>21.3</v>
      </c>
      <c r="GN49" s="112">
        <v>51.3</v>
      </c>
      <c r="GO49" s="144">
        <v>27</v>
      </c>
      <c r="IL49" s="83">
        <f t="shared" si="165"/>
        <v>7.82</v>
      </c>
      <c r="IM49" s="4">
        <f t="shared" si="166"/>
        <v>7.45</v>
      </c>
      <c r="IN49" s="4">
        <f t="shared" si="167"/>
        <v>148.9</v>
      </c>
      <c r="IO49" s="4">
        <f t="shared" si="168"/>
        <v>-2.2000000000000002</v>
      </c>
      <c r="IP49" s="4">
        <f t="shared" si="169"/>
        <v>0</v>
      </c>
      <c r="IQ49" s="4">
        <f t="shared" si="170"/>
        <v>0.3</v>
      </c>
      <c r="IR49" s="4">
        <f t="shared" si="171"/>
        <v>4.0999999999999996</v>
      </c>
      <c r="IS49" s="4">
        <f t="shared" si="172"/>
        <v>4.5599999999999996</v>
      </c>
      <c r="IT49" s="4">
        <f t="shared" si="173"/>
        <v>462</v>
      </c>
      <c r="IU49" s="4">
        <f t="shared" si="174"/>
        <v>461</v>
      </c>
      <c r="IV49" s="4">
        <f t="shared" si="175"/>
        <v>575</v>
      </c>
      <c r="IW49" s="4">
        <f t="shared" si="176"/>
        <v>536</v>
      </c>
      <c r="IX49" s="4">
        <f t="shared" si="177"/>
        <v>552</v>
      </c>
      <c r="IY49" s="4">
        <f t="shared" si="178"/>
        <v>516</v>
      </c>
      <c r="IZ49" s="4">
        <f t="shared" si="179"/>
        <v>443</v>
      </c>
      <c r="JA49" s="4">
        <f t="shared" si="180"/>
        <v>-0.85</v>
      </c>
      <c r="JB49" s="4">
        <f t="shared" si="181"/>
        <v>-1.1100000000000001</v>
      </c>
      <c r="JC49" s="4">
        <f t="shared" si="182"/>
        <v>7.6</v>
      </c>
      <c r="JD49" s="4">
        <f t="shared" si="183"/>
        <v>7.65</v>
      </c>
      <c r="JE49" s="4">
        <f t="shared" si="184"/>
        <v>7.68</v>
      </c>
      <c r="JF49" s="4">
        <f t="shared" si="185"/>
        <v>7.7</v>
      </c>
      <c r="JG49" s="4">
        <f t="shared" si="186"/>
        <v>7.85</v>
      </c>
      <c r="JH49" s="4">
        <f t="shared" si="187"/>
        <v>8.01</v>
      </c>
      <c r="JI49" s="4">
        <f t="shared" si="188"/>
        <v>0</v>
      </c>
      <c r="JJ49" s="4">
        <f t="shared" si="189"/>
        <v>1</v>
      </c>
      <c r="JK49" s="4">
        <f t="shared" si="190"/>
        <v>6.43</v>
      </c>
      <c r="JL49" s="4">
        <f t="shared" si="191"/>
        <v>6.29</v>
      </c>
      <c r="JM49" s="4">
        <f t="shared" si="192"/>
        <v>6.48</v>
      </c>
      <c r="JN49" s="4">
        <f t="shared" si="193"/>
        <v>6.82</v>
      </c>
      <c r="JO49" s="4">
        <f t="shared" si="194"/>
        <v>6.91</v>
      </c>
      <c r="JP49" s="4">
        <f t="shared" si="195"/>
        <v>0</v>
      </c>
      <c r="JQ49" s="117">
        <f t="shared" si="196"/>
        <v>0</v>
      </c>
      <c r="JR49" s="110">
        <f t="shared" si="197"/>
        <v>1</v>
      </c>
      <c r="JS49" s="110">
        <f t="shared" si="198"/>
        <v>43.2</v>
      </c>
      <c r="JT49" s="110">
        <f t="shared" si="199"/>
        <v>45.3</v>
      </c>
      <c r="JU49" s="110">
        <f t="shared" si="200"/>
        <v>44.2</v>
      </c>
      <c r="JV49" s="110">
        <f t="shared" si="201"/>
        <v>148.9</v>
      </c>
      <c r="JW49" s="110">
        <f t="shared" si="202"/>
        <v>2.2000000000000002</v>
      </c>
      <c r="JX49" s="110">
        <f t="shared" si="203"/>
        <v>-6.2</v>
      </c>
      <c r="JY49" s="110">
        <f t="shared" si="204"/>
        <v>-6.5</v>
      </c>
      <c r="JZ49" s="110">
        <f t="shared" si="205"/>
        <v>-6.3</v>
      </c>
      <c r="KA49" s="110">
        <f t="shared" si="206"/>
        <v>14.4</v>
      </c>
      <c r="KB49" s="110">
        <f t="shared" si="207"/>
        <v>0.3</v>
      </c>
      <c r="KC49" s="110">
        <f t="shared" si="208"/>
        <v>3.3</v>
      </c>
      <c r="KD49" s="110">
        <f t="shared" si="209"/>
        <v>9.8000000000000007</v>
      </c>
      <c r="KE49" s="110">
        <f t="shared" si="210"/>
        <v>21.3</v>
      </c>
      <c r="KF49" s="110">
        <f t="shared" si="211"/>
        <v>51.3</v>
      </c>
      <c r="KG49" s="121">
        <f t="shared" si="212"/>
        <v>27</v>
      </c>
      <c r="KH49" s="83">
        <f t="shared" si="213"/>
        <v>0.11000000000000032</v>
      </c>
      <c r="KI49" s="4">
        <f t="shared" si="214"/>
        <v>-8.9999999999999858E-2</v>
      </c>
      <c r="KJ49" s="4">
        <f t="shared" si="215"/>
        <v>131.80000000000001</v>
      </c>
      <c r="KK49" s="4">
        <f t="shared" si="216"/>
        <v>-1.3000000000000003</v>
      </c>
      <c r="KL49" s="4">
        <f t="shared" si="217"/>
        <v>-0.08</v>
      </c>
      <c r="KM49" s="4">
        <f t="shared" si="218"/>
        <v>0.06</v>
      </c>
      <c r="KN49" s="4">
        <f t="shared" si="219"/>
        <v>1.7199999999999998</v>
      </c>
      <c r="KO49" s="4">
        <f t="shared" si="220"/>
        <v>1.6399999999999997</v>
      </c>
      <c r="KP49" s="4">
        <f t="shared" si="221"/>
        <v>-79</v>
      </c>
      <c r="KQ49" s="4">
        <f t="shared" si="222"/>
        <v>-81</v>
      </c>
      <c r="KR49" s="4">
        <f t="shared" si="223"/>
        <v>-43</v>
      </c>
      <c r="KS49" s="4">
        <f t="shared" si="224"/>
        <v>-40</v>
      </c>
      <c r="KT49" s="4">
        <f t="shared" si="225"/>
        <v>-52</v>
      </c>
      <c r="KU49" s="4">
        <f t="shared" si="226"/>
        <v>-34</v>
      </c>
      <c r="KV49" s="4">
        <f t="shared" si="227"/>
        <v>-84</v>
      </c>
      <c r="KW49" s="4">
        <f t="shared" si="228"/>
        <v>0.88</v>
      </c>
      <c r="KX49" s="4">
        <f t="shared" si="229"/>
        <v>-1.69</v>
      </c>
      <c r="KY49" s="4">
        <f t="shared" si="230"/>
        <v>-5.0000000000000711E-2</v>
      </c>
      <c r="KZ49" s="4">
        <f t="shared" si="231"/>
        <v>5.0000000000000711E-2</v>
      </c>
      <c r="LA49" s="4">
        <f t="shared" si="232"/>
        <v>4.9999999999999822E-2</v>
      </c>
      <c r="LB49" s="4">
        <f t="shared" si="233"/>
        <v>4.9999999999999822E-2</v>
      </c>
      <c r="LC49" s="4">
        <f t="shared" si="234"/>
        <v>4.0000000000000036E-2</v>
      </c>
      <c r="LD49" s="4">
        <f t="shared" si="235"/>
        <v>0.10999999999999943</v>
      </c>
      <c r="LE49" s="4">
        <f t="shared" si="236"/>
        <v>0</v>
      </c>
      <c r="LF49" s="4">
        <f t="shared" si="237"/>
        <v>0.4</v>
      </c>
      <c r="LG49" s="4">
        <f t="shared" si="238"/>
        <v>-0.51000000000000068</v>
      </c>
      <c r="LH49" s="4">
        <f t="shared" si="239"/>
        <v>-0.29000000000000004</v>
      </c>
      <c r="LI49" s="4">
        <f t="shared" si="240"/>
        <v>-6.9999999999999396E-2</v>
      </c>
      <c r="LJ49" s="4">
        <f t="shared" si="241"/>
        <v>0.14000000000000057</v>
      </c>
      <c r="LK49" s="4">
        <f t="shared" si="242"/>
        <v>8.9999999999999858E-2</v>
      </c>
      <c r="LL49" s="4">
        <f t="shared" si="243"/>
        <v>0</v>
      </c>
      <c r="LM49" s="4">
        <f t="shared" si="244"/>
        <v>0</v>
      </c>
      <c r="LN49" s="4">
        <f t="shared" si="245"/>
        <v>0.4</v>
      </c>
      <c r="LO49" s="4">
        <f t="shared" si="246"/>
        <v>-0.59999999999999432</v>
      </c>
      <c r="LP49" s="4">
        <f t="shared" si="247"/>
        <v>0.59999999999999432</v>
      </c>
      <c r="LQ49" s="4">
        <f t="shared" si="248"/>
        <v>-9.9999999999994316E-2</v>
      </c>
      <c r="LR49" s="4">
        <f t="shared" si="249"/>
        <v>131.80000000000001</v>
      </c>
      <c r="LS49" s="4">
        <f t="shared" si="250"/>
        <v>1.3000000000000003</v>
      </c>
      <c r="LT49" s="4">
        <f t="shared" si="251"/>
        <v>-0.5</v>
      </c>
      <c r="LU49" s="4">
        <f t="shared" si="252"/>
        <v>-0.29999999999999982</v>
      </c>
      <c r="LV49" s="4">
        <f t="shared" si="253"/>
        <v>-0.39999999999999947</v>
      </c>
      <c r="LW49" s="4">
        <f t="shared" si="254"/>
        <v>-157.9</v>
      </c>
      <c r="LX49" s="4">
        <f t="shared" si="255"/>
        <v>-0.10000000000000003</v>
      </c>
      <c r="LY49" s="4">
        <f t="shared" si="256"/>
        <v>-0.60000000000000009</v>
      </c>
      <c r="LZ49" s="4">
        <f t="shared" si="257"/>
        <v>-1.2999999999999989</v>
      </c>
      <c r="MA49" s="4">
        <f t="shared" si="258"/>
        <v>-2.0999999999999979</v>
      </c>
      <c r="MB49" s="4">
        <f t="shared" si="259"/>
        <v>-4.2000000000000028</v>
      </c>
      <c r="MC49" s="4">
        <f t="shared" si="260"/>
        <v>14</v>
      </c>
      <c r="MD49" s="4" t="str">
        <f t="shared" si="261"/>
        <v/>
      </c>
      <c r="ME49" s="4" t="str">
        <f t="shared" si="262"/>
        <v/>
      </c>
      <c r="MF49" s="4" t="str">
        <f t="shared" si="263"/>
        <v/>
      </c>
      <c r="MG49" s="4">
        <f t="shared" si="264"/>
        <v>6.5</v>
      </c>
    </row>
    <row r="50" spans="1:345" ht="26.25" customHeight="1" thickBot="1" x14ac:dyDescent="0.25">
      <c r="A50" s="35">
        <v>41255</v>
      </c>
      <c r="B50" s="36" t="s">
        <v>186</v>
      </c>
      <c r="C50" s="36" t="s">
        <v>235</v>
      </c>
      <c r="D50" s="31" t="s">
        <v>110</v>
      </c>
      <c r="E50" s="4">
        <v>65</v>
      </c>
      <c r="F50" s="3">
        <v>17355</v>
      </c>
      <c r="G50" s="4" t="s">
        <v>87</v>
      </c>
      <c r="H50" s="4" t="s">
        <v>112</v>
      </c>
      <c r="I50" s="4">
        <v>1835772</v>
      </c>
      <c r="J50" s="2" t="s">
        <v>309</v>
      </c>
      <c r="K50" s="227"/>
      <c r="L50" s="228"/>
      <c r="M50" s="228"/>
      <c r="N50" s="260" t="s">
        <v>659</v>
      </c>
      <c r="O50" s="258"/>
      <c r="P50" s="228"/>
      <c r="Q50" s="228"/>
      <c r="R50" s="4">
        <v>-0.5</v>
      </c>
      <c r="S50" s="4">
        <v>-0.55000000000000004</v>
      </c>
      <c r="T50" s="39" t="s">
        <v>249</v>
      </c>
      <c r="U50" s="70">
        <v>13.5</v>
      </c>
      <c r="V50" s="124">
        <v>41250</v>
      </c>
      <c r="W50" s="67">
        <v>-4.25</v>
      </c>
      <c r="X50" s="67">
        <v>1.25</v>
      </c>
      <c r="Y50" s="4">
        <v>133</v>
      </c>
      <c r="Z50" s="4">
        <v>30</v>
      </c>
      <c r="AA50" s="4">
        <v>13</v>
      </c>
      <c r="AB50" s="4">
        <v>542</v>
      </c>
      <c r="AC50" s="4">
        <v>25.33</v>
      </c>
      <c r="AD50" s="4">
        <v>12.2</v>
      </c>
      <c r="AE50" s="4">
        <v>5.03</v>
      </c>
      <c r="AF50" s="4">
        <v>3.64</v>
      </c>
      <c r="AG50" s="4">
        <v>44.47</v>
      </c>
      <c r="AH50" s="4">
        <v>7</v>
      </c>
      <c r="AI50" s="4">
        <v>45.98</v>
      </c>
      <c r="AJ50" s="4">
        <v>97</v>
      </c>
      <c r="AK50" s="4">
        <v>0</v>
      </c>
      <c r="AL50" s="4" t="b">
        <f t="shared" si="135"/>
        <v>0</v>
      </c>
      <c r="AM50" s="54" t="s">
        <v>497</v>
      </c>
      <c r="AN50" s="32">
        <v>41435</v>
      </c>
      <c r="AO50" s="60">
        <v>25</v>
      </c>
      <c r="AP50" s="67">
        <v>-1</v>
      </c>
      <c r="AQ50" s="67">
        <v>0.5</v>
      </c>
      <c r="AR50" s="4">
        <v>153</v>
      </c>
      <c r="AS50" s="4">
        <v>25</v>
      </c>
      <c r="AT50" s="4">
        <v>14</v>
      </c>
      <c r="AU50" s="4">
        <v>482</v>
      </c>
      <c r="AV50" s="4">
        <v>1653</v>
      </c>
      <c r="BC50" s="4">
        <f t="shared" si="136"/>
        <v>-0.75</v>
      </c>
      <c r="BD50" s="4">
        <f t="shared" si="133"/>
        <v>-0.19999999999999996</v>
      </c>
      <c r="BE50" s="4">
        <f t="shared" si="137"/>
        <v>-60</v>
      </c>
      <c r="BF50" s="35">
        <v>41656</v>
      </c>
      <c r="BG50" s="56">
        <v>30</v>
      </c>
      <c r="BH50" s="67">
        <v>-1</v>
      </c>
      <c r="BI50" s="67">
        <v>0.5</v>
      </c>
      <c r="BJ50" s="4">
        <v>142</v>
      </c>
      <c r="BK50" s="4">
        <v>30</v>
      </c>
      <c r="BL50" s="4">
        <v>15</v>
      </c>
      <c r="BM50" s="4">
        <v>487</v>
      </c>
      <c r="BN50" s="4">
        <v>1610</v>
      </c>
      <c r="BO50" s="4">
        <v>25.34</v>
      </c>
      <c r="BP50" s="4">
        <v>4.51</v>
      </c>
      <c r="BQ50" s="4">
        <v>45.18</v>
      </c>
      <c r="BR50" s="4">
        <v>68</v>
      </c>
      <c r="BS50" s="4">
        <v>45.67</v>
      </c>
      <c r="BT50" s="4">
        <v>157</v>
      </c>
      <c r="BU50" s="4">
        <f t="shared" ref="BU50:BU73" si="266">IF(ISNUMBER(BH50),BH50+0.5*BI50,"")</f>
        <v>-0.75</v>
      </c>
      <c r="BV50" s="4">
        <f t="shared" si="138"/>
        <v>-0.19999999999999996</v>
      </c>
      <c r="BW50" s="4">
        <f t="shared" si="139"/>
        <v>-55</v>
      </c>
      <c r="BX50" s="4">
        <f t="shared" si="140"/>
        <v>1</v>
      </c>
      <c r="BY50" s="4">
        <f t="shared" si="141"/>
        <v>1</v>
      </c>
      <c r="BZ50" s="4">
        <f t="shared" si="142"/>
        <v>-3.625</v>
      </c>
      <c r="CA50" s="4">
        <f t="shared" si="143"/>
        <v>-0.75</v>
      </c>
      <c r="CB50" s="4">
        <f t="shared" si="144"/>
        <v>-0.75</v>
      </c>
      <c r="CC50" s="53">
        <f t="shared" si="145"/>
        <v>401</v>
      </c>
      <c r="CD50" s="55">
        <f t="shared" si="146"/>
        <v>13.366666666666667</v>
      </c>
      <c r="CE50" s="4">
        <f t="shared" si="147"/>
        <v>0</v>
      </c>
      <c r="CF50" s="4" t="str">
        <f t="shared" si="148"/>
        <v/>
      </c>
      <c r="CG50" s="4">
        <f t="shared" si="149"/>
        <v>0.20000000000000284</v>
      </c>
      <c r="CH50" s="4">
        <f t="shared" si="150"/>
        <v>0.20000000000000284</v>
      </c>
      <c r="CI50" s="4">
        <f t="shared" si="151"/>
        <v>-3.625</v>
      </c>
      <c r="CJ50" s="4">
        <f t="shared" si="152"/>
        <v>-0.75</v>
      </c>
      <c r="CK50" s="93">
        <f t="shared" si="153"/>
        <v>-0.19999999999999996</v>
      </c>
      <c r="CL50" s="83">
        <f t="shared" si="154"/>
        <v>-55</v>
      </c>
      <c r="CM50" s="4">
        <f t="shared" si="155"/>
        <v>1.0000000000001563E-2</v>
      </c>
      <c r="CN50" s="96">
        <f t="shared" si="156"/>
        <v>-0.55000000000000004</v>
      </c>
      <c r="CO50" s="96">
        <f t="shared" si="265"/>
        <v>0</v>
      </c>
      <c r="CP50" s="127">
        <f t="shared" si="157"/>
        <v>0.5</v>
      </c>
      <c r="CQ50" s="127">
        <f t="shared" si="158"/>
        <v>-0.75</v>
      </c>
      <c r="CR50" s="136">
        <f t="shared" si="159"/>
        <v>30</v>
      </c>
      <c r="CS50" s="136">
        <f t="shared" si="160"/>
        <v>30</v>
      </c>
      <c r="CT50" s="135">
        <f t="shared" si="161"/>
        <v>30</v>
      </c>
      <c r="CU50" s="139">
        <f t="shared" si="162"/>
        <v>1</v>
      </c>
      <c r="CV50" s="96">
        <f t="shared" si="163"/>
        <v>1</v>
      </c>
      <c r="CW50" s="141" t="b">
        <f t="shared" si="164"/>
        <v>0</v>
      </c>
      <c r="CX50">
        <v>7.65</v>
      </c>
      <c r="CY50" s="4">
        <v>7.51</v>
      </c>
      <c r="CZ50" s="4">
        <v>5.2</v>
      </c>
      <c r="DA50" s="4">
        <v>-0.9</v>
      </c>
      <c r="DB50" s="4">
        <v>0.03</v>
      </c>
      <c r="DC50" s="4">
        <v>0.55000000000000004</v>
      </c>
      <c r="DD50" s="4">
        <v>2.91</v>
      </c>
      <c r="DE50" s="4">
        <v>3.47</v>
      </c>
      <c r="DF50" s="4">
        <v>557</v>
      </c>
      <c r="DG50" s="4">
        <v>566</v>
      </c>
      <c r="DH50" s="4">
        <v>602</v>
      </c>
      <c r="DI50" s="4">
        <v>594</v>
      </c>
      <c r="DJ50" s="4">
        <v>580</v>
      </c>
      <c r="DK50" s="4">
        <v>685</v>
      </c>
      <c r="DL50" s="4">
        <v>530</v>
      </c>
      <c r="DM50" s="4">
        <v>-1.05</v>
      </c>
      <c r="DN50" s="4">
        <v>-0.7</v>
      </c>
      <c r="DO50" s="4">
        <v>7.61</v>
      </c>
      <c r="DP50" s="4">
        <v>7.52</v>
      </c>
      <c r="DQ50" s="4">
        <v>7.51</v>
      </c>
      <c r="DR50" s="4">
        <v>7.72</v>
      </c>
      <c r="DS50" s="4">
        <v>8.25</v>
      </c>
      <c r="DT50" s="4">
        <v>8.7799999999999994</v>
      </c>
      <c r="DU50" s="4">
        <v>0</v>
      </c>
      <c r="DV50" s="4">
        <v>1.6</v>
      </c>
      <c r="DW50" s="4">
        <v>6.18</v>
      </c>
      <c r="DX50" s="4">
        <v>6.49</v>
      </c>
      <c r="DY50" s="4">
        <v>6.79</v>
      </c>
      <c r="DZ50" s="4">
        <v>6.94</v>
      </c>
      <c r="EA50" s="4">
        <v>7.17</v>
      </c>
      <c r="EB50" s="4">
        <v>7.6</v>
      </c>
      <c r="EC50" s="4">
        <v>0</v>
      </c>
      <c r="ED50" s="89">
        <v>1.6</v>
      </c>
      <c r="EE50" s="110">
        <v>44.1</v>
      </c>
      <c r="EF50" s="110">
        <v>45</v>
      </c>
      <c r="EG50" s="110">
        <v>44.5</v>
      </c>
      <c r="EH50" s="110">
        <v>5.2</v>
      </c>
      <c r="EI50" s="110">
        <v>0.9</v>
      </c>
      <c r="EJ50" s="110">
        <v>-6.1</v>
      </c>
      <c r="EK50" s="110">
        <v>-6.5</v>
      </c>
      <c r="EL50" s="110">
        <v>-6.3</v>
      </c>
      <c r="EM50" s="110">
        <v>48.8</v>
      </c>
      <c r="EN50" s="110">
        <v>0.4</v>
      </c>
      <c r="EO50" s="110">
        <v>4</v>
      </c>
      <c r="EP50" s="110">
        <v>11.8</v>
      </c>
      <c r="EQ50" s="110">
        <v>24.6</v>
      </c>
      <c r="ER50" s="110">
        <v>56.1</v>
      </c>
      <c r="ES50" s="114">
        <v>12</v>
      </c>
      <c r="IL50" s="83" t="str">
        <f t="shared" si="165"/>
        <v/>
      </c>
      <c r="IM50" s="4" t="str">
        <f t="shared" si="166"/>
        <v/>
      </c>
      <c r="IN50" s="4" t="str">
        <f t="shared" si="167"/>
        <v/>
      </c>
      <c r="IO50" s="4" t="str">
        <f t="shared" si="168"/>
        <v/>
      </c>
      <c r="IP50" s="4" t="str">
        <f t="shared" si="169"/>
        <v/>
      </c>
      <c r="IQ50" s="4" t="str">
        <f t="shared" si="170"/>
        <v/>
      </c>
      <c r="IR50" s="4" t="str">
        <f t="shared" si="171"/>
        <v/>
      </c>
      <c r="IS50" s="4" t="str">
        <f t="shared" si="172"/>
        <v/>
      </c>
      <c r="IT50" s="4" t="str">
        <f t="shared" si="173"/>
        <v/>
      </c>
      <c r="IU50" s="4" t="str">
        <f t="shared" si="174"/>
        <v/>
      </c>
      <c r="IV50" s="4" t="str">
        <f t="shared" si="175"/>
        <v/>
      </c>
      <c r="IW50" s="4" t="str">
        <f t="shared" si="176"/>
        <v/>
      </c>
      <c r="IX50" s="4" t="str">
        <f t="shared" si="177"/>
        <v/>
      </c>
      <c r="IY50" s="4" t="str">
        <f t="shared" si="178"/>
        <v/>
      </c>
      <c r="IZ50" s="4" t="str">
        <f t="shared" si="179"/>
        <v/>
      </c>
      <c r="JA50" s="4" t="str">
        <f t="shared" si="180"/>
        <v/>
      </c>
      <c r="JB50" s="4" t="str">
        <f t="shared" si="181"/>
        <v/>
      </c>
      <c r="JC50" s="4" t="str">
        <f t="shared" si="182"/>
        <v/>
      </c>
      <c r="JD50" s="4" t="str">
        <f t="shared" si="183"/>
        <v/>
      </c>
      <c r="JE50" s="4" t="str">
        <f t="shared" si="184"/>
        <v/>
      </c>
      <c r="JF50" s="4" t="str">
        <f t="shared" si="185"/>
        <v/>
      </c>
      <c r="JG50" s="4" t="str">
        <f t="shared" si="186"/>
        <v/>
      </c>
      <c r="JH50" s="4" t="str">
        <f t="shared" si="187"/>
        <v/>
      </c>
      <c r="JI50" s="4" t="str">
        <f t="shared" si="188"/>
        <v/>
      </c>
      <c r="JJ50" s="4" t="str">
        <f t="shared" si="189"/>
        <v/>
      </c>
      <c r="JK50" s="4" t="str">
        <f t="shared" si="190"/>
        <v/>
      </c>
      <c r="JL50" s="4" t="str">
        <f t="shared" si="191"/>
        <v/>
      </c>
      <c r="JM50" s="4" t="str">
        <f t="shared" si="192"/>
        <v/>
      </c>
      <c r="JN50" s="4" t="str">
        <f t="shared" si="193"/>
        <v/>
      </c>
      <c r="JO50" s="4" t="str">
        <f t="shared" si="194"/>
        <v/>
      </c>
      <c r="JP50" s="4" t="str">
        <f t="shared" si="195"/>
        <v/>
      </c>
      <c r="JQ50" s="117" t="str">
        <f t="shared" si="196"/>
        <v/>
      </c>
      <c r="JR50" s="110" t="str">
        <f t="shared" si="197"/>
        <v/>
      </c>
      <c r="JS50" s="110" t="str">
        <f t="shared" si="198"/>
        <v/>
      </c>
      <c r="JT50" s="110" t="str">
        <f t="shared" si="199"/>
        <v/>
      </c>
      <c r="JU50" s="110" t="str">
        <f t="shared" si="200"/>
        <v/>
      </c>
      <c r="JV50" s="110" t="str">
        <f t="shared" si="201"/>
        <v/>
      </c>
      <c r="JW50" s="110" t="str">
        <f t="shared" si="202"/>
        <v/>
      </c>
      <c r="JX50" s="110" t="str">
        <f t="shared" si="203"/>
        <v/>
      </c>
      <c r="JY50" s="110" t="str">
        <f t="shared" si="204"/>
        <v/>
      </c>
      <c r="JZ50" s="110" t="str">
        <f t="shared" si="205"/>
        <v/>
      </c>
      <c r="KA50" s="110" t="str">
        <f t="shared" si="206"/>
        <v/>
      </c>
      <c r="KB50" s="110" t="str">
        <f t="shared" si="207"/>
        <v/>
      </c>
      <c r="KC50" s="110" t="str">
        <f t="shared" si="208"/>
        <v/>
      </c>
      <c r="KD50" s="110" t="str">
        <f t="shared" si="209"/>
        <v/>
      </c>
      <c r="KE50" s="110" t="str">
        <f t="shared" si="210"/>
        <v/>
      </c>
      <c r="KF50" s="110" t="str">
        <f t="shared" si="211"/>
        <v/>
      </c>
      <c r="KG50" s="121" t="str">
        <f t="shared" si="212"/>
        <v/>
      </c>
      <c r="KH50" s="83" t="str">
        <f t="shared" si="213"/>
        <v/>
      </c>
      <c r="KI50" s="4" t="str">
        <f t="shared" si="214"/>
        <v/>
      </c>
      <c r="KJ50" s="4" t="str">
        <f t="shared" si="215"/>
        <v/>
      </c>
      <c r="KK50" s="4" t="str">
        <f t="shared" si="216"/>
        <v/>
      </c>
      <c r="KL50" s="4" t="str">
        <f t="shared" si="217"/>
        <v/>
      </c>
      <c r="KM50" s="4" t="str">
        <f t="shared" si="218"/>
        <v/>
      </c>
      <c r="KN50" s="4" t="str">
        <f t="shared" si="219"/>
        <v/>
      </c>
      <c r="KO50" s="4" t="str">
        <f t="shared" si="220"/>
        <v/>
      </c>
      <c r="KP50" s="4" t="str">
        <f t="shared" si="221"/>
        <v/>
      </c>
      <c r="KQ50" s="4" t="str">
        <f t="shared" si="222"/>
        <v/>
      </c>
      <c r="KR50" s="4" t="str">
        <f t="shared" si="223"/>
        <v/>
      </c>
      <c r="KS50" s="4" t="str">
        <f t="shared" si="224"/>
        <v/>
      </c>
      <c r="KT50" s="4" t="str">
        <f t="shared" si="225"/>
        <v/>
      </c>
      <c r="KU50" s="4" t="str">
        <f t="shared" si="226"/>
        <v/>
      </c>
      <c r="KV50" s="4" t="str">
        <f t="shared" si="227"/>
        <v/>
      </c>
      <c r="KW50" s="4" t="str">
        <f t="shared" si="228"/>
        <v/>
      </c>
      <c r="KX50" s="4" t="str">
        <f t="shared" si="229"/>
        <v/>
      </c>
      <c r="KY50" s="4" t="str">
        <f t="shared" si="230"/>
        <v/>
      </c>
      <c r="KZ50" s="4" t="str">
        <f t="shared" si="231"/>
        <v/>
      </c>
      <c r="LA50" s="4" t="str">
        <f t="shared" si="232"/>
        <v/>
      </c>
      <c r="LB50" s="4" t="str">
        <f t="shared" si="233"/>
        <v/>
      </c>
      <c r="LC50" s="4" t="str">
        <f t="shared" si="234"/>
        <v/>
      </c>
      <c r="LD50" s="4" t="str">
        <f t="shared" si="235"/>
        <v/>
      </c>
      <c r="LE50" s="4" t="str">
        <f t="shared" si="236"/>
        <v/>
      </c>
      <c r="LF50" s="4" t="str">
        <f t="shared" si="237"/>
        <v/>
      </c>
      <c r="LG50" s="4" t="str">
        <f t="shared" si="238"/>
        <v/>
      </c>
      <c r="LH50" s="4" t="str">
        <f t="shared" si="239"/>
        <v/>
      </c>
      <c r="LI50" s="4" t="str">
        <f t="shared" si="240"/>
        <v/>
      </c>
      <c r="LJ50" s="4" t="str">
        <f t="shared" si="241"/>
        <v/>
      </c>
      <c r="LK50" s="4" t="str">
        <f t="shared" si="242"/>
        <v/>
      </c>
      <c r="LL50" s="4" t="str">
        <f t="shared" si="243"/>
        <v/>
      </c>
      <c r="LM50" s="4" t="str">
        <f t="shared" si="244"/>
        <v/>
      </c>
      <c r="LN50" s="4" t="str">
        <f t="shared" si="245"/>
        <v/>
      </c>
      <c r="LO50" s="4" t="str">
        <f t="shared" si="246"/>
        <v/>
      </c>
      <c r="LP50" s="4" t="str">
        <f t="shared" si="247"/>
        <v/>
      </c>
      <c r="LQ50" s="4" t="str">
        <f t="shared" si="248"/>
        <v/>
      </c>
      <c r="LR50" s="4" t="str">
        <f t="shared" si="249"/>
        <v/>
      </c>
      <c r="LS50" s="4" t="str">
        <f t="shared" si="250"/>
        <v/>
      </c>
      <c r="LT50" s="4" t="str">
        <f t="shared" si="251"/>
        <v/>
      </c>
      <c r="LU50" s="4" t="str">
        <f t="shared" si="252"/>
        <v/>
      </c>
      <c r="LV50" s="4" t="str">
        <f t="shared" si="253"/>
        <v/>
      </c>
      <c r="LW50" s="4" t="str">
        <f t="shared" si="254"/>
        <v/>
      </c>
      <c r="LX50" s="4" t="str">
        <f t="shared" si="255"/>
        <v/>
      </c>
      <c r="LY50" s="4" t="str">
        <f t="shared" si="256"/>
        <v/>
      </c>
      <c r="LZ50" s="4" t="str">
        <f t="shared" si="257"/>
        <v/>
      </c>
      <c r="MA50" s="4" t="str">
        <f t="shared" si="258"/>
        <v/>
      </c>
      <c r="MB50" s="4" t="str">
        <f t="shared" si="259"/>
        <v/>
      </c>
      <c r="MC50" s="4" t="str">
        <f t="shared" si="260"/>
        <v/>
      </c>
      <c r="MD50" s="4" t="str">
        <f t="shared" si="261"/>
        <v/>
      </c>
      <c r="ME50" s="4" t="str">
        <f t="shared" si="262"/>
        <v/>
      </c>
      <c r="MF50" s="4" t="str">
        <f t="shared" si="263"/>
        <v/>
      </c>
      <c r="MG50" s="4">
        <f t="shared" si="264"/>
        <v>0</v>
      </c>
    </row>
    <row r="51" spans="1:345" ht="26.25" customHeight="1" thickBot="1" x14ac:dyDescent="0.25">
      <c r="A51" s="35">
        <v>41262</v>
      </c>
      <c r="B51" s="36" t="s">
        <v>209</v>
      </c>
      <c r="C51" s="36" t="s">
        <v>21</v>
      </c>
      <c r="D51" s="31" t="s">
        <v>110</v>
      </c>
      <c r="E51" s="4">
        <v>69</v>
      </c>
      <c r="F51" s="3">
        <v>15808</v>
      </c>
      <c r="G51" s="4" t="s">
        <v>87</v>
      </c>
      <c r="H51" s="4" t="s">
        <v>108</v>
      </c>
      <c r="I51" s="4">
        <v>1835804</v>
      </c>
      <c r="J51" s="2" t="s">
        <v>309</v>
      </c>
      <c r="K51" s="230"/>
      <c r="L51" s="231"/>
      <c r="M51" s="231"/>
      <c r="N51" s="260" t="s">
        <v>660</v>
      </c>
      <c r="O51" s="261"/>
      <c r="P51" s="231"/>
      <c r="Q51" s="231"/>
      <c r="R51" s="33">
        <v>-0.5</v>
      </c>
      <c r="S51" s="33">
        <v>-0.56999999999999995</v>
      </c>
      <c r="T51" s="33" t="s">
        <v>249</v>
      </c>
      <c r="U51" s="67">
        <v>24.25</v>
      </c>
      <c r="V51" s="124">
        <v>41207</v>
      </c>
      <c r="W51" s="67">
        <v>3.25</v>
      </c>
      <c r="X51" s="67">
        <v>1.25</v>
      </c>
      <c r="Y51" s="4">
        <v>25</v>
      </c>
      <c r="Z51" s="4">
        <v>25</v>
      </c>
      <c r="AA51" s="4">
        <v>13</v>
      </c>
      <c r="AB51" s="4">
        <v>649</v>
      </c>
      <c r="AC51" s="4">
        <v>22.64</v>
      </c>
      <c r="AD51" s="4">
        <v>11.9</v>
      </c>
      <c r="AE51" s="4">
        <v>4.74</v>
      </c>
      <c r="AF51" s="4">
        <v>2.2000000000000002</v>
      </c>
      <c r="AG51" s="4">
        <v>43.6</v>
      </c>
      <c r="AH51" s="4">
        <v>35</v>
      </c>
      <c r="AI51" s="4">
        <v>44.29</v>
      </c>
      <c r="AJ51" s="4">
        <v>125</v>
      </c>
      <c r="AK51" s="4">
        <v>0</v>
      </c>
      <c r="AL51" s="4" t="b">
        <f t="shared" si="135"/>
        <v>0</v>
      </c>
      <c r="AN51" s="37">
        <v>41407</v>
      </c>
      <c r="AO51" s="59">
        <v>30</v>
      </c>
      <c r="AP51" s="67">
        <v>0</v>
      </c>
      <c r="AQ51" s="67">
        <v>0</v>
      </c>
      <c r="AR51" s="4">
        <v>0</v>
      </c>
      <c r="AS51" s="4">
        <v>20</v>
      </c>
      <c r="AT51" s="4">
        <v>13</v>
      </c>
      <c r="AU51" s="4">
        <v>520</v>
      </c>
      <c r="AV51" s="4">
        <v>2198</v>
      </c>
      <c r="BC51" s="4">
        <f t="shared" si="136"/>
        <v>0</v>
      </c>
      <c r="BD51" s="4">
        <f t="shared" si="133"/>
        <v>0.56999999999999995</v>
      </c>
      <c r="BE51" s="4">
        <f t="shared" si="137"/>
        <v>-129</v>
      </c>
      <c r="BF51" s="3">
        <v>41604</v>
      </c>
      <c r="BG51" s="56">
        <v>30</v>
      </c>
      <c r="BH51" s="67">
        <v>0.75</v>
      </c>
      <c r="BI51" s="67">
        <v>0.25</v>
      </c>
      <c r="BJ51" s="4">
        <v>140</v>
      </c>
      <c r="BK51" s="4">
        <v>25</v>
      </c>
      <c r="BL51" s="4">
        <v>14</v>
      </c>
      <c r="BM51" s="4">
        <v>525</v>
      </c>
      <c r="BN51" s="4">
        <v>2114</v>
      </c>
      <c r="BO51" s="4">
        <v>22.69</v>
      </c>
      <c r="BP51" s="4">
        <v>3.96</v>
      </c>
      <c r="BQ51" s="4">
        <v>44.05</v>
      </c>
      <c r="BR51" s="4">
        <v>25</v>
      </c>
      <c r="BS51" s="4">
        <v>44.64</v>
      </c>
      <c r="BT51" s="4">
        <v>115</v>
      </c>
      <c r="BU51" s="4">
        <f t="shared" si="266"/>
        <v>0.875</v>
      </c>
      <c r="BV51" s="4">
        <f t="shared" si="138"/>
        <v>1.4449999999999998</v>
      </c>
      <c r="BW51" s="4">
        <f t="shared" si="139"/>
        <v>-124</v>
      </c>
      <c r="BX51" s="4">
        <f t="shared" si="140"/>
        <v>1</v>
      </c>
      <c r="BY51" s="4">
        <f t="shared" si="141"/>
        <v>1</v>
      </c>
      <c r="BZ51" s="4">
        <f t="shared" si="142"/>
        <v>3.875</v>
      </c>
      <c r="CA51" s="4">
        <f t="shared" si="143"/>
        <v>0</v>
      </c>
      <c r="CB51" s="4">
        <f t="shared" si="144"/>
        <v>0.875</v>
      </c>
      <c r="CC51" s="53">
        <f t="shared" si="145"/>
        <v>342</v>
      </c>
      <c r="CD51" s="55">
        <f t="shared" si="146"/>
        <v>11.4</v>
      </c>
      <c r="CE51" s="4">
        <f t="shared" si="147"/>
        <v>0.875</v>
      </c>
      <c r="CF51" s="4" t="str">
        <f t="shared" si="148"/>
        <v/>
      </c>
      <c r="CG51" s="4">
        <f t="shared" si="149"/>
        <v>0.39999999999999858</v>
      </c>
      <c r="CH51" s="4">
        <f t="shared" si="150"/>
        <v>0.39999999999999858</v>
      </c>
      <c r="CI51" s="4">
        <f t="shared" si="151"/>
        <v>3.875</v>
      </c>
      <c r="CJ51" s="4">
        <f t="shared" si="152"/>
        <v>0.875</v>
      </c>
      <c r="CK51" s="93">
        <f t="shared" si="153"/>
        <v>1.4449999999999998</v>
      </c>
      <c r="CL51" s="83">
        <f t="shared" si="154"/>
        <v>-124</v>
      </c>
      <c r="CM51" s="4">
        <f t="shared" si="155"/>
        <v>5.0000000000000711E-2</v>
      </c>
      <c r="CN51" s="96">
        <f t="shared" si="156"/>
        <v>-0.56999999999999995</v>
      </c>
      <c r="CO51" s="96">
        <f t="shared" si="265"/>
        <v>0</v>
      </c>
      <c r="CP51" s="127">
        <f t="shared" si="157"/>
        <v>0.25</v>
      </c>
      <c r="CQ51" s="127">
        <f t="shared" si="158"/>
        <v>-1</v>
      </c>
      <c r="CR51" s="136">
        <f t="shared" si="159"/>
        <v>25</v>
      </c>
      <c r="CS51" s="136">
        <f t="shared" si="160"/>
        <v>25</v>
      </c>
      <c r="CT51" s="135">
        <f t="shared" si="161"/>
        <v>30</v>
      </c>
      <c r="CU51" s="139">
        <f t="shared" si="162"/>
        <v>1</v>
      </c>
      <c r="CV51" s="96">
        <f t="shared" si="163"/>
        <v>0</v>
      </c>
      <c r="CW51" s="141" t="b">
        <f t="shared" si="164"/>
        <v>0</v>
      </c>
      <c r="CX51">
        <v>7.93</v>
      </c>
      <c r="CY51" s="4">
        <v>7.7</v>
      </c>
      <c r="CZ51" s="4">
        <v>37.299999999999997</v>
      </c>
      <c r="DA51" s="4">
        <v>-1.3</v>
      </c>
      <c r="DB51" s="4">
        <v>-0.18</v>
      </c>
      <c r="DC51" s="4">
        <v>0.44</v>
      </c>
      <c r="DD51" s="4">
        <v>2.39</v>
      </c>
      <c r="DE51" s="4">
        <v>3.07</v>
      </c>
      <c r="DF51" s="4">
        <v>682</v>
      </c>
      <c r="DG51" s="4">
        <v>687</v>
      </c>
      <c r="DH51" s="4">
        <v>723</v>
      </c>
      <c r="DI51" s="4">
        <v>682</v>
      </c>
      <c r="DJ51" s="4">
        <v>671</v>
      </c>
      <c r="DK51" s="4">
        <v>700</v>
      </c>
      <c r="DL51" s="4">
        <v>666</v>
      </c>
      <c r="DM51" s="4">
        <v>-2.13</v>
      </c>
      <c r="DN51" s="4">
        <v>-1.1299999999999999</v>
      </c>
      <c r="DO51" s="4">
        <v>7.85</v>
      </c>
      <c r="DP51" s="4">
        <v>7.74</v>
      </c>
      <c r="DQ51" s="4">
        <v>7.66</v>
      </c>
      <c r="DR51" s="4">
        <v>7.82</v>
      </c>
      <c r="DS51" s="4">
        <v>8.1999999999999993</v>
      </c>
      <c r="DT51" s="4">
        <v>8.7100000000000009</v>
      </c>
      <c r="DU51" s="4">
        <v>0</v>
      </c>
      <c r="DV51" s="4">
        <v>0.4</v>
      </c>
      <c r="DW51" s="4">
        <v>7.46</v>
      </c>
      <c r="DX51" s="4">
        <v>6.9</v>
      </c>
      <c r="DY51" s="4">
        <v>6.59</v>
      </c>
      <c r="DZ51" s="4">
        <v>6.73</v>
      </c>
      <c r="EA51" s="4">
        <v>7.08</v>
      </c>
      <c r="EB51" s="4">
        <v>7.33</v>
      </c>
      <c r="EC51" s="4">
        <v>0</v>
      </c>
      <c r="ED51" s="89">
        <v>0.4</v>
      </c>
      <c r="EE51" s="110">
        <v>42.6</v>
      </c>
      <c r="EF51" s="110">
        <v>43.8</v>
      </c>
      <c r="EG51" s="110">
        <v>43.2</v>
      </c>
      <c r="EH51" s="110">
        <v>37.299999999999997</v>
      </c>
      <c r="EI51" s="110">
        <v>1.3</v>
      </c>
      <c r="EJ51" s="110">
        <v>-5.3</v>
      </c>
      <c r="EK51" s="110">
        <v>-5.8</v>
      </c>
      <c r="EL51" s="110">
        <v>-5.5</v>
      </c>
      <c r="EM51" s="110">
        <v>50.1</v>
      </c>
      <c r="EN51" s="110">
        <v>0.5</v>
      </c>
      <c r="EO51" s="110">
        <v>4.8</v>
      </c>
      <c r="EP51" s="110">
        <v>13.7</v>
      </c>
      <c r="EQ51" s="110">
        <v>28.4</v>
      </c>
      <c r="ER51" s="110">
        <v>66.099999999999994</v>
      </c>
      <c r="ES51" s="114">
        <v>29</v>
      </c>
      <c r="GP51" s="83">
        <v>7.89</v>
      </c>
      <c r="GQ51" s="4">
        <v>7.66</v>
      </c>
      <c r="GR51" s="4">
        <v>33.700000000000003</v>
      </c>
      <c r="GS51" s="4">
        <v>-1.3</v>
      </c>
      <c r="GT51" s="4">
        <v>-0.08</v>
      </c>
      <c r="GU51" s="4">
        <v>0.32</v>
      </c>
      <c r="GV51" s="4">
        <v>-0.56999999999999995</v>
      </c>
      <c r="GW51" s="4">
        <v>-0.04</v>
      </c>
      <c r="GX51" s="4">
        <v>526</v>
      </c>
      <c r="GY51" s="4">
        <v>524</v>
      </c>
      <c r="GZ51" s="4">
        <v>655</v>
      </c>
      <c r="HA51" s="4">
        <v>592</v>
      </c>
      <c r="HB51" s="4">
        <v>617</v>
      </c>
      <c r="HC51" s="4">
        <v>613</v>
      </c>
      <c r="HD51" s="4">
        <v>507</v>
      </c>
      <c r="HE51" s="4">
        <v>0.97</v>
      </c>
      <c r="HF51" s="4">
        <v>-0.9</v>
      </c>
      <c r="HG51" s="4">
        <v>7.81</v>
      </c>
      <c r="HH51" s="4">
        <v>7.7</v>
      </c>
      <c r="HI51" s="4">
        <v>7.65</v>
      </c>
      <c r="HJ51" s="4">
        <v>7.74</v>
      </c>
      <c r="HK51" s="4">
        <v>7.8</v>
      </c>
      <c r="HL51" s="4">
        <v>8.0500000000000007</v>
      </c>
      <c r="HM51" s="4">
        <v>0</v>
      </c>
      <c r="HN51" s="4">
        <v>1.4</v>
      </c>
      <c r="HO51" s="4">
        <v>6.29</v>
      </c>
      <c r="HP51" s="4">
        <v>6.22</v>
      </c>
      <c r="HQ51" s="4">
        <v>6.34</v>
      </c>
      <c r="HR51" s="4">
        <v>6.55</v>
      </c>
      <c r="HS51" s="4">
        <v>6.75</v>
      </c>
      <c r="HT51" s="4">
        <v>0</v>
      </c>
      <c r="HU51" s="4">
        <v>0</v>
      </c>
      <c r="HV51" s="93">
        <v>1.4</v>
      </c>
      <c r="HW51" s="110">
        <v>42.8</v>
      </c>
      <c r="HX51" s="110">
        <v>44.1</v>
      </c>
      <c r="HY51" s="110">
        <v>43.4</v>
      </c>
      <c r="HZ51" s="110">
        <v>33.700000000000003</v>
      </c>
      <c r="IA51" s="110">
        <v>1.3</v>
      </c>
      <c r="IB51" s="110">
        <v>-6.2</v>
      </c>
      <c r="IC51" s="110">
        <v>-6.6</v>
      </c>
      <c r="ID51" s="110">
        <v>-6.4</v>
      </c>
      <c r="IE51" s="110">
        <v>150.9</v>
      </c>
      <c r="IF51" s="110">
        <v>0.4</v>
      </c>
      <c r="IG51" s="110">
        <v>3.8</v>
      </c>
      <c r="IH51" s="110">
        <v>11.3</v>
      </c>
      <c r="II51" s="110">
        <v>24.3</v>
      </c>
      <c r="IJ51" s="110">
        <v>58.9</v>
      </c>
      <c r="IK51" s="121">
        <v>28</v>
      </c>
      <c r="IL51" s="83">
        <f t="shared" si="165"/>
        <v>7.89</v>
      </c>
      <c r="IM51" s="4">
        <f t="shared" si="166"/>
        <v>7.66</v>
      </c>
      <c r="IN51" s="4">
        <f t="shared" si="167"/>
        <v>33.700000000000003</v>
      </c>
      <c r="IO51" s="4">
        <f t="shared" si="168"/>
        <v>-1.3</v>
      </c>
      <c r="IP51" s="4">
        <f t="shared" si="169"/>
        <v>-0.08</v>
      </c>
      <c r="IQ51" s="4">
        <f t="shared" si="170"/>
        <v>0.32</v>
      </c>
      <c r="IR51" s="4">
        <f t="shared" si="171"/>
        <v>-0.56999999999999995</v>
      </c>
      <c r="IS51" s="4">
        <f t="shared" si="172"/>
        <v>-0.04</v>
      </c>
      <c r="IT51" s="4">
        <f t="shared" si="173"/>
        <v>526</v>
      </c>
      <c r="IU51" s="4">
        <f t="shared" si="174"/>
        <v>524</v>
      </c>
      <c r="IV51" s="4">
        <f t="shared" si="175"/>
        <v>655</v>
      </c>
      <c r="IW51" s="4">
        <f t="shared" si="176"/>
        <v>592</v>
      </c>
      <c r="IX51" s="4">
        <f t="shared" si="177"/>
        <v>617</v>
      </c>
      <c r="IY51" s="4">
        <f t="shared" si="178"/>
        <v>613</v>
      </c>
      <c r="IZ51" s="4">
        <f t="shared" si="179"/>
        <v>507</v>
      </c>
      <c r="JA51" s="4">
        <f t="shared" si="180"/>
        <v>0.97</v>
      </c>
      <c r="JB51" s="4">
        <f t="shared" si="181"/>
        <v>-0.9</v>
      </c>
      <c r="JC51" s="4">
        <f t="shared" si="182"/>
        <v>7.81</v>
      </c>
      <c r="JD51" s="4">
        <f t="shared" si="183"/>
        <v>7.7</v>
      </c>
      <c r="JE51" s="4">
        <f t="shared" si="184"/>
        <v>7.65</v>
      </c>
      <c r="JF51" s="4">
        <f t="shared" si="185"/>
        <v>7.74</v>
      </c>
      <c r="JG51" s="4">
        <f t="shared" si="186"/>
        <v>7.8</v>
      </c>
      <c r="JH51" s="4">
        <f t="shared" si="187"/>
        <v>8.0500000000000007</v>
      </c>
      <c r="JI51" s="4">
        <f t="shared" si="188"/>
        <v>0</v>
      </c>
      <c r="JJ51" s="4">
        <f t="shared" si="189"/>
        <v>1.4</v>
      </c>
      <c r="JK51" s="4">
        <f t="shared" si="190"/>
        <v>6.29</v>
      </c>
      <c r="JL51" s="4">
        <f t="shared" si="191"/>
        <v>6.22</v>
      </c>
      <c r="JM51" s="4">
        <f t="shared" si="192"/>
        <v>6.34</v>
      </c>
      <c r="JN51" s="4">
        <f t="shared" si="193"/>
        <v>6.55</v>
      </c>
      <c r="JO51" s="4">
        <f t="shared" si="194"/>
        <v>6.75</v>
      </c>
      <c r="JP51" s="4">
        <f t="shared" si="195"/>
        <v>0</v>
      </c>
      <c r="JQ51" s="117">
        <f t="shared" si="196"/>
        <v>0</v>
      </c>
      <c r="JR51" s="110">
        <f t="shared" si="197"/>
        <v>1.4</v>
      </c>
      <c r="JS51" s="110">
        <f t="shared" si="198"/>
        <v>42.8</v>
      </c>
      <c r="JT51" s="110">
        <f t="shared" si="199"/>
        <v>44.1</v>
      </c>
      <c r="JU51" s="110">
        <f t="shared" si="200"/>
        <v>43.4</v>
      </c>
      <c r="JV51" s="110">
        <f t="shared" si="201"/>
        <v>33.700000000000003</v>
      </c>
      <c r="JW51" s="110">
        <f t="shared" si="202"/>
        <v>1.3</v>
      </c>
      <c r="JX51" s="110">
        <f t="shared" si="203"/>
        <v>-6.2</v>
      </c>
      <c r="JY51" s="110">
        <f t="shared" si="204"/>
        <v>-6.6</v>
      </c>
      <c r="JZ51" s="110">
        <f t="shared" si="205"/>
        <v>-6.4</v>
      </c>
      <c r="KA51" s="110">
        <f t="shared" si="206"/>
        <v>150.9</v>
      </c>
      <c r="KB51" s="110">
        <f t="shared" si="207"/>
        <v>0.4</v>
      </c>
      <c r="KC51" s="110">
        <f t="shared" si="208"/>
        <v>3.8</v>
      </c>
      <c r="KD51" s="110">
        <f t="shared" si="209"/>
        <v>11.3</v>
      </c>
      <c r="KE51" s="110">
        <f t="shared" si="210"/>
        <v>24.3</v>
      </c>
      <c r="KF51" s="110">
        <f t="shared" si="211"/>
        <v>58.9</v>
      </c>
      <c r="KG51" s="121">
        <f t="shared" si="212"/>
        <v>28</v>
      </c>
      <c r="KH51" s="83">
        <f t="shared" si="213"/>
        <v>-4.0000000000000036E-2</v>
      </c>
      <c r="KI51" s="4">
        <f t="shared" si="214"/>
        <v>-4.0000000000000036E-2</v>
      </c>
      <c r="KJ51" s="4">
        <f t="shared" si="215"/>
        <v>-3.5999999999999943</v>
      </c>
      <c r="KK51" s="4">
        <f t="shared" si="216"/>
        <v>0</v>
      </c>
      <c r="KL51" s="4">
        <f t="shared" si="217"/>
        <v>9.9999999999999992E-2</v>
      </c>
      <c r="KM51" s="4">
        <f t="shared" si="218"/>
        <v>-0.12</v>
      </c>
      <c r="KN51" s="4">
        <f t="shared" si="219"/>
        <v>-2.96</v>
      </c>
      <c r="KO51" s="4">
        <f t="shared" si="220"/>
        <v>-3.11</v>
      </c>
      <c r="KP51" s="4">
        <f t="shared" si="221"/>
        <v>-156</v>
      </c>
      <c r="KQ51" s="4">
        <f t="shared" si="222"/>
        <v>-163</v>
      </c>
      <c r="KR51" s="4">
        <f t="shared" si="223"/>
        <v>-68</v>
      </c>
      <c r="KS51" s="4">
        <f t="shared" si="224"/>
        <v>-90</v>
      </c>
      <c r="KT51" s="4">
        <f t="shared" si="225"/>
        <v>-54</v>
      </c>
      <c r="KU51" s="4">
        <f t="shared" si="226"/>
        <v>-87</v>
      </c>
      <c r="KV51" s="4">
        <f t="shared" si="227"/>
        <v>-159</v>
      </c>
      <c r="KW51" s="4">
        <f t="shared" si="228"/>
        <v>3.0999999999999996</v>
      </c>
      <c r="KX51" s="4">
        <f t="shared" si="229"/>
        <v>0.22999999999999987</v>
      </c>
      <c r="KY51" s="4">
        <f t="shared" si="230"/>
        <v>-4.0000000000000036E-2</v>
      </c>
      <c r="KZ51" s="4">
        <f t="shared" si="231"/>
        <v>-4.0000000000000036E-2</v>
      </c>
      <c r="LA51" s="4">
        <f t="shared" si="232"/>
        <v>-9.9999999999997868E-3</v>
      </c>
      <c r="LB51" s="4">
        <f t="shared" si="233"/>
        <v>-8.0000000000000071E-2</v>
      </c>
      <c r="LC51" s="4">
        <f t="shared" si="234"/>
        <v>-0.39999999999999947</v>
      </c>
      <c r="LD51" s="4">
        <f t="shared" si="235"/>
        <v>-0.66000000000000014</v>
      </c>
      <c r="LE51" s="4">
        <f t="shared" si="236"/>
        <v>0</v>
      </c>
      <c r="LF51" s="4">
        <f t="shared" si="237"/>
        <v>0.99999999999999989</v>
      </c>
      <c r="LG51" s="4">
        <f t="shared" si="238"/>
        <v>-1.17</v>
      </c>
      <c r="LH51" s="4">
        <f t="shared" si="239"/>
        <v>-0.6800000000000006</v>
      </c>
      <c r="LI51" s="4">
        <f t="shared" si="240"/>
        <v>-0.25</v>
      </c>
      <c r="LJ51" s="4">
        <f t="shared" si="241"/>
        <v>-0.1800000000000006</v>
      </c>
      <c r="LK51" s="4">
        <f t="shared" si="242"/>
        <v>-0.33000000000000007</v>
      </c>
      <c r="LL51" s="4">
        <f t="shared" si="243"/>
        <v>-7.33</v>
      </c>
      <c r="LM51" s="4">
        <f t="shared" si="244"/>
        <v>0</v>
      </c>
      <c r="LN51" s="4">
        <f t="shared" si="245"/>
        <v>0.99999999999999989</v>
      </c>
      <c r="LO51" s="4">
        <f t="shared" si="246"/>
        <v>0.19999999999999574</v>
      </c>
      <c r="LP51" s="4">
        <f t="shared" si="247"/>
        <v>0.30000000000000426</v>
      </c>
      <c r="LQ51" s="4">
        <f t="shared" si="248"/>
        <v>0.19999999999999574</v>
      </c>
      <c r="LR51" s="4">
        <f t="shared" si="249"/>
        <v>-3.5999999999999943</v>
      </c>
      <c r="LS51" s="4">
        <f t="shared" si="250"/>
        <v>0</v>
      </c>
      <c r="LT51" s="4">
        <f t="shared" si="251"/>
        <v>-0.90000000000000036</v>
      </c>
      <c r="LU51" s="4">
        <f t="shared" si="252"/>
        <v>-0.79999999999999982</v>
      </c>
      <c r="LV51" s="4">
        <f t="shared" si="253"/>
        <v>-0.90000000000000036</v>
      </c>
      <c r="LW51" s="4">
        <f t="shared" si="254"/>
        <v>100.80000000000001</v>
      </c>
      <c r="LX51" s="4">
        <f t="shared" si="255"/>
        <v>-9.9999999999999978E-2</v>
      </c>
      <c r="LY51" s="4">
        <f t="shared" si="256"/>
        <v>-1</v>
      </c>
      <c r="LZ51" s="4">
        <f t="shared" si="257"/>
        <v>-2.3999999999999986</v>
      </c>
      <c r="MA51" s="4">
        <f t="shared" si="258"/>
        <v>-4.0999999999999979</v>
      </c>
      <c r="MB51" s="4">
        <f t="shared" si="259"/>
        <v>-7.1999999999999957</v>
      </c>
      <c r="MC51" s="4">
        <f t="shared" si="260"/>
        <v>-1</v>
      </c>
      <c r="MD51" s="4" t="str">
        <f t="shared" si="261"/>
        <v/>
      </c>
      <c r="ME51" s="4" t="str">
        <f t="shared" si="262"/>
        <v/>
      </c>
      <c r="MF51" s="4" t="str">
        <f t="shared" si="263"/>
        <v/>
      </c>
      <c r="MG51" s="4">
        <f t="shared" si="264"/>
        <v>-6.6</v>
      </c>
    </row>
    <row r="52" spans="1:345" ht="26.25" customHeight="1" x14ac:dyDescent="0.2">
      <c r="A52" s="35">
        <v>41395</v>
      </c>
      <c r="B52" s="36" t="s">
        <v>209</v>
      </c>
      <c r="C52" s="36" t="s">
        <v>21</v>
      </c>
      <c r="D52" s="31" t="s">
        <v>111</v>
      </c>
      <c r="E52" s="4">
        <v>70</v>
      </c>
      <c r="F52" s="3">
        <v>15808</v>
      </c>
      <c r="G52" s="4" t="s">
        <v>87</v>
      </c>
      <c r="H52" s="4" t="s">
        <v>108</v>
      </c>
      <c r="I52" s="4">
        <v>1835804</v>
      </c>
      <c r="J52" s="2" t="s">
        <v>309</v>
      </c>
      <c r="K52" s="235"/>
      <c r="L52" s="236"/>
      <c r="M52" s="236"/>
      <c r="N52" s="260" t="s">
        <v>660</v>
      </c>
      <c r="O52" s="235" t="s">
        <v>661</v>
      </c>
      <c r="P52" s="236"/>
      <c r="Q52" s="236"/>
      <c r="R52" s="4">
        <v>-0.75</v>
      </c>
      <c r="S52" s="4">
        <v>-0.82</v>
      </c>
      <c r="T52" s="4" t="s">
        <v>249</v>
      </c>
      <c r="U52" s="67">
        <v>23.5</v>
      </c>
      <c r="V52" s="124">
        <v>41352</v>
      </c>
      <c r="W52" s="67">
        <v>3.25</v>
      </c>
      <c r="X52" s="67">
        <v>0.5</v>
      </c>
      <c r="Y52" s="4">
        <v>23</v>
      </c>
      <c r="Z52" s="4">
        <v>40</v>
      </c>
      <c r="AA52" s="4">
        <v>10</v>
      </c>
      <c r="AB52" s="4">
        <v>659</v>
      </c>
      <c r="AC52" s="4">
        <v>22.64</v>
      </c>
      <c r="AD52" s="4">
        <v>11.8</v>
      </c>
      <c r="AE52" s="4">
        <v>5.08</v>
      </c>
      <c r="AF52" s="4">
        <v>2.62</v>
      </c>
      <c r="AG52" s="4">
        <v>43.83</v>
      </c>
      <c r="AH52" s="4">
        <v>162</v>
      </c>
      <c r="AI52" s="4">
        <v>45.24</v>
      </c>
      <c r="AJ52" s="4">
        <v>72</v>
      </c>
      <c r="AK52" s="4">
        <v>1</v>
      </c>
      <c r="AL52" s="4" t="b">
        <f t="shared" si="135"/>
        <v>1</v>
      </c>
      <c r="AN52" s="32">
        <v>41604</v>
      </c>
      <c r="AO52" s="60">
        <v>20</v>
      </c>
      <c r="AP52" s="67">
        <v>-1.75</v>
      </c>
      <c r="AQ52" s="67">
        <v>2</v>
      </c>
      <c r="AR52" s="4">
        <v>50</v>
      </c>
      <c r="AS52" s="4">
        <v>25</v>
      </c>
      <c r="AT52" s="4">
        <v>12</v>
      </c>
      <c r="AU52" s="4">
        <v>536</v>
      </c>
      <c r="AV52" s="4">
        <v>2347</v>
      </c>
      <c r="AW52" s="4">
        <v>22.71</v>
      </c>
      <c r="AX52" s="4">
        <v>3.79</v>
      </c>
      <c r="AY52" s="4">
        <v>43.1</v>
      </c>
      <c r="AZ52" s="4">
        <v>143</v>
      </c>
      <c r="BA52" s="4">
        <v>44.23</v>
      </c>
      <c r="BB52" s="4">
        <v>53</v>
      </c>
      <c r="BC52" s="4">
        <f t="shared" si="136"/>
        <v>-0.75</v>
      </c>
      <c r="BD52" s="4">
        <f t="shared" si="133"/>
        <v>6.9999999999999951E-2</v>
      </c>
      <c r="BE52" s="4">
        <f t="shared" si="137"/>
        <v>-123</v>
      </c>
      <c r="BF52" s="37">
        <v>41704</v>
      </c>
      <c r="BG52" s="56">
        <v>50</v>
      </c>
      <c r="BH52" s="67">
        <v>-1.25</v>
      </c>
      <c r="BI52" s="67">
        <v>1</v>
      </c>
      <c r="BJ52" s="4">
        <v>30</v>
      </c>
      <c r="BK52" s="4">
        <v>40</v>
      </c>
      <c r="BL52" s="4">
        <v>13</v>
      </c>
      <c r="BM52" s="4">
        <v>531</v>
      </c>
      <c r="BN52" s="4">
        <v>2278</v>
      </c>
      <c r="BO52" s="4">
        <v>22.7</v>
      </c>
      <c r="BQ52" s="4">
        <v>42.19</v>
      </c>
      <c r="BR52" s="4">
        <v>136</v>
      </c>
      <c r="BS52" s="4">
        <v>43.27</v>
      </c>
      <c r="BT52" s="4">
        <v>46</v>
      </c>
      <c r="BU52" s="4">
        <f t="shared" si="266"/>
        <v>-0.75</v>
      </c>
      <c r="BV52" s="4">
        <f t="shared" si="138"/>
        <v>6.9999999999999951E-2</v>
      </c>
      <c r="BW52" s="4">
        <f t="shared" si="139"/>
        <v>-128</v>
      </c>
      <c r="BX52" s="4">
        <f t="shared" si="140"/>
        <v>1</v>
      </c>
      <c r="BY52" s="4">
        <f t="shared" si="141"/>
        <v>1</v>
      </c>
      <c r="BZ52" s="4">
        <f t="shared" si="142"/>
        <v>3.5</v>
      </c>
      <c r="CA52" s="4">
        <f t="shared" si="143"/>
        <v>-0.75</v>
      </c>
      <c r="CB52" s="4">
        <f t="shared" si="144"/>
        <v>-0.75</v>
      </c>
      <c r="CC52" s="53">
        <f t="shared" si="145"/>
        <v>309</v>
      </c>
      <c r="CD52" s="55">
        <f t="shared" si="146"/>
        <v>10.3</v>
      </c>
      <c r="CE52" s="4">
        <f t="shared" si="147"/>
        <v>0</v>
      </c>
      <c r="CF52" s="4">
        <f t="shared" si="148"/>
        <v>-0.86999999999999744</v>
      </c>
      <c r="CG52" s="4">
        <f t="shared" si="149"/>
        <v>-1.8049999999999926</v>
      </c>
      <c r="CH52" s="4">
        <f t="shared" si="150"/>
        <v>-1.8049999999999926</v>
      </c>
      <c r="CI52" s="4">
        <f t="shared" si="151"/>
        <v>3.5</v>
      </c>
      <c r="CJ52" s="4">
        <f t="shared" si="152"/>
        <v>-0.75</v>
      </c>
      <c r="CK52" s="93">
        <f t="shared" si="153"/>
        <v>6.9999999999999951E-2</v>
      </c>
      <c r="CL52" s="83">
        <f t="shared" si="154"/>
        <v>-128</v>
      </c>
      <c r="CM52" s="4">
        <f t="shared" si="155"/>
        <v>7.0000000000000284E-2</v>
      </c>
      <c r="CN52" s="96">
        <f t="shared" si="156"/>
        <v>-0.82</v>
      </c>
      <c r="CO52" s="96">
        <f t="shared" si="265"/>
        <v>0</v>
      </c>
      <c r="CP52" s="127">
        <f t="shared" si="157"/>
        <v>1</v>
      </c>
      <c r="CQ52" s="127">
        <f t="shared" si="158"/>
        <v>0.5</v>
      </c>
      <c r="CR52" s="136">
        <f t="shared" si="159"/>
        <v>40</v>
      </c>
      <c r="CS52" s="136">
        <f t="shared" si="160"/>
        <v>40</v>
      </c>
      <c r="CT52" s="135">
        <f t="shared" si="161"/>
        <v>50</v>
      </c>
      <c r="CU52" s="139" t="str">
        <f t="shared" si="162"/>
        <v/>
      </c>
      <c r="CV52" s="96" t="str">
        <f t="shared" si="163"/>
        <v/>
      </c>
      <c r="CW52" s="141" t="str">
        <f t="shared" si="164"/>
        <v/>
      </c>
      <c r="IL52" s="83" t="str">
        <f t="shared" si="165"/>
        <v/>
      </c>
      <c r="IM52" s="4" t="str">
        <f t="shared" si="166"/>
        <v/>
      </c>
      <c r="IN52" s="4" t="str">
        <f t="shared" si="167"/>
        <v/>
      </c>
      <c r="IO52" s="4" t="str">
        <f t="shared" si="168"/>
        <v/>
      </c>
      <c r="IP52" s="4" t="str">
        <f t="shared" si="169"/>
        <v/>
      </c>
      <c r="IQ52" s="4" t="str">
        <f t="shared" si="170"/>
        <v/>
      </c>
      <c r="IR52" s="4" t="str">
        <f t="shared" si="171"/>
        <v/>
      </c>
      <c r="IS52" s="4" t="str">
        <f t="shared" si="172"/>
        <v/>
      </c>
      <c r="IT52" s="4" t="str">
        <f t="shared" si="173"/>
        <v/>
      </c>
      <c r="IU52" s="4" t="str">
        <f t="shared" si="174"/>
        <v/>
      </c>
      <c r="IV52" s="4" t="str">
        <f t="shared" si="175"/>
        <v/>
      </c>
      <c r="IW52" s="4" t="str">
        <f t="shared" si="176"/>
        <v/>
      </c>
      <c r="IX52" s="4" t="str">
        <f t="shared" si="177"/>
        <v/>
      </c>
      <c r="IY52" s="4" t="str">
        <f t="shared" si="178"/>
        <v/>
      </c>
      <c r="IZ52" s="4" t="str">
        <f t="shared" si="179"/>
        <v/>
      </c>
      <c r="JA52" s="4" t="str">
        <f t="shared" si="180"/>
        <v/>
      </c>
      <c r="JB52" s="4" t="str">
        <f t="shared" si="181"/>
        <v/>
      </c>
      <c r="JC52" s="4" t="str">
        <f t="shared" si="182"/>
        <v/>
      </c>
      <c r="JD52" s="4" t="str">
        <f t="shared" si="183"/>
        <v/>
      </c>
      <c r="JE52" s="4" t="str">
        <f t="shared" si="184"/>
        <v/>
      </c>
      <c r="JF52" s="4" t="str">
        <f t="shared" si="185"/>
        <v/>
      </c>
      <c r="JG52" s="4" t="str">
        <f t="shared" si="186"/>
        <v/>
      </c>
      <c r="JH52" s="4" t="str">
        <f t="shared" si="187"/>
        <v/>
      </c>
      <c r="JI52" s="4" t="str">
        <f t="shared" si="188"/>
        <v/>
      </c>
      <c r="JJ52" s="4" t="str">
        <f t="shared" si="189"/>
        <v/>
      </c>
      <c r="JK52" s="4" t="str">
        <f t="shared" si="190"/>
        <v/>
      </c>
      <c r="JL52" s="4" t="str">
        <f t="shared" si="191"/>
        <v/>
      </c>
      <c r="JM52" s="4" t="str">
        <f t="shared" si="192"/>
        <v/>
      </c>
      <c r="JN52" s="4" t="str">
        <f t="shared" si="193"/>
        <v/>
      </c>
      <c r="JO52" s="4" t="str">
        <f t="shared" si="194"/>
        <v/>
      </c>
      <c r="JP52" s="4" t="str">
        <f t="shared" si="195"/>
        <v/>
      </c>
      <c r="JQ52" s="117" t="str">
        <f t="shared" si="196"/>
        <v/>
      </c>
      <c r="JR52" s="110" t="str">
        <f t="shared" si="197"/>
        <v/>
      </c>
      <c r="JS52" s="110" t="str">
        <f t="shared" si="198"/>
        <v/>
      </c>
      <c r="JT52" s="110" t="str">
        <f t="shared" si="199"/>
        <v/>
      </c>
      <c r="JU52" s="110" t="str">
        <f t="shared" si="200"/>
        <v/>
      </c>
      <c r="JV52" s="110" t="str">
        <f t="shared" si="201"/>
        <v/>
      </c>
      <c r="JW52" s="110" t="str">
        <f t="shared" si="202"/>
        <v/>
      </c>
      <c r="JX52" s="110" t="str">
        <f t="shared" si="203"/>
        <v/>
      </c>
      <c r="JY52" s="110" t="str">
        <f t="shared" si="204"/>
        <v/>
      </c>
      <c r="JZ52" s="110" t="str">
        <f t="shared" si="205"/>
        <v/>
      </c>
      <c r="KA52" s="110" t="str">
        <f t="shared" si="206"/>
        <v/>
      </c>
      <c r="KB52" s="110" t="str">
        <f t="shared" si="207"/>
        <v/>
      </c>
      <c r="KC52" s="110" t="str">
        <f t="shared" si="208"/>
        <v/>
      </c>
      <c r="KD52" s="110" t="str">
        <f t="shared" si="209"/>
        <v/>
      </c>
      <c r="KE52" s="110" t="str">
        <f t="shared" si="210"/>
        <v/>
      </c>
      <c r="KF52" s="110" t="str">
        <f t="shared" si="211"/>
        <v/>
      </c>
      <c r="KG52" s="121" t="str">
        <f t="shared" si="212"/>
        <v/>
      </c>
      <c r="KH52" s="83" t="str">
        <f t="shared" si="213"/>
        <v/>
      </c>
      <c r="KI52" s="4" t="str">
        <f t="shared" si="214"/>
        <v/>
      </c>
      <c r="KJ52" s="4" t="str">
        <f t="shared" si="215"/>
        <v/>
      </c>
      <c r="KK52" s="4" t="str">
        <f t="shared" si="216"/>
        <v/>
      </c>
      <c r="KL52" s="4" t="str">
        <f t="shared" si="217"/>
        <v/>
      </c>
      <c r="KM52" s="4" t="str">
        <f t="shared" si="218"/>
        <v/>
      </c>
      <c r="KN52" s="4" t="str">
        <f t="shared" si="219"/>
        <v/>
      </c>
      <c r="KO52" s="4" t="str">
        <f t="shared" si="220"/>
        <v/>
      </c>
      <c r="KP52" s="4" t="str">
        <f t="shared" si="221"/>
        <v/>
      </c>
      <c r="KQ52" s="4" t="str">
        <f t="shared" si="222"/>
        <v/>
      </c>
      <c r="KR52" s="4" t="str">
        <f t="shared" si="223"/>
        <v/>
      </c>
      <c r="KS52" s="4" t="str">
        <f t="shared" si="224"/>
        <v/>
      </c>
      <c r="KT52" s="4" t="str">
        <f t="shared" si="225"/>
        <v/>
      </c>
      <c r="KU52" s="4" t="str">
        <f t="shared" si="226"/>
        <v/>
      </c>
      <c r="KV52" s="4" t="str">
        <f t="shared" si="227"/>
        <v/>
      </c>
      <c r="KW52" s="4" t="str">
        <f t="shared" si="228"/>
        <v/>
      </c>
      <c r="KX52" s="4" t="str">
        <f t="shared" si="229"/>
        <v/>
      </c>
      <c r="KY52" s="4" t="str">
        <f t="shared" si="230"/>
        <v/>
      </c>
      <c r="KZ52" s="4" t="str">
        <f t="shared" si="231"/>
        <v/>
      </c>
      <c r="LA52" s="4" t="str">
        <f t="shared" si="232"/>
        <v/>
      </c>
      <c r="LB52" s="4" t="str">
        <f t="shared" si="233"/>
        <v/>
      </c>
      <c r="LC52" s="4" t="str">
        <f t="shared" si="234"/>
        <v/>
      </c>
      <c r="LD52" s="4" t="str">
        <f t="shared" si="235"/>
        <v/>
      </c>
      <c r="LE52" s="4" t="str">
        <f t="shared" si="236"/>
        <v/>
      </c>
      <c r="LF52" s="4" t="str">
        <f t="shared" si="237"/>
        <v/>
      </c>
      <c r="LG52" s="4" t="str">
        <f t="shared" si="238"/>
        <v/>
      </c>
      <c r="LH52" s="4" t="str">
        <f t="shared" si="239"/>
        <v/>
      </c>
      <c r="LI52" s="4" t="str">
        <f t="shared" si="240"/>
        <v/>
      </c>
      <c r="LJ52" s="4" t="str">
        <f t="shared" si="241"/>
        <v/>
      </c>
      <c r="LK52" s="4" t="str">
        <f t="shared" si="242"/>
        <v/>
      </c>
      <c r="LL52" s="4" t="str">
        <f t="shared" si="243"/>
        <v/>
      </c>
      <c r="LM52" s="4" t="str">
        <f t="shared" si="244"/>
        <v/>
      </c>
      <c r="LN52" s="4" t="str">
        <f t="shared" si="245"/>
        <v/>
      </c>
      <c r="LO52" s="4" t="str">
        <f t="shared" si="246"/>
        <v/>
      </c>
      <c r="LP52" s="4" t="str">
        <f t="shared" si="247"/>
        <v/>
      </c>
      <c r="LQ52" s="4" t="str">
        <f t="shared" si="248"/>
        <v/>
      </c>
      <c r="LR52" s="4" t="str">
        <f t="shared" si="249"/>
        <v/>
      </c>
      <c r="LS52" s="4" t="str">
        <f t="shared" si="250"/>
        <v/>
      </c>
      <c r="LT52" s="4" t="str">
        <f t="shared" si="251"/>
        <v/>
      </c>
      <c r="LU52" s="4" t="str">
        <f t="shared" si="252"/>
        <v/>
      </c>
      <c r="LV52" s="4" t="str">
        <f t="shared" si="253"/>
        <v/>
      </c>
      <c r="LW52" s="4" t="str">
        <f t="shared" si="254"/>
        <v/>
      </c>
      <c r="LX52" s="4" t="str">
        <f t="shared" si="255"/>
        <v/>
      </c>
      <c r="LY52" s="4" t="str">
        <f t="shared" si="256"/>
        <v/>
      </c>
      <c r="LZ52" s="4" t="str">
        <f t="shared" si="257"/>
        <v/>
      </c>
      <c r="MA52" s="4" t="str">
        <f t="shared" si="258"/>
        <v/>
      </c>
      <c r="MB52" s="4" t="str">
        <f t="shared" si="259"/>
        <v/>
      </c>
      <c r="MC52" s="4" t="str">
        <f t="shared" si="260"/>
        <v/>
      </c>
      <c r="MD52" s="4" t="str">
        <f t="shared" si="261"/>
        <v/>
      </c>
      <c r="ME52" s="4" t="str">
        <f t="shared" si="262"/>
        <v/>
      </c>
      <c r="MF52" s="4" t="str">
        <f t="shared" si="263"/>
        <v/>
      </c>
      <c r="MG52" s="4">
        <f t="shared" si="264"/>
        <v>0</v>
      </c>
    </row>
    <row r="53" spans="1:345" ht="26.25" customHeight="1" x14ac:dyDescent="0.2">
      <c r="A53" s="35">
        <v>41227</v>
      </c>
      <c r="B53" s="36" t="s">
        <v>131</v>
      </c>
      <c r="C53" s="36" t="s">
        <v>114</v>
      </c>
      <c r="D53" s="31" t="s">
        <v>110</v>
      </c>
      <c r="E53" s="4">
        <v>60</v>
      </c>
      <c r="F53" s="3">
        <v>19022</v>
      </c>
      <c r="G53" s="4" t="s">
        <v>87</v>
      </c>
      <c r="H53" s="4" t="s">
        <v>112</v>
      </c>
      <c r="I53" s="4">
        <v>1835815</v>
      </c>
      <c r="J53" s="2" t="s">
        <v>309</v>
      </c>
      <c r="N53" s="229"/>
      <c r="O53" s="54" t="s">
        <v>662</v>
      </c>
      <c r="R53" s="4">
        <v>-0.5</v>
      </c>
      <c r="S53" s="4">
        <v>-0.65</v>
      </c>
      <c r="T53" s="4" t="s">
        <v>249</v>
      </c>
      <c r="U53" s="67">
        <v>19.25</v>
      </c>
      <c r="V53" s="124">
        <v>41207</v>
      </c>
      <c r="W53" s="67">
        <v>-3.25</v>
      </c>
      <c r="X53" s="67">
        <v>2</v>
      </c>
      <c r="Y53" s="4">
        <v>165</v>
      </c>
      <c r="Z53" s="4">
        <v>25</v>
      </c>
      <c r="AA53" s="4">
        <v>14</v>
      </c>
      <c r="AB53" s="4">
        <v>610</v>
      </c>
      <c r="AC53" s="4">
        <v>24.04</v>
      </c>
      <c r="AD53" s="4">
        <v>12.5</v>
      </c>
      <c r="AE53" s="4">
        <v>4.74</v>
      </c>
      <c r="AF53" s="4">
        <v>3.43</v>
      </c>
      <c r="AG53" s="4">
        <v>42.99</v>
      </c>
      <c r="AH53" s="4">
        <v>123</v>
      </c>
      <c r="AI53" s="4">
        <v>44.76</v>
      </c>
      <c r="AJ53" s="4">
        <v>33</v>
      </c>
      <c r="AK53" s="4">
        <v>1</v>
      </c>
      <c r="AL53" s="4" t="b">
        <f t="shared" si="135"/>
        <v>1</v>
      </c>
      <c r="AN53" s="3">
        <v>41428</v>
      </c>
      <c r="AP53" s="67">
        <v>-2.5</v>
      </c>
      <c r="AQ53" s="67">
        <v>3.75</v>
      </c>
      <c r="AR53" s="4">
        <v>98</v>
      </c>
      <c r="AS53" s="4">
        <v>20</v>
      </c>
      <c r="AT53" s="4">
        <v>14</v>
      </c>
      <c r="AU53" s="4">
        <v>563</v>
      </c>
      <c r="AV53" s="4">
        <v>557</v>
      </c>
      <c r="BC53" s="4">
        <f t="shared" si="136"/>
        <v>-0.625</v>
      </c>
      <c r="BD53" s="4">
        <f t="shared" si="133"/>
        <v>2.5000000000000022E-2</v>
      </c>
      <c r="BE53" s="4">
        <f t="shared" si="137"/>
        <v>-47</v>
      </c>
      <c r="BF53" s="3">
        <v>41603</v>
      </c>
      <c r="BG53" s="56">
        <v>50</v>
      </c>
      <c r="BH53" s="67">
        <v>-2.25</v>
      </c>
      <c r="BI53" s="67">
        <v>3.5</v>
      </c>
      <c r="BJ53" s="4">
        <v>100</v>
      </c>
      <c r="BK53" s="4">
        <v>20</v>
      </c>
      <c r="BL53" s="4">
        <v>16</v>
      </c>
      <c r="BM53" s="4">
        <v>567</v>
      </c>
      <c r="BN53" s="4">
        <v>611</v>
      </c>
      <c r="BO53" s="4" t="s">
        <v>282</v>
      </c>
      <c r="BP53" s="4" t="s">
        <v>282</v>
      </c>
      <c r="BQ53" s="4" t="s">
        <v>282</v>
      </c>
      <c r="BR53" s="4" t="s">
        <v>282</v>
      </c>
      <c r="BS53" s="4" t="s">
        <v>282</v>
      </c>
      <c r="BT53" s="4" t="s">
        <v>282</v>
      </c>
      <c r="BU53" s="4">
        <f t="shared" si="266"/>
        <v>-0.5</v>
      </c>
      <c r="BV53" s="4">
        <f t="shared" si="138"/>
        <v>0.15000000000000002</v>
      </c>
      <c r="BW53" s="4">
        <f t="shared" si="139"/>
        <v>-43</v>
      </c>
      <c r="BX53" s="4">
        <f t="shared" si="140"/>
        <v>1</v>
      </c>
      <c r="BY53" s="4">
        <f t="shared" si="141"/>
        <v>1</v>
      </c>
      <c r="BZ53" s="4">
        <f t="shared" si="142"/>
        <v>-2.25</v>
      </c>
      <c r="CA53" s="4">
        <f t="shared" si="143"/>
        <v>-0.625</v>
      </c>
      <c r="CB53" s="4">
        <f t="shared" si="144"/>
        <v>-0.5</v>
      </c>
      <c r="CC53" s="53">
        <f t="shared" si="145"/>
        <v>376</v>
      </c>
      <c r="CD53" s="55">
        <f t="shared" si="146"/>
        <v>12.533333333333333</v>
      </c>
      <c r="CE53" s="4">
        <f t="shared" si="147"/>
        <v>0.125</v>
      </c>
      <c r="CF53" s="4" t="str">
        <f t="shared" si="148"/>
        <v/>
      </c>
      <c r="CG53" s="4" t="str">
        <f t="shared" si="149"/>
        <v/>
      </c>
      <c r="CH53" s="4" t="str">
        <f t="shared" si="150"/>
        <v/>
      </c>
      <c r="CI53" s="4">
        <f t="shared" si="151"/>
        <v>-2.25</v>
      </c>
      <c r="CJ53" s="4">
        <f t="shared" si="152"/>
        <v>-0.5</v>
      </c>
      <c r="CK53" s="93">
        <f t="shared" si="153"/>
        <v>0.15000000000000002</v>
      </c>
      <c r="CL53" s="83">
        <f t="shared" si="154"/>
        <v>-43</v>
      </c>
      <c r="CM53" s="4" t="str">
        <f t="shared" si="155"/>
        <v/>
      </c>
      <c r="CN53" s="96">
        <f t="shared" si="156"/>
        <v>-0.65</v>
      </c>
      <c r="CO53" s="96">
        <f t="shared" si="265"/>
        <v>9.6910013008056392E-2</v>
      </c>
      <c r="CP53" s="127">
        <f t="shared" si="157"/>
        <v>3.5</v>
      </c>
      <c r="CQ53" s="127">
        <f t="shared" si="158"/>
        <v>1.5</v>
      </c>
      <c r="CR53" s="136">
        <f t="shared" si="159"/>
        <v>20</v>
      </c>
      <c r="CS53" s="136">
        <f t="shared" si="160"/>
        <v>25</v>
      </c>
      <c r="CT53" s="135">
        <f t="shared" si="161"/>
        <v>50</v>
      </c>
      <c r="CU53" s="139">
        <f t="shared" si="162"/>
        <v>0</v>
      </c>
      <c r="CV53" s="96">
        <f t="shared" si="163"/>
        <v>1</v>
      </c>
      <c r="CW53" s="141" t="b">
        <f t="shared" si="164"/>
        <v>0</v>
      </c>
      <c r="CX53">
        <v>7.81</v>
      </c>
      <c r="CY53" s="4">
        <v>7.7</v>
      </c>
      <c r="CZ53" s="4">
        <v>35.9</v>
      </c>
      <c r="DA53" s="4">
        <v>-0.6</v>
      </c>
      <c r="DB53" s="4">
        <v>0.24</v>
      </c>
      <c r="DC53" s="4">
        <v>0.5</v>
      </c>
      <c r="DD53" s="4">
        <v>2.85</v>
      </c>
      <c r="DE53" s="4">
        <v>3.49</v>
      </c>
      <c r="DF53" s="4">
        <v>637</v>
      </c>
      <c r="DG53" s="4">
        <v>643</v>
      </c>
      <c r="DH53" s="4">
        <v>637</v>
      </c>
      <c r="DI53" s="4">
        <v>696</v>
      </c>
      <c r="DJ53" s="4">
        <v>643</v>
      </c>
      <c r="DK53" s="4">
        <v>676</v>
      </c>
      <c r="DL53" s="4">
        <v>579</v>
      </c>
      <c r="DM53" s="4">
        <v>-0.22</v>
      </c>
      <c r="DN53" s="4">
        <v>1.39</v>
      </c>
      <c r="DO53" s="4">
        <v>7.76</v>
      </c>
      <c r="DP53" s="4">
        <v>7.75</v>
      </c>
      <c r="DQ53" s="4">
        <v>7.75</v>
      </c>
      <c r="DR53" s="4">
        <v>7.9</v>
      </c>
      <c r="DS53" s="4">
        <v>8.2899999999999991</v>
      </c>
      <c r="DT53" s="4">
        <v>8.82</v>
      </c>
      <c r="DU53" s="4">
        <v>9.0500000000000007</v>
      </c>
      <c r="DV53" s="4">
        <v>1</v>
      </c>
      <c r="DW53" s="4">
        <v>6.9</v>
      </c>
      <c r="DX53" s="4">
        <v>7.13</v>
      </c>
      <c r="DY53" s="4">
        <v>7.32</v>
      </c>
      <c r="DZ53" s="4">
        <v>7.23</v>
      </c>
      <c r="EA53" s="4">
        <v>7.16</v>
      </c>
      <c r="EB53" s="4">
        <v>7.21</v>
      </c>
      <c r="EC53" s="4">
        <v>0</v>
      </c>
      <c r="ED53" s="89">
        <v>1</v>
      </c>
      <c r="EE53" s="110">
        <v>43.2</v>
      </c>
      <c r="EF53" s="110">
        <v>43.8</v>
      </c>
      <c r="EG53" s="110">
        <v>43.5</v>
      </c>
      <c r="EH53" s="110">
        <v>35.9</v>
      </c>
      <c r="EI53" s="110">
        <v>0.6</v>
      </c>
      <c r="EJ53" s="110">
        <v>-5.5</v>
      </c>
      <c r="EK53" s="110">
        <v>-6.1</v>
      </c>
      <c r="EL53" s="110">
        <v>-5.8</v>
      </c>
      <c r="EM53" s="110">
        <v>29.6</v>
      </c>
      <c r="EN53" s="110">
        <v>0.5</v>
      </c>
      <c r="EO53" s="110">
        <v>4.5999999999999996</v>
      </c>
      <c r="EP53" s="110">
        <v>13</v>
      </c>
      <c r="EQ53" s="110">
        <v>26.8</v>
      </c>
      <c r="ER53" s="110">
        <v>59.7</v>
      </c>
      <c r="ES53" s="114">
        <v>12</v>
      </c>
      <c r="ET53" s="83">
        <v>7.88</v>
      </c>
      <c r="EU53" s="4">
        <v>7.51</v>
      </c>
      <c r="EV53" s="4">
        <v>21.8</v>
      </c>
      <c r="EW53" s="4">
        <v>-2.1</v>
      </c>
      <c r="EX53" s="4">
        <v>0.42</v>
      </c>
      <c r="EY53" s="4">
        <v>0.5</v>
      </c>
      <c r="EZ53" s="4">
        <v>5.2</v>
      </c>
      <c r="FA53" s="4">
        <v>5.76</v>
      </c>
      <c r="FB53" s="4">
        <v>554</v>
      </c>
      <c r="FC53" s="4">
        <v>548</v>
      </c>
      <c r="FD53" s="4">
        <v>663</v>
      </c>
      <c r="FE53" s="4">
        <v>621</v>
      </c>
      <c r="FF53" s="4">
        <v>663</v>
      </c>
      <c r="FG53" s="4">
        <v>607</v>
      </c>
      <c r="FH53" s="4">
        <v>514</v>
      </c>
      <c r="FI53" s="4">
        <v>0.95</v>
      </c>
      <c r="FJ53" s="4">
        <v>-1.5</v>
      </c>
      <c r="FK53" s="4">
        <v>7.66</v>
      </c>
      <c r="FL53" s="4">
        <v>7.79</v>
      </c>
      <c r="FM53" s="4">
        <v>7.83</v>
      </c>
      <c r="FN53" s="4">
        <v>7.92</v>
      </c>
      <c r="FO53" s="4">
        <v>8.09</v>
      </c>
      <c r="FP53" s="4">
        <v>8.4</v>
      </c>
      <c r="FQ53" s="4">
        <v>0</v>
      </c>
      <c r="FR53" s="4">
        <v>1.3</v>
      </c>
      <c r="FS53" s="4">
        <v>6.28</v>
      </c>
      <c r="FT53" s="4">
        <v>6.33</v>
      </c>
      <c r="FU53" s="4">
        <v>6.56</v>
      </c>
      <c r="FV53" s="4">
        <v>6.81</v>
      </c>
      <c r="FW53" s="4">
        <v>7</v>
      </c>
      <c r="FX53" s="4">
        <v>7.35</v>
      </c>
      <c r="FY53" s="4">
        <v>0</v>
      </c>
      <c r="FZ53" s="86">
        <v>1.3</v>
      </c>
      <c r="GA53" s="110">
        <v>42.8</v>
      </c>
      <c r="GB53" s="110">
        <v>44.9</v>
      </c>
      <c r="GC53" s="110">
        <v>43.8</v>
      </c>
      <c r="GD53" s="110">
        <v>21.8</v>
      </c>
      <c r="GE53" s="110">
        <v>2.1</v>
      </c>
      <c r="GF53" s="110">
        <v>-6.2</v>
      </c>
      <c r="GG53" s="110">
        <v>-6.5</v>
      </c>
      <c r="GH53" s="110">
        <v>-6.4</v>
      </c>
      <c r="GI53" s="110">
        <v>133.9</v>
      </c>
      <c r="GJ53" s="110">
        <v>0.2</v>
      </c>
      <c r="GK53" s="110">
        <v>4</v>
      </c>
      <c r="GL53" s="110">
        <v>11.8</v>
      </c>
      <c r="GM53" s="110">
        <v>25.1</v>
      </c>
      <c r="GN53" s="110">
        <v>59.8</v>
      </c>
      <c r="GO53" s="119">
        <v>19</v>
      </c>
      <c r="IL53" s="83">
        <f t="shared" si="165"/>
        <v>7.88</v>
      </c>
      <c r="IM53" s="4">
        <f t="shared" si="166"/>
        <v>7.51</v>
      </c>
      <c r="IN53" s="4">
        <f t="shared" si="167"/>
        <v>21.8</v>
      </c>
      <c r="IO53" s="4">
        <f t="shared" si="168"/>
        <v>-2.1</v>
      </c>
      <c r="IP53" s="4">
        <f t="shared" si="169"/>
        <v>0.42</v>
      </c>
      <c r="IQ53" s="4">
        <f t="shared" si="170"/>
        <v>0.5</v>
      </c>
      <c r="IR53" s="4">
        <f t="shared" si="171"/>
        <v>5.2</v>
      </c>
      <c r="IS53" s="4">
        <f t="shared" si="172"/>
        <v>5.76</v>
      </c>
      <c r="IT53" s="4">
        <f t="shared" si="173"/>
        <v>554</v>
      </c>
      <c r="IU53" s="4">
        <f t="shared" si="174"/>
        <v>548</v>
      </c>
      <c r="IV53" s="4">
        <f t="shared" si="175"/>
        <v>663</v>
      </c>
      <c r="IW53" s="4">
        <f t="shared" si="176"/>
        <v>621</v>
      </c>
      <c r="IX53" s="4">
        <f t="shared" si="177"/>
        <v>663</v>
      </c>
      <c r="IY53" s="4">
        <f t="shared" si="178"/>
        <v>607</v>
      </c>
      <c r="IZ53" s="4">
        <f t="shared" si="179"/>
        <v>514</v>
      </c>
      <c r="JA53" s="4">
        <f t="shared" si="180"/>
        <v>0.95</v>
      </c>
      <c r="JB53" s="4">
        <f t="shared" si="181"/>
        <v>-1.5</v>
      </c>
      <c r="JC53" s="4">
        <f t="shared" si="182"/>
        <v>7.66</v>
      </c>
      <c r="JD53" s="4">
        <f t="shared" si="183"/>
        <v>7.79</v>
      </c>
      <c r="JE53" s="4">
        <f t="shared" si="184"/>
        <v>7.83</v>
      </c>
      <c r="JF53" s="4">
        <f t="shared" si="185"/>
        <v>7.92</v>
      </c>
      <c r="JG53" s="4">
        <f t="shared" si="186"/>
        <v>8.09</v>
      </c>
      <c r="JH53" s="4">
        <f t="shared" si="187"/>
        <v>8.4</v>
      </c>
      <c r="JI53" s="4">
        <f t="shared" si="188"/>
        <v>0</v>
      </c>
      <c r="JJ53" s="4">
        <f t="shared" si="189"/>
        <v>1.3</v>
      </c>
      <c r="JK53" s="4">
        <f t="shared" si="190"/>
        <v>6.28</v>
      </c>
      <c r="JL53" s="4">
        <f t="shared" si="191"/>
        <v>6.33</v>
      </c>
      <c r="JM53" s="4">
        <f t="shared" si="192"/>
        <v>6.56</v>
      </c>
      <c r="JN53" s="4">
        <f t="shared" si="193"/>
        <v>6.81</v>
      </c>
      <c r="JO53" s="4">
        <f t="shared" si="194"/>
        <v>7</v>
      </c>
      <c r="JP53" s="4">
        <f t="shared" si="195"/>
        <v>7.35</v>
      </c>
      <c r="JQ53" s="117">
        <f t="shared" si="196"/>
        <v>0</v>
      </c>
      <c r="JR53" s="110">
        <f t="shared" si="197"/>
        <v>1.3</v>
      </c>
      <c r="JS53" s="110">
        <f t="shared" si="198"/>
        <v>42.8</v>
      </c>
      <c r="JT53" s="110">
        <f t="shared" si="199"/>
        <v>44.9</v>
      </c>
      <c r="JU53" s="110">
        <f t="shared" si="200"/>
        <v>43.8</v>
      </c>
      <c r="JV53" s="110">
        <f t="shared" si="201"/>
        <v>21.8</v>
      </c>
      <c r="JW53" s="110">
        <f t="shared" si="202"/>
        <v>2.1</v>
      </c>
      <c r="JX53" s="110">
        <f t="shared" si="203"/>
        <v>-6.2</v>
      </c>
      <c r="JY53" s="110">
        <f t="shared" si="204"/>
        <v>-6.5</v>
      </c>
      <c r="JZ53" s="110">
        <f t="shared" si="205"/>
        <v>-6.4</v>
      </c>
      <c r="KA53" s="110">
        <f t="shared" si="206"/>
        <v>133.9</v>
      </c>
      <c r="KB53" s="110">
        <f t="shared" si="207"/>
        <v>0.2</v>
      </c>
      <c r="KC53" s="110">
        <f t="shared" si="208"/>
        <v>4</v>
      </c>
      <c r="KD53" s="110">
        <f t="shared" si="209"/>
        <v>11.8</v>
      </c>
      <c r="KE53" s="110">
        <f t="shared" si="210"/>
        <v>25.1</v>
      </c>
      <c r="KF53" s="110">
        <f t="shared" si="211"/>
        <v>59.8</v>
      </c>
      <c r="KG53" s="121">
        <f t="shared" si="212"/>
        <v>19</v>
      </c>
      <c r="KH53" s="83">
        <f t="shared" si="213"/>
        <v>7.0000000000000284E-2</v>
      </c>
      <c r="KI53" s="4">
        <f t="shared" si="214"/>
        <v>-0.19000000000000039</v>
      </c>
      <c r="KJ53" s="4">
        <f t="shared" si="215"/>
        <v>-14.099999999999998</v>
      </c>
      <c r="KK53" s="4">
        <f t="shared" si="216"/>
        <v>-1.5</v>
      </c>
      <c r="KL53" s="4">
        <f t="shared" si="217"/>
        <v>0.18</v>
      </c>
      <c r="KM53" s="4">
        <f t="shared" si="218"/>
        <v>0</v>
      </c>
      <c r="KN53" s="4">
        <f t="shared" si="219"/>
        <v>2.35</v>
      </c>
      <c r="KO53" s="4">
        <f t="shared" si="220"/>
        <v>2.2699999999999996</v>
      </c>
      <c r="KP53" s="4">
        <f t="shared" si="221"/>
        <v>-83</v>
      </c>
      <c r="KQ53" s="4">
        <f t="shared" si="222"/>
        <v>-95</v>
      </c>
      <c r="KR53" s="4">
        <f t="shared" si="223"/>
        <v>26</v>
      </c>
      <c r="KS53" s="4">
        <f t="shared" si="224"/>
        <v>-75</v>
      </c>
      <c r="KT53" s="4">
        <f t="shared" si="225"/>
        <v>20</v>
      </c>
      <c r="KU53" s="4">
        <f t="shared" si="226"/>
        <v>-69</v>
      </c>
      <c r="KV53" s="4">
        <f t="shared" si="227"/>
        <v>-65</v>
      </c>
      <c r="KW53" s="4">
        <f t="shared" si="228"/>
        <v>1.17</v>
      </c>
      <c r="KX53" s="4">
        <f t="shared" si="229"/>
        <v>-2.8899999999999997</v>
      </c>
      <c r="KY53" s="4">
        <f t="shared" si="230"/>
        <v>-9.9999999999999645E-2</v>
      </c>
      <c r="KZ53" s="4">
        <f t="shared" si="231"/>
        <v>4.0000000000000036E-2</v>
      </c>
      <c r="LA53" s="4">
        <f t="shared" si="232"/>
        <v>8.0000000000000071E-2</v>
      </c>
      <c r="LB53" s="4">
        <f t="shared" si="233"/>
        <v>1.9999999999999574E-2</v>
      </c>
      <c r="LC53" s="4">
        <f t="shared" si="234"/>
        <v>-0.19999999999999929</v>
      </c>
      <c r="LD53" s="4">
        <f t="shared" si="235"/>
        <v>-0.41999999999999993</v>
      </c>
      <c r="LE53" s="4">
        <f t="shared" si="236"/>
        <v>-9.0500000000000007</v>
      </c>
      <c r="LF53" s="4">
        <f t="shared" si="237"/>
        <v>0.30000000000000004</v>
      </c>
      <c r="LG53" s="4">
        <f t="shared" si="238"/>
        <v>-0.62000000000000011</v>
      </c>
      <c r="LH53" s="4">
        <f t="shared" si="239"/>
        <v>-0.79999999999999982</v>
      </c>
      <c r="LI53" s="4">
        <f t="shared" si="240"/>
        <v>-0.76000000000000068</v>
      </c>
      <c r="LJ53" s="4">
        <f t="shared" si="241"/>
        <v>-0.42000000000000082</v>
      </c>
      <c r="LK53" s="4">
        <f t="shared" si="242"/>
        <v>-0.16000000000000014</v>
      </c>
      <c r="LL53" s="4">
        <f t="shared" si="243"/>
        <v>0.13999999999999968</v>
      </c>
      <c r="LM53" s="4">
        <f t="shared" si="244"/>
        <v>0</v>
      </c>
      <c r="LN53" s="4">
        <f t="shared" si="245"/>
        <v>0.30000000000000004</v>
      </c>
      <c r="LO53" s="4">
        <f t="shared" si="246"/>
        <v>-0.40000000000000568</v>
      </c>
      <c r="LP53" s="4">
        <f t="shared" si="247"/>
        <v>1.1000000000000014</v>
      </c>
      <c r="LQ53" s="4">
        <f t="shared" si="248"/>
        <v>0.29999999999999716</v>
      </c>
      <c r="LR53" s="4">
        <f t="shared" si="249"/>
        <v>-14.099999999999998</v>
      </c>
      <c r="LS53" s="4">
        <f t="shared" si="250"/>
        <v>1.5</v>
      </c>
      <c r="LT53" s="4">
        <f t="shared" si="251"/>
        <v>-0.70000000000000018</v>
      </c>
      <c r="LU53" s="4">
        <f t="shared" si="252"/>
        <v>-0.40000000000000036</v>
      </c>
      <c r="LV53" s="4">
        <f t="shared" si="253"/>
        <v>-0.60000000000000053</v>
      </c>
      <c r="LW53" s="4">
        <f t="shared" si="254"/>
        <v>104.30000000000001</v>
      </c>
      <c r="LX53" s="4">
        <f t="shared" si="255"/>
        <v>-0.3</v>
      </c>
      <c r="LY53" s="4">
        <f t="shared" si="256"/>
        <v>-0.59999999999999964</v>
      </c>
      <c r="LZ53" s="4">
        <f t="shared" si="257"/>
        <v>-1.1999999999999993</v>
      </c>
      <c r="MA53" s="4">
        <f t="shared" si="258"/>
        <v>-1.6999999999999993</v>
      </c>
      <c r="MB53" s="4">
        <f t="shared" si="259"/>
        <v>9.9999999999994316E-2</v>
      </c>
      <c r="MC53" s="4">
        <f t="shared" si="260"/>
        <v>7</v>
      </c>
      <c r="MD53" s="4" t="str">
        <f t="shared" si="261"/>
        <v/>
      </c>
      <c r="ME53" s="4" t="str">
        <f t="shared" si="262"/>
        <v/>
      </c>
      <c r="MF53" s="4" t="str">
        <f t="shared" si="263"/>
        <v/>
      </c>
      <c r="MG53" s="4">
        <f t="shared" si="264"/>
        <v>6.5</v>
      </c>
    </row>
    <row r="54" spans="1:345" ht="26.25" customHeight="1" x14ac:dyDescent="0.2">
      <c r="A54" s="35">
        <v>41318</v>
      </c>
      <c r="B54" s="36" t="s">
        <v>208</v>
      </c>
      <c r="C54" s="36" t="s">
        <v>202</v>
      </c>
      <c r="D54" s="31" t="s">
        <v>110</v>
      </c>
      <c r="E54" s="4">
        <v>65</v>
      </c>
      <c r="F54" s="3">
        <v>17345</v>
      </c>
      <c r="G54" s="4" t="s">
        <v>87</v>
      </c>
      <c r="H54" s="4" t="s">
        <v>108</v>
      </c>
      <c r="I54" s="4">
        <v>1835958</v>
      </c>
      <c r="J54" s="2" t="s">
        <v>309</v>
      </c>
      <c r="K54" s="54" t="s">
        <v>664</v>
      </c>
      <c r="N54" s="275" t="s">
        <v>663</v>
      </c>
      <c r="R54" s="4">
        <v>-0.5</v>
      </c>
      <c r="S54" s="4">
        <v>-0.53</v>
      </c>
      <c r="T54" s="39" t="s">
        <v>249</v>
      </c>
      <c r="U54" s="70">
        <v>20.75</v>
      </c>
      <c r="V54" s="124">
        <v>41253</v>
      </c>
      <c r="W54" s="67">
        <v>-3.5</v>
      </c>
      <c r="X54" s="67">
        <v>1.25</v>
      </c>
      <c r="Y54" s="4">
        <v>3</v>
      </c>
      <c r="Z54" s="4">
        <v>40</v>
      </c>
      <c r="AA54" s="4">
        <v>15</v>
      </c>
      <c r="AB54" s="4">
        <v>664</v>
      </c>
      <c r="AC54" s="4">
        <v>23.46</v>
      </c>
      <c r="AD54" s="4">
        <v>11.7</v>
      </c>
      <c r="AE54" s="4">
        <v>5.0999999999999996</v>
      </c>
      <c r="AF54" s="4">
        <v>2.92</v>
      </c>
      <c r="AG54" s="4">
        <v>44</v>
      </c>
      <c r="AH54" s="4">
        <v>89</v>
      </c>
      <c r="AI54" s="4">
        <v>44.53</v>
      </c>
      <c r="AJ54" s="4">
        <v>179</v>
      </c>
      <c r="AK54" s="4">
        <v>2</v>
      </c>
      <c r="AL54" s="4" t="b">
        <f t="shared" si="135"/>
        <v>1</v>
      </c>
      <c r="AM54" s="54"/>
      <c r="AN54" s="32">
        <v>41444</v>
      </c>
      <c r="AO54" s="60">
        <v>50</v>
      </c>
      <c r="AP54" s="67">
        <v>0</v>
      </c>
      <c r="AQ54" s="67">
        <v>0.75</v>
      </c>
      <c r="AR54" s="4">
        <v>17</v>
      </c>
      <c r="AS54" s="4">
        <v>25</v>
      </c>
      <c r="AT54" s="4">
        <v>15</v>
      </c>
      <c r="AU54" s="4">
        <v>498</v>
      </c>
      <c r="AV54" s="4">
        <v>1550</v>
      </c>
      <c r="BC54" s="4">
        <f t="shared" si="136"/>
        <v>0.375</v>
      </c>
      <c r="BD54" s="4">
        <f t="shared" si="133"/>
        <v>0.90500000000000003</v>
      </c>
      <c r="BE54" s="4">
        <f t="shared" si="137"/>
        <v>-166</v>
      </c>
      <c r="BF54" s="137">
        <v>41738</v>
      </c>
      <c r="BU54" s="4" t="str">
        <f t="shared" si="266"/>
        <v/>
      </c>
      <c r="BV54" s="4" t="str">
        <f t="shared" si="138"/>
        <v/>
      </c>
      <c r="BW54" s="4" t="str">
        <f t="shared" si="139"/>
        <v/>
      </c>
      <c r="BX54" s="4">
        <f t="shared" si="140"/>
        <v>1</v>
      </c>
      <c r="BY54" s="4">
        <f t="shared" si="141"/>
        <v>0</v>
      </c>
      <c r="BZ54" s="4" t="str">
        <f t="shared" si="142"/>
        <v/>
      </c>
      <c r="CA54" s="4" t="str">
        <f t="shared" si="143"/>
        <v/>
      </c>
      <c r="CB54" s="4" t="str">
        <f t="shared" si="144"/>
        <v/>
      </c>
      <c r="CC54" s="53">
        <f t="shared" si="145"/>
        <v>126</v>
      </c>
      <c r="CD54" s="55">
        <f t="shared" si="146"/>
        <v>4.2</v>
      </c>
      <c r="CE54" s="4" t="str">
        <f t="shared" si="147"/>
        <v/>
      </c>
      <c r="CF54" s="4" t="str">
        <f t="shared" si="148"/>
        <v/>
      </c>
      <c r="CG54" s="4" t="str">
        <f t="shared" si="149"/>
        <v/>
      </c>
      <c r="CH54" s="4" t="str">
        <f t="shared" si="150"/>
        <v/>
      </c>
      <c r="CI54" s="4">
        <f t="shared" si="151"/>
        <v>-2.875</v>
      </c>
      <c r="CJ54" s="4">
        <f t="shared" si="152"/>
        <v>0.375</v>
      </c>
      <c r="CK54" s="93">
        <f t="shared" si="153"/>
        <v>0.90500000000000003</v>
      </c>
      <c r="CL54" s="83">
        <f t="shared" si="154"/>
        <v>-166</v>
      </c>
      <c r="CM54" s="4" t="str">
        <f t="shared" si="155"/>
        <v/>
      </c>
      <c r="CN54" s="96">
        <f t="shared" si="156"/>
        <v>-0.53</v>
      </c>
      <c r="CO54" s="96">
        <f t="shared" si="265"/>
        <v>0.20411998265592479</v>
      </c>
      <c r="CP54" s="127">
        <f t="shared" si="157"/>
        <v>0.75</v>
      </c>
      <c r="CQ54" s="127">
        <f t="shared" si="158"/>
        <v>-0.5</v>
      </c>
      <c r="CR54" s="136">
        <f t="shared" si="159"/>
        <v>25</v>
      </c>
      <c r="CS54" s="136">
        <f t="shared" si="160"/>
        <v>40</v>
      </c>
      <c r="CT54" s="135">
        <f t="shared" si="161"/>
        <v>50</v>
      </c>
      <c r="CU54" s="139" t="str">
        <f t="shared" si="162"/>
        <v/>
      </c>
      <c r="CV54" s="96" t="str">
        <f t="shared" si="163"/>
        <v/>
      </c>
      <c r="CW54" s="141" t="str">
        <f t="shared" si="164"/>
        <v/>
      </c>
      <c r="IL54" s="83" t="str">
        <f t="shared" si="165"/>
        <v/>
      </c>
      <c r="IM54" s="4" t="str">
        <f t="shared" si="166"/>
        <v/>
      </c>
      <c r="IN54" s="4" t="str">
        <f t="shared" si="167"/>
        <v/>
      </c>
      <c r="IO54" s="4" t="str">
        <f t="shared" si="168"/>
        <v/>
      </c>
      <c r="IP54" s="4" t="str">
        <f t="shared" si="169"/>
        <v/>
      </c>
      <c r="IQ54" s="4" t="str">
        <f t="shared" si="170"/>
        <v/>
      </c>
      <c r="IR54" s="4" t="str">
        <f t="shared" si="171"/>
        <v/>
      </c>
      <c r="IS54" s="4" t="str">
        <f t="shared" si="172"/>
        <v/>
      </c>
      <c r="IT54" s="4" t="str">
        <f t="shared" si="173"/>
        <v/>
      </c>
      <c r="IU54" s="4" t="str">
        <f t="shared" si="174"/>
        <v/>
      </c>
      <c r="IV54" s="4" t="str">
        <f t="shared" si="175"/>
        <v/>
      </c>
      <c r="IW54" s="4" t="str">
        <f t="shared" si="176"/>
        <v/>
      </c>
      <c r="IX54" s="4" t="str">
        <f t="shared" si="177"/>
        <v/>
      </c>
      <c r="IY54" s="4" t="str">
        <f t="shared" si="178"/>
        <v/>
      </c>
      <c r="IZ54" s="4" t="str">
        <f t="shared" si="179"/>
        <v/>
      </c>
      <c r="JA54" s="4" t="str">
        <f t="shared" si="180"/>
        <v/>
      </c>
      <c r="JB54" s="4" t="str">
        <f t="shared" si="181"/>
        <v/>
      </c>
      <c r="JC54" s="4" t="str">
        <f t="shared" si="182"/>
        <v/>
      </c>
      <c r="JD54" s="4" t="str">
        <f t="shared" si="183"/>
        <v/>
      </c>
      <c r="JE54" s="4" t="str">
        <f t="shared" si="184"/>
        <v/>
      </c>
      <c r="JF54" s="4" t="str">
        <f t="shared" si="185"/>
        <v/>
      </c>
      <c r="JG54" s="4" t="str">
        <f t="shared" si="186"/>
        <v/>
      </c>
      <c r="JH54" s="4" t="str">
        <f t="shared" si="187"/>
        <v/>
      </c>
      <c r="JI54" s="4" t="str">
        <f t="shared" si="188"/>
        <v/>
      </c>
      <c r="JJ54" s="4" t="str">
        <f t="shared" si="189"/>
        <v/>
      </c>
      <c r="JK54" s="4" t="str">
        <f t="shared" si="190"/>
        <v/>
      </c>
      <c r="JL54" s="4" t="str">
        <f t="shared" si="191"/>
        <v/>
      </c>
      <c r="JM54" s="4" t="str">
        <f t="shared" si="192"/>
        <v/>
      </c>
      <c r="JN54" s="4" t="str">
        <f t="shared" si="193"/>
        <v/>
      </c>
      <c r="JO54" s="4" t="str">
        <f t="shared" si="194"/>
        <v/>
      </c>
      <c r="JP54" s="4" t="str">
        <f t="shared" si="195"/>
        <v/>
      </c>
      <c r="JQ54" s="117" t="str">
        <f t="shared" si="196"/>
        <v/>
      </c>
      <c r="JR54" s="110" t="str">
        <f t="shared" si="197"/>
        <v/>
      </c>
      <c r="JS54" s="110" t="str">
        <f t="shared" si="198"/>
        <v/>
      </c>
      <c r="JT54" s="110" t="str">
        <f t="shared" si="199"/>
        <v/>
      </c>
      <c r="JU54" s="110" t="str">
        <f t="shared" si="200"/>
        <v/>
      </c>
      <c r="JV54" s="110" t="str">
        <f t="shared" si="201"/>
        <v/>
      </c>
      <c r="JW54" s="110" t="str">
        <f t="shared" si="202"/>
        <v/>
      </c>
      <c r="JX54" s="110" t="str">
        <f t="shared" si="203"/>
        <v/>
      </c>
      <c r="JY54" s="110" t="str">
        <f t="shared" si="204"/>
        <v/>
      </c>
      <c r="JZ54" s="110" t="str">
        <f t="shared" si="205"/>
        <v/>
      </c>
      <c r="KA54" s="110" t="str">
        <f t="shared" si="206"/>
        <v/>
      </c>
      <c r="KB54" s="110" t="str">
        <f t="shared" si="207"/>
        <v/>
      </c>
      <c r="KC54" s="110" t="str">
        <f t="shared" si="208"/>
        <v/>
      </c>
      <c r="KD54" s="110" t="str">
        <f t="shared" si="209"/>
        <v/>
      </c>
      <c r="KE54" s="110" t="str">
        <f t="shared" si="210"/>
        <v/>
      </c>
      <c r="KF54" s="110" t="str">
        <f t="shared" si="211"/>
        <v/>
      </c>
      <c r="KG54" s="121" t="str">
        <f t="shared" si="212"/>
        <v/>
      </c>
      <c r="KH54" s="83" t="str">
        <f t="shared" si="213"/>
        <v/>
      </c>
      <c r="KI54" s="4" t="str">
        <f t="shared" si="214"/>
        <v/>
      </c>
      <c r="KJ54" s="4" t="str">
        <f t="shared" si="215"/>
        <v/>
      </c>
      <c r="KK54" s="4" t="str">
        <f t="shared" si="216"/>
        <v/>
      </c>
      <c r="KL54" s="4" t="str">
        <f t="shared" si="217"/>
        <v/>
      </c>
      <c r="KM54" s="4" t="str">
        <f t="shared" si="218"/>
        <v/>
      </c>
      <c r="KN54" s="4" t="str">
        <f t="shared" si="219"/>
        <v/>
      </c>
      <c r="KO54" s="4" t="str">
        <f t="shared" si="220"/>
        <v/>
      </c>
      <c r="KP54" s="4" t="str">
        <f t="shared" si="221"/>
        <v/>
      </c>
      <c r="KQ54" s="4" t="str">
        <f t="shared" si="222"/>
        <v/>
      </c>
      <c r="KR54" s="4" t="str">
        <f t="shared" si="223"/>
        <v/>
      </c>
      <c r="KS54" s="4" t="str">
        <f t="shared" si="224"/>
        <v/>
      </c>
      <c r="KT54" s="4" t="str">
        <f t="shared" si="225"/>
        <v/>
      </c>
      <c r="KU54" s="4" t="str">
        <f t="shared" si="226"/>
        <v/>
      </c>
      <c r="KV54" s="4" t="str">
        <f t="shared" si="227"/>
        <v/>
      </c>
      <c r="KW54" s="4" t="str">
        <f t="shared" si="228"/>
        <v/>
      </c>
      <c r="KX54" s="4" t="str">
        <f t="shared" si="229"/>
        <v/>
      </c>
      <c r="KY54" s="4" t="str">
        <f t="shared" si="230"/>
        <v/>
      </c>
      <c r="KZ54" s="4" t="str">
        <f t="shared" si="231"/>
        <v/>
      </c>
      <c r="LA54" s="4" t="str">
        <f t="shared" si="232"/>
        <v/>
      </c>
      <c r="LB54" s="4" t="str">
        <f t="shared" si="233"/>
        <v/>
      </c>
      <c r="LC54" s="4" t="str">
        <f t="shared" si="234"/>
        <v/>
      </c>
      <c r="LD54" s="4" t="str">
        <f t="shared" si="235"/>
        <v/>
      </c>
      <c r="LE54" s="4" t="str">
        <f t="shared" si="236"/>
        <v/>
      </c>
      <c r="LF54" s="4" t="str">
        <f t="shared" si="237"/>
        <v/>
      </c>
      <c r="LG54" s="4" t="str">
        <f t="shared" si="238"/>
        <v/>
      </c>
      <c r="LH54" s="4" t="str">
        <f t="shared" si="239"/>
        <v/>
      </c>
      <c r="LI54" s="4" t="str">
        <f t="shared" si="240"/>
        <v/>
      </c>
      <c r="LJ54" s="4" t="str">
        <f t="shared" si="241"/>
        <v/>
      </c>
      <c r="LK54" s="4" t="str">
        <f t="shared" si="242"/>
        <v/>
      </c>
      <c r="LL54" s="4" t="str">
        <f t="shared" si="243"/>
        <v/>
      </c>
      <c r="LM54" s="4" t="str">
        <f t="shared" si="244"/>
        <v/>
      </c>
      <c r="LN54" s="4" t="str">
        <f t="shared" si="245"/>
        <v/>
      </c>
      <c r="LO54" s="4" t="str">
        <f t="shared" si="246"/>
        <v/>
      </c>
      <c r="LP54" s="4" t="str">
        <f t="shared" si="247"/>
        <v/>
      </c>
      <c r="LQ54" s="4" t="str">
        <f t="shared" si="248"/>
        <v/>
      </c>
      <c r="LR54" s="4" t="str">
        <f t="shared" si="249"/>
        <v/>
      </c>
      <c r="LS54" s="4" t="str">
        <f t="shared" si="250"/>
        <v/>
      </c>
      <c r="LT54" s="4" t="str">
        <f t="shared" si="251"/>
        <v/>
      </c>
      <c r="LU54" s="4" t="str">
        <f t="shared" si="252"/>
        <v/>
      </c>
      <c r="LV54" s="4" t="str">
        <f t="shared" si="253"/>
        <v/>
      </c>
      <c r="LW54" s="4" t="str">
        <f t="shared" si="254"/>
        <v/>
      </c>
      <c r="LX54" s="4" t="str">
        <f t="shared" si="255"/>
        <v/>
      </c>
      <c r="LY54" s="4" t="str">
        <f t="shared" si="256"/>
        <v/>
      </c>
      <c r="LZ54" s="4" t="str">
        <f t="shared" si="257"/>
        <v/>
      </c>
      <c r="MA54" s="4" t="str">
        <f t="shared" si="258"/>
        <v/>
      </c>
      <c r="MB54" s="4" t="str">
        <f t="shared" si="259"/>
        <v/>
      </c>
      <c r="MC54" s="4" t="str">
        <f t="shared" si="260"/>
        <v/>
      </c>
      <c r="MD54" s="4" t="str">
        <f t="shared" si="261"/>
        <v/>
      </c>
      <c r="ME54" s="4" t="str">
        <f t="shared" si="262"/>
        <v/>
      </c>
      <c r="MF54" s="4" t="str">
        <f t="shared" si="263"/>
        <v/>
      </c>
      <c r="MG54" s="4">
        <f t="shared" si="264"/>
        <v>0</v>
      </c>
    </row>
    <row r="55" spans="1:345" ht="26.25" customHeight="1" x14ac:dyDescent="0.2">
      <c r="A55" s="35">
        <v>41311</v>
      </c>
      <c r="B55" s="36" t="s">
        <v>129</v>
      </c>
      <c r="C55" s="36" t="s">
        <v>171</v>
      </c>
      <c r="D55" s="31" t="s">
        <v>111</v>
      </c>
      <c r="E55" s="4">
        <v>65</v>
      </c>
      <c r="F55" s="3">
        <v>17562</v>
      </c>
      <c r="G55" s="4" t="s">
        <v>87</v>
      </c>
      <c r="H55" s="4" t="s">
        <v>108</v>
      </c>
      <c r="I55" s="4">
        <v>1835959</v>
      </c>
      <c r="J55" s="2" t="s">
        <v>309</v>
      </c>
      <c r="N55" s="260" t="s">
        <v>665</v>
      </c>
      <c r="R55" s="4">
        <v>-0.5</v>
      </c>
      <c r="S55" s="4">
        <v>-0.6</v>
      </c>
      <c r="T55" s="4" t="s">
        <v>249</v>
      </c>
      <c r="U55" s="67">
        <v>24.75</v>
      </c>
      <c r="V55" s="124">
        <v>41253</v>
      </c>
      <c r="W55" s="67">
        <v>3</v>
      </c>
      <c r="X55" s="67">
        <v>1</v>
      </c>
      <c r="Y55" s="4">
        <v>10</v>
      </c>
      <c r="Z55" s="4">
        <v>25</v>
      </c>
      <c r="AA55" s="4">
        <v>13</v>
      </c>
      <c r="AB55" s="4">
        <v>646</v>
      </c>
      <c r="AC55" s="4">
        <v>23.27</v>
      </c>
      <c r="AD55" s="4">
        <v>12.1</v>
      </c>
      <c r="AE55" s="4">
        <v>4.6900000000000004</v>
      </c>
      <c r="AF55" s="4">
        <v>2.15</v>
      </c>
      <c r="AG55" s="4">
        <v>43.55</v>
      </c>
      <c r="AH55" s="4">
        <v>156</v>
      </c>
      <c r="AI55" s="4">
        <v>44.06</v>
      </c>
      <c r="AJ55" s="4">
        <v>66</v>
      </c>
      <c r="AK55" s="4">
        <v>1</v>
      </c>
      <c r="AL55" s="4" t="b">
        <f t="shared" si="135"/>
        <v>1</v>
      </c>
      <c r="AM55" s="54"/>
      <c r="AN55" s="32">
        <v>41438</v>
      </c>
      <c r="AO55" s="60">
        <v>200</v>
      </c>
      <c r="AP55" s="67">
        <v>-3.25</v>
      </c>
      <c r="AQ55" s="67">
        <v>1.25</v>
      </c>
      <c r="AR55" s="4">
        <v>172</v>
      </c>
      <c r="AS55" s="4">
        <v>20</v>
      </c>
      <c r="AT55" s="4">
        <v>16</v>
      </c>
      <c r="BC55" s="4">
        <f t="shared" si="136"/>
        <v>-2.625</v>
      </c>
      <c r="BD55" s="4">
        <f t="shared" si="133"/>
        <v>-2.0249999999999999</v>
      </c>
      <c r="BE55" s="4" t="str">
        <f t="shared" si="137"/>
        <v/>
      </c>
      <c r="BF55" s="3">
        <v>41682</v>
      </c>
      <c r="BG55" s="56">
        <v>200</v>
      </c>
      <c r="BH55" s="67">
        <v>-3.5</v>
      </c>
      <c r="BI55" s="67">
        <v>1</v>
      </c>
      <c r="BJ55" s="4">
        <v>30</v>
      </c>
      <c r="BK55" s="4">
        <v>25</v>
      </c>
      <c r="BL55" s="4">
        <v>31</v>
      </c>
      <c r="BM55" s="4">
        <v>601</v>
      </c>
      <c r="BN55" s="4">
        <v>1919</v>
      </c>
      <c r="BO55" s="4">
        <v>23.42</v>
      </c>
      <c r="BP55" s="4">
        <v>2.81</v>
      </c>
      <c r="BQ55" s="4">
        <v>43.55</v>
      </c>
      <c r="BR55" s="4">
        <v>159</v>
      </c>
      <c r="BS55" s="4">
        <v>44.35</v>
      </c>
      <c r="BT55" s="4">
        <v>69</v>
      </c>
      <c r="BU55" s="4">
        <f t="shared" si="266"/>
        <v>-3</v>
      </c>
      <c r="BV55" s="4">
        <f t="shared" si="138"/>
        <v>-2.4</v>
      </c>
      <c r="BW55" s="4">
        <f t="shared" si="139"/>
        <v>-45</v>
      </c>
      <c r="BX55" s="4">
        <f t="shared" si="140"/>
        <v>1</v>
      </c>
      <c r="BY55" s="4">
        <f t="shared" si="141"/>
        <v>1</v>
      </c>
      <c r="BZ55" s="4">
        <f t="shared" si="142"/>
        <v>3.5</v>
      </c>
      <c r="CA55" s="4">
        <f t="shared" si="143"/>
        <v>-2.625</v>
      </c>
      <c r="CB55" s="4">
        <f t="shared" si="144"/>
        <v>-3</v>
      </c>
      <c r="CC55" s="53">
        <f t="shared" si="145"/>
        <v>371</v>
      </c>
      <c r="CD55" s="55">
        <f t="shared" si="146"/>
        <v>12.366666666666667</v>
      </c>
      <c r="CE55" s="4">
        <f t="shared" si="147"/>
        <v>-0.375</v>
      </c>
      <c r="CF55" s="4" t="str">
        <f t="shared" si="148"/>
        <v/>
      </c>
      <c r="CG55" s="4">
        <f t="shared" si="149"/>
        <v>0.14500000000000313</v>
      </c>
      <c r="CH55" s="4">
        <f t="shared" si="150"/>
        <v>0.14500000000000313</v>
      </c>
      <c r="CI55" s="4">
        <f t="shared" si="151"/>
        <v>3.5</v>
      </c>
      <c r="CJ55" s="4">
        <f t="shared" si="152"/>
        <v>-3</v>
      </c>
      <c r="CK55" s="93">
        <f t="shared" si="153"/>
        <v>-2.4</v>
      </c>
      <c r="CL55" s="83">
        <f t="shared" si="154"/>
        <v>-45</v>
      </c>
      <c r="CM55" s="4">
        <f t="shared" si="155"/>
        <v>0.15000000000000213</v>
      </c>
      <c r="CN55" s="96">
        <f t="shared" si="156"/>
        <v>-0.6</v>
      </c>
      <c r="CO55" s="96">
        <f t="shared" si="265"/>
        <v>0</v>
      </c>
      <c r="CP55" s="127">
        <f t="shared" si="157"/>
        <v>1</v>
      </c>
      <c r="CQ55" s="127">
        <f t="shared" si="158"/>
        <v>0</v>
      </c>
      <c r="CR55" s="136">
        <f t="shared" si="159"/>
        <v>25</v>
      </c>
      <c r="CS55" s="136">
        <f t="shared" si="160"/>
        <v>25</v>
      </c>
      <c r="CT55" s="135">
        <f t="shared" si="161"/>
        <v>200</v>
      </c>
      <c r="CU55" s="139">
        <f t="shared" si="162"/>
        <v>0</v>
      </c>
      <c r="CV55" s="96">
        <f t="shared" si="163"/>
        <v>0</v>
      </c>
      <c r="CW55" s="141" t="b">
        <f t="shared" si="164"/>
        <v>0</v>
      </c>
      <c r="CX55">
        <v>7.89</v>
      </c>
      <c r="CY55" s="4">
        <v>7.79</v>
      </c>
      <c r="CZ55" s="4">
        <v>145.69999999999999</v>
      </c>
      <c r="DA55" s="4">
        <v>-0.5</v>
      </c>
      <c r="DB55" s="4">
        <v>-0.09</v>
      </c>
      <c r="DC55" s="4">
        <v>0.36</v>
      </c>
      <c r="DD55" s="4">
        <v>2.79</v>
      </c>
      <c r="DE55" s="4">
        <v>3.4</v>
      </c>
      <c r="DF55" s="4">
        <v>611</v>
      </c>
      <c r="DG55" s="4">
        <v>610</v>
      </c>
      <c r="DH55" s="4">
        <v>736</v>
      </c>
      <c r="DI55" s="4">
        <v>666</v>
      </c>
      <c r="DJ55" s="4">
        <v>720</v>
      </c>
      <c r="DK55" s="4">
        <v>672</v>
      </c>
      <c r="DL55" s="4">
        <v>606</v>
      </c>
      <c r="DM55" s="4">
        <v>-0.74</v>
      </c>
      <c r="DN55" s="4">
        <v>-0.22</v>
      </c>
      <c r="DO55" s="4">
        <v>7.86</v>
      </c>
      <c r="DP55" s="4">
        <v>7.8</v>
      </c>
      <c r="DQ55" s="4">
        <v>7.77</v>
      </c>
      <c r="DR55" s="4">
        <v>7.87</v>
      </c>
      <c r="DS55" s="4">
        <v>8.16</v>
      </c>
      <c r="DT55" s="4">
        <v>8.3699999999999992</v>
      </c>
      <c r="DU55" s="4">
        <v>8.41</v>
      </c>
      <c r="DV55" s="4">
        <v>1.4</v>
      </c>
      <c r="DW55" s="4">
        <v>6.35</v>
      </c>
      <c r="DX55" s="4">
        <v>6.28</v>
      </c>
      <c r="DY55" s="4">
        <v>6.34</v>
      </c>
      <c r="DZ55" s="4">
        <v>6.59</v>
      </c>
      <c r="EA55" s="4">
        <v>6.88</v>
      </c>
      <c r="EB55" s="4">
        <v>7.03</v>
      </c>
      <c r="EC55" s="4">
        <v>0</v>
      </c>
      <c r="ED55" s="89">
        <v>1.4</v>
      </c>
      <c r="EE55" s="110">
        <v>42.8</v>
      </c>
      <c r="EF55" s="110">
        <v>43.3</v>
      </c>
      <c r="EG55" s="110">
        <v>43.1</v>
      </c>
      <c r="EH55" s="110">
        <v>145.69999999999999</v>
      </c>
      <c r="EI55" s="110">
        <v>0.5</v>
      </c>
      <c r="EJ55" s="110">
        <v>-6.3</v>
      </c>
      <c r="EK55" s="110">
        <v>-6.4</v>
      </c>
      <c r="EL55" s="110">
        <v>-6.4</v>
      </c>
      <c r="EM55" s="110">
        <v>173.1</v>
      </c>
      <c r="EN55" s="110">
        <v>0.2</v>
      </c>
      <c r="EO55" s="110">
        <v>4.4000000000000004</v>
      </c>
      <c r="EP55" s="110">
        <v>12.9</v>
      </c>
      <c r="EQ55" s="110">
        <v>27.6</v>
      </c>
      <c r="ER55" s="110">
        <v>66.7</v>
      </c>
      <c r="ES55" s="114">
        <v>8</v>
      </c>
      <c r="ET55" s="83">
        <v>7.77</v>
      </c>
      <c r="EU55" s="4">
        <v>7.7</v>
      </c>
      <c r="EV55" s="4">
        <v>144.30000000000001</v>
      </c>
      <c r="EW55" s="4">
        <v>-0.4</v>
      </c>
      <c r="EX55" s="4">
        <v>0.59</v>
      </c>
      <c r="EY55" s="4">
        <v>0.59</v>
      </c>
      <c r="EZ55" s="4">
        <v>4.2</v>
      </c>
      <c r="FA55" s="4">
        <v>4.79</v>
      </c>
      <c r="FB55" s="4">
        <v>590</v>
      </c>
      <c r="FC55" s="4">
        <v>590</v>
      </c>
      <c r="FD55" s="4">
        <v>740</v>
      </c>
      <c r="FE55" s="4">
        <v>660</v>
      </c>
      <c r="FF55" s="4">
        <v>718</v>
      </c>
      <c r="FG55" s="4">
        <v>642</v>
      </c>
      <c r="FH55" s="4">
        <v>584</v>
      </c>
      <c r="FI55" s="4">
        <v>-0.96</v>
      </c>
      <c r="FJ55" s="4">
        <v>-0.34</v>
      </c>
      <c r="FK55" s="4">
        <v>7.75</v>
      </c>
      <c r="FL55" s="4">
        <v>7.72</v>
      </c>
      <c r="FM55" s="4">
        <v>7.81</v>
      </c>
      <c r="FN55" s="4">
        <v>8</v>
      </c>
      <c r="FO55" s="4">
        <v>8.17</v>
      </c>
      <c r="FP55" s="4">
        <v>8.24</v>
      </c>
      <c r="FQ55" s="4">
        <v>0</v>
      </c>
      <c r="FR55" s="4">
        <v>1.5</v>
      </c>
      <c r="FS55" s="4">
        <v>6.17</v>
      </c>
      <c r="FT55" s="4">
        <v>6.14</v>
      </c>
      <c r="FU55" s="4">
        <v>6.22</v>
      </c>
      <c r="FV55" s="4">
        <v>6.43</v>
      </c>
      <c r="FW55" s="4">
        <v>6.53</v>
      </c>
      <c r="FX55" s="4">
        <v>0</v>
      </c>
      <c r="FY55" s="4">
        <v>0</v>
      </c>
      <c r="FZ55" s="86">
        <v>1.5</v>
      </c>
      <c r="GA55" s="110">
        <v>43.4</v>
      </c>
      <c r="GB55" s="110">
        <v>43.9</v>
      </c>
      <c r="GC55" s="110">
        <v>43.6</v>
      </c>
      <c r="GD55" s="110">
        <v>144.30000000000001</v>
      </c>
      <c r="GE55" s="110">
        <v>0.4</v>
      </c>
      <c r="GF55" s="110">
        <v>-6.4</v>
      </c>
      <c r="GG55" s="110">
        <v>-6.7</v>
      </c>
      <c r="GH55" s="110">
        <v>-6.5</v>
      </c>
      <c r="GI55" s="110">
        <v>171.6</v>
      </c>
      <c r="GJ55" s="110">
        <v>0.3</v>
      </c>
      <c r="GK55" s="110">
        <v>4.3</v>
      </c>
      <c r="GL55" s="110">
        <v>12.6</v>
      </c>
      <c r="GM55" s="110">
        <v>27.2</v>
      </c>
      <c r="GN55" s="110">
        <v>67.900000000000006</v>
      </c>
      <c r="GO55" s="119">
        <v>21</v>
      </c>
      <c r="GP55" s="83">
        <v>7.76</v>
      </c>
      <c r="GQ55" s="4">
        <v>7.85</v>
      </c>
      <c r="GR55" s="4">
        <v>125.2</v>
      </c>
      <c r="GS55" s="4">
        <v>0.5</v>
      </c>
      <c r="GT55" s="4">
        <v>0.46</v>
      </c>
      <c r="GU55" s="4">
        <v>0.59</v>
      </c>
      <c r="GV55" s="4">
        <v>4.2699999999999996</v>
      </c>
      <c r="GW55" s="4">
        <v>4.84</v>
      </c>
      <c r="GX55" s="4">
        <v>575</v>
      </c>
      <c r="GY55" s="4">
        <v>574</v>
      </c>
      <c r="GZ55" s="4">
        <v>734</v>
      </c>
      <c r="HA55" s="4">
        <v>674</v>
      </c>
      <c r="HB55" s="4">
        <v>712</v>
      </c>
      <c r="HC55" s="4">
        <v>627</v>
      </c>
      <c r="HD55" s="4">
        <v>566</v>
      </c>
      <c r="HE55" s="4">
        <v>-0.92</v>
      </c>
      <c r="HF55" s="4">
        <v>-0.18</v>
      </c>
      <c r="HG55" s="4">
        <v>7.81</v>
      </c>
      <c r="HH55" s="4">
        <v>7.8</v>
      </c>
      <c r="HI55" s="4">
        <v>7.81</v>
      </c>
      <c r="HJ55" s="4">
        <v>7.96</v>
      </c>
      <c r="HK55" s="4">
        <v>8.1</v>
      </c>
      <c r="HL55" s="4">
        <v>0</v>
      </c>
      <c r="HM55" s="4">
        <v>0</v>
      </c>
      <c r="HN55" s="4">
        <v>1.6</v>
      </c>
      <c r="HO55" s="4">
        <v>6.11</v>
      </c>
      <c r="HP55" s="4">
        <v>6.12</v>
      </c>
      <c r="HQ55" s="4">
        <v>6.29</v>
      </c>
      <c r="HR55" s="4">
        <v>6.45</v>
      </c>
      <c r="HS55" s="4">
        <v>6.36</v>
      </c>
      <c r="HT55" s="4">
        <v>0</v>
      </c>
      <c r="HU55" s="4">
        <v>0</v>
      </c>
      <c r="HV55" s="93">
        <v>1.6</v>
      </c>
      <c r="HW55" s="110">
        <v>43</v>
      </c>
      <c r="HX55" s="110">
        <v>43.5</v>
      </c>
      <c r="HY55" s="110">
        <v>43.2</v>
      </c>
      <c r="HZ55" s="110">
        <v>125.2</v>
      </c>
      <c r="IA55" s="110">
        <v>0.5</v>
      </c>
      <c r="IB55" s="110">
        <v>-6.4</v>
      </c>
      <c r="IC55" s="110">
        <v>-6.8</v>
      </c>
      <c r="ID55" s="110">
        <v>-6.6</v>
      </c>
      <c r="IE55" s="110">
        <v>179.3</v>
      </c>
      <c r="IF55" s="110">
        <v>0.4</v>
      </c>
      <c r="IG55" s="110">
        <v>4.2</v>
      </c>
      <c r="IH55" s="110">
        <v>12.4</v>
      </c>
      <c r="II55" s="110">
        <v>26.8</v>
      </c>
      <c r="IJ55" s="110">
        <v>66</v>
      </c>
      <c r="IK55" s="121">
        <v>12</v>
      </c>
      <c r="IL55" s="83">
        <f t="shared" si="165"/>
        <v>7.76</v>
      </c>
      <c r="IM55" s="4">
        <f t="shared" si="166"/>
        <v>7.85</v>
      </c>
      <c r="IN55" s="4">
        <f t="shared" si="167"/>
        <v>125.2</v>
      </c>
      <c r="IO55" s="4">
        <f t="shared" si="168"/>
        <v>0.5</v>
      </c>
      <c r="IP55" s="4">
        <f t="shared" si="169"/>
        <v>0.46</v>
      </c>
      <c r="IQ55" s="4">
        <f t="shared" si="170"/>
        <v>0.59</v>
      </c>
      <c r="IR55" s="4">
        <f t="shared" si="171"/>
        <v>4.2699999999999996</v>
      </c>
      <c r="IS55" s="4">
        <f t="shared" si="172"/>
        <v>4.84</v>
      </c>
      <c r="IT55" s="4">
        <f t="shared" si="173"/>
        <v>575</v>
      </c>
      <c r="IU55" s="4">
        <f t="shared" si="174"/>
        <v>574</v>
      </c>
      <c r="IV55" s="4">
        <f t="shared" si="175"/>
        <v>734</v>
      </c>
      <c r="IW55" s="4">
        <f t="shared" si="176"/>
        <v>674</v>
      </c>
      <c r="IX55" s="4">
        <f t="shared" si="177"/>
        <v>712</v>
      </c>
      <c r="IY55" s="4">
        <f t="shared" si="178"/>
        <v>627</v>
      </c>
      <c r="IZ55" s="4">
        <f t="shared" si="179"/>
        <v>566</v>
      </c>
      <c r="JA55" s="4">
        <f t="shared" si="180"/>
        <v>-0.92</v>
      </c>
      <c r="JB55" s="4">
        <f t="shared" si="181"/>
        <v>-0.18</v>
      </c>
      <c r="JC55" s="4">
        <f t="shared" si="182"/>
        <v>7.81</v>
      </c>
      <c r="JD55" s="4">
        <f t="shared" si="183"/>
        <v>7.8</v>
      </c>
      <c r="JE55" s="4">
        <f t="shared" si="184"/>
        <v>7.81</v>
      </c>
      <c r="JF55" s="4">
        <f t="shared" si="185"/>
        <v>7.96</v>
      </c>
      <c r="JG55" s="4">
        <f t="shared" si="186"/>
        <v>8.1</v>
      </c>
      <c r="JH55" s="4">
        <f t="shared" si="187"/>
        <v>0</v>
      </c>
      <c r="JI55" s="4">
        <f t="shared" si="188"/>
        <v>0</v>
      </c>
      <c r="JJ55" s="4">
        <f t="shared" si="189"/>
        <v>1.6</v>
      </c>
      <c r="JK55" s="4">
        <f t="shared" si="190"/>
        <v>6.11</v>
      </c>
      <c r="JL55" s="4">
        <f t="shared" si="191"/>
        <v>6.12</v>
      </c>
      <c r="JM55" s="4">
        <f t="shared" si="192"/>
        <v>6.29</v>
      </c>
      <c r="JN55" s="4">
        <f t="shared" si="193"/>
        <v>6.45</v>
      </c>
      <c r="JO55" s="4">
        <f t="shared" si="194"/>
        <v>6.36</v>
      </c>
      <c r="JP55" s="4">
        <f t="shared" si="195"/>
        <v>0</v>
      </c>
      <c r="JQ55" s="117">
        <f t="shared" si="196"/>
        <v>0</v>
      </c>
      <c r="JR55" s="110">
        <f t="shared" si="197"/>
        <v>1.6</v>
      </c>
      <c r="JS55" s="110">
        <f t="shared" si="198"/>
        <v>43</v>
      </c>
      <c r="JT55" s="110">
        <f t="shared" si="199"/>
        <v>43.5</v>
      </c>
      <c r="JU55" s="110">
        <f t="shared" si="200"/>
        <v>43.2</v>
      </c>
      <c r="JV55" s="110">
        <f t="shared" si="201"/>
        <v>125.2</v>
      </c>
      <c r="JW55" s="110">
        <f t="shared" si="202"/>
        <v>0.5</v>
      </c>
      <c r="JX55" s="110">
        <f t="shared" si="203"/>
        <v>-6.4</v>
      </c>
      <c r="JY55" s="110">
        <f t="shared" si="204"/>
        <v>-6.8</v>
      </c>
      <c r="JZ55" s="110">
        <f t="shared" si="205"/>
        <v>-6.6</v>
      </c>
      <c r="KA55" s="110">
        <f t="shared" si="206"/>
        <v>179.3</v>
      </c>
      <c r="KB55" s="110">
        <f t="shared" si="207"/>
        <v>0.4</v>
      </c>
      <c r="KC55" s="110">
        <f t="shared" si="208"/>
        <v>4.2</v>
      </c>
      <c r="KD55" s="110">
        <f t="shared" si="209"/>
        <v>12.4</v>
      </c>
      <c r="KE55" s="110">
        <f t="shared" si="210"/>
        <v>26.8</v>
      </c>
      <c r="KF55" s="110">
        <f t="shared" si="211"/>
        <v>66</v>
      </c>
      <c r="KG55" s="121">
        <f t="shared" si="212"/>
        <v>12</v>
      </c>
      <c r="KH55" s="83">
        <f t="shared" si="213"/>
        <v>-0.12999999999999989</v>
      </c>
      <c r="KI55" s="4">
        <f t="shared" si="214"/>
        <v>5.9999999999999609E-2</v>
      </c>
      <c r="KJ55" s="4">
        <f t="shared" si="215"/>
        <v>-20.499999999999986</v>
      </c>
      <c r="KK55" s="4">
        <f t="shared" si="216"/>
        <v>1</v>
      </c>
      <c r="KL55" s="4">
        <f t="shared" si="217"/>
        <v>0.55000000000000004</v>
      </c>
      <c r="KM55" s="4">
        <f t="shared" si="218"/>
        <v>0.22999999999999998</v>
      </c>
      <c r="KN55" s="4">
        <f t="shared" si="219"/>
        <v>1.4799999999999995</v>
      </c>
      <c r="KO55" s="4">
        <f t="shared" si="220"/>
        <v>1.44</v>
      </c>
      <c r="KP55" s="4">
        <f t="shared" si="221"/>
        <v>-36</v>
      </c>
      <c r="KQ55" s="4">
        <f t="shared" si="222"/>
        <v>-36</v>
      </c>
      <c r="KR55" s="4">
        <f t="shared" si="223"/>
        <v>-2</v>
      </c>
      <c r="KS55" s="4">
        <f t="shared" si="224"/>
        <v>8</v>
      </c>
      <c r="KT55" s="4">
        <f t="shared" si="225"/>
        <v>-8</v>
      </c>
      <c r="KU55" s="4">
        <f t="shared" si="226"/>
        <v>-45</v>
      </c>
      <c r="KV55" s="4">
        <f t="shared" si="227"/>
        <v>-40</v>
      </c>
      <c r="KW55" s="4">
        <f t="shared" si="228"/>
        <v>-0.18000000000000005</v>
      </c>
      <c r="KX55" s="4">
        <f t="shared" si="229"/>
        <v>4.0000000000000008E-2</v>
      </c>
      <c r="KY55" s="4">
        <f t="shared" si="230"/>
        <v>-5.0000000000000711E-2</v>
      </c>
      <c r="KZ55" s="4">
        <f t="shared" si="231"/>
        <v>0</v>
      </c>
      <c r="LA55" s="4">
        <f t="shared" si="232"/>
        <v>4.0000000000000036E-2</v>
      </c>
      <c r="LB55" s="4">
        <f t="shared" si="233"/>
        <v>8.9999999999999858E-2</v>
      </c>
      <c r="LC55" s="4">
        <f t="shared" si="234"/>
        <v>-6.0000000000000497E-2</v>
      </c>
      <c r="LD55" s="4">
        <f t="shared" si="235"/>
        <v>-8.3699999999999992</v>
      </c>
      <c r="LE55" s="4">
        <f t="shared" si="236"/>
        <v>-8.41</v>
      </c>
      <c r="LF55" s="4">
        <f t="shared" si="237"/>
        <v>0.20000000000000018</v>
      </c>
      <c r="LG55" s="4">
        <f t="shared" si="238"/>
        <v>-0.23999999999999932</v>
      </c>
      <c r="LH55" s="4">
        <f t="shared" si="239"/>
        <v>-0.16000000000000014</v>
      </c>
      <c r="LI55" s="4">
        <f t="shared" si="240"/>
        <v>-4.9999999999999822E-2</v>
      </c>
      <c r="LJ55" s="4">
        <f t="shared" si="241"/>
        <v>-0.13999999999999968</v>
      </c>
      <c r="LK55" s="4">
        <f t="shared" si="242"/>
        <v>-0.51999999999999957</v>
      </c>
      <c r="LL55" s="4">
        <f t="shared" si="243"/>
        <v>-7.03</v>
      </c>
      <c r="LM55" s="4">
        <f t="shared" si="244"/>
        <v>0</v>
      </c>
      <c r="LN55" s="4">
        <f t="shared" si="245"/>
        <v>0.20000000000000018</v>
      </c>
      <c r="LO55" s="4">
        <f t="shared" si="246"/>
        <v>0.20000000000000284</v>
      </c>
      <c r="LP55" s="4">
        <f t="shared" si="247"/>
        <v>0.20000000000000284</v>
      </c>
      <c r="LQ55" s="4">
        <f t="shared" si="248"/>
        <v>0.10000000000000142</v>
      </c>
      <c r="LR55" s="4">
        <f t="shared" si="249"/>
        <v>-20.499999999999986</v>
      </c>
      <c r="LS55" s="4">
        <f t="shared" si="250"/>
        <v>0</v>
      </c>
      <c r="LT55" s="4">
        <f t="shared" si="251"/>
        <v>-0.10000000000000053</v>
      </c>
      <c r="LU55" s="4">
        <f t="shared" si="252"/>
        <v>-0.39999999999999947</v>
      </c>
      <c r="LV55" s="4">
        <f t="shared" si="253"/>
        <v>-0.19999999999999929</v>
      </c>
      <c r="LW55" s="4">
        <f t="shared" si="254"/>
        <v>6.2000000000000171</v>
      </c>
      <c r="LX55" s="4">
        <f t="shared" si="255"/>
        <v>0.2</v>
      </c>
      <c r="LY55" s="4">
        <f t="shared" si="256"/>
        <v>-0.20000000000000018</v>
      </c>
      <c r="LZ55" s="4">
        <f t="shared" si="257"/>
        <v>-0.5</v>
      </c>
      <c r="MA55" s="4">
        <f t="shared" si="258"/>
        <v>-0.80000000000000071</v>
      </c>
      <c r="MB55" s="4">
        <f t="shared" si="259"/>
        <v>-0.70000000000000284</v>
      </c>
      <c r="MC55" s="4">
        <f t="shared" si="260"/>
        <v>4</v>
      </c>
      <c r="MD55" s="4">
        <f t="shared" si="261"/>
        <v>-0.39999999999999858</v>
      </c>
      <c r="ME55" s="4">
        <f t="shared" si="262"/>
        <v>-0.39999999999999858</v>
      </c>
      <c r="MF55" s="4">
        <f t="shared" si="263"/>
        <v>0</v>
      </c>
      <c r="MG55" s="4">
        <f t="shared" si="264"/>
        <v>-9.9999999999999645E-2</v>
      </c>
    </row>
    <row r="56" spans="1:345" ht="26.25" customHeight="1" x14ac:dyDescent="0.2">
      <c r="A56" s="35">
        <v>41283</v>
      </c>
      <c r="B56" s="36" t="s">
        <v>122</v>
      </c>
      <c r="C56" s="36" t="s">
        <v>24</v>
      </c>
      <c r="D56" s="31" t="s">
        <v>111</v>
      </c>
      <c r="E56" s="4">
        <v>54</v>
      </c>
      <c r="F56" s="3">
        <v>21448</v>
      </c>
      <c r="G56" s="4" t="s">
        <v>87</v>
      </c>
      <c r="H56" s="4" t="s">
        <v>112</v>
      </c>
      <c r="I56" s="4">
        <v>1835985</v>
      </c>
      <c r="J56" s="2" t="s">
        <v>309</v>
      </c>
      <c r="K56" s="244"/>
      <c r="L56" s="245"/>
      <c r="M56" s="245"/>
      <c r="N56" s="276"/>
      <c r="O56" s="244"/>
      <c r="P56" s="245"/>
      <c r="Q56" s="245"/>
      <c r="R56" s="4">
        <v>-0.5</v>
      </c>
      <c r="S56" s="4">
        <v>-0.47</v>
      </c>
      <c r="T56" s="39" t="s">
        <v>249</v>
      </c>
      <c r="U56" s="70">
        <v>17.75</v>
      </c>
      <c r="V56" s="124">
        <v>41253</v>
      </c>
      <c r="W56" s="67">
        <v>-3.5</v>
      </c>
      <c r="X56" s="67">
        <v>3.25</v>
      </c>
      <c r="Y56" s="4">
        <v>175</v>
      </c>
      <c r="Z56" s="4">
        <v>50</v>
      </c>
      <c r="AA56" s="4">
        <v>14</v>
      </c>
      <c r="AB56" s="4">
        <v>656</v>
      </c>
      <c r="AC56" s="4">
        <v>24.97</v>
      </c>
      <c r="AD56" s="4">
        <v>12</v>
      </c>
      <c r="AE56" s="4">
        <v>4.72</v>
      </c>
      <c r="AF56" s="4">
        <v>4.07</v>
      </c>
      <c r="AG56" s="4">
        <v>41.67</v>
      </c>
      <c r="AH56" s="4">
        <v>86</v>
      </c>
      <c r="AI56" s="4">
        <v>44.06</v>
      </c>
      <c r="AJ56" s="4">
        <v>176</v>
      </c>
      <c r="AK56" s="4">
        <v>0</v>
      </c>
      <c r="AL56" s="4" t="b">
        <f t="shared" si="135"/>
        <v>0</v>
      </c>
      <c r="AM56" s="54" t="s">
        <v>666</v>
      </c>
      <c r="AN56" s="3">
        <v>41485</v>
      </c>
      <c r="AP56" s="67">
        <v>-1.25</v>
      </c>
      <c r="AQ56" s="67">
        <v>2.5</v>
      </c>
      <c r="AR56" s="4">
        <v>15</v>
      </c>
      <c r="AS56" s="4">
        <v>20</v>
      </c>
      <c r="AT56" s="4">
        <v>16</v>
      </c>
      <c r="AU56" s="4">
        <v>537</v>
      </c>
      <c r="AV56" s="4">
        <v>2392</v>
      </c>
      <c r="BC56" s="4">
        <f t="shared" si="136"/>
        <v>0</v>
      </c>
      <c r="BD56" s="4">
        <f t="shared" si="133"/>
        <v>0.47</v>
      </c>
      <c r="BE56" s="4">
        <f t="shared" si="137"/>
        <v>-119</v>
      </c>
      <c r="BF56" s="37" t="s">
        <v>282</v>
      </c>
      <c r="BH56" s="67">
        <v>-1</v>
      </c>
      <c r="BI56" s="67">
        <v>2.5</v>
      </c>
      <c r="BJ56" s="4">
        <v>15</v>
      </c>
      <c r="BK56" s="4">
        <v>25</v>
      </c>
      <c r="BL56" s="4">
        <v>15</v>
      </c>
      <c r="BM56" s="4">
        <v>552</v>
      </c>
      <c r="BN56" s="4">
        <v>2000</v>
      </c>
      <c r="BU56" s="4">
        <f t="shared" si="266"/>
        <v>0.25</v>
      </c>
      <c r="BV56" s="4">
        <f t="shared" si="138"/>
        <v>0.72</v>
      </c>
      <c r="BW56" s="4">
        <f t="shared" si="139"/>
        <v>-104</v>
      </c>
      <c r="BX56" s="4">
        <f t="shared" si="140"/>
        <v>1</v>
      </c>
      <c r="BY56" s="4">
        <f t="shared" si="141"/>
        <v>1</v>
      </c>
      <c r="BZ56" s="4">
        <f t="shared" si="142"/>
        <v>-1.875</v>
      </c>
      <c r="CA56" s="4">
        <f t="shared" si="143"/>
        <v>0</v>
      </c>
      <c r="CB56" s="4">
        <f t="shared" si="144"/>
        <v>0.25</v>
      </c>
      <c r="CC56" s="53">
        <f t="shared" si="145"/>
        <v>202</v>
      </c>
      <c r="CD56" s="55">
        <f t="shared" si="146"/>
        <v>6.7333333333333334</v>
      </c>
      <c r="CE56" s="4">
        <f t="shared" si="147"/>
        <v>0.25</v>
      </c>
      <c r="CF56" s="4" t="str">
        <f t="shared" si="148"/>
        <v/>
      </c>
      <c r="CG56" s="4" t="str">
        <f t="shared" si="149"/>
        <v/>
      </c>
      <c r="CH56" s="4" t="str">
        <f t="shared" si="150"/>
        <v/>
      </c>
      <c r="CI56" s="4">
        <f t="shared" si="151"/>
        <v>-1.875</v>
      </c>
      <c r="CJ56" s="4">
        <f t="shared" si="152"/>
        <v>0.25</v>
      </c>
      <c r="CK56" s="93">
        <f t="shared" si="153"/>
        <v>0.72</v>
      </c>
      <c r="CL56" s="83">
        <f t="shared" si="154"/>
        <v>-104</v>
      </c>
      <c r="CM56" s="4" t="str">
        <f t="shared" si="155"/>
        <v/>
      </c>
      <c r="CN56" s="96">
        <f t="shared" si="156"/>
        <v>-0.47</v>
      </c>
      <c r="CO56" s="96">
        <f t="shared" si="265"/>
        <v>0.3010299956639812</v>
      </c>
      <c r="CP56" s="127">
        <f t="shared" si="157"/>
        <v>2.5</v>
      </c>
      <c r="CQ56" s="127">
        <f t="shared" si="158"/>
        <v>-0.75</v>
      </c>
      <c r="CR56" s="136">
        <f t="shared" si="159"/>
        <v>25</v>
      </c>
      <c r="CS56" s="136">
        <f t="shared" si="160"/>
        <v>50</v>
      </c>
      <c r="CT56" s="135" t="str">
        <f t="shared" si="161"/>
        <v/>
      </c>
      <c r="CU56" s="139">
        <f t="shared" si="162"/>
        <v>1</v>
      </c>
      <c r="CV56" s="96">
        <f t="shared" si="163"/>
        <v>1</v>
      </c>
      <c r="CW56" s="141" t="b">
        <f t="shared" si="164"/>
        <v>0</v>
      </c>
      <c r="CX56">
        <v>7.68</v>
      </c>
      <c r="CY56" s="4">
        <v>7.98</v>
      </c>
      <c r="CZ56" s="4">
        <v>98.1</v>
      </c>
      <c r="DA56" s="4">
        <v>1.6</v>
      </c>
      <c r="DB56" s="4">
        <v>0.06</v>
      </c>
      <c r="DC56" s="4">
        <v>0.43</v>
      </c>
      <c r="DD56" s="4">
        <v>3.24</v>
      </c>
      <c r="DE56" s="4">
        <v>3.88</v>
      </c>
      <c r="DF56" s="4">
        <v>644</v>
      </c>
      <c r="DG56" s="4">
        <v>645</v>
      </c>
      <c r="DH56" s="4">
        <v>721</v>
      </c>
      <c r="DI56" s="4">
        <v>647</v>
      </c>
      <c r="DJ56" s="4">
        <v>685</v>
      </c>
      <c r="DK56" s="4">
        <v>689</v>
      </c>
      <c r="DL56" s="4">
        <v>635</v>
      </c>
      <c r="DM56" s="4">
        <v>0.94</v>
      </c>
      <c r="DN56" s="4">
        <v>-0.43</v>
      </c>
      <c r="DO56" s="4">
        <v>7.83</v>
      </c>
      <c r="DP56" s="4">
        <v>7.8</v>
      </c>
      <c r="DQ56" s="4">
        <v>7.79</v>
      </c>
      <c r="DR56" s="4">
        <v>7.91</v>
      </c>
      <c r="DS56" s="4">
        <v>8.26</v>
      </c>
      <c r="DT56" s="4">
        <v>8.48</v>
      </c>
      <c r="DU56" s="4">
        <v>0</v>
      </c>
      <c r="DV56" s="4">
        <v>0.8</v>
      </c>
      <c r="DW56" s="4">
        <v>6.92</v>
      </c>
      <c r="DX56" s="4">
        <v>6.71</v>
      </c>
      <c r="DY56" s="4">
        <v>6.52</v>
      </c>
      <c r="DZ56" s="4">
        <v>6.54</v>
      </c>
      <c r="EA56" s="4">
        <v>6.84</v>
      </c>
      <c r="EB56" s="4">
        <v>7.16</v>
      </c>
      <c r="EC56" s="4">
        <v>0</v>
      </c>
      <c r="ED56" s="89">
        <v>0.8</v>
      </c>
      <c r="EE56" s="112">
        <v>42.3</v>
      </c>
      <c r="EF56" s="112">
        <v>43.9</v>
      </c>
      <c r="EG56" s="110">
        <v>43.1</v>
      </c>
      <c r="EH56" s="110">
        <v>98.1</v>
      </c>
      <c r="EI56" s="110">
        <v>1.6</v>
      </c>
      <c r="EJ56" s="110">
        <v>-5.6</v>
      </c>
      <c r="EK56" s="110">
        <v>-6.1</v>
      </c>
      <c r="EL56" s="110">
        <v>-5.9</v>
      </c>
      <c r="EM56" s="110">
        <v>106.9</v>
      </c>
      <c r="EN56" s="110">
        <v>0.5</v>
      </c>
      <c r="EO56" s="110">
        <v>4.5999999999999996</v>
      </c>
      <c r="EP56" s="110">
        <v>13.2</v>
      </c>
      <c r="EQ56" s="110">
        <v>27.6</v>
      </c>
      <c r="ER56" s="110">
        <v>66.3</v>
      </c>
      <c r="ES56" s="114">
        <v>15</v>
      </c>
      <c r="IL56" s="83" t="str">
        <f t="shared" si="165"/>
        <v/>
      </c>
      <c r="IM56" s="4" t="str">
        <f t="shared" si="166"/>
        <v/>
      </c>
      <c r="IN56" s="4" t="str">
        <f t="shared" si="167"/>
        <v/>
      </c>
      <c r="IO56" s="4" t="str">
        <f t="shared" si="168"/>
        <v/>
      </c>
      <c r="IP56" s="4" t="str">
        <f t="shared" si="169"/>
        <v/>
      </c>
      <c r="IQ56" s="4" t="str">
        <f t="shared" si="170"/>
        <v/>
      </c>
      <c r="IR56" s="4" t="str">
        <f t="shared" si="171"/>
        <v/>
      </c>
      <c r="IS56" s="4" t="str">
        <f t="shared" si="172"/>
        <v/>
      </c>
      <c r="IT56" s="4" t="str">
        <f t="shared" si="173"/>
        <v/>
      </c>
      <c r="IU56" s="4" t="str">
        <f t="shared" si="174"/>
        <v/>
      </c>
      <c r="IV56" s="4" t="str">
        <f t="shared" si="175"/>
        <v/>
      </c>
      <c r="IW56" s="4" t="str">
        <f t="shared" si="176"/>
        <v/>
      </c>
      <c r="IX56" s="4" t="str">
        <f t="shared" si="177"/>
        <v/>
      </c>
      <c r="IY56" s="4" t="str">
        <f t="shared" si="178"/>
        <v/>
      </c>
      <c r="IZ56" s="4" t="str">
        <f t="shared" si="179"/>
        <v/>
      </c>
      <c r="JA56" s="4" t="str">
        <f t="shared" si="180"/>
        <v/>
      </c>
      <c r="JB56" s="4" t="str">
        <f t="shared" si="181"/>
        <v/>
      </c>
      <c r="JC56" s="4" t="str">
        <f t="shared" si="182"/>
        <v/>
      </c>
      <c r="JD56" s="4" t="str">
        <f t="shared" si="183"/>
        <v/>
      </c>
      <c r="JE56" s="4" t="str">
        <f t="shared" si="184"/>
        <v/>
      </c>
      <c r="JF56" s="4" t="str">
        <f t="shared" si="185"/>
        <v/>
      </c>
      <c r="JG56" s="4" t="str">
        <f t="shared" si="186"/>
        <v/>
      </c>
      <c r="JH56" s="4" t="str">
        <f t="shared" si="187"/>
        <v/>
      </c>
      <c r="JI56" s="4" t="str">
        <f t="shared" si="188"/>
        <v/>
      </c>
      <c r="JJ56" s="4" t="str">
        <f t="shared" si="189"/>
        <v/>
      </c>
      <c r="JK56" s="4" t="str">
        <f t="shared" si="190"/>
        <v/>
      </c>
      <c r="JL56" s="4" t="str">
        <f t="shared" si="191"/>
        <v/>
      </c>
      <c r="JM56" s="4" t="str">
        <f t="shared" si="192"/>
        <v/>
      </c>
      <c r="JN56" s="4" t="str">
        <f t="shared" si="193"/>
        <v/>
      </c>
      <c r="JO56" s="4" t="str">
        <f t="shared" si="194"/>
        <v/>
      </c>
      <c r="JP56" s="4" t="str">
        <f t="shared" si="195"/>
        <v/>
      </c>
      <c r="JQ56" s="117" t="str">
        <f t="shared" si="196"/>
        <v/>
      </c>
      <c r="JR56" s="110" t="str">
        <f t="shared" si="197"/>
        <v/>
      </c>
      <c r="JS56" s="110" t="str">
        <f t="shared" si="198"/>
        <v/>
      </c>
      <c r="JT56" s="110" t="str">
        <f t="shared" si="199"/>
        <v/>
      </c>
      <c r="JU56" s="110" t="str">
        <f t="shared" si="200"/>
        <v/>
      </c>
      <c r="JV56" s="110" t="str">
        <f t="shared" si="201"/>
        <v/>
      </c>
      <c r="JW56" s="110" t="str">
        <f t="shared" si="202"/>
        <v/>
      </c>
      <c r="JX56" s="110" t="str">
        <f t="shared" si="203"/>
        <v/>
      </c>
      <c r="JY56" s="110" t="str">
        <f t="shared" si="204"/>
        <v/>
      </c>
      <c r="JZ56" s="110" t="str">
        <f t="shared" si="205"/>
        <v/>
      </c>
      <c r="KA56" s="110" t="str">
        <f t="shared" si="206"/>
        <v/>
      </c>
      <c r="KB56" s="110" t="str">
        <f t="shared" si="207"/>
        <v/>
      </c>
      <c r="KC56" s="110" t="str">
        <f t="shared" si="208"/>
        <v/>
      </c>
      <c r="KD56" s="110" t="str">
        <f t="shared" si="209"/>
        <v/>
      </c>
      <c r="KE56" s="110" t="str">
        <f t="shared" si="210"/>
        <v/>
      </c>
      <c r="KF56" s="110" t="str">
        <f t="shared" si="211"/>
        <v/>
      </c>
      <c r="KG56" s="121" t="str">
        <f t="shared" si="212"/>
        <v/>
      </c>
      <c r="KH56" s="83" t="str">
        <f t="shared" si="213"/>
        <v/>
      </c>
      <c r="KI56" s="4" t="str">
        <f t="shared" si="214"/>
        <v/>
      </c>
      <c r="KJ56" s="4" t="str">
        <f t="shared" si="215"/>
        <v/>
      </c>
      <c r="KK56" s="4" t="str">
        <f t="shared" si="216"/>
        <v/>
      </c>
      <c r="KL56" s="4" t="str">
        <f t="shared" si="217"/>
        <v/>
      </c>
      <c r="KM56" s="4" t="str">
        <f t="shared" si="218"/>
        <v/>
      </c>
      <c r="KN56" s="4" t="str">
        <f t="shared" si="219"/>
        <v/>
      </c>
      <c r="KO56" s="4" t="str">
        <f t="shared" si="220"/>
        <v/>
      </c>
      <c r="KP56" s="4" t="str">
        <f t="shared" si="221"/>
        <v/>
      </c>
      <c r="KQ56" s="4" t="str">
        <f t="shared" si="222"/>
        <v/>
      </c>
      <c r="KR56" s="4" t="str">
        <f t="shared" si="223"/>
        <v/>
      </c>
      <c r="KS56" s="4" t="str">
        <f t="shared" si="224"/>
        <v/>
      </c>
      <c r="KT56" s="4" t="str">
        <f t="shared" si="225"/>
        <v/>
      </c>
      <c r="KU56" s="4" t="str">
        <f t="shared" si="226"/>
        <v/>
      </c>
      <c r="KV56" s="4" t="str">
        <f t="shared" si="227"/>
        <v/>
      </c>
      <c r="KW56" s="4" t="str">
        <f t="shared" si="228"/>
        <v/>
      </c>
      <c r="KX56" s="4" t="str">
        <f t="shared" si="229"/>
        <v/>
      </c>
      <c r="KY56" s="4" t="str">
        <f t="shared" si="230"/>
        <v/>
      </c>
      <c r="KZ56" s="4" t="str">
        <f t="shared" si="231"/>
        <v/>
      </c>
      <c r="LA56" s="4" t="str">
        <f t="shared" si="232"/>
        <v/>
      </c>
      <c r="LB56" s="4" t="str">
        <f t="shared" si="233"/>
        <v/>
      </c>
      <c r="LC56" s="4" t="str">
        <f t="shared" si="234"/>
        <v/>
      </c>
      <c r="LD56" s="4" t="str">
        <f t="shared" si="235"/>
        <v/>
      </c>
      <c r="LE56" s="4" t="str">
        <f t="shared" si="236"/>
        <v/>
      </c>
      <c r="LF56" s="4" t="str">
        <f t="shared" si="237"/>
        <v/>
      </c>
      <c r="LG56" s="4" t="str">
        <f t="shared" si="238"/>
        <v/>
      </c>
      <c r="LH56" s="4" t="str">
        <f t="shared" si="239"/>
        <v/>
      </c>
      <c r="LI56" s="4" t="str">
        <f t="shared" si="240"/>
        <v/>
      </c>
      <c r="LJ56" s="4" t="str">
        <f t="shared" si="241"/>
        <v/>
      </c>
      <c r="LK56" s="4" t="str">
        <f t="shared" si="242"/>
        <v/>
      </c>
      <c r="LL56" s="4" t="str">
        <f t="shared" si="243"/>
        <v/>
      </c>
      <c r="LM56" s="4" t="str">
        <f t="shared" si="244"/>
        <v/>
      </c>
      <c r="LN56" s="4" t="str">
        <f t="shared" si="245"/>
        <v/>
      </c>
      <c r="LO56" s="4" t="str">
        <f t="shared" si="246"/>
        <v/>
      </c>
      <c r="LP56" s="4" t="str">
        <f t="shared" si="247"/>
        <v/>
      </c>
      <c r="LQ56" s="4" t="str">
        <f t="shared" si="248"/>
        <v/>
      </c>
      <c r="LR56" s="4" t="str">
        <f t="shared" si="249"/>
        <v/>
      </c>
      <c r="LS56" s="4" t="str">
        <f t="shared" si="250"/>
        <v/>
      </c>
      <c r="LT56" s="4" t="str">
        <f t="shared" si="251"/>
        <v/>
      </c>
      <c r="LU56" s="4" t="str">
        <f t="shared" si="252"/>
        <v/>
      </c>
      <c r="LV56" s="4" t="str">
        <f t="shared" si="253"/>
        <v/>
      </c>
      <c r="LW56" s="4" t="str">
        <f t="shared" si="254"/>
        <v/>
      </c>
      <c r="LX56" s="4" t="str">
        <f t="shared" si="255"/>
        <v/>
      </c>
      <c r="LY56" s="4" t="str">
        <f t="shared" si="256"/>
        <v/>
      </c>
      <c r="LZ56" s="4" t="str">
        <f t="shared" si="257"/>
        <v/>
      </c>
      <c r="MA56" s="4" t="str">
        <f t="shared" si="258"/>
        <v/>
      </c>
      <c r="MB56" s="4" t="str">
        <f t="shared" si="259"/>
        <v/>
      </c>
      <c r="MC56" s="4" t="str">
        <f t="shared" si="260"/>
        <v/>
      </c>
      <c r="MD56" s="4" t="str">
        <f t="shared" si="261"/>
        <v/>
      </c>
      <c r="ME56" s="4" t="str">
        <f t="shared" si="262"/>
        <v/>
      </c>
      <c r="MF56" s="4" t="str">
        <f t="shared" si="263"/>
        <v/>
      </c>
      <c r="MG56" s="4">
        <f t="shared" si="264"/>
        <v>0</v>
      </c>
    </row>
    <row r="57" spans="1:345" ht="26.25" customHeight="1" x14ac:dyDescent="0.2">
      <c r="A57" s="35">
        <v>41318</v>
      </c>
      <c r="B57" s="36" t="s">
        <v>122</v>
      </c>
      <c r="C57" s="36" t="s">
        <v>24</v>
      </c>
      <c r="D57" s="31" t="s">
        <v>110</v>
      </c>
      <c r="E57" s="4">
        <v>54</v>
      </c>
      <c r="F57" s="3">
        <v>21448</v>
      </c>
      <c r="G57" s="4" t="s">
        <v>87</v>
      </c>
      <c r="H57" s="4" t="s">
        <v>112</v>
      </c>
      <c r="I57" s="4">
        <v>1835985</v>
      </c>
      <c r="J57" s="2" t="s">
        <v>309</v>
      </c>
      <c r="R57" s="33">
        <v>-0.5</v>
      </c>
      <c r="S57" s="4">
        <v>-0.64</v>
      </c>
      <c r="T57" s="33" t="s">
        <v>249</v>
      </c>
      <c r="U57" s="67">
        <v>16</v>
      </c>
      <c r="V57" s="124">
        <v>41253</v>
      </c>
      <c r="W57" s="67">
        <v>-4.5</v>
      </c>
      <c r="X57" s="67">
        <v>1.75</v>
      </c>
      <c r="Y57" s="4">
        <v>160</v>
      </c>
      <c r="Z57" s="4">
        <v>30</v>
      </c>
      <c r="AA57" s="4">
        <v>15</v>
      </c>
      <c r="AB57" s="4">
        <v>624</v>
      </c>
      <c r="AC57" s="4">
        <v>25.29</v>
      </c>
      <c r="AD57" s="4">
        <v>12.4</v>
      </c>
      <c r="AE57" s="4">
        <v>4.74</v>
      </c>
      <c r="AF57" s="4">
        <v>4.09</v>
      </c>
      <c r="AG57" s="4">
        <v>43.16</v>
      </c>
      <c r="AH57" s="4">
        <v>75</v>
      </c>
      <c r="AI57" s="4">
        <v>43.72</v>
      </c>
      <c r="AJ57" s="4">
        <v>165</v>
      </c>
      <c r="AK57" s="4">
        <v>1</v>
      </c>
      <c r="AL57" s="4" t="b">
        <f t="shared" si="135"/>
        <v>1</v>
      </c>
      <c r="AM57" s="54"/>
      <c r="AN57" s="32">
        <v>41485</v>
      </c>
      <c r="AO57" s="60"/>
      <c r="AP57" s="67">
        <v>-0.75</v>
      </c>
      <c r="AQ57" s="67">
        <v>1.5</v>
      </c>
      <c r="AR57" s="4">
        <v>175</v>
      </c>
      <c r="AS57" s="4">
        <v>20</v>
      </c>
      <c r="AT57" s="4">
        <v>19</v>
      </c>
      <c r="AU57" s="4">
        <v>545</v>
      </c>
      <c r="AV57" s="4">
        <v>2404</v>
      </c>
      <c r="BC57" s="4">
        <f t="shared" si="136"/>
        <v>0</v>
      </c>
      <c r="BD57" s="4">
        <f t="shared" si="133"/>
        <v>0.64</v>
      </c>
      <c r="BE57" s="4">
        <f t="shared" si="137"/>
        <v>-79</v>
      </c>
      <c r="BF57" s="37" t="s">
        <v>282</v>
      </c>
      <c r="BH57" s="67">
        <v>0</v>
      </c>
      <c r="BI57" s="67">
        <v>2</v>
      </c>
      <c r="BJ57" s="4">
        <v>172</v>
      </c>
      <c r="BK57" s="4">
        <v>20</v>
      </c>
      <c r="BL57" s="4">
        <v>13</v>
      </c>
      <c r="BM57" s="4">
        <v>567</v>
      </c>
      <c r="BN57" s="4">
        <v>2370</v>
      </c>
      <c r="BU57" s="4">
        <f t="shared" si="266"/>
        <v>1</v>
      </c>
      <c r="BV57" s="4">
        <f t="shared" si="138"/>
        <v>1.6400000000000001</v>
      </c>
      <c r="BW57" s="4">
        <f t="shared" si="139"/>
        <v>-57</v>
      </c>
      <c r="BX57" s="4">
        <f t="shared" si="140"/>
        <v>1</v>
      </c>
      <c r="BY57" s="4">
        <f t="shared" si="141"/>
        <v>1</v>
      </c>
      <c r="BZ57" s="4">
        <f t="shared" si="142"/>
        <v>-3.625</v>
      </c>
      <c r="CA57" s="4">
        <f t="shared" si="143"/>
        <v>0</v>
      </c>
      <c r="CB57" s="4">
        <f t="shared" si="144"/>
        <v>1</v>
      </c>
      <c r="CC57" s="53">
        <f t="shared" si="145"/>
        <v>167</v>
      </c>
      <c r="CD57" s="55">
        <f t="shared" si="146"/>
        <v>5.5666666666666664</v>
      </c>
      <c r="CE57" s="4">
        <f t="shared" si="147"/>
        <v>1</v>
      </c>
      <c r="CF57" s="4" t="str">
        <f t="shared" si="148"/>
        <v/>
      </c>
      <c r="CG57" s="4" t="str">
        <f t="shared" si="149"/>
        <v/>
      </c>
      <c r="CH57" s="4" t="str">
        <f t="shared" si="150"/>
        <v/>
      </c>
      <c r="CI57" s="4">
        <f t="shared" si="151"/>
        <v>-3.625</v>
      </c>
      <c r="CJ57" s="4">
        <f t="shared" si="152"/>
        <v>1</v>
      </c>
      <c r="CK57" s="93">
        <f t="shared" si="153"/>
        <v>1.6400000000000001</v>
      </c>
      <c r="CL57" s="83">
        <f t="shared" si="154"/>
        <v>-57</v>
      </c>
      <c r="CM57" s="4" t="str">
        <f t="shared" si="155"/>
        <v/>
      </c>
      <c r="CN57" s="96">
        <f t="shared" si="156"/>
        <v>-0.64</v>
      </c>
      <c r="CO57" s="96">
        <f t="shared" si="265"/>
        <v>0.17609125905568127</v>
      </c>
      <c r="CP57" s="127">
        <f t="shared" si="157"/>
        <v>2</v>
      </c>
      <c r="CQ57" s="127">
        <f t="shared" si="158"/>
        <v>0.25</v>
      </c>
      <c r="CR57" s="136">
        <f t="shared" si="159"/>
        <v>20</v>
      </c>
      <c r="CS57" s="136">
        <f t="shared" si="160"/>
        <v>30</v>
      </c>
      <c r="CT57" s="135" t="str">
        <f t="shared" si="161"/>
        <v/>
      </c>
      <c r="CU57" s="139">
        <f t="shared" si="162"/>
        <v>1</v>
      </c>
      <c r="CV57" s="96">
        <f t="shared" si="163"/>
        <v>1</v>
      </c>
      <c r="CW57" s="141" t="b">
        <f t="shared" si="164"/>
        <v>0</v>
      </c>
      <c r="CX57">
        <v>7.77</v>
      </c>
      <c r="CY57" s="4">
        <v>7.96</v>
      </c>
      <c r="CZ57" s="4">
        <v>83</v>
      </c>
      <c r="DA57" s="4">
        <v>1.1000000000000001</v>
      </c>
      <c r="DB57" s="4">
        <v>-0.03</v>
      </c>
      <c r="DC57" s="4">
        <v>0.34</v>
      </c>
      <c r="DD57" s="4">
        <v>3.29</v>
      </c>
      <c r="DE57" s="4">
        <v>3.91</v>
      </c>
      <c r="DF57" s="4">
        <v>623</v>
      </c>
      <c r="DG57" s="4">
        <v>623</v>
      </c>
      <c r="DH57" s="4">
        <v>718</v>
      </c>
      <c r="DI57" s="4">
        <v>644</v>
      </c>
      <c r="DJ57" s="4">
        <v>691</v>
      </c>
      <c r="DK57" s="4">
        <v>686</v>
      </c>
      <c r="DL57" s="4">
        <v>619</v>
      </c>
      <c r="DM57" s="4">
        <v>-0.64</v>
      </c>
      <c r="DN57" s="4">
        <v>0</v>
      </c>
      <c r="DO57" s="4">
        <v>7.9</v>
      </c>
      <c r="DP57" s="4">
        <v>7.84</v>
      </c>
      <c r="DQ57" s="4">
        <v>7.83</v>
      </c>
      <c r="DR57" s="4">
        <v>7.91</v>
      </c>
      <c r="DS57" s="4">
        <v>8.19</v>
      </c>
      <c r="DT57" s="4">
        <v>8.48</v>
      </c>
      <c r="DU57" s="4">
        <v>0</v>
      </c>
      <c r="DV57" s="4">
        <v>1.3</v>
      </c>
      <c r="DW57" s="4">
        <v>6.55</v>
      </c>
      <c r="DX57" s="4">
        <v>6.58</v>
      </c>
      <c r="DY57" s="4">
        <v>6.46</v>
      </c>
      <c r="DZ57" s="4">
        <v>6.49</v>
      </c>
      <c r="EA57" s="4">
        <v>6.87</v>
      </c>
      <c r="EB57" s="4">
        <v>7.09</v>
      </c>
      <c r="EC57" s="4">
        <v>0</v>
      </c>
      <c r="ED57" s="89">
        <v>1.3</v>
      </c>
      <c r="EE57" s="110">
        <v>42.4</v>
      </c>
      <c r="EF57" s="110">
        <v>43.4</v>
      </c>
      <c r="EG57" s="110">
        <v>42.9</v>
      </c>
      <c r="EH57" s="110">
        <v>83</v>
      </c>
      <c r="EI57" s="110">
        <v>1.1000000000000001</v>
      </c>
      <c r="EJ57" s="110">
        <v>-5.9</v>
      </c>
      <c r="EK57" s="110">
        <v>-6.4</v>
      </c>
      <c r="EL57" s="110">
        <v>-6.1</v>
      </c>
      <c r="EM57" s="110">
        <v>64.2</v>
      </c>
      <c r="EN57" s="110">
        <v>0.4</v>
      </c>
      <c r="EO57" s="110">
        <v>4.5</v>
      </c>
      <c r="EP57" s="110">
        <v>13</v>
      </c>
      <c r="EQ57" s="110">
        <v>27.5</v>
      </c>
      <c r="ER57" s="110">
        <v>66.599999999999994</v>
      </c>
      <c r="ES57" s="114">
        <v>18</v>
      </c>
      <c r="IL57" s="83" t="str">
        <f t="shared" si="165"/>
        <v/>
      </c>
      <c r="IM57" s="4" t="str">
        <f t="shared" si="166"/>
        <v/>
      </c>
      <c r="IN57" s="4" t="str">
        <f t="shared" si="167"/>
        <v/>
      </c>
      <c r="IO57" s="4" t="str">
        <f t="shared" si="168"/>
        <v/>
      </c>
      <c r="IP57" s="4" t="str">
        <f t="shared" si="169"/>
        <v/>
      </c>
      <c r="IQ57" s="4" t="str">
        <f t="shared" si="170"/>
        <v/>
      </c>
      <c r="IR57" s="4" t="str">
        <f t="shared" si="171"/>
        <v/>
      </c>
      <c r="IS57" s="4" t="str">
        <f t="shared" si="172"/>
        <v/>
      </c>
      <c r="IT57" s="4" t="str">
        <f t="shared" si="173"/>
        <v/>
      </c>
      <c r="IU57" s="4" t="str">
        <f t="shared" si="174"/>
        <v/>
      </c>
      <c r="IV57" s="4" t="str">
        <f t="shared" si="175"/>
        <v/>
      </c>
      <c r="IW57" s="4" t="str">
        <f t="shared" si="176"/>
        <v/>
      </c>
      <c r="IX57" s="4" t="str">
        <f t="shared" si="177"/>
        <v/>
      </c>
      <c r="IY57" s="4" t="str">
        <f t="shared" si="178"/>
        <v/>
      </c>
      <c r="IZ57" s="4" t="str">
        <f t="shared" si="179"/>
        <v/>
      </c>
      <c r="JA57" s="4" t="str">
        <f t="shared" si="180"/>
        <v/>
      </c>
      <c r="JB57" s="4" t="str">
        <f t="shared" si="181"/>
        <v/>
      </c>
      <c r="JC57" s="4" t="str">
        <f t="shared" si="182"/>
        <v/>
      </c>
      <c r="JD57" s="4" t="str">
        <f t="shared" si="183"/>
        <v/>
      </c>
      <c r="JE57" s="4" t="str">
        <f t="shared" si="184"/>
        <v/>
      </c>
      <c r="JF57" s="4" t="str">
        <f t="shared" si="185"/>
        <v/>
      </c>
      <c r="JG57" s="4" t="str">
        <f t="shared" si="186"/>
        <v/>
      </c>
      <c r="JH57" s="4" t="str">
        <f t="shared" si="187"/>
        <v/>
      </c>
      <c r="JI57" s="4" t="str">
        <f t="shared" si="188"/>
        <v/>
      </c>
      <c r="JJ57" s="4" t="str">
        <f t="shared" si="189"/>
        <v/>
      </c>
      <c r="JK57" s="4" t="str">
        <f t="shared" si="190"/>
        <v/>
      </c>
      <c r="JL57" s="4" t="str">
        <f t="shared" si="191"/>
        <v/>
      </c>
      <c r="JM57" s="4" t="str">
        <f t="shared" si="192"/>
        <v/>
      </c>
      <c r="JN57" s="4" t="str">
        <f t="shared" si="193"/>
        <v/>
      </c>
      <c r="JO57" s="4" t="str">
        <f t="shared" si="194"/>
        <v/>
      </c>
      <c r="JP57" s="4" t="str">
        <f t="shared" si="195"/>
        <v/>
      </c>
      <c r="JQ57" s="117" t="str">
        <f t="shared" si="196"/>
        <v/>
      </c>
      <c r="JR57" s="110" t="str">
        <f t="shared" si="197"/>
        <v/>
      </c>
      <c r="JS57" s="110" t="str">
        <f t="shared" si="198"/>
        <v/>
      </c>
      <c r="JT57" s="110" t="str">
        <f t="shared" si="199"/>
        <v/>
      </c>
      <c r="JU57" s="110" t="str">
        <f t="shared" si="200"/>
        <v/>
      </c>
      <c r="JV57" s="110" t="str">
        <f t="shared" si="201"/>
        <v/>
      </c>
      <c r="JW57" s="110" t="str">
        <f t="shared" si="202"/>
        <v/>
      </c>
      <c r="JX57" s="110" t="str">
        <f t="shared" si="203"/>
        <v/>
      </c>
      <c r="JY57" s="110" t="str">
        <f t="shared" si="204"/>
        <v/>
      </c>
      <c r="JZ57" s="110" t="str">
        <f t="shared" si="205"/>
        <v/>
      </c>
      <c r="KA57" s="110" t="str">
        <f t="shared" si="206"/>
        <v/>
      </c>
      <c r="KB57" s="110" t="str">
        <f t="shared" si="207"/>
        <v/>
      </c>
      <c r="KC57" s="110" t="str">
        <f t="shared" si="208"/>
        <v/>
      </c>
      <c r="KD57" s="110" t="str">
        <f t="shared" si="209"/>
        <v/>
      </c>
      <c r="KE57" s="110" t="str">
        <f t="shared" si="210"/>
        <v/>
      </c>
      <c r="KF57" s="110" t="str">
        <f t="shared" si="211"/>
        <v/>
      </c>
      <c r="KG57" s="121" t="str">
        <f t="shared" si="212"/>
        <v/>
      </c>
      <c r="KH57" s="83" t="str">
        <f t="shared" si="213"/>
        <v/>
      </c>
      <c r="KI57" s="4" t="str">
        <f t="shared" si="214"/>
        <v/>
      </c>
      <c r="KJ57" s="4" t="str">
        <f t="shared" si="215"/>
        <v/>
      </c>
      <c r="KK57" s="4" t="str">
        <f t="shared" si="216"/>
        <v/>
      </c>
      <c r="KL57" s="4" t="str">
        <f t="shared" si="217"/>
        <v/>
      </c>
      <c r="KM57" s="4" t="str">
        <f t="shared" si="218"/>
        <v/>
      </c>
      <c r="KN57" s="4" t="str">
        <f t="shared" si="219"/>
        <v/>
      </c>
      <c r="KO57" s="4" t="str">
        <f t="shared" si="220"/>
        <v/>
      </c>
      <c r="KP57" s="4" t="str">
        <f t="shared" si="221"/>
        <v/>
      </c>
      <c r="KQ57" s="4" t="str">
        <f t="shared" si="222"/>
        <v/>
      </c>
      <c r="KR57" s="4" t="str">
        <f t="shared" si="223"/>
        <v/>
      </c>
      <c r="KS57" s="4" t="str">
        <f t="shared" si="224"/>
        <v/>
      </c>
      <c r="KT57" s="4" t="str">
        <f t="shared" si="225"/>
        <v/>
      </c>
      <c r="KU57" s="4" t="str">
        <f t="shared" si="226"/>
        <v/>
      </c>
      <c r="KV57" s="4" t="str">
        <f t="shared" si="227"/>
        <v/>
      </c>
      <c r="KW57" s="4" t="str">
        <f t="shared" si="228"/>
        <v/>
      </c>
      <c r="KX57" s="4" t="str">
        <f t="shared" si="229"/>
        <v/>
      </c>
      <c r="KY57" s="4" t="str">
        <f t="shared" si="230"/>
        <v/>
      </c>
      <c r="KZ57" s="4" t="str">
        <f t="shared" si="231"/>
        <v/>
      </c>
      <c r="LA57" s="4" t="str">
        <f t="shared" si="232"/>
        <v/>
      </c>
      <c r="LB57" s="4" t="str">
        <f t="shared" si="233"/>
        <v/>
      </c>
      <c r="LC57" s="4" t="str">
        <f t="shared" si="234"/>
        <v/>
      </c>
      <c r="LD57" s="4" t="str">
        <f t="shared" si="235"/>
        <v/>
      </c>
      <c r="LE57" s="4" t="str">
        <f t="shared" si="236"/>
        <v/>
      </c>
      <c r="LF57" s="4" t="str">
        <f t="shared" si="237"/>
        <v/>
      </c>
      <c r="LG57" s="4" t="str">
        <f t="shared" si="238"/>
        <v/>
      </c>
      <c r="LH57" s="4" t="str">
        <f t="shared" si="239"/>
        <v/>
      </c>
      <c r="LI57" s="4" t="str">
        <f t="shared" si="240"/>
        <v/>
      </c>
      <c r="LJ57" s="4" t="str">
        <f t="shared" si="241"/>
        <v/>
      </c>
      <c r="LK57" s="4" t="str">
        <f t="shared" si="242"/>
        <v/>
      </c>
      <c r="LL57" s="4" t="str">
        <f t="shared" si="243"/>
        <v/>
      </c>
      <c r="LM57" s="4" t="str">
        <f t="shared" si="244"/>
        <v/>
      </c>
      <c r="LN57" s="4" t="str">
        <f t="shared" si="245"/>
        <v/>
      </c>
      <c r="LO57" s="4" t="str">
        <f t="shared" si="246"/>
        <v/>
      </c>
      <c r="LP57" s="4" t="str">
        <f t="shared" si="247"/>
        <v/>
      </c>
      <c r="LQ57" s="4" t="str">
        <f t="shared" si="248"/>
        <v/>
      </c>
      <c r="LR57" s="4" t="str">
        <f t="shared" si="249"/>
        <v/>
      </c>
      <c r="LS57" s="4" t="str">
        <f t="shared" si="250"/>
        <v/>
      </c>
      <c r="LT57" s="4" t="str">
        <f t="shared" si="251"/>
        <v/>
      </c>
      <c r="LU57" s="4" t="str">
        <f t="shared" si="252"/>
        <v/>
      </c>
      <c r="LV57" s="4" t="str">
        <f t="shared" si="253"/>
        <v/>
      </c>
      <c r="LW57" s="4" t="str">
        <f t="shared" si="254"/>
        <v/>
      </c>
      <c r="LX57" s="4" t="str">
        <f t="shared" si="255"/>
        <v/>
      </c>
      <c r="LY57" s="4" t="str">
        <f t="shared" si="256"/>
        <v/>
      </c>
      <c r="LZ57" s="4" t="str">
        <f t="shared" si="257"/>
        <v/>
      </c>
      <c r="MA57" s="4" t="str">
        <f t="shared" si="258"/>
        <v/>
      </c>
      <c r="MB57" s="4" t="str">
        <f t="shared" si="259"/>
        <v/>
      </c>
      <c r="MC57" s="4" t="str">
        <f t="shared" si="260"/>
        <v/>
      </c>
      <c r="MD57" s="4" t="str">
        <f t="shared" si="261"/>
        <v/>
      </c>
      <c r="ME57" s="4" t="str">
        <f t="shared" si="262"/>
        <v/>
      </c>
      <c r="MF57" s="4" t="str">
        <f t="shared" si="263"/>
        <v/>
      </c>
      <c r="MG57" s="4">
        <f t="shared" si="264"/>
        <v>0</v>
      </c>
    </row>
    <row r="58" spans="1:345" ht="26.25" customHeight="1" x14ac:dyDescent="0.2">
      <c r="A58" s="35">
        <v>41311</v>
      </c>
      <c r="B58" s="36" t="s">
        <v>127</v>
      </c>
      <c r="C58" s="36" t="s">
        <v>32</v>
      </c>
      <c r="D58" s="31" t="s">
        <v>111</v>
      </c>
      <c r="E58" s="4">
        <v>67</v>
      </c>
      <c r="F58" s="3">
        <v>16648</v>
      </c>
      <c r="G58" s="4" t="s">
        <v>87</v>
      </c>
      <c r="H58" s="4" t="s">
        <v>108</v>
      </c>
      <c r="I58" s="4">
        <v>1835988</v>
      </c>
      <c r="J58" s="2" t="s">
        <v>309</v>
      </c>
      <c r="R58" s="33">
        <v>-0.5</v>
      </c>
      <c r="S58" s="4">
        <v>-0.51</v>
      </c>
      <c r="T58" s="33" t="s">
        <v>249</v>
      </c>
      <c r="U58" s="67">
        <v>20.25</v>
      </c>
      <c r="V58" s="124">
        <v>41260</v>
      </c>
      <c r="W58" s="67">
        <v>-1</v>
      </c>
      <c r="X58" s="67">
        <v>2.75</v>
      </c>
      <c r="Y58" s="4">
        <v>13</v>
      </c>
      <c r="Z58" s="4">
        <v>40</v>
      </c>
      <c r="AA58" s="4">
        <v>13</v>
      </c>
      <c r="AB58" s="4">
        <v>681</v>
      </c>
      <c r="AC58" s="4">
        <v>24.34</v>
      </c>
      <c r="AD58" s="4">
        <v>12</v>
      </c>
      <c r="AF58" s="4">
        <v>2.19</v>
      </c>
      <c r="AG58" s="4">
        <v>41.67</v>
      </c>
      <c r="AH58" s="4">
        <v>93</v>
      </c>
      <c r="AI58" s="4">
        <v>43.44</v>
      </c>
      <c r="AJ58" s="4">
        <v>3</v>
      </c>
      <c r="AK58" s="4">
        <v>0</v>
      </c>
      <c r="AL58" s="4" t="b">
        <f t="shared" si="135"/>
        <v>0</v>
      </c>
      <c r="AN58" s="3">
        <v>41429</v>
      </c>
      <c r="AO58" s="56">
        <v>200</v>
      </c>
      <c r="AP58" s="67">
        <v>-2.75</v>
      </c>
      <c r="AQ58" s="67">
        <v>0.5</v>
      </c>
      <c r="AR58" s="4">
        <v>178</v>
      </c>
      <c r="AS58" s="4">
        <v>30</v>
      </c>
      <c r="AT58" s="4">
        <v>15</v>
      </c>
      <c r="AV58" s="4">
        <v>2778</v>
      </c>
      <c r="BC58" s="4">
        <f t="shared" si="136"/>
        <v>-2.5</v>
      </c>
      <c r="BD58" s="4">
        <f t="shared" si="133"/>
        <v>-1.99</v>
      </c>
      <c r="BE58" s="4" t="str">
        <f t="shared" si="137"/>
        <v/>
      </c>
      <c r="BF58" s="40">
        <v>41779</v>
      </c>
      <c r="BG58" s="58"/>
      <c r="BU58" s="4" t="str">
        <f t="shared" si="266"/>
        <v/>
      </c>
      <c r="BV58" s="4" t="str">
        <f t="shared" si="138"/>
        <v/>
      </c>
      <c r="BW58" s="4" t="str">
        <f t="shared" si="139"/>
        <v/>
      </c>
      <c r="BX58" s="4">
        <f t="shared" si="140"/>
        <v>1</v>
      </c>
      <c r="BY58" s="4">
        <f t="shared" si="141"/>
        <v>0</v>
      </c>
      <c r="BZ58" s="4" t="str">
        <f t="shared" si="142"/>
        <v/>
      </c>
      <c r="CA58" s="4" t="str">
        <f t="shared" si="143"/>
        <v/>
      </c>
      <c r="CB58" s="4" t="str">
        <f t="shared" si="144"/>
        <v/>
      </c>
      <c r="CC58" s="53">
        <f t="shared" si="145"/>
        <v>118</v>
      </c>
      <c r="CD58" s="55">
        <f t="shared" si="146"/>
        <v>3.9333333333333331</v>
      </c>
      <c r="CE58" s="4" t="str">
        <f t="shared" si="147"/>
        <v/>
      </c>
      <c r="CF58" s="4" t="str">
        <f t="shared" si="148"/>
        <v/>
      </c>
      <c r="CG58" s="4" t="str">
        <f t="shared" si="149"/>
        <v/>
      </c>
      <c r="CH58" s="4" t="str">
        <f t="shared" si="150"/>
        <v/>
      </c>
      <c r="CI58" s="4">
        <f t="shared" si="151"/>
        <v>0.375</v>
      </c>
      <c r="CJ58" s="4">
        <f t="shared" si="152"/>
        <v>-2.5</v>
      </c>
      <c r="CK58" s="93">
        <f t="shared" si="153"/>
        <v>-1.99</v>
      </c>
      <c r="CL58" s="83" t="str">
        <f t="shared" si="154"/>
        <v/>
      </c>
      <c r="CM58" s="4" t="str">
        <f t="shared" si="155"/>
        <v/>
      </c>
      <c r="CN58" s="96">
        <f t="shared" si="156"/>
        <v>-0.51</v>
      </c>
      <c r="CO58" s="96">
        <f t="shared" si="265"/>
        <v>0.12493873660829993</v>
      </c>
      <c r="CP58" s="127">
        <f t="shared" si="157"/>
        <v>0.5</v>
      </c>
      <c r="CQ58" s="127">
        <f t="shared" si="158"/>
        <v>-2.25</v>
      </c>
      <c r="CR58" s="136">
        <f t="shared" si="159"/>
        <v>30</v>
      </c>
      <c r="CS58" s="136">
        <f t="shared" si="160"/>
        <v>40</v>
      </c>
      <c r="CT58" s="135">
        <f t="shared" si="161"/>
        <v>200</v>
      </c>
      <c r="CU58" s="139">
        <f t="shared" si="162"/>
        <v>1</v>
      </c>
      <c r="CV58" s="96" t="str">
        <f t="shared" si="163"/>
        <v/>
      </c>
      <c r="CW58" s="141" t="b">
        <f t="shared" si="164"/>
        <v>1</v>
      </c>
      <c r="CX58">
        <v>7.9</v>
      </c>
      <c r="CY58" s="4">
        <v>8.09</v>
      </c>
      <c r="CZ58" s="4">
        <v>88.4</v>
      </c>
      <c r="DA58" s="4">
        <v>1</v>
      </c>
      <c r="DB58" s="4">
        <v>0.43</v>
      </c>
      <c r="DC58" s="4">
        <v>0.48</v>
      </c>
      <c r="DD58" s="4">
        <v>2.64</v>
      </c>
      <c r="DE58" s="4">
        <v>3.3</v>
      </c>
      <c r="DF58" s="4">
        <v>656</v>
      </c>
      <c r="DG58" s="4">
        <v>660</v>
      </c>
      <c r="DH58" s="4">
        <v>824</v>
      </c>
      <c r="DI58" s="4">
        <v>678</v>
      </c>
      <c r="DJ58" s="4">
        <v>750</v>
      </c>
      <c r="DK58" s="4">
        <v>728</v>
      </c>
      <c r="DL58" s="4">
        <v>638</v>
      </c>
      <c r="DM58" s="4">
        <v>-0.51</v>
      </c>
      <c r="DN58" s="4">
        <v>-1.39</v>
      </c>
      <c r="DO58" s="4">
        <v>7.99</v>
      </c>
      <c r="DP58" s="4">
        <v>8.02</v>
      </c>
      <c r="DQ58" s="4">
        <v>8.08</v>
      </c>
      <c r="DR58" s="4">
        <v>8.18</v>
      </c>
      <c r="DS58" s="4">
        <v>8.39</v>
      </c>
      <c r="DT58" s="4">
        <v>8.66</v>
      </c>
      <c r="DU58" s="4">
        <v>8.7200000000000006</v>
      </c>
      <c r="DV58" s="4">
        <v>1.2</v>
      </c>
      <c r="DW58" s="4">
        <v>6.54</v>
      </c>
      <c r="DX58" s="4">
        <v>6.35</v>
      </c>
      <c r="DY58" s="4">
        <v>6.4</v>
      </c>
      <c r="DZ58" s="4">
        <v>6.76</v>
      </c>
      <c r="EA58" s="4">
        <v>7.04</v>
      </c>
      <c r="EB58" s="4">
        <v>7.13</v>
      </c>
      <c r="EC58" s="4">
        <v>0</v>
      </c>
      <c r="ED58" s="89">
        <v>1.2</v>
      </c>
      <c r="EE58" s="110">
        <v>41.7</v>
      </c>
      <c r="EF58" s="110">
        <v>42.7</v>
      </c>
      <c r="EG58" s="110">
        <v>42.2</v>
      </c>
      <c r="EH58" s="110">
        <v>88.4</v>
      </c>
      <c r="EI58" s="110">
        <v>1</v>
      </c>
      <c r="EJ58" s="110">
        <v>-6</v>
      </c>
      <c r="EK58" s="110">
        <v>-6.2</v>
      </c>
      <c r="EL58" s="110">
        <v>-6.1</v>
      </c>
      <c r="EM58" s="110">
        <v>56.5</v>
      </c>
      <c r="EN58" s="110">
        <v>0.2</v>
      </c>
      <c r="EO58" s="110">
        <v>4.7</v>
      </c>
      <c r="EP58" s="110">
        <v>13.8</v>
      </c>
      <c r="EQ58" s="110">
        <v>29.5</v>
      </c>
      <c r="ER58" s="110">
        <v>71</v>
      </c>
      <c r="ES58" s="114">
        <v>15</v>
      </c>
      <c r="IL58" s="83" t="str">
        <f t="shared" si="165"/>
        <v/>
      </c>
      <c r="IM58" s="4" t="str">
        <f t="shared" si="166"/>
        <v/>
      </c>
      <c r="IN58" s="4" t="str">
        <f t="shared" si="167"/>
        <v/>
      </c>
      <c r="IO58" s="4" t="str">
        <f t="shared" si="168"/>
        <v/>
      </c>
      <c r="IP58" s="4" t="str">
        <f t="shared" si="169"/>
        <v/>
      </c>
      <c r="IQ58" s="4" t="str">
        <f t="shared" si="170"/>
        <v/>
      </c>
      <c r="IR58" s="4" t="str">
        <f t="shared" si="171"/>
        <v/>
      </c>
      <c r="IS58" s="4" t="str">
        <f t="shared" si="172"/>
        <v/>
      </c>
      <c r="IT58" s="4" t="str">
        <f t="shared" si="173"/>
        <v/>
      </c>
      <c r="IU58" s="4" t="str">
        <f t="shared" si="174"/>
        <v/>
      </c>
      <c r="IV58" s="4" t="str">
        <f t="shared" si="175"/>
        <v/>
      </c>
      <c r="IW58" s="4" t="str">
        <f t="shared" si="176"/>
        <v/>
      </c>
      <c r="IX58" s="4" t="str">
        <f t="shared" si="177"/>
        <v/>
      </c>
      <c r="IY58" s="4" t="str">
        <f t="shared" si="178"/>
        <v/>
      </c>
      <c r="IZ58" s="4" t="str">
        <f t="shared" si="179"/>
        <v/>
      </c>
      <c r="JA58" s="4" t="str">
        <f t="shared" si="180"/>
        <v/>
      </c>
      <c r="JB58" s="4" t="str">
        <f t="shared" si="181"/>
        <v/>
      </c>
      <c r="JC58" s="4" t="str">
        <f t="shared" si="182"/>
        <v/>
      </c>
      <c r="JD58" s="4" t="str">
        <f t="shared" si="183"/>
        <v/>
      </c>
      <c r="JE58" s="4" t="str">
        <f t="shared" si="184"/>
        <v/>
      </c>
      <c r="JF58" s="4" t="str">
        <f t="shared" si="185"/>
        <v/>
      </c>
      <c r="JG58" s="4" t="str">
        <f t="shared" si="186"/>
        <v/>
      </c>
      <c r="JH58" s="4" t="str">
        <f t="shared" si="187"/>
        <v/>
      </c>
      <c r="JI58" s="4" t="str">
        <f t="shared" si="188"/>
        <v/>
      </c>
      <c r="JJ58" s="4" t="str">
        <f t="shared" si="189"/>
        <v/>
      </c>
      <c r="JK58" s="4" t="str">
        <f t="shared" si="190"/>
        <v/>
      </c>
      <c r="JL58" s="4" t="str">
        <f t="shared" si="191"/>
        <v/>
      </c>
      <c r="JM58" s="4" t="str">
        <f t="shared" si="192"/>
        <v/>
      </c>
      <c r="JN58" s="4" t="str">
        <f t="shared" si="193"/>
        <v/>
      </c>
      <c r="JO58" s="4" t="str">
        <f t="shared" si="194"/>
        <v/>
      </c>
      <c r="JP58" s="4" t="str">
        <f t="shared" si="195"/>
        <v/>
      </c>
      <c r="JQ58" s="117" t="str">
        <f t="shared" si="196"/>
        <v/>
      </c>
      <c r="JR58" s="110" t="str">
        <f t="shared" si="197"/>
        <v/>
      </c>
      <c r="JS58" s="110" t="str">
        <f t="shared" si="198"/>
        <v/>
      </c>
      <c r="JT58" s="110" t="str">
        <f t="shared" si="199"/>
        <v/>
      </c>
      <c r="JU58" s="110" t="str">
        <f t="shared" si="200"/>
        <v/>
      </c>
      <c r="JV58" s="110" t="str">
        <f t="shared" si="201"/>
        <v/>
      </c>
      <c r="JW58" s="110" t="str">
        <f t="shared" si="202"/>
        <v/>
      </c>
      <c r="JX58" s="110" t="str">
        <f t="shared" si="203"/>
        <v/>
      </c>
      <c r="JY58" s="110" t="str">
        <f t="shared" si="204"/>
        <v/>
      </c>
      <c r="JZ58" s="110" t="str">
        <f t="shared" si="205"/>
        <v/>
      </c>
      <c r="KA58" s="110" t="str">
        <f t="shared" si="206"/>
        <v/>
      </c>
      <c r="KB58" s="110" t="str">
        <f t="shared" si="207"/>
        <v/>
      </c>
      <c r="KC58" s="110" t="str">
        <f t="shared" si="208"/>
        <v/>
      </c>
      <c r="KD58" s="110" t="str">
        <f t="shared" si="209"/>
        <v/>
      </c>
      <c r="KE58" s="110" t="str">
        <f t="shared" si="210"/>
        <v/>
      </c>
      <c r="KF58" s="110" t="str">
        <f t="shared" si="211"/>
        <v/>
      </c>
      <c r="KG58" s="121" t="str">
        <f t="shared" si="212"/>
        <v/>
      </c>
      <c r="KH58" s="83" t="str">
        <f t="shared" si="213"/>
        <v/>
      </c>
      <c r="KI58" s="4" t="str">
        <f t="shared" si="214"/>
        <v/>
      </c>
      <c r="KJ58" s="4" t="str">
        <f t="shared" si="215"/>
        <v/>
      </c>
      <c r="KK58" s="4" t="str">
        <f t="shared" si="216"/>
        <v/>
      </c>
      <c r="KL58" s="4" t="str">
        <f t="shared" si="217"/>
        <v/>
      </c>
      <c r="KM58" s="4" t="str">
        <f t="shared" si="218"/>
        <v/>
      </c>
      <c r="KN58" s="4" t="str">
        <f t="shared" si="219"/>
        <v/>
      </c>
      <c r="KO58" s="4" t="str">
        <f t="shared" si="220"/>
        <v/>
      </c>
      <c r="KP58" s="4" t="str">
        <f t="shared" si="221"/>
        <v/>
      </c>
      <c r="KQ58" s="4" t="str">
        <f t="shared" si="222"/>
        <v/>
      </c>
      <c r="KR58" s="4" t="str">
        <f t="shared" si="223"/>
        <v/>
      </c>
      <c r="KS58" s="4" t="str">
        <f t="shared" si="224"/>
        <v/>
      </c>
      <c r="KT58" s="4" t="str">
        <f t="shared" si="225"/>
        <v/>
      </c>
      <c r="KU58" s="4" t="str">
        <f t="shared" si="226"/>
        <v/>
      </c>
      <c r="KV58" s="4" t="str">
        <f t="shared" si="227"/>
        <v/>
      </c>
      <c r="KW58" s="4" t="str">
        <f t="shared" si="228"/>
        <v/>
      </c>
      <c r="KX58" s="4" t="str">
        <f t="shared" si="229"/>
        <v/>
      </c>
      <c r="KY58" s="4" t="str">
        <f t="shared" si="230"/>
        <v/>
      </c>
      <c r="KZ58" s="4" t="str">
        <f t="shared" si="231"/>
        <v/>
      </c>
      <c r="LA58" s="4" t="str">
        <f t="shared" si="232"/>
        <v/>
      </c>
      <c r="LB58" s="4" t="str">
        <f t="shared" si="233"/>
        <v/>
      </c>
      <c r="LC58" s="4" t="str">
        <f t="shared" si="234"/>
        <v/>
      </c>
      <c r="LD58" s="4" t="str">
        <f t="shared" si="235"/>
        <v/>
      </c>
      <c r="LE58" s="4" t="str">
        <f t="shared" si="236"/>
        <v/>
      </c>
      <c r="LF58" s="4" t="str">
        <f t="shared" si="237"/>
        <v/>
      </c>
      <c r="LG58" s="4" t="str">
        <f t="shared" si="238"/>
        <v/>
      </c>
      <c r="LH58" s="4" t="str">
        <f t="shared" si="239"/>
        <v/>
      </c>
      <c r="LI58" s="4" t="str">
        <f t="shared" si="240"/>
        <v/>
      </c>
      <c r="LJ58" s="4" t="str">
        <f t="shared" si="241"/>
        <v/>
      </c>
      <c r="LK58" s="4" t="str">
        <f t="shared" si="242"/>
        <v/>
      </c>
      <c r="LL58" s="4" t="str">
        <f t="shared" si="243"/>
        <v/>
      </c>
      <c r="LM58" s="4" t="str">
        <f t="shared" si="244"/>
        <v/>
      </c>
      <c r="LN58" s="4" t="str">
        <f t="shared" si="245"/>
        <v/>
      </c>
      <c r="LO58" s="4" t="str">
        <f t="shared" si="246"/>
        <v/>
      </c>
      <c r="LP58" s="4" t="str">
        <f t="shared" si="247"/>
        <v/>
      </c>
      <c r="LQ58" s="4" t="str">
        <f t="shared" si="248"/>
        <v/>
      </c>
      <c r="LR58" s="4" t="str">
        <f t="shared" si="249"/>
        <v/>
      </c>
      <c r="LS58" s="4" t="str">
        <f t="shared" si="250"/>
        <v/>
      </c>
      <c r="LT58" s="4" t="str">
        <f t="shared" si="251"/>
        <v/>
      </c>
      <c r="LU58" s="4" t="str">
        <f t="shared" si="252"/>
        <v/>
      </c>
      <c r="LV58" s="4" t="str">
        <f t="shared" si="253"/>
        <v/>
      </c>
      <c r="LW58" s="4" t="str">
        <f t="shared" si="254"/>
        <v/>
      </c>
      <c r="LX58" s="4" t="str">
        <f t="shared" si="255"/>
        <v/>
      </c>
      <c r="LY58" s="4" t="str">
        <f t="shared" si="256"/>
        <v/>
      </c>
      <c r="LZ58" s="4" t="str">
        <f t="shared" si="257"/>
        <v/>
      </c>
      <c r="MA58" s="4" t="str">
        <f t="shared" si="258"/>
        <v/>
      </c>
      <c r="MB58" s="4" t="str">
        <f t="shared" si="259"/>
        <v/>
      </c>
      <c r="MC58" s="4" t="str">
        <f t="shared" si="260"/>
        <v/>
      </c>
      <c r="MD58" s="4" t="str">
        <f t="shared" si="261"/>
        <v/>
      </c>
      <c r="ME58" s="4" t="str">
        <f t="shared" si="262"/>
        <v/>
      </c>
      <c r="MF58" s="4" t="str">
        <f t="shared" si="263"/>
        <v/>
      </c>
      <c r="MG58" s="4">
        <f t="shared" si="264"/>
        <v>0</v>
      </c>
    </row>
    <row r="59" spans="1:345" ht="26.25" customHeight="1" x14ac:dyDescent="0.2">
      <c r="A59" s="35">
        <v>41395</v>
      </c>
      <c r="B59" s="36" t="s">
        <v>127</v>
      </c>
      <c r="C59" s="36" t="s">
        <v>50</v>
      </c>
      <c r="D59" s="31" t="s">
        <v>110</v>
      </c>
      <c r="E59" s="4">
        <v>67</v>
      </c>
      <c r="F59" s="3">
        <v>16648</v>
      </c>
      <c r="G59" s="4" t="s">
        <v>87</v>
      </c>
      <c r="H59" s="4" t="s">
        <v>108</v>
      </c>
      <c r="I59" s="4">
        <v>1835988</v>
      </c>
      <c r="J59" s="2" t="s">
        <v>309</v>
      </c>
      <c r="K59" s="235"/>
      <c r="L59" s="236"/>
      <c r="M59" s="236"/>
      <c r="N59" s="236"/>
      <c r="O59" s="235"/>
      <c r="P59" s="236"/>
      <c r="Q59" s="236"/>
      <c r="R59" s="4">
        <v>-0.5</v>
      </c>
      <c r="S59" s="4">
        <v>-0.53</v>
      </c>
      <c r="T59" s="4" t="s">
        <v>249</v>
      </c>
      <c r="U59" s="67">
        <v>19.75</v>
      </c>
      <c r="V59" s="124">
        <v>41394</v>
      </c>
      <c r="W59" s="67">
        <v>0</v>
      </c>
      <c r="X59" s="67">
        <v>0.5</v>
      </c>
      <c r="Y59" s="4">
        <v>11</v>
      </c>
      <c r="Z59" s="4">
        <v>50</v>
      </c>
      <c r="AA59" s="4">
        <v>16</v>
      </c>
      <c r="AB59" s="4">
        <v>656</v>
      </c>
      <c r="AC59" s="4">
        <v>24.48</v>
      </c>
      <c r="AD59" s="4">
        <v>12.5</v>
      </c>
      <c r="AE59" s="4">
        <v>4.5599999999999996</v>
      </c>
      <c r="AF59" s="4">
        <v>3.01</v>
      </c>
      <c r="AG59" s="4">
        <v>41.98</v>
      </c>
      <c r="AH59" s="4">
        <v>65</v>
      </c>
      <c r="AI59" s="4">
        <v>42.51</v>
      </c>
      <c r="AJ59" s="4">
        <v>155</v>
      </c>
      <c r="AK59" s="4">
        <v>0</v>
      </c>
      <c r="AL59" s="4" t="b">
        <f t="shared" si="135"/>
        <v>0</v>
      </c>
      <c r="AN59" s="32">
        <v>41597</v>
      </c>
      <c r="AO59" s="60">
        <v>40</v>
      </c>
      <c r="AP59" s="67">
        <v>-2.75</v>
      </c>
      <c r="AQ59" s="67">
        <v>0.75</v>
      </c>
      <c r="AR59" s="4">
        <v>15</v>
      </c>
      <c r="AS59" s="4">
        <v>40</v>
      </c>
      <c r="AT59" s="4">
        <v>12</v>
      </c>
      <c r="AU59" s="4">
        <v>548</v>
      </c>
      <c r="AV59" s="4">
        <v>2457</v>
      </c>
      <c r="AW59" s="4" t="s">
        <v>250</v>
      </c>
      <c r="AX59" s="4" t="s">
        <v>82</v>
      </c>
      <c r="AY59" s="4">
        <v>42.51</v>
      </c>
      <c r="AZ59" s="4">
        <v>22</v>
      </c>
      <c r="BA59" s="4">
        <v>43.72</v>
      </c>
      <c r="BB59" s="4">
        <v>112</v>
      </c>
      <c r="BC59" s="4">
        <f t="shared" si="136"/>
        <v>-2.375</v>
      </c>
      <c r="BD59" s="4">
        <f t="shared" ref="BD59:BD90" si="267">IF(ISNUMBER(BC59),IF(ISNUMBER(S59),BC59-S59,"MISSING"),"")</f>
        <v>-1.845</v>
      </c>
      <c r="BE59" s="4">
        <f t="shared" si="137"/>
        <v>-108</v>
      </c>
      <c r="BF59" s="137">
        <v>41779</v>
      </c>
      <c r="BU59" s="4" t="str">
        <f t="shared" si="266"/>
        <v/>
      </c>
      <c r="BV59" s="4" t="str">
        <f t="shared" si="138"/>
        <v/>
      </c>
      <c r="BW59" s="4" t="str">
        <f t="shared" si="139"/>
        <v/>
      </c>
      <c r="BX59" s="4">
        <f t="shared" si="140"/>
        <v>1</v>
      </c>
      <c r="BY59" s="4">
        <f t="shared" si="141"/>
        <v>0</v>
      </c>
      <c r="BZ59" s="4" t="str">
        <f t="shared" si="142"/>
        <v/>
      </c>
      <c r="CA59" s="4" t="str">
        <f t="shared" si="143"/>
        <v/>
      </c>
      <c r="CB59" s="4" t="str">
        <f t="shared" si="144"/>
        <v/>
      </c>
      <c r="CC59" s="53">
        <f t="shared" si="145"/>
        <v>202</v>
      </c>
      <c r="CD59" s="55">
        <f t="shared" si="146"/>
        <v>6.7333333333333334</v>
      </c>
      <c r="CE59" s="4" t="str">
        <f t="shared" si="147"/>
        <v/>
      </c>
      <c r="CF59" s="4">
        <f t="shared" si="148"/>
        <v>0.86999999999999744</v>
      </c>
      <c r="CG59" s="4" t="str">
        <f t="shared" si="149"/>
        <v/>
      </c>
      <c r="CH59" s="4">
        <f t="shared" si="150"/>
        <v>0.86999999999999744</v>
      </c>
      <c r="CI59" s="4">
        <f t="shared" si="151"/>
        <v>0.25</v>
      </c>
      <c r="CJ59" s="4">
        <f t="shared" si="152"/>
        <v>-2.375</v>
      </c>
      <c r="CK59" s="93">
        <f t="shared" si="153"/>
        <v>-1.845</v>
      </c>
      <c r="CL59" s="83">
        <f t="shared" si="154"/>
        <v>-108</v>
      </c>
      <c r="CM59" s="4" t="str">
        <f t="shared" si="155"/>
        <v/>
      </c>
      <c r="CN59" s="96">
        <f t="shared" si="156"/>
        <v>-0.53</v>
      </c>
      <c r="CO59" s="96">
        <f t="shared" si="265"/>
        <v>9.6910013008056406E-2</v>
      </c>
      <c r="CP59" s="127">
        <f t="shared" si="157"/>
        <v>0.75</v>
      </c>
      <c r="CQ59" s="127">
        <f t="shared" si="158"/>
        <v>0.25</v>
      </c>
      <c r="CR59" s="136">
        <f t="shared" si="159"/>
        <v>40</v>
      </c>
      <c r="CS59" s="136">
        <f t="shared" si="160"/>
        <v>50</v>
      </c>
      <c r="CT59" s="135">
        <f t="shared" si="161"/>
        <v>40</v>
      </c>
      <c r="CU59" s="139">
        <f t="shared" si="162"/>
        <v>0</v>
      </c>
      <c r="CV59" s="96" t="str">
        <f t="shared" si="163"/>
        <v/>
      </c>
      <c r="CW59" s="141" t="b">
        <f t="shared" si="164"/>
        <v>0</v>
      </c>
      <c r="CX59">
        <v>7.99</v>
      </c>
      <c r="CY59" s="4">
        <v>8.08</v>
      </c>
      <c r="CZ59" s="4">
        <v>77.400000000000006</v>
      </c>
      <c r="DA59" s="4">
        <v>0.5</v>
      </c>
      <c r="DB59" s="4">
        <v>0.44</v>
      </c>
      <c r="DC59" s="4">
        <v>0.49</v>
      </c>
      <c r="DD59" s="4">
        <v>2.72</v>
      </c>
      <c r="DE59" s="4">
        <v>3.31</v>
      </c>
      <c r="DF59" s="4">
        <v>597</v>
      </c>
      <c r="DG59" s="4">
        <v>597</v>
      </c>
      <c r="DH59" s="4">
        <v>794</v>
      </c>
      <c r="DI59" s="4">
        <v>674</v>
      </c>
      <c r="DJ59" s="4">
        <v>702</v>
      </c>
      <c r="DK59" s="4">
        <v>695</v>
      </c>
      <c r="DL59" s="4">
        <v>590</v>
      </c>
      <c r="DM59" s="4">
        <v>-0.13</v>
      </c>
      <c r="DN59" s="4">
        <v>-0.54</v>
      </c>
      <c r="DO59" s="4">
        <v>8.02</v>
      </c>
      <c r="DP59" s="4">
        <v>8.0399999999999991</v>
      </c>
      <c r="DQ59" s="4">
        <v>8.07</v>
      </c>
      <c r="DR59" s="4">
        <v>8.19</v>
      </c>
      <c r="DS59" s="4">
        <v>8.39</v>
      </c>
      <c r="DT59" s="4">
        <v>8.49</v>
      </c>
      <c r="DU59" s="4">
        <v>0</v>
      </c>
      <c r="DV59" s="4">
        <v>2.2999999999999998</v>
      </c>
      <c r="DW59" s="4">
        <v>5.84</v>
      </c>
      <c r="DX59" s="4">
        <v>6.23</v>
      </c>
      <c r="DY59" s="4">
        <v>6.52</v>
      </c>
      <c r="DZ59" s="4">
        <v>6.76</v>
      </c>
      <c r="EA59" s="4">
        <v>6.81</v>
      </c>
      <c r="EB59" s="4">
        <v>0</v>
      </c>
      <c r="EC59" s="4">
        <v>0</v>
      </c>
      <c r="ED59" s="89">
        <v>2.2999999999999998</v>
      </c>
      <c r="EE59" s="110">
        <v>41.8</v>
      </c>
      <c r="EF59" s="110">
        <v>42.2</v>
      </c>
      <c r="EG59" s="110">
        <v>42</v>
      </c>
      <c r="EH59" s="110">
        <v>77.400000000000006</v>
      </c>
      <c r="EI59" s="110">
        <v>0.5</v>
      </c>
      <c r="EJ59" s="110">
        <v>-6.4</v>
      </c>
      <c r="EK59" s="110">
        <v>-7.1</v>
      </c>
      <c r="EL59" s="110">
        <v>-6.8</v>
      </c>
      <c r="EM59" s="110">
        <v>20.7</v>
      </c>
      <c r="EN59" s="110">
        <v>0.7</v>
      </c>
      <c r="EO59" s="110">
        <v>4.4000000000000004</v>
      </c>
      <c r="EP59" s="110">
        <v>13.1</v>
      </c>
      <c r="EQ59" s="110">
        <v>28.1</v>
      </c>
      <c r="ER59" s="110">
        <v>68.2</v>
      </c>
      <c r="ES59" s="114">
        <v>17</v>
      </c>
      <c r="ET59" s="83">
        <v>7.98</v>
      </c>
      <c r="EU59" s="4">
        <v>7.81</v>
      </c>
      <c r="EV59" s="4">
        <v>17</v>
      </c>
      <c r="EW59" s="4">
        <v>-0.9</v>
      </c>
      <c r="EX59" s="4">
        <v>0.62</v>
      </c>
      <c r="EY59" s="4">
        <v>0.68</v>
      </c>
      <c r="EZ59" s="4">
        <v>-0.56999999999999995</v>
      </c>
      <c r="FA59" s="4">
        <v>-0.05</v>
      </c>
      <c r="FB59" s="4">
        <v>522</v>
      </c>
      <c r="FC59" s="4">
        <v>523</v>
      </c>
      <c r="FD59" s="4">
        <v>633</v>
      </c>
      <c r="FE59" s="4">
        <v>597</v>
      </c>
      <c r="FF59" s="4">
        <v>652</v>
      </c>
      <c r="FG59" s="4">
        <v>577</v>
      </c>
      <c r="FH59" s="4">
        <v>512</v>
      </c>
      <c r="FI59" s="4">
        <v>0.9</v>
      </c>
      <c r="FJ59" s="4">
        <v>-0.28000000000000003</v>
      </c>
      <c r="FK59" s="4">
        <v>7.88</v>
      </c>
      <c r="FL59" s="4">
        <v>7.91</v>
      </c>
      <c r="FM59" s="4">
        <v>7.98</v>
      </c>
      <c r="FN59" s="4">
        <v>8.18</v>
      </c>
      <c r="FO59" s="4">
        <v>8.56</v>
      </c>
      <c r="FP59" s="4">
        <v>8.8699999999999992</v>
      </c>
      <c r="FQ59" s="4">
        <v>0</v>
      </c>
      <c r="FR59" s="4">
        <v>1.4</v>
      </c>
      <c r="FS59" s="4">
        <v>6.36</v>
      </c>
      <c r="FT59" s="4">
        <v>6.39</v>
      </c>
      <c r="FU59" s="4">
        <v>6.49</v>
      </c>
      <c r="FV59" s="4">
        <v>6.61</v>
      </c>
      <c r="FW59" s="4">
        <v>6.8</v>
      </c>
      <c r="FX59" s="4">
        <v>6.87</v>
      </c>
      <c r="FY59" s="4">
        <v>0</v>
      </c>
      <c r="FZ59" s="86">
        <v>1.4</v>
      </c>
      <c r="GA59" s="110">
        <v>42.3</v>
      </c>
      <c r="GB59" s="110">
        <v>43.2</v>
      </c>
      <c r="GC59" s="110">
        <v>42.8</v>
      </c>
      <c r="GD59" s="110">
        <v>17</v>
      </c>
      <c r="GE59" s="110">
        <v>0.9</v>
      </c>
      <c r="GF59" s="110">
        <v>-6.2</v>
      </c>
      <c r="GG59" s="110">
        <v>-6.4</v>
      </c>
      <c r="GH59" s="110">
        <v>-6.3</v>
      </c>
      <c r="GI59" s="110">
        <v>168.5</v>
      </c>
      <c r="GJ59" s="110">
        <v>0.2</v>
      </c>
      <c r="GK59" s="110">
        <v>3.8</v>
      </c>
      <c r="GL59" s="110">
        <v>11.2</v>
      </c>
      <c r="GM59" s="110">
        <v>24.1</v>
      </c>
      <c r="GN59" s="110">
        <v>60.2</v>
      </c>
      <c r="GO59" s="119">
        <v>20</v>
      </c>
      <c r="IL59" s="83">
        <f t="shared" si="165"/>
        <v>7.98</v>
      </c>
      <c r="IM59" s="4">
        <f t="shared" si="166"/>
        <v>7.81</v>
      </c>
      <c r="IN59" s="4">
        <f t="shared" si="167"/>
        <v>17</v>
      </c>
      <c r="IO59" s="4">
        <f t="shared" si="168"/>
        <v>-0.9</v>
      </c>
      <c r="IP59" s="4">
        <f t="shared" si="169"/>
        <v>0.62</v>
      </c>
      <c r="IQ59" s="4">
        <f t="shared" si="170"/>
        <v>0.68</v>
      </c>
      <c r="IR59" s="4">
        <f t="shared" si="171"/>
        <v>-0.56999999999999995</v>
      </c>
      <c r="IS59" s="4">
        <f t="shared" si="172"/>
        <v>-0.05</v>
      </c>
      <c r="IT59" s="4">
        <f t="shared" si="173"/>
        <v>522</v>
      </c>
      <c r="IU59" s="4">
        <f t="shared" si="174"/>
        <v>523</v>
      </c>
      <c r="IV59" s="4">
        <f t="shared" si="175"/>
        <v>633</v>
      </c>
      <c r="IW59" s="4">
        <f t="shared" si="176"/>
        <v>597</v>
      </c>
      <c r="IX59" s="4">
        <f t="shared" si="177"/>
        <v>652</v>
      </c>
      <c r="IY59" s="4">
        <f t="shared" si="178"/>
        <v>577</v>
      </c>
      <c r="IZ59" s="4">
        <f t="shared" si="179"/>
        <v>512</v>
      </c>
      <c r="JA59" s="4">
        <f t="shared" si="180"/>
        <v>0.9</v>
      </c>
      <c r="JB59" s="4">
        <f t="shared" si="181"/>
        <v>-0.28000000000000003</v>
      </c>
      <c r="JC59" s="4">
        <f t="shared" si="182"/>
        <v>7.88</v>
      </c>
      <c r="JD59" s="4">
        <f t="shared" si="183"/>
        <v>7.91</v>
      </c>
      <c r="JE59" s="4">
        <f t="shared" si="184"/>
        <v>7.98</v>
      </c>
      <c r="JF59" s="4">
        <f t="shared" si="185"/>
        <v>8.18</v>
      </c>
      <c r="JG59" s="4">
        <f t="shared" si="186"/>
        <v>8.56</v>
      </c>
      <c r="JH59" s="4">
        <f t="shared" si="187"/>
        <v>8.8699999999999992</v>
      </c>
      <c r="JI59" s="4">
        <f t="shared" si="188"/>
        <v>0</v>
      </c>
      <c r="JJ59" s="4">
        <f t="shared" si="189"/>
        <v>1.4</v>
      </c>
      <c r="JK59" s="4">
        <f t="shared" si="190"/>
        <v>6.36</v>
      </c>
      <c r="JL59" s="4">
        <f t="shared" si="191"/>
        <v>6.39</v>
      </c>
      <c r="JM59" s="4">
        <f t="shared" si="192"/>
        <v>6.49</v>
      </c>
      <c r="JN59" s="4">
        <f t="shared" si="193"/>
        <v>6.61</v>
      </c>
      <c r="JO59" s="4">
        <f t="shared" si="194"/>
        <v>6.8</v>
      </c>
      <c r="JP59" s="4">
        <f t="shared" si="195"/>
        <v>6.87</v>
      </c>
      <c r="JQ59" s="117">
        <f t="shared" si="196"/>
        <v>0</v>
      </c>
      <c r="JR59" s="110">
        <f t="shared" si="197"/>
        <v>1.4</v>
      </c>
      <c r="JS59" s="110">
        <f t="shared" si="198"/>
        <v>42.3</v>
      </c>
      <c r="JT59" s="110">
        <f t="shared" si="199"/>
        <v>43.2</v>
      </c>
      <c r="JU59" s="110">
        <f t="shared" si="200"/>
        <v>42.8</v>
      </c>
      <c r="JV59" s="110">
        <f t="shared" si="201"/>
        <v>17</v>
      </c>
      <c r="JW59" s="110">
        <f t="shared" si="202"/>
        <v>0.9</v>
      </c>
      <c r="JX59" s="110">
        <f t="shared" si="203"/>
        <v>-6.2</v>
      </c>
      <c r="JY59" s="110">
        <f t="shared" si="204"/>
        <v>-6.4</v>
      </c>
      <c r="JZ59" s="110">
        <f t="shared" si="205"/>
        <v>-6.3</v>
      </c>
      <c r="KA59" s="110">
        <f t="shared" si="206"/>
        <v>168.5</v>
      </c>
      <c r="KB59" s="110">
        <f t="shared" si="207"/>
        <v>0.2</v>
      </c>
      <c r="KC59" s="110">
        <f t="shared" si="208"/>
        <v>3.8</v>
      </c>
      <c r="KD59" s="110">
        <f t="shared" si="209"/>
        <v>11.2</v>
      </c>
      <c r="KE59" s="110">
        <f t="shared" si="210"/>
        <v>24.1</v>
      </c>
      <c r="KF59" s="110">
        <f t="shared" si="211"/>
        <v>60.2</v>
      </c>
      <c r="KG59" s="121">
        <f t="shared" si="212"/>
        <v>20</v>
      </c>
      <c r="KH59" s="83">
        <f t="shared" si="213"/>
        <v>-9.9999999999997868E-3</v>
      </c>
      <c r="KI59" s="4">
        <f t="shared" si="214"/>
        <v>-0.27000000000000046</v>
      </c>
      <c r="KJ59" s="4">
        <f t="shared" si="215"/>
        <v>-60.400000000000006</v>
      </c>
      <c r="KK59" s="4">
        <f t="shared" si="216"/>
        <v>-1.4</v>
      </c>
      <c r="KL59" s="4">
        <f t="shared" si="217"/>
        <v>0.18</v>
      </c>
      <c r="KM59" s="4">
        <f t="shared" si="218"/>
        <v>0.19000000000000006</v>
      </c>
      <c r="KN59" s="4">
        <f t="shared" si="219"/>
        <v>-3.29</v>
      </c>
      <c r="KO59" s="4">
        <f t="shared" si="220"/>
        <v>-3.36</v>
      </c>
      <c r="KP59" s="4">
        <f t="shared" si="221"/>
        <v>-75</v>
      </c>
      <c r="KQ59" s="4">
        <f t="shared" si="222"/>
        <v>-74</v>
      </c>
      <c r="KR59" s="4">
        <f t="shared" si="223"/>
        <v>-161</v>
      </c>
      <c r="KS59" s="4">
        <f t="shared" si="224"/>
        <v>-77</v>
      </c>
      <c r="KT59" s="4">
        <f t="shared" si="225"/>
        <v>-50</v>
      </c>
      <c r="KU59" s="4">
        <f t="shared" si="226"/>
        <v>-118</v>
      </c>
      <c r="KV59" s="4">
        <f t="shared" si="227"/>
        <v>-78</v>
      </c>
      <c r="KW59" s="4">
        <f t="shared" si="228"/>
        <v>1.03</v>
      </c>
      <c r="KX59" s="4">
        <f t="shared" si="229"/>
        <v>0.26</v>
      </c>
      <c r="KY59" s="4">
        <f t="shared" si="230"/>
        <v>-0.13999999999999968</v>
      </c>
      <c r="KZ59" s="4">
        <f t="shared" si="231"/>
        <v>-0.12999999999999901</v>
      </c>
      <c r="LA59" s="4">
        <f t="shared" si="232"/>
        <v>-8.9999999999999858E-2</v>
      </c>
      <c r="LB59" s="4">
        <f t="shared" si="233"/>
        <v>-9.9999999999997868E-3</v>
      </c>
      <c r="LC59" s="4">
        <f t="shared" si="234"/>
        <v>0.16999999999999993</v>
      </c>
      <c r="LD59" s="4">
        <f t="shared" si="235"/>
        <v>0.37999999999999901</v>
      </c>
      <c r="LE59" s="4">
        <f t="shared" si="236"/>
        <v>0</v>
      </c>
      <c r="LF59" s="4">
        <f t="shared" si="237"/>
        <v>-0.89999999999999991</v>
      </c>
      <c r="LG59" s="4">
        <f t="shared" si="238"/>
        <v>0.52000000000000046</v>
      </c>
      <c r="LH59" s="4">
        <f t="shared" si="239"/>
        <v>0.15999999999999925</v>
      </c>
      <c r="LI59" s="4">
        <f t="shared" si="240"/>
        <v>-2.9999999999999361E-2</v>
      </c>
      <c r="LJ59" s="4">
        <f t="shared" si="241"/>
        <v>-0.14999999999999947</v>
      </c>
      <c r="LK59" s="4">
        <f t="shared" si="242"/>
        <v>-9.9999999999997868E-3</v>
      </c>
      <c r="LL59" s="4">
        <f t="shared" si="243"/>
        <v>6.87</v>
      </c>
      <c r="LM59" s="4">
        <f t="shared" si="244"/>
        <v>0</v>
      </c>
      <c r="LN59" s="4">
        <f t="shared" si="245"/>
        <v>-0.89999999999999991</v>
      </c>
      <c r="LO59" s="4">
        <f t="shared" si="246"/>
        <v>0.5</v>
      </c>
      <c r="LP59" s="4">
        <f t="shared" si="247"/>
        <v>1</v>
      </c>
      <c r="LQ59" s="4">
        <f t="shared" si="248"/>
        <v>0.79999999999999716</v>
      </c>
      <c r="LR59" s="4">
        <f t="shared" si="249"/>
        <v>-60.400000000000006</v>
      </c>
      <c r="LS59" s="4">
        <f t="shared" si="250"/>
        <v>0.4</v>
      </c>
      <c r="LT59" s="4">
        <f t="shared" si="251"/>
        <v>0.20000000000000018</v>
      </c>
      <c r="LU59" s="4">
        <f t="shared" si="252"/>
        <v>0.69999999999999929</v>
      </c>
      <c r="LV59" s="4">
        <f t="shared" si="253"/>
        <v>0.5</v>
      </c>
      <c r="LW59" s="4">
        <f t="shared" si="254"/>
        <v>147.80000000000001</v>
      </c>
      <c r="LX59" s="4">
        <f t="shared" si="255"/>
        <v>-0.49999999999999994</v>
      </c>
      <c r="LY59" s="4">
        <f t="shared" si="256"/>
        <v>-0.60000000000000053</v>
      </c>
      <c r="LZ59" s="4">
        <f t="shared" si="257"/>
        <v>-1.9000000000000004</v>
      </c>
      <c r="MA59" s="4">
        <f t="shared" si="258"/>
        <v>-4</v>
      </c>
      <c r="MB59" s="4">
        <f t="shared" si="259"/>
        <v>-8</v>
      </c>
      <c r="MC59" s="4">
        <f t="shared" si="260"/>
        <v>3</v>
      </c>
      <c r="MD59" s="4" t="str">
        <f t="shared" si="261"/>
        <v/>
      </c>
      <c r="ME59" s="4" t="str">
        <f t="shared" si="262"/>
        <v/>
      </c>
      <c r="MF59" s="4" t="str">
        <f t="shared" si="263"/>
        <v/>
      </c>
      <c r="MG59" s="4">
        <f t="shared" si="264"/>
        <v>6.4</v>
      </c>
    </row>
    <row r="60" spans="1:345" ht="26.25" customHeight="1" x14ac:dyDescent="0.2">
      <c r="A60" s="35">
        <v>41283</v>
      </c>
      <c r="B60" s="36" t="s">
        <v>222</v>
      </c>
      <c r="C60" s="36" t="s">
        <v>26</v>
      </c>
      <c r="D60" s="31" t="s">
        <v>110</v>
      </c>
      <c r="E60" s="4">
        <v>65</v>
      </c>
      <c r="F60" s="3">
        <v>17217</v>
      </c>
      <c r="G60" s="4" t="s">
        <v>244</v>
      </c>
      <c r="H60" s="4" t="s">
        <v>108</v>
      </c>
      <c r="I60" s="4">
        <v>1836026</v>
      </c>
      <c r="J60" s="52" t="s">
        <v>667</v>
      </c>
      <c r="K60" s="235" t="s">
        <v>668</v>
      </c>
      <c r="L60" s="236"/>
      <c r="M60" s="236">
        <v>1</v>
      </c>
      <c r="N60" s="236"/>
      <c r="O60" s="235"/>
      <c r="P60" s="236"/>
      <c r="Q60" s="236"/>
      <c r="R60" s="33">
        <v>-0.5</v>
      </c>
      <c r="S60" s="33">
        <v>-0.56999999999999995</v>
      </c>
      <c r="T60" s="33" t="s">
        <v>249</v>
      </c>
      <c r="U60" s="67">
        <v>26</v>
      </c>
      <c r="V60" s="124">
        <v>41253</v>
      </c>
      <c r="W60" s="67">
        <v>-1</v>
      </c>
      <c r="X60" s="67">
        <v>1</v>
      </c>
      <c r="Y60" s="4">
        <v>35</v>
      </c>
      <c r="Z60" s="4">
        <v>100</v>
      </c>
      <c r="AA60" s="4">
        <v>15</v>
      </c>
      <c r="AB60" s="4">
        <v>1000</v>
      </c>
      <c r="AC60" s="4">
        <v>22.25</v>
      </c>
      <c r="AD60" s="4">
        <v>11.4</v>
      </c>
      <c r="AE60" s="4">
        <v>5.33</v>
      </c>
      <c r="AF60" s="4">
        <v>3.04</v>
      </c>
      <c r="AG60" s="4">
        <v>44.94</v>
      </c>
      <c r="AH60" s="4">
        <v>166</v>
      </c>
      <c r="AI60" s="4">
        <v>46.11</v>
      </c>
      <c r="AJ60" s="4">
        <v>76</v>
      </c>
      <c r="AK60" s="4">
        <v>1</v>
      </c>
      <c r="AL60" s="4" t="b">
        <f t="shared" si="135"/>
        <v>1</v>
      </c>
      <c r="AM60" s="54" t="s">
        <v>498</v>
      </c>
      <c r="AN60" s="37">
        <v>41407</v>
      </c>
      <c r="AO60" s="59">
        <v>200</v>
      </c>
      <c r="AP60" s="67">
        <v>-3.5</v>
      </c>
      <c r="AQ60" s="67">
        <v>1</v>
      </c>
      <c r="AR60" s="4">
        <v>57</v>
      </c>
      <c r="AS60" s="4">
        <v>20</v>
      </c>
      <c r="AT60" s="4">
        <v>15</v>
      </c>
      <c r="AU60" s="4">
        <v>583</v>
      </c>
      <c r="AV60" s="4">
        <v>2398</v>
      </c>
      <c r="BC60" s="4">
        <f t="shared" si="136"/>
        <v>-3</v>
      </c>
      <c r="BD60" s="4">
        <f t="shared" si="267"/>
        <v>-2.4300000000000002</v>
      </c>
      <c r="BE60" s="4">
        <f t="shared" si="137"/>
        <v>-417</v>
      </c>
      <c r="BF60" s="51" t="s">
        <v>501</v>
      </c>
      <c r="BU60" s="4" t="str">
        <f t="shared" si="266"/>
        <v/>
      </c>
      <c r="BV60" s="4" t="str">
        <f t="shared" si="138"/>
        <v/>
      </c>
      <c r="BW60" s="4" t="str">
        <f t="shared" si="139"/>
        <v/>
      </c>
      <c r="BX60" s="4">
        <f t="shared" si="140"/>
        <v>1</v>
      </c>
      <c r="BY60" s="4">
        <f t="shared" si="141"/>
        <v>0</v>
      </c>
      <c r="BZ60" s="4" t="str">
        <f t="shared" si="142"/>
        <v/>
      </c>
      <c r="CA60" s="4" t="str">
        <f t="shared" si="143"/>
        <v/>
      </c>
      <c r="CB60" s="4" t="str">
        <f t="shared" si="144"/>
        <v/>
      </c>
      <c r="CC60" s="53">
        <f t="shared" si="145"/>
        <v>124</v>
      </c>
      <c r="CD60" s="55">
        <f t="shared" si="146"/>
        <v>4.1333333333333337</v>
      </c>
      <c r="CE60" s="4" t="str">
        <f t="shared" si="147"/>
        <v/>
      </c>
      <c r="CF60" s="4" t="str">
        <f t="shared" si="148"/>
        <v/>
      </c>
      <c r="CG60" s="4" t="str">
        <f t="shared" si="149"/>
        <v/>
      </c>
      <c r="CH60" s="4" t="str">
        <f t="shared" si="150"/>
        <v/>
      </c>
      <c r="CI60" s="4">
        <f t="shared" si="151"/>
        <v>-0.5</v>
      </c>
      <c r="CJ60" s="4">
        <f t="shared" si="152"/>
        <v>-3</v>
      </c>
      <c r="CK60" s="93">
        <f t="shared" si="153"/>
        <v>-2.4300000000000002</v>
      </c>
      <c r="CL60" s="83">
        <f t="shared" si="154"/>
        <v>-417</v>
      </c>
      <c r="CM60" s="4" t="str">
        <f t="shared" si="155"/>
        <v/>
      </c>
      <c r="CN60" s="96">
        <f t="shared" si="156"/>
        <v>-0.56999999999999995</v>
      </c>
      <c r="CO60" s="96">
        <f t="shared" si="265"/>
        <v>0.69897000433601875</v>
      </c>
      <c r="CP60" s="127">
        <f t="shared" si="157"/>
        <v>1</v>
      </c>
      <c r="CQ60" s="127">
        <f t="shared" si="158"/>
        <v>0</v>
      </c>
      <c r="CR60" s="136">
        <f t="shared" si="159"/>
        <v>20</v>
      </c>
      <c r="CS60" s="136">
        <f t="shared" si="160"/>
        <v>100</v>
      </c>
      <c r="CT60" s="135">
        <f t="shared" si="161"/>
        <v>200</v>
      </c>
      <c r="CU60" s="139">
        <f t="shared" si="162"/>
        <v>1</v>
      </c>
      <c r="CV60" s="96" t="str">
        <f t="shared" si="163"/>
        <v/>
      </c>
      <c r="CW60" s="141" t="b">
        <f t="shared" si="164"/>
        <v>1</v>
      </c>
      <c r="CX60">
        <v>7.37</v>
      </c>
      <c r="CY60" s="4">
        <v>7.65</v>
      </c>
      <c r="CZ60" s="4">
        <v>127.2</v>
      </c>
      <c r="DA60" s="4">
        <v>1.7</v>
      </c>
      <c r="DB60" s="4">
        <v>0.24</v>
      </c>
      <c r="DC60" s="4">
        <v>0.55000000000000004</v>
      </c>
      <c r="DD60" s="4">
        <v>0.82</v>
      </c>
      <c r="DE60" s="4">
        <v>1.85</v>
      </c>
      <c r="DF60" s="4">
        <v>1032</v>
      </c>
      <c r="DG60" s="4">
        <v>1030</v>
      </c>
      <c r="DH60" s="4">
        <v>1101</v>
      </c>
      <c r="DI60" s="4">
        <v>1047</v>
      </c>
      <c r="DJ60" s="4">
        <v>1098</v>
      </c>
      <c r="DK60" s="4">
        <v>1159</v>
      </c>
      <c r="DL60" s="4">
        <v>1019</v>
      </c>
      <c r="DM60" s="4">
        <v>0.28000000000000003</v>
      </c>
      <c r="DN60" s="4">
        <v>0.9</v>
      </c>
      <c r="DO60" s="4">
        <v>7.54</v>
      </c>
      <c r="DP60" s="4">
        <v>7.52</v>
      </c>
      <c r="DQ60" s="4">
        <v>7.58</v>
      </c>
      <c r="DR60" s="4">
        <v>7.75</v>
      </c>
      <c r="DS60" s="4">
        <v>8.02</v>
      </c>
      <c r="DT60" s="4">
        <v>8.14</v>
      </c>
      <c r="DU60" s="4">
        <v>0</v>
      </c>
      <c r="DV60" s="4">
        <v>1.5</v>
      </c>
      <c r="DW60" s="4">
        <v>5.98</v>
      </c>
      <c r="DX60" s="4">
        <v>5.84</v>
      </c>
      <c r="DY60" s="4">
        <v>6.33</v>
      </c>
      <c r="DZ60" s="4">
        <v>7.62</v>
      </c>
      <c r="EA60" s="4">
        <v>8</v>
      </c>
      <c r="EB60" s="4">
        <v>0</v>
      </c>
      <c r="EC60" s="4">
        <v>0</v>
      </c>
      <c r="ED60" s="89">
        <v>1.5</v>
      </c>
      <c r="EE60" s="110">
        <v>44.1</v>
      </c>
      <c r="EF60" s="110">
        <v>45.8</v>
      </c>
      <c r="EG60" s="110">
        <v>45</v>
      </c>
      <c r="EH60" s="110">
        <v>127.2</v>
      </c>
      <c r="EI60" s="110">
        <v>1.7</v>
      </c>
      <c r="EJ60" s="110">
        <v>-6.3</v>
      </c>
      <c r="EK60" s="110">
        <v>-7.3</v>
      </c>
      <c r="EL60" s="110">
        <v>-6.8</v>
      </c>
      <c r="EM60" s="110">
        <v>78.2</v>
      </c>
      <c r="EN60" s="110">
        <v>1</v>
      </c>
      <c r="EO60" s="110">
        <v>7.4</v>
      </c>
      <c r="EP60" s="110">
        <v>21.4</v>
      </c>
      <c r="EQ60" s="110">
        <v>44.6</v>
      </c>
      <c r="ER60" s="110">
        <v>97.6</v>
      </c>
      <c r="ES60" s="114">
        <v>19</v>
      </c>
      <c r="IL60" s="83" t="str">
        <f t="shared" si="165"/>
        <v/>
      </c>
      <c r="IM60" s="4" t="str">
        <f t="shared" si="166"/>
        <v/>
      </c>
      <c r="IN60" s="4" t="str">
        <f t="shared" si="167"/>
        <v/>
      </c>
      <c r="IO60" s="4" t="str">
        <f t="shared" si="168"/>
        <v/>
      </c>
      <c r="IP60" s="4" t="str">
        <f t="shared" si="169"/>
        <v/>
      </c>
      <c r="IQ60" s="4" t="str">
        <f t="shared" si="170"/>
        <v/>
      </c>
      <c r="IR60" s="4" t="str">
        <f t="shared" si="171"/>
        <v/>
      </c>
      <c r="IS60" s="4" t="str">
        <f t="shared" si="172"/>
        <v/>
      </c>
      <c r="IT60" s="4" t="str">
        <f t="shared" si="173"/>
        <v/>
      </c>
      <c r="IU60" s="4" t="str">
        <f t="shared" si="174"/>
        <v/>
      </c>
      <c r="IV60" s="4" t="str">
        <f t="shared" si="175"/>
        <v/>
      </c>
      <c r="IW60" s="4" t="str">
        <f t="shared" si="176"/>
        <v/>
      </c>
      <c r="IX60" s="4" t="str">
        <f t="shared" si="177"/>
        <v/>
      </c>
      <c r="IY60" s="4" t="str">
        <f t="shared" si="178"/>
        <v/>
      </c>
      <c r="IZ60" s="4" t="str">
        <f t="shared" si="179"/>
        <v/>
      </c>
      <c r="JA60" s="4" t="str">
        <f t="shared" si="180"/>
        <v/>
      </c>
      <c r="JB60" s="4" t="str">
        <f t="shared" si="181"/>
        <v/>
      </c>
      <c r="JC60" s="4" t="str">
        <f t="shared" si="182"/>
        <v/>
      </c>
      <c r="JD60" s="4" t="str">
        <f t="shared" si="183"/>
        <v/>
      </c>
      <c r="JE60" s="4" t="str">
        <f t="shared" si="184"/>
        <v/>
      </c>
      <c r="JF60" s="4" t="str">
        <f t="shared" si="185"/>
        <v/>
      </c>
      <c r="JG60" s="4" t="str">
        <f t="shared" si="186"/>
        <v/>
      </c>
      <c r="JH60" s="4" t="str">
        <f t="shared" si="187"/>
        <v/>
      </c>
      <c r="JI60" s="4" t="str">
        <f t="shared" si="188"/>
        <v/>
      </c>
      <c r="JJ60" s="4" t="str">
        <f t="shared" si="189"/>
        <v/>
      </c>
      <c r="JK60" s="4" t="str">
        <f t="shared" si="190"/>
        <v/>
      </c>
      <c r="JL60" s="4" t="str">
        <f t="shared" si="191"/>
        <v/>
      </c>
      <c r="JM60" s="4" t="str">
        <f t="shared" si="192"/>
        <v/>
      </c>
      <c r="JN60" s="4" t="str">
        <f t="shared" si="193"/>
        <v/>
      </c>
      <c r="JO60" s="4" t="str">
        <f t="shared" si="194"/>
        <v/>
      </c>
      <c r="JP60" s="4" t="str">
        <f t="shared" si="195"/>
        <v/>
      </c>
      <c r="JQ60" s="117" t="str">
        <f t="shared" si="196"/>
        <v/>
      </c>
      <c r="JR60" s="110" t="str">
        <f t="shared" si="197"/>
        <v/>
      </c>
      <c r="JS60" s="110" t="str">
        <f t="shared" si="198"/>
        <v/>
      </c>
      <c r="JT60" s="110" t="str">
        <f t="shared" si="199"/>
        <v/>
      </c>
      <c r="JU60" s="110" t="str">
        <f t="shared" si="200"/>
        <v/>
      </c>
      <c r="JV60" s="110" t="str">
        <f t="shared" si="201"/>
        <v/>
      </c>
      <c r="JW60" s="110" t="str">
        <f t="shared" si="202"/>
        <v/>
      </c>
      <c r="JX60" s="110" t="str">
        <f t="shared" si="203"/>
        <v/>
      </c>
      <c r="JY60" s="110" t="str">
        <f t="shared" si="204"/>
        <v/>
      </c>
      <c r="JZ60" s="110" t="str">
        <f t="shared" si="205"/>
        <v/>
      </c>
      <c r="KA60" s="110" t="str">
        <f t="shared" si="206"/>
        <v/>
      </c>
      <c r="KB60" s="110" t="str">
        <f t="shared" si="207"/>
        <v/>
      </c>
      <c r="KC60" s="110" t="str">
        <f t="shared" si="208"/>
        <v/>
      </c>
      <c r="KD60" s="110" t="str">
        <f t="shared" si="209"/>
        <v/>
      </c>
      <c r="KE60" s="110" t="str">
        <f t="shared" si="210"/>
        <v/>
      </c>
      <c r="KF60" s="110" t="str">
        <f t="shared" si="211"/>
        <v/>
      </c>
      <c r="KG60" s="121" t="str">
        <f t="shared" si="212"/>
        <v/>
      </c>
      <c r="KH60" s="83" t="str">
        <f t="shared" si="213"/>
        <v/>
      </c>
      <c r="KI60" s="4" t="str">
        <f t="shared" si="214"/>
        <v/>
      </c>
      <c r="KJ60" s="4" t="str">
        <f t="shared" si="215"/>
        <v/>
      </c>
      <c r="KK60" s="4" t="str">
        <f t="shared" si="216"/>
        <v/>
      </c>
      <c r="KL60" s="4" t="str">
        <f t="shared" si="217"/>
        <v/>
      </c>
      <c r="KM60" s="4" t="str">
        <f t="shared" si="218"/>
        <v/>
      </c>
      <c r="KN60" s="4" t="str">
        <f t="shared" si="219"/>
        <v/>
      </c>
      <c r="KO60" s="4" t="str">
        <f t="shared" si="220"/>
        <v/>
      </c>
      <c r="KP60" s="4" t="str">
        <f t="shared" si="221"/>
        <v/>
      </c>
      <c r="KQ60" s="4" t="str">
        <f t="shared" si="222"/>
        <v/>
      </c>
      <c r="KR60" s="4" t="str">
        <f t="shared" si="223"/>
        <v/>
      </c>
      <c r="KS60" s="4" t="str">
        <f t="shared" si="224"/>
        <v/>
      </c>
      <c r="KT60" s="4" t="str">
        <f t="shared" si="225"/>
        <v/>
      </c>
      <c r="KU60" s="4" t="str">
        <f t="shared" si="226"/>
        <v/>
      </c>
      <c r="KV60" s="4" t="str">
        <f t="shared" si="227"/>
        <v/>
      </c>
      <c r="KW60" s="4" t="str">
        <f t="shared" si="228"/>
        <v/>
      </c>
      <c r="KX60" s="4" t="str">
        <f t="shared" si="229"/>
        <v/>
      </c>
      <c r="KY60" s="4" t="str">
        <f t="shared" si="230"/>
        <v/>
      </c>
      <c r="KZ60" s="4" t="str">
        <f t="shared" si="231"/>
        <v/>
      </c>
      <c r="LA60" s="4" t="str">
        <f t="shared" si="232"/>
        <v/>
      </c>
      <c r="LB60" s="4" t="str">
        <f t="shared" si="233"/>
        <v/>
      </c>
      <c r="LC60" s="4" t="str">
        <f t="shared" si="234"/>
        <v/>
      </c>
      <c r="LD60" s="4" t="str">
        <f t="shared" si="235"/>
        <v/>
      </c>
      <c r="LE60" s="4" t="str">
        <f t="shared" si="236"/>
        <v/>
      </c>
      <c r="LF60" s="4" t="str">
        <f t="shared" si="237"/>
        <v/>
      </c>
      <c r="LG60" s="4" t="str">
        <f t="shared" si="238"/>
        <v/>
      </c>
      <c r="LH60" s="4" t="str">
        <f t="shared" si="239"/>
        <v/>
      </c>
      <c r="LI60" s="4" t="str">
        <f t="shared" si="240"/>
        <v/>
      </c>
      <c r="LJ60" s="4" t="str">
        <f t="shared" si="241"/>
        <v/>
      </c>
      <c r="LK60" s="4" t="str">
        <f t="shared" si="242"/>
        <v/>
      </c>
      <c r="LL60" s="4" t="str">
        <f t="shared" si="243"/>
        <v/>
      </c>
      <c r="LM60" s="4" t="str">
        <f t="shared" si="244"/>
        <v/>
      </c>
      <c r="LN60" s="4" t="str">
        <f t="shared" si="245"/>
        <v/>
      </c>
      <c r="LO60" s="4" t="str">
        <f t="shared" si="246"/>
        <v/>
      </c>
      <c r="LP60" s="4" t="str">
        <f t="shared" si="247"/>
        <v/>
      </c>
      <c r="LQ60" s="4" t="str">
        <f t="shared" si="248"/>
        <v/>
      </c>
      <c r="LR60" s="4" t="str">
        <f t="shared" si="249"/>
        <v/>
      </c>
      <c r="LS60" s="4" t="str">
        <f t="shared" si="250"/>
        <v/>
      </c>
      <c r="LT60" s="4" t="str">
        <f t="shared" si="251"/>
        <v/>
      </c>
      <c r="LU60" s="4" t="str">
        <f t="shared" si="252"/>
        <v/>
      </c>
      <c r="LV60" s="4" t="str">
        <f t="shared" si="253"/>
        <v/>
      </c>
      <c r="LW60" s="4" t="str">
        <f t="shared" si="254"/>
        <v/>
      </c>
      <c r="LX60" s="4" t="str">
        <f t="shared" si="255"/>
        <v/>
      </c>
      <c r="LY60" s="4" t="str">
        <f t="shared" si="256"/>
        <v/>
      </c>
      <c r="LZ60" s="4" t="str">
        <f t="shared" si="257"/>
        <v/>
      </c>
      <c r="MA60" s="4" t="str">
        <f t="shared" si="258"/>
        <v/>
      </c>
      <c r="MB60" s="4" t="str">
        <f t="shared" si="259"/>
        <v/>
      </c>
      <c r="MC60" s="4" t="str">
        <f t="shared" si="260"/>
        <v/>
      </c>
      <c r="MD60" s="4" t="str">
        <f t="shared" si="261"/>
        <v/>
      </c>
      <c r="ME60" s="4" t="str">
        <f t="shared" si="262"/>
        <v/>
      </c>
      <c r="MF60" s="4" t="str">
        <f t="shared" si="263"/>
        <v/>
      </c>
      <c r="MG60" s="4">
        <f t="shared" si="264"/>
        <v>0</v>
      </c>
    </row>
    <row r="61" spans="1:345" ht="26.25" customHeight="1" x14ac:dyDescent="0.2">
      <c r="A61" s="35">
        <v>41276</v>
      </c>
      <c r="B61" s="36" t="s">
        <v>199</v>
      </c>
      <c r="C61" s="36" t="s">
        <v>23</v>
      </c>
      <c r="D61" s="31" t="s">
        <v>110</v>
      </c>
      <c r="E61" s="4">
        <v>74</v>
      </c>
      <c r="F61" s="3">
        <v>13955</v>
      </c>
      <c r="G61" s="4" t="s">
        <v>244</v>
      </c>
      <c r="H61" s="4" t="s">
        <v>112</v>
      </c>
      <c r="I61" s="4">
        <v>1836066</v>
      </c>
      <c r="J61" s="2" t="s">
        <v>309</v>
      </c>
      <c r="K61" s="235" t="s">
        <v>669</v>
      </c>
      <c r="L61" s="236"/>
      <c r="M61" s="236">
        <v>1</v>
      </c>
      <c r="N61" s="236"/>
      <c r="O61" s="235"/>
      <c r="P61" s="236"/>
      <c r="Q61" s="236"/>
      <c r="R61" s="33">
        <v>-0.5</v>
      </c>
      <c r="S61" s="33">
        <v>-0.42</v>
      </c>
      <c r="T61" s="33" t="s">
        <v>249</v>
      </c>
      <c r="U61" s="67">
        <v>22</v>
      </c>
      <c r="V61" s="124">
        <v>41270</v>
      </c>
      <c r="W61" s="67">
        <v>0</v>
      </c>
      <c r="X61" s="67">
        <v>0</v>
      </c>
      <c r="Y61" s="4">
        <v>0</v>
      </c>
      <c r="Z61" s="4">
        <v>2000</v>
      </c>
      <c r="AA61" s="4">
        <v>14</v>
      </c>
      <c r="AB61" s="4">
        <v>1000</v>
      </c>
      <c r="AC61" s="4">
        <v>22.58</v>
      </c>
      <c r="AD61" s="4">
        <v>11.4</v>
      </c>
      <c r="AE61" s="4">
        <v>5.1509999999999998</v>
      </c>
      <c r="AF61" s="4">
        <v>2.68</v>
      </c>
      <c r="AG61" s="4">
        <v>45.49</v>
      </c>
      <c r="AH61" s="4">
        <v>90</v>
      </c>
      <c r="AI61" s="4">
        <v>46.17</v>
      </c>
      <c r="AJ61" s="4">
        <v>0</v>
      </c>
      <c r="AK61" s="4">
        <v>0</v>
      </c>
      <c r="AL61" s="4" t="b">
        <f t="shared" si="135"/>
        <v>0</v>
      </c>
      <c r="AM61" s="43" t="s">
        <v>311</v>
      </c>
      <c r="AN61" s="3">
        <v>41526</v>
      </c>
      <c r="AO61" s="56">
        <v>40</v>
      </c>
      <c r="AP61" s="67">
        <v>0</v>
      </c>
      <c r="AQ61" s="67">
        <v>1.25</v>
      </c>
      <c r="AR61" s="4">
        <v>30</v>
      </c>
      <c r="AS61" s="4">
        <v>40</v>
      </c>
      <c r="AT61" s="4">
        <v>13</v>
      </c>
      <c r="AU61" s="4">
        <v>468</v>
      </c>
      <c r="AV61" s="4">
        <v>2092</v>
      </c>
      <c r="AW61" s="4" t="s">
        <v>282</v>
      </c>
      <c r="AX61" s="4" t="s">
        <v>282</v>
      </c>
      <c r="AY61" s="4" t="s">
        <v>282</v>
      </c>
      <c r="AZ61" s="4" t="s">
        <v>282</v>
      </c>
      <c r="BA61" s="4" t="s">
        <v>282</v>
      </c>
      <c r="BB61" s="4" t="s">
        <v>282</v>
      </c>
      <c r="BC61" s="4">
        <f t="shared" si="136"/>
        <v>0.625</v>
      </c>
      <c r="BD61" s="4">
        <f t="shared" si="267"/>
        <v>1.0449999999999999</v>
      </c>
      <c r="BE61" s="4">
        <f t="shared" si="137"/>
        <v>-532</v>
      </c>
      <c r="BF61" s="51" t="s">
        <v>501</v>
      </c>
      <c r="BU61" s="4" t="str">
        <f t="shared" si="266"/>
        <v/>
      </c>
      <c r="BV61" s="4" t="str">
        <f t="shared" si="138"/>
        <v/>
      </c>
      <c r="BW61" s="4" t="str">
        <f t="shared" si="139"/>
        <v/>
      </c>
      <c r="BX61" s="4">
        <f t="shared" si="140"/>
        <v>1</v>
      </c>
      <c r="BY61" s="4">
        <f t="shared" si="141"/>
        <v>0</v>
      </c>
      <c r="BZ61" s="4" t="str">
        <f t="shared" si="142"/>
        <v/>
      </c>
      <c r="CA61" s="4" t="str">
        <f t="shared" si="143"/>
        <v/>
      </c>
      <c r="CB61" s="4" t="str">
        <f t="shared" si="144"/>
        <v/>
      </c>
      <c r="CC61" s="53">
        <f t="shared" si="145"/>
        <v>250</v>
      </c>
      <c r="CD61" s="55">
        <f t="shared" si="146"/>
        <v>8.3333333333333339</v>
      </c>
      <c r="CE61" s="4" t="str">
        <f t="shared" si="147"/>
        <v/>
      </c>
      <c r="CF61" s="4" t="str">
        <f t="shared" si="148"/>
        <v/>
      </c>
      <c r="CG61" s="4" t="str">
        <f t="shared" si="149"/>
        <v/>
      </c>
      <c r="CH61" s="4" t="str">
        <f t="shared" si="150"/>
        <v/>
      </c>
      <c r="CI61" s="4">
        <f t="shared" si="151"/>
        <v>0</v>
      </c>
      <c r="CJ61" s="4">
        <f t="shared" si="152"/>
        <v>0.625</v>
      </c>
      <c r="CK61" s="93">
        <f t="shared" si="153"/>
        <v>1.0449999999999999</v>
      </c>
      <c r="CL61" s="83">
        <f t="shared" si="154"/>
        <v>-532</v>
      </c>
      <c r="CM61" s="4" t="str">
        <f t="shared" si="155"/>
        <v/>
      </c>
      <c r="CN61" s="96">
        <f t="shared" si="156"/>
        <v>-0.42</v>
      </c>
      <c r="CO61" s="96">
        <f t="shared" si="265"/>
        <v>1.6989700043360187</v>
      </c>
      <c r="CP61" s="127">
        <f t="shared" si="157"/>
        <v>1.25</v>
      </c>
      <c r="CQ61" s="127">
        <f t="shared" si="158"/>
        <v>1.25</v>
      </c>
      <c r="CR61" s="136">
        <f t="shared" si="159"/>
        <v>40</v>
      </c>
      <c r="CS61" s="136">
        <f t="shared" si="160"/>
        <v>2000</v>
      </c>
      <c r="CT61" s="135">
        <f t="shared" si="161"/>
        <v>40</v>
      </c>
      <c r="CU61" s="139" t="str">
        <f t="shared" si="162"/>
        <v/>
      </c>
      <c r="CV61" s="96" t="str">
        <f t="shared" si="163"/>
        <v/>
      </c>
      <c r="CW61" s="141" t="str">
        <f t="shared" si="164"/>
        <v/>
      </c>
      <c r="IL61" s="83" t="str">
        <f t="shared" si="165"/>
        <v/>
      </c>
      <c r="IM61" s="4" t="str">
        <f t="shared" si="166"/>
        <v/>
      </c>
      <c r="IN61" s="4" t="str">
        <f t="shared" si="167"/>
        <v/>
      </c>
      <c r="IO61" s="4" t="str">
        <f t="shared" si="168"/>
        <v/>
      </c>
      <c r="IP61" s="4" t="str">
        <f t="shared" si="169"/>
        <v/>
      </c>
      <c r="IQ61" s="4" t="str">
        <f t="shared" si="170"/>
        <v/>
      </c>
      <c r="IR61" s="4" t="str">
        <f t="shared" si="171"/>
        <v/>
      </c>
      <c r="IS61" s="4" t="str">
        <f t="shared" si="172"/>
        <v/>
      </c>
      <c r="IT61" s="4" t="str">
        <f t="shared" si="173"/>
        <v/>
      </c>
      <c r="IU61" s="4" t="str">
        <f t="shared" si="174"/>
        <v/>
      </c>
      <c r="IV61" s="4" t="str">
        <f t="shared" si="175"/>
        <v/>
      </c>
      <c r="IW61" s="4" t="str">
        <f t="shared" si="176"/>
        <v/>
      </c>
      <c r="IX61" s="4" t="str">
        <f t="shared" si="177"/>
        <v/>
      </c>
      <c r="IY61" s="4" t="str">
        <f t="shared" si="178"/>
        <v/>
      </c>
      <c r="IZ61" s="4" t="str">
        <f t="shared" si="179"/>
        <v/>
      </c>
      <c r="JA61" s="4" t="str">
        <f t="shared" si="180"/>
        <v/>
      </c>
      <c r="JB61" s="4" t="str">
        <f t="shared" si="181"/>
        <v/>
      </c>
      <c r="JC61" s="4" t="str">
        <f t="shared" si="182"/>
        <v/>
      </c>
      <c r="JD61" s="4" t="str">
        <f t="shared" si="183"/>
        <v/>
      </c>
      <c r="JE61" s="4" t="str">
        <f t="shared" si="184"/>
        <v/>
      </c>
      <c r="JF61" s="4" t="str">
        <f t="shared" si="185"/>
        <v/>
      </c>
      <c r="JG61" s="4" t="str">
        <f t="shared" si="186"/>
        <v/>
      </c>
      <c r="JH61" s="4" t="str">
        <f t="shared" si="187"/>
        <v/>
      </c>
      <c r="JI61" s="4" t="str">
        <f t="shared" si="188"/>
        <v/>
      </c>
      <c r="JJ61" s="4" t="str">
        <f t="shared" si="189"/>
        <v/>
      </c>
      <c r="JK61" s="4" t="str">
        <f t="shared" si="190"/>
        <v/>
      </c>
      <c r="JL61" s="4" t="str">
        <f t="shared" si="191"/>
        <v/>
      </c>
      <c r="JM61" s="4" t="str">
        <f t="shared" si="192"/>
        <v/>
      </c>
      <c r="JN61" s="4" t="str">
        <f t="shared" si="193"/>
        <v/>
      </c>
      <c r="JO61" s="4" t="str">
        <f t="shared" si="194"/>
        <v/>
      </c>
      <c r="JP61" s="4" t="str">
        <f t="shared" si="195"/>
        <v/>
      </c>
      <c r="JQ61" s="117" t="str">
        <f t="shared" si="196"/>
        <v/>
      </c>
      <c r="JR61" s="110" t="str">
        <f t="shared" si="197"/>
        <v/>
      </c>
      <c r="JS61" s="110" t="str">
        <f t="shared" si="198"/>
        <v/>
      </c>
      <c r="JT61" s="110" t="str">
        <f t="shared" si="199"/>
        <v/>
      </c>
      <c r="JU61" s="110" t="str">
        <f t="shared" si="200"/>
        <v/>
      </c>
      <c r="JV61" s="110" t="str">
        <f t="shared" si="201"/>
        <v/>
      </c>
      <c r="JW61" s="110" t="str">
        <f t="shared" si="202"/>
        <v/>
      </c>
      <c r="JX61" s="110" t="str">
        <f t="shared" si="203"/>
        <v/>
      </c>
      <c r="JY61" s="110" t="str">
        <f t="shared" si="204"/>
        <v/>
      </c>
      <c r="JZ61" s="110" t="str">
        <f t="shared" si="205"/>
        <v/>
      </c>
      <c r="KA61" s="110" t="str">
        <f t="shared" si="206"/>
        <v/>
      </c>
      <c r="KB61" s="110" t="str">
        <f t="shared" si="207"/>
        <v/>
      </c>
      <c r="KC61" s="110" t="str">
        <f t="shared" si="208"/>
        <v/>
      </c>
      <c r="KD61" s="110" t="str">
        <f t="shared" si="209"/>
        <v/>
      </c>
      <c r="KE61" s="110" t="str">
        <f t="shared" si="210"/>
        <v/>
      </c>
      <c r="KF61" s="110" t="str">
        <f t="shared" si="211"/>
        <v/>
      </c>
      <c r="KG61" s="121" t="str">
        <f t="shared" si="212"/>
        <v/>
      </c>
      <c r="KH61" s="83" t="str">
        <f t="shared" si="213"/>
        <v/>
      </c>
      <c r="KI61" s="4" t="str">
        <f t="shared" si="214"/>
        <v/>
      </c>
      <c r="KJ61" s="4" t="str">
        <f t="shared" si="215"/>
        <v/>
      </c>
      <c r="KK61" s="4" t="str">
        <f t="shared" si="216"/>
        <v/>
      </c>
      <c r="KL61" s="4" t="str">
        <f t="shared" si="217"/>
        <v/>
      </c>
      <c r="KM61" s="4" t="str">
        <f t="shared" si="218"/>
        <v/>
      </c>
      <c r="KN61" s="4" t="str">
        <f t="shared" si="219"/>
        <v/>
      </c>
      <c r="KO61" s="4" t="str">
        <f t="shared" si="220"/>
        <v/>
      </c>
      <c r="KP61" s="4" t="str">
        <f t="shared" si="221"/>
        <v/>
      </c>
      <c r="KQ61" s="4" t="str">
        <f t="shared" si="222"/>
        <v/>
      </c>
      <c r="KR61" s="4" t="str">
        <f t="shared" si="223"/>
        <v/>
      </c>
      <c r="KS61" s="4" t="str">
        <f t="shared" si="224"/>
        <v/>
      </c>
      <c r="KT61" s="4" t="str">
        <f t="shared" si="225"/>
        <v/>
      </c>
      <c r="KU61" s="4" t="str">
        <f t="shared" si="226"/>
        <v/>
      </c>
      <c r="KV61" s="4" t="str">
        <f t="shared" si="227"/>
        <v/>
      </c>
      <c r="KW61" s="4" t="str">
        <f t="shared" si="228"/>
        <v/>
      </c>
      <c r="KX61" s="4" t="str">
        <f t="shared" si="229"/>
        <v/>
      </c>
      <c r="KY61" s="4" t="str">
        <f t="shared" si="230"/>
        <v/>
      </c>
      <c r="KZ61" s="4" t="str">
        <f t="shared" si="231"/>
        <v/>
      </c>
      <c r="LA61" s="4" t="str">
        <f t="shared" si="232"/>
        <v/>
      </c>
      <c r="LB61" s="4" t="str">
        <f t="shared" si="233"/>
        <v/>
      </c>
      <c r="LC61" s="4" t="str">
        <f t="shared" si="234"/>
        <v/>
      </c>
      <c r="LD61" s="4" t="str">
        <f t="shared" si="235"/>
        <v/>
      </c>
      <c r="LE61" s="4" t="str">
        <f t="shared" si="236"/>
        <v/>
      </c>
      <c r="LF61" s="4" t="str">
        <f t="shared" si="237"/>
        <v/>
      </c>
      <c r="LG61" s="4" t="str">
        <f t="shared" si="238"/>
        <v/>
      </c>
      <c r="LH61" s="4" t="str">
        <f t="shared" si="239"/>
        <v/>
      </c>
      <c r="LI61" s="4" t="str">
        <f t="shared" si="240"/>
        <v/>
      </c>
      <c r="LJ61" s="4" t="str">
        <f t="shared" si="241"/>
        <v/>
      </c>
      <c r="LK61" s="4" t="str">
        <f t="shared" si="242"/>
        <v/>
      </c>
      <c r="LL61" s="4" t="str">
        <f t="shared" si="243"/>
        <v/>
      </c>
      <c r="LM61" s="4" t="str">
        <f t="shared" si="244"/>
        <v/>
      </c>
      <c r="LN61" s="4" t="str">
        <f t="shared" si="245"/>
        <v/>
      </c>
      <c r="LO61" s="4" t="str">
        <f t="shared" si="246"/>
        <v/>
      </c>
      <c r="LP61" s="4" t="str">
        <f t="shared" si="247"/>
        <v/>
      </c>
      <c r="LQ61" s="4" t="str">
        <f t="shared" si="248"/>
        <v/>
      </c>
      <c r="LR61" s="4" t="str">
        <f t="shared" si="249"/>
        <v/>
      </c>
      <c r="LS61" s="4" t="str">
        <f t="shared" si="250"/>
        <v/>
      </c>
      <c r="LT61" s="4" t="str">
        <f t="shared" si="251"/>
        <v/>
      </c>
      <c r="LU61" s="4" t="str">
        <f t="shared" si="252"/>
        <v/>
      </c>
      <c r="LV61" s="4" t="str">
        <f t="shared" si="253"/>
        <v/>
      </c>
      <c r="LW61" s="4" t="str">
        <f t="shared" si="254"/>
        <v/>
      </c>
      <c r="LX61" s="4" t="str">
        <f t="shared" si="255"/>
        <v/>
      </c>
      <c r="LY61" s="4" t="str">
        <f t="shared" si="256"/>
        <v/>
      </c>
      <c r="LZ61" s="4" t="str">
        <f t="shared" si="257"/>
        <v/>
      </c>
      <c r="MA61" s="4" t="str">
        <f t="shared" si="258"/>
        <v/>
      </c>
      <c r="MB61" s="4" t="str">
        <f t="shared" si="259"/>
        <v/>
      </c>
      <c r="MC61" s="4" t="str">
        <f t="shared" si="260"/>
        <v/>
      </c>
      <c r="MD61" s="4" t="str">
        <f t="shared" si="261"/>
        <v/>
      </c>
      <c r="ME61" s="4" t="str">
        <f t="shared" si="262"/>
        <v/>
      </c>
      <c r="MF61" s="4" t="str">
        <f t="shared" si="263"/>
        <v/>
      </c>
      <c r="MG61" s="4">
        <f t="shared" si="264"/>
        <v>0</v>
      </c>
    </row>
    <row r="62" spans="1:345" ht="26.25" customHeight="1" thickBot="1" x14ac:dyDescent="0.25">
      <c r="A62" s="35">
        <v>41311</v>
      </c>
      <c r="B62" s="36" t="s">
        <v>146</v>
      </c>
      <c r="C62" s="36" t="s">
        <v>29</v>
      </c>
      <c r="D62" s="31" t="s">
        <v>110</v>
      </c>
      <c r="E62" s="4">
        <v>61</v>
      </c>
      <c r="F62" s="3">
        <v>18777</v>
      </c>
      <c r="G62" s="4" t="s">
        <v>87</v>
      </c>
      <c r="H62" s="4" t="s">
        <v>108</v>
      </c>
      <c r="I62" s="4">
        <v>1836088</v>
      </c>
      <c r="R62" s="4">
        <v>-0.5</v>
      </c>
      <c r="S62" s="4">
        <v>-0.59</v>
      </c>
      <c r="T62" s="39" t="s">
        <v>249</v>
      </c>
      <c r="U62" s="70">
        <v>19.5</v>
      </c>
      <c r="V62" s="124">
        <v>41281</v>
      </c>
      <c r="W62" s="67">
        <v>-1.5</v>
      </c>
      <c r="X62" s="67">
        <v>0</v>
      </c>
      <c r="Y62" s="4">
        <v>0</v>
      </c>
      <c r="Z62" s="4">
        <v>25</v>
      </c>
      <c r="AA62" s="4">
        <v>16</v>
      </c>
      <c r="AB62" s="4">
        <v>602</v>
      </c>
      <c r="AC62" s="4">
        <v>22.38</v>
      </c>
      <c r="AD62" s="4">
        <v>11.5</v>
      </c>
      <c r="AE62" s="4">
        <v>4.54</v>
      </c>
      <c r="AF62" s="4">
        <v>3.31</v>
      </c>
      <c r="AG62" s="4">
        <v>48.35</v>
      </c>
      <c r="AH62" s="4">
        <v>161</v>
      </c>
      <c r="AI62" s="4">
        <v>48.77</v>
      </c>
      <c r="AJ62" s="4">
        <v>71</v>
      </c>
      <c r="AK62" s="4">
        <v>0</v>
      </c>
      <c r="AL62" s="4" t="b">
        <f t="shared" si="135"/>
        <v>0</v>
      </c>
      <c r="AN62" s="32">
        <v>41569</v>
      </c>
      <c r="AO62" s="60">
        <v>30</v>
      </c>
      <c r="AP62" s="67">
        <v>-0.5</v>
      </c>
      <c r="AQ62" s="67">
        <v>0.25</v>
      </c>
      <c r="AR62" s="4">
        <v>30</v>
      </c>
      <c r="AS62" s="4">
        <v>25</v>
      </c>
      <c r="AT62" s="4">
        <v>16</v>
      </c>
      <c r="AU62" s="4">
        <v>533</v>
      </c>
      <c r="AV62" s="4">
        <v>2740</v>
      </c>
      <c r="AW62" s="4">
        <v>22.42</v>
      </c>
      <c r="AX62" s="4">
        <v>1.48</v>
      </c>
      <c r="AY62" s="4">
        <v>47.7</v>
      </c>
      <c r="AZ62" s="4">
        <v>154</v>
      </c>
      <c r="BA62" s="4">
        <v>47.8</v>
      </c>
      <c r="BB62" s="4">
        <v>64</v>
      </c>
      <c r="BC62" s="4">
        <f t="shared" si="136"/>
        <v>-0.375</v>
      </c>
      <c r="BD62" s="4">
        <f t="shared" si="267"/>
        <v>0.21499999999999997</v>
      </c>
      <c r="BE62" s="4">
        <f t="shared" si="137"/>
        <v>-69</v>
      </c>
      <c r="BF62" s="40">
        <v>41717</v>
      </c>
      <c r="BG62" s="58"/>
      <c r="BU62" s="4" t="str">
        <f t="shared" si="266"/>
        <v/>
      </c>
      <c r="BV62" s="4" t="str">
        <f t="shared" si="138"/>
        <v/>
      </c>
      <c r="BW62" s="4" t="str">
        <f t="shared" si="139"/>
        <v/>
      </c>
      <c r="BX62" s="4">
        <f t="shared" si="140"/>
        <v>1</v>
      </c>
      <c r="BY62" s="4">
        <f t="shared" si="141"/>
        <v>0</v>
      </c>
      <c r="BZ62" s="4" t="str">
        <f t="shared" si="142"/>
        <v/>
      </c>
      <c r="CA62" s="4" t="str">
        <f t="shared" si="143"/>
        <v/>
      </c>
      <c r="CB62" s="4" t="str">
        <f t="shared" si="144"/>
        <v/>
      </c>
      <c r="CC62" s="53">
        <f t="shared" si="145"/>
        <v>258</v>
      </c>
      <c r="CD62" s="55">
        <f t="shared" si="146"/>
        <v>8.6</v>
      </c>
      <c r="CE62" s="4" t="str">
        <f t="shared" si="147"/>
        <v/>
      </c>
      <c r="CF62" s="4">
        <f t="shared" si="148"/>
        <v>-0.81000000000000227</v>
      </c>
      <c r="CG62" s="4" t="str">
        <f t="shared" si="149"/>
        <v/>
      </c>
      <c r="CH62" s="4">
        <f t="shared" si="150"/>
        <v>-0.81000000000000227</v>
      </c>
      <c r="CI62" s="4">
        <f t="shared" si="151"/>
        <v>-1.5</v>
      </c>
      <c r="CJ62" s="4">
        <f t="shared" si="152"/>
        <v>-0.375</v>
      </c>
      <c r="CK62" s="93">
        <f t="shared" si="153"/>
        <v>0.21499999999999997</v>
      </c>
      <c r="CL62" s="83">
        <f t="shared" si="154"/>
        <v>-69</v>
      </c>
      <c r="CM62" s="4">
        <f t="shared" si="155"/>
        <v>4.00000000000027E-2</v>
      </c>
      <c r="CN62" s="96">
        <f t="shared" si="156"/>
        <v>-0.59</v>
      </c>
      <c r="CO62" s="96">
        <f t="shared" si="265"/>
        <v>0</v>
      </c>
      <c r="CP62" s="127">
        <f t="shared" si="157"/>
        <v>0.25</v>
      </c>
      <c r="CQ62" s="127">
        <f t="shared" si="158"/>
        <v>0.25</v>
      </c>
      <c r="CR62" s="136">
        <f t="shared" si="159"/>
        <v>25</v>
      </c>
      <c r="CS62" s="136">
        <f t="shared" si="160"/>
        <v>25</v>
      </c>
      <c r="CT62" s="135">
        <f t="shared" si="161"/>
        <v>30</v>
      </c>
      <c r="CU62" s="139">
        <f t="shared" si="162"/>
        <v>0</v>
      </c>
      <c r="CV62" s="96" t="str">
        <f t="shared" si="163"/>
        <v/>
      </c>
      <c r="CW62" s="141" t="b">
        <f t="shared" si="164"/>
        <v>0</v>
      </c>
      <c r="CX62">
        <v>7.12</v>
      </c>
      <c r="CY62" s="4">
        <v>7.16</v>
      </c>
      <c r="CZ62" s="4">
        <v>122.4</v>
      </c>
      <c r="DA62" s="4">
        <v>0.3</v>
      </c>
      <c r="DB62" s="4">
        <v>0.44</v>
      </c>
      <c r="DC62" s="4">
        <v>0.65</v>
      </c>
      <c r="DD62" s="4">
        <v>2.78</v>
      </c>
      <c r="DE62" s="4">
        <v>3.37</v>
      </c>
      <c r="DF62" s="4">
        <v>592</v>
      </c>
      <c r="DG62" s="4">
        <v>594</v>
      </c>
      <c r="DH62" s="4">
        <v>651</v>
      </c>
      <c r="DI62" s="4">
        <v>633</v>
      </c>
      <c r="DJ62" s="4">
        <v>649</v>
      </c>
      <c r="DK62" s="4">
        <v>609</v>
      </c>
      <c r="DL62" s="4">
        <v>582</v>
      </c>
      <c r="DM62" s="4">
        <v>-0.86</v>
      </c>
      <c r="DN62" s="4">
        <v>-0.73</v>
      </c>
      <c r="DO62" s="4">
        <v>7.15</v>
      </c>
      <c r="DP62" s="4">
        <v>7.13</v>
      </c>
      <c r="DQ62" s="4">
        <v>7.22</v>
      </c>
      <c r="DR62" s="4">
        <v>7.46</v>
      </c>
      <c r="DS62" s="4">
        <v>7.77</v>
      </c>
      <c r="DT62" s="4">
        <v>8.0399999999999991</v>
      </c>
      <c r="DU62" s="4">
        <v>0</v>
      </c>
      <c r="DV62" s="4">
        <v>0.5</v>
      </c>
      <c r="DW62" s="4">
        <v>6.57</v>
      </c>
      <c r="DX62" s="4">
        <v>6.09</v>
      </c>
      <c r="DY62" s="4">
        <v>5.93</v>
      </c>
      <c r="DZ62" s="4">
        <v>6.19</v>
      </c>
      <c r="EA62" s="4">
        <v>6.47</v>
      </c>
      <c r="EB62" s="4">
        <v>0</v>
      </c>
      <c r="EC62" s="4">
        <v>0</v>
      </c>
      <c r="ED62" s="89">
        <v>0.5</v>
      </c>
      <c r="EE62" s="110">
        <v>47.1</v>
      </c>
      <c r="EF62" s="110">
        <v>47.4</v>
      </c>
      <c r="EG62" s="110">
        <v>47.3</v>
      </c>
      <c r="EH62" s="110">
        <v>122.4</v>
      </c>
      <c r="EI62" s="110">
        <v>0.3</v>
      </c>
      <c r="EJ62" s="110">
        <v>-6.2</v>
      </c>
      <c r="EK62" s="110">
        <v>-6.3</v>
      </c>
      <c r="EL62" s="110">
        <v>-6.3</v>
      </c>
      <c r="EM62" s="110">
        <v>40.299999999999997</v>
      </c>
      <c r="EN62" s="110">
        <v>0.2</v>
      </c>
      <c r="EO62" s="110">
        <v>4.2</v>
      </c>
      <c r="EP62" s="110">
        <v>12.1</v>
      </c>
      <c r="EQ62" s="110">
        <v>25.9</v>
      </c>
      <c r="ER62" s="110">
        <v>64.5</v>
      </c>
      <c r="ES62" s="114">
        <v>16</v>
      </c>
      <c r="ET62" s="83">
        <v>7.15</v>
      </c>
      <c r="EU62" s="4">
        <v>7.19</v>
      </c>
      <c r="EV62" s="4">
        <v>92.2</v>
      </c>
      <c r="EW62" s="4">
        <v>0.2</v>
      </c>
      <c r="EX62" s="4">
        <v>0.48</v>
      </c>
      <c r="EY62" s="4">
        <v>0.63</v>
      </c>
      <c r="EZ62" s="4">
        <v>4.7699999999999996</v>
      </c>
      <c r="FA62" s="4">
        <v>5.3</v>
      </c>
      <c r="FB62" s="4">
        <v>531</v>
      </c>
      <c r="FC62" s="4">
        <v>529</v>
      </c>
      <c r="FD62" s="4">
        <v>664</v>
      </c>
      <c r="FE62" s="4">
        <v>613</v>
      </c>
      <c r="FF62" s="4">
        <v>639</v>
      </c>
      <c r="FG62" s="4">
        <v>608</v>
      </c>
      <c r="FH62" s="4">
        <v>523</v>
      </c>
      <c r="FI62" s="4">
        <v>0.83</v>
      </c>
      <c r="FJ62" s="4">
        <v>-0.39</v>
      </c>
      <c r="FK62" s="4">
        <v>7.17</v>
      </c>
      <c r="FL62" s="4">
        <v>7.16</v>
      </c>
      <c r="FM62" s="4">
        <v>7.22</v>
      </c>
      <c r="FN62" s="4">
        <v>7.46</v>
      </c>
      <c r="FO62" s="4">
        <v>7.73</v>
      </c>
      <c r="FP62" s="4">
        <v>7.91</v>
      </c>
      <c r="FQ62" s="4">
        <v>0</v>
      </c>
      <c r="FR62" s="4">
        <v>1.4</v>
      </c>
      <c r="FS62" s="4">
        <v>5.86</v>
      </c>
      <c r="FT62" s="4">
        <v>5.73</v>
      </c>
      <c r="FU62" s="4">
        <v>5.85</v>
      </c>
      <c r="FV62" s="4">
        <v>6.11</v>
      </c>
      <c r="FW62" s="4">
        <v>6.24</v>
      </c>
      <c r="FX62" s="4">
        <v>0</v>
      </c>
      <c r="FY62" s="4">
        <v>0</v>
      </c>
      <c r="FZ62" s="86">
        <v>1.4</v>
      </c>
      <c r="GA62" s="110">
        <v>46.9</v>
      </c>
      <c r="GB62" s="110">
        <v>47.2</v>
      </c>
      <c r="GC62" s="110">
        <v>47.1</v>
      </c>
      <c r="GD62" s="110">
        <v>92.2</v>
      </c>
      <c r="GE62" s="110">
        <v>0.2</v>
      </c>
      <c r="GF62" s="110">
        <v>-6.8</v>
      </c>
      <c r="GG62" s="110">
        <v>-7</v>
      </c>
      <c r="GH62" s="110">
        <v>-6.9</v>
      </c>
      <c r="GI62" s="110">
        <v>171.7</v>
      </c>
      <c r="GJ62" s="110">
        <v>0.2</v>
      </c>
      <c r="GK62" s="110">
        <v>3.9</v>
      </c>
      <c r="GL62" s="110">
        <v>11.4</v>
      </c>
      <c r="GM62" s="110">
        <v>25.1</v>
      </c>
      <c r="GN62" s="110">
        <v>64</v>
      </c>
      <c r="GO62" s="119">
        <v>15</v>
      </c>
      <c r="IL62" s="83">
        <f t="shared" si="165"/>
        <v>7.15</v>
      </c>
      <c r="IM62" s="4">
        <f t="shared" si="166"/>
        <v>7.19</v>
      </c>
      <c r="IN62" s="4">
        <f t="shared" si="167"/>
        <v>92.2</v>
      </c>
      <c r="IO62" s="4">
        <f t="shared" si="168"/>
        <v>0.2</v>
      </c>
      <c r="IP62" s="4">
        <f t="shared" si="169"/>
        <v>0.48</v>
      </c>
      <c r="IQ62" s="4">
        <f t="shared" si="170"/>
        <v>0.63</v>
      </c>
      <c r="IR62" s="4">
        <f t="shared" si="171"/>
        <v>4.7699999999999996</v>
      </c>
      <c r="IS62" s="4">
        <f t="shared" si="172"/>
        <v>5.3</v>
      </c>
      <c r="IT62" s="4">
        <f t="shared" si="173"/>
        <v>531</v>
      </c>
      <c r="IU62" s="4">
        <f t="shared" si="174"/>
        <v>529</v>
      </c>
      <c r="IV62" s="4">
        <f t="shared" si="175"/>
        <v>664</v>
      </c>
      <c r="IW62" s="4">
        <f t="shared" si="176"/>
        <v>613</v>
      </c>
      <c r="IX62" s="4">
        <f t="shared" si="177"/>
        <v>639</v>
      </c>
      <c r="IY62" s="4">
        <f t="shared" si="178"/>
        <v>608</v>
      </c>
      <c r="IZ62" s="4">
        <f t="shared" si="179"/>
        <v>523</v>
      </c>
      <c r="JA62" s="4">
        <f t="shared" si="180"/>
        <v>0.83</v>
      </c>
      <c r="JB62" s="4">
        <f t="shared" si="181"/>
        <v>-0.39</v>
      </c>
      <c r="JC62" s="4">
        <f t="shared" si="182"/>
        <v>7.17</v>
      </c>
      <c r="JD62" s="4">
        <f t="shared" si="183"/>
        <v>7.16</v>
      </c>
      <c r="JE62" s="4">
        <f t="shared" si="184"/>
        <v>7.22</v>
      </c>
      <c r="JF62" s="4">
        <f t="shared" si="185"/>
        <v>7.46</v>
      </c>
      <c r="JG62" s="4">
        <f t="shared" si="186"/>
        <v>7.73</v>
      </c>
      <c r="JH62" s="4">
        <f t="shared" si="187"/>
        <v>7.91</v>
      </c>
      <c r="JI62" s="4">
        <f t="shared" si="188"/>
        <v>0</v>
      </c>
      <c r="JJ62" s="4">
        <f t="shared" si="189"/>
        <v>1.4</v>
      </c>
      <c r="JK62" s="4">
        <f t="shared" si="190"/>
        <v>5.86</v>
      </c>
      <c r="JL62" s="4">
        <f t="shared" si="191"/>
        <v>5.73</v>
      </c>
      <c r="JM62" s="4">
        <f t="shared" si="192"/>
        <v>5.85</v>
      </c>
      <c r="JN62" s="4">
        <f t="shared" si="193"/>
        <v>6.11</v>
      </c>
      <c r="JO62" s="4">
        <f t="shared" si="194"/>
        <v>6.24</v>
      </c>
      <c r="JP62" s="4">
        <f t="shared" si="195"/>
        <v>0</v>
      </c>
      <c r="JQ62" s="117">
        <f t="shared" si="196"/>
        <v>0</v>
      </c>
      <c r="JR62" s="110">
        <f t="shared" si="197"/>
        <v>1.4</v>
      </c>
      <c r="JS62" s="110">
        <f t="shared" si="198"/>
        <v>46.9</v>
      </c>
      <c r="JT62" s="110">
        <f t="shared" si="199"/>
        <v>47.2</v>
      </c>
      <c r="JU62" s="110">
        <f t="shared" si="200"/>
        <v>47.1</v>
      </c>
      <c r="JV62" s="110">
        <f t="shared" si="201"/>
        <v>92.2</v>
      </c>
      <c r="JW62" s="110">
        <f t="shared" si="202"/>
        <v>0.2</v>
      </c>
      <c r="JX62" s="110">
        <f t="shared" si="203"/>
        <v>-6.8</v>
      </c>
      <c r="JY62" s="110">
        <f t="shared" si="204"/>
        <v>-7</v>
      </c>
      <c r="JZ62" s="110">
        <f t="shared" si="205"/>
        <v>-6.9</v>
      </c>
      <c r="KA62" s="110">
        <f t="shared" si="206"/>
        <v>171.7</v>
      </c>
      <c r="KB62" s="110">
        <f t="shared" si="207"/>
        <v>0.2</v>
      </c>
      <c r="KC62" s="110">
        <f t="shared" si="208"/>
        <v>3.9</v>
      </c>
      <c r="KD62" s="110">
        <f t="shared" si="209"/>
        <v>11.4</v>
      </c>
      <c r="KE62" s="110">
        <f t="shared" si="210"/>
        <v>25.1</v>
      </c>
      <c r="KF62" s="110">
        <f t="shared" si="211"/>
        <v>64</v>
      </c>
      <c r="KG62" s="121">
        <f t="shared" si="212"/>
        <v>15</v>
      </c>
      <c r="KH62" s="83">
        <f t="shared" si="213"/>
        <v>3.0000000000000249E-2</v>
      </c>
      <c r="KI62" s="4">
        <f t="shared" si="214"/>
        <v>3.0000000000000249E-2</v>
      </c>
      <c r="KJ62" s="4">
        <f t="shared" si="215"/>
        <v>-30.200000000000003</v>
      </c>
      <c r="KK62" s="4">
        <f t="shared" si="216"/>
        <v>-9.9999999999999978E-2</v>
      </c>
      <c r="KL62" s="4">
        <f t="shared" si="217"/>
        <v>3.999999999999998E-2</v>
      </c>
      <c r="KM62" s="4">
        <f t="shared" si="218"/>
        <v>-2.0000000000000018E-2</v>
      </c>
      <c r="KN62" s="4">
        <f t="shared" si="219"/>
        <v>1.9899999999999998</v>
      </c>
      <c r="KO62" s="4">
        <f t="shared" si="220"/>
        <v>1.9299999999999997</v>
      </c>
      <c r="KP62" s="4">
        <f t="shared" si="221"/>
        <v>-61</v>
      </c>
      <c r="KQ62" s="4">
        <f t="shared" si="222"/>
        <v>-65</v>
      </c>
      <c r="KR62" s="4">
        <f t="shared" si="223"/>
        <v>13</v>
      </c>
      <c r="KS62" s="4">
        <f t="shared" si="224"/>
        <v>-20</v>
      </c>
      <c r="KT62" s="4">
        <f t="shared" si="225"/>
        <v>-10</v>
      </c>
      <c r="KU62" s="4">
        <f t="shared" si="226"/>
        <v>-1</v>
      </c>
      <c r="KV62" s="4">
        <f t="shared" si="227"/>
        <v>-59</v>
      </c>
      <c r="KW62" s="4">
        <f t="shared" si="228"/>
        <v>1.69</v>
      </c>
      <c r="KX62" s="4">
        <f t="shared" si="229"/>
        <v>0.33999999999999997</v>
      </c>
      <c r="KY62" s="4">
        <f t="shared" si="230"/>
        <v>1.9999999999999574E-2</v>
      </c>
      <c r="KZ62" s="4">
        <f t="shared" si="231"/>
        <v>3.0000000000000249E-2</v>
      </c>
      <c r="LA62" s="4">
        <f t="shared" si="232"/>
        <v>0</v>
      </c>
      <c r="LB62" s="4">
        <f t="shared" si="233"/>
        <v>0</v>
      </c>
      <c r="LC62" s="4">
        <f t="shared" si="234"/>
        <v>-3.9999999999999147E-2</v>
      </c>
      <c r="LD62" s="4">
        <f t="shared" si="235"/>
        <v>-0.12999999999999901</v>
      </c>
      <c r="LE62" s="4">
        <f t="shared" si="236"/>
        <v>0</v>
      </c>
      <c r="LF62" s="4">
        <f t="shared" si="237"/>
        <v>0.89999999999999991</v>
      </c>
      <c r="LG62" s="4">
        <f t="shared" si="238"/>
        <v>-0.71</v>
      </c>
      <c r="LH62" s="4">
        <f t="shared" si="239"/>
        <v>-0.35999999999999943</v>
      </c>
      <c r="LI62" s="4">
        <f t="shared" si="240"/>
        <v>-8.0000000000000071E-2</v>
      </c>
      <c r="LJ62" s="4">
        <f t="shared" si="241"/>
        <v>-8.0000000000000071E-2</v>
      </c>
      <c r="LK62" s="4">
        <f t="shared" si="242"/>
        <v>-0.22999999999999954</v>
      </c>
      <c r="LL62" s="4">
        <f t="shared" si="243"/>
        <v>0</v>
      </c>
      <c r="LM62" s="4">
        <f t="shared" si="244"/>
        <v>0</v>
      </c>
      <c r="LN62" s="4">
        <f t="shared" si="245"/>
        <v>0.89999999999999991</v>
      </c>
      <c r="LO62" s="4">
        <f t="shared" si="246"/>
        <v>-0.20000000000000284</v>
      </c>
      <c r="LP62" s="4">
        <f t="shared" si="247"/>
        <v>-0.19999999999999574</v>
      </c>
      <c r="LQ62" s="4">
        <f t="shared" si="248"/>
        <v>-0.19999999999999574</v>
      </c>
      <c r="LR62" s="4">
        <f t="shared" si="249"/>
        <v>-30.200000000000003</v>
      </c>
      <c r="LS62" s="4">
        <f t="shared" si="250"/>
        <v>-9.9999999999999978E-2</v>
      </c>
      <c r="LT62" s="4">
        <f t="shared" si="251"/>
        <v>-0.59999999999999964</v>
      </c>
      <c r="LU62" s="4">
        <f t="shared" si="252"/>
        <v>-0.70000000000000018</v>
      </c>
      <c r="LV62" s="4">
        <f t="shared" si="253"/>
        <v>-0.60000000000000053</v>
      </c>
      <c r="LW62" s="4">
        <f t="shared" si="254"/>
        <v>131.39999999999998</v>
      </c>
      <c r="LX62" s="4">
        <f t="shared" si="255"/>
        <v>0</v>
      </c>
      <c r="LY62" s="4">
        <f t="shared" si="256"/>
        <v>-0.30000000000000027</v>
      </c>
      <c r="LZ62" s="4">
        <f t="shared" si="257"/>
        <v>-0.69999999999999929</v>
      </c>
      <c r="MA62" s="4">
        <f t="shared" si="258"/>
        <v>-0.79999999999999716</v>
      </c>
      <c r="MB62" s="4">
        <f t="shared" si="259"/>
        <v>-0.5</v>
      </c>
      <c r="MC62" s="4">
        <f t="shared" si="260"/>
        <v>-1</v>
      </c>
      <c r="MD62" s="4" t="str">
        <f t="shared" si="261"/>
        <v/>
      </c>
      <c r="ME62" s="4" t="str">
        <f t="shared" si="262"/>
        <v/>
      </c>
      <c r="MF62" s="4" t="str">
        <f t="shared" si="263"/>
        <v/>
      </c>
      <c r="MG62" s="4">
        <f t="shared" si="264"/>
        <v>7</v>
      </c>
    </row>
    <row r="63" spans="1:345" ht="26.25" customHeight="1" thickBot="1" x14ac:dyDescent="0.25">
      <c r="A63" s="35">
        <v>41374</v>
      </c>
      <c r="B63" s="36" t="s">
        <v>146</v>
      </c>
      <c r="C63" s="36" t="s">
        <v>29</v>
      </c>
      <c r="D63" s="31" t="s">
        <v>111</v>
      </c>
      <c r="E63" s="4">
        <v>61</v>
      </c>
      <c r="F63" s="3">
        <v>18777</v>
      </c>
      <c r="G63" s="4" t="s">
        <v>87</v>
      </c>
      <c r="H63" s="4" t="s">
        <v>108</v>
      </c>
      <c r="I63" s="4">
        <v>1836088</v>
      </c>
      <c r="K63" s="227"/>
      <c r="L63" s="228"/>
      <c r="M63" s="228"/>
      <c r="N63" s="228"/>
      <c r="O63" s="258"/>
      <c r="P63" s="228"/>
      <c r="Q63" s="228"/>
      <c r="R63" s="33">
        <v>-0.5</v>
      </c>
      <c r="S63" s="4">
        <v>-0.55000000000000004</v>
      </c>
      <c r="T63" s="33" t="s">
        <v>249</v>
      </c>
      <c r="U63" s="67">
        <v>19.75</v>
      </c>
      <c r="V63" s="124">
        <v>41339</v>
      </c>
      <c r="W63" s="67">
        <v>-0.75</v>
      </c>
      <c r="X63" s="67">
        <v>0</v>
      </c>
      <c r="Y63" s="4">
        <v>0</v>
      </c>
      <c r="Z63" s="4">
        <v>25</v>
      </c>
      <c r="AA63" s="4">
        <v>10</v>
      </c>
      <c r="AB63" s="4">
        <v>598</v>
      </c>
      <c r="AC63" s="4">
        <v>22.56</v>
      </c>
      <c r="AD63" s="4">
        <v>11.6</v>
      </c>
      <c r="AE63" s="4">
        <v>4.51</v>
      </c>
      <c r="AF63" s="4">
        <v>2.19</v>
      </c>
      <c r="AG63" s="4">
        <v>47.6</v>
      </c>
      <c r="AH63" s="4">
        <v>166</v>
      </c>
      <c r="AI63" s="4">
        <v>48.15</v>
      </c>
      <c r="AJ63" s="4">
        <v>76</v>
      </c>
      <c r="AK63" s="4">
        <v>0</v>
      </c>
      <c r="AL63" s="4" t="b">
        <f t="shared" si="135"/>
        <v>0</v>
      </c>
      <c r="AN63" s="32">
        <v>41569</v>
      </c>
      <c r="AO63" s="60"/>
      <c r="AP63" s="67">
        <v>-0.25</v>
      </c>
      <c r="AQ63" s="67">
        <v>1</v>
      </c>
      <c r="AR63" s="4">
        <v>50</v>
      </c>
      <c r="AS63" s="4">
        <v>25</v>
      </c>
      <c r="AT63" s="4">
        <v>15</v>
      </c>
      <c r="AU63" s="4">
        <v>533</v>
      </c>
      <c r="AV63" s="4">
        <v>2053</v>
      </c>
      <c r="AW63" s="4">
        <v>22.63</v>
      </c>
      <c r="AX63" s="4">
        <v>3.76</v>
      </c>
      <c r="AY63" s="4">
        <v>46.55</v>
      </c>
      <c r="AZ63" s="4">
        <v>121</v>
      </c>
      <c r="BA63" s="4">
        <v>46.94</v>
      </c>
      <c r="BB63" s="4">
        <v>31</v>
      </c>
      <c r="BC63" s="4">
        <f t="shared" si="136"/>
        <v>0.25</v>
      </c>
      <c r="BD63" s="4">
        <f t="shared" si="267"/>
        <v>0.8</v>
      </c>
      <c r="BE63" s="4">
        <f t="shared" si="137"/>
        <v>-65</v>
      </c>
      <c r="BF63" s="40">
        <v>41717</v>
      </c>
      <c r="BG63" s="58"/>
      <c r="BU63" s="4" t="str">
        <f t="shared" si="266"/>
        <v/>
      </c>
      <c r="BV63" s="4" t="str">
        <f t="shared" si="138"/>
        <v/>
      </c>
      <c r="BW63" s="4" t="str">
        <f t="shared" si="139"/>
        <v/>
      </c>
      <c r="BX63" s="4">
        <f t="shared" si="140"/>
        <v>1</v>
      </c>
      <c r="BY63" s="4">
        <f t="shared" si="141"/>
        <v>0</v>
      </c>
      <c r="BZ63" s="4" t="str">
        <f t="shared" si="142"/>
        <v/>
      </c>
      <c r="CA63" s="4" t="str">
        <f t="shared" si="143"/>
        <v/>
      </c>
      <c r="CB63" s="4" t="str">
        <f t="shared" si="144"/>
        <v/>
      </c>
      <c r="CC63" s="53">
        <f t="shared" si="145"/>
        <v>195</v>
      </c>
      <c r="CD63" s="55">
        <f t="shared" si="146"/>
        <v>6.5</v>
      </c>
      <c r="CE63" s="4" t="str">
        <f t="shared" si="147"/>
        <v/>
      </c>
      <c r="CF63" s="4">
        <f t="shared" si="148"/>
        <v>-1.1300000000000026</v>
      </c>
      <c r="CG63" s="4" t="str">
        <f t="shared" si="149"/>
        <v/>
      </c>
      <c r="CH63" s="4">
        <f t="shared" si="150"/>
        <v>-1.1300000000000026</v>
      </c>
      <c r="CI63" s="4">
        <f t="shared" si="151"/>
        <v>-0.75</v>
      </c>
      <c r="CJ63" s="4">
        <f t="shared" si="152"/>
        <v>0.25</v>
      </c>
      <c r="CK63" s="93">
        <f t="shared" si="153"/>
        <v>0.8</v>
      </c>
      <c r="CL63" s="83">
        <f t="shared" si="154"/>
        <v>-65</v>
      </c>
      <c r="CM63" s="4">
        <f t="shared" si="155"/>
        <v>7.0000000000000284E-2</v>
      </c>
      <c r="CN63" s="96">
        <f t="shared" si="156"/>
        <v>-0.55000000000000004</v>
      </c>
      <c r="CO63" s="96">
        <f t="shared" si="265"/>
        <v>0</v>
      </c>
      <c r="CP63" s="127">
        <f t="shared" si="157"/>
        <v>1</v>
      </c>
      <c r="CQ63" s="127">
        <f t="shared" si="158"/>
        <v>1</v>
      </c>
      <c r="CR63" s="136">
        <f t="shared" si="159"/>
        <v>25</v>
      </c>
      <c r="CS63" s="136">
        <f t="shared" si="160"/>
        <v>25</v>
      </c>
      <c r="CT63" s="135" t="str">
        <f t="shared" si="161"/>
        <v/>
      </c>
      <c r="CU63" s="139">
        <f t="shared" si="162"/>
        <v>0</v>
      </c>
      <c r="CV63" s="96" t="str">
        <f t="shared" si="163"/>
        <v/>
      </c>
      <c r="CW63" s="141" t="b">
        <f t="shared" si="164"/>
        <v>0</v>
      </c>
      <c r="CX63">
        <v>7.25</v>
      </c>
      <c r="CY63" s="4">
        <v>7.21</v>
      </c>
      <c r="CZ63" s="4">
        <v>139.5</v>
      </c>
      <c r="DA63" s="4">
        <v>-0.3</v>
      </c>
      <c r="DB63" s="4">
        <v>0.28000000000000003</v>
      </c>
      <c r="DC63" s="4">
        <v>0.6</v>
      </c>
      <c r="DD63" s="4">
        <v>2.85</v>
      </c>
      <c r="DE63" s="4">
        <v>3.46</v>
      </c>
      <c r="DF63" s="4">
        <v>613</v>
      </c>
      <c r="DG63" s="4">
        <v>616</v>
      </c>
      <c r="DH63" s="4">
        <v>658</v>
      </c>
      <c r="DI63" s="4">
        <v>620</v>
      </c>
      <c r="DJ63" s="4">
        <v>641</v>
      </c>
      <c r="DK63" s="4">
        <v>634</v>
      </c>
      <c r="DL63" s="4">
        <v>593</v>
      </c>
      <c r="DM63" s="4">
        <v>1.37</v>
      </c>
      <c r="DN63" s="4">
        <v>-0.75</v>
      </c>
      <c r="DO63" s="4">
        <v>7.25</v>
      </c>
      <c r="DP63" s="4">
        <v>7.22</v>
      </c>
      <c r="DQ63" s="4">
        <v>7.26</v>
      </c>
      <c r="DR63" s="4">
        <v>7.48</v>
      </c>
      <c r="DS63" s="4">
        <v>7.85</v>
      </c>
      <c r="DT63" s="4">
        <v>8.1999999999999993</v>
      </c>
      <c r="DU63" s="4">
        <v>0</v>
      </c>
      <c r="DV63" s="4">
        <v>0.3</v>
      </c>
      <c r="DW63" s="4">
        <v>7.01</v>
      </c>
      <c r="DX63" s="4">
        <v>6.27</v>
      </c>
      <c r="DY63" s="4">
        <v>6.01</v>
      </c>
      <c r="DZ63" s="4">
        <v>6.26</v>
      </c>
      <c r="EA63" s="4">
        <v>6.63</v>
      </c>
      <c r="EB63" s="4">
        <v>0</v>
      </c>
      <c r="EC63" s="4">
        <v>0</v>
      </c>
      <c r="ED63" s="89">
        <v>0.3</v>
      </c>
      <c r="EE63" s="110">
        <v>46.5</v>
      </c>
      <c r="EF63" s="110">
        <v>46.8</v>
      </c>
      <c r="EG63" s="110">
        <v>46.7</v>
      </c>
      <c r="EH63" s="110">
        <v>139.5</v>
      </c>
      <c r="EI63" s="110">
        <v>0.3</v>
      </c>
      <c r="EJ63" s="110">
        <v>-5.8</v>
      </c>
      <c r="EK63" s="110">
        <v>-6.1</v>
      </c>
      <c r="EL63" s="110">
        <v>-6</v>
      </c>
      <c r="EM63" s="110">
        <v>128</v>
      </c>
      <c r="EN63" s="110">
        <v>0.3</v>
      </c>
      <c r="EO63" s="110">
        <v>4.3</v>
      </c>
      <c r="EP63" s="110">
        <v>12.3</v>
      </c>
      <c r="EQ63" s="110">
        <v>26.2</v>
      </c>
      <c r="ER63" s="110">
        <v>64.5</v>
      </c>
      <c r="ES63" s="114">
        <v>14</v>
      </c>
      <c r="ET63" s="83">
        <v>7.24</v>
      </c>
      <c r="EU63" s="4">
        <v>7.31</v>
      </c>
      <c r="EV63" s="4">
        <v>116.7</v>
      </c>
      <c r="EW63" s="4">
        <v>0.4</v>
      </c>
      <c r="EX63" s="4">
        <v>0.41</v>
      </c>
      <c r="EY63" s="4">
        <v>0.55000000000000004</v>
      </c>
      <c r="EZ63" s="4">
        <v>3.29</v>
      </c>
      <c r="FA63" s="4">
        <v>3.8</v>
      </c>
      <c r="FB63" s="4">
        <v>516</v>
      </c>
      <c r="FC63" s="4">
        <v>513</v>
      </c>
      <c r="FD63" s="4">
        <v>655</v>
      </c>
      <c r="FE63" s="4">
        <v>647</v>
      </c>
      <c r="FF63" s="4">
        <v>628</v>
      </c>
      <c r="FG63" s="4">
        <v>612</v>
      </c>
      <c r="FH63" s="4">
        <v>512</v>
      </c>
      <c r="FI63" s="4">
        <v>-0.57999999999999996</v>
      </c>
      <c r="FJ63" s="4">
        <v>-0.19</v>
      </c>
      <c r="FK63" s="4">
        <v>7.32</v>
      </c>
      <c r="FL63" s="4">
        <v>7.25</v>
      </c>
      <c r="FM63" s="4">
        <v>7.27</v>
      </c>
      <c r="FN63" s="4">
        <v>7.48</v>
      </c>
      <c r="FO63" s="4">
        <v>7.77</v>
      </c>
      <c r="FP63" s="4">
        <v>8.0399999999999991</v>
      </c>
      <c r="FQ63" s="4">
        <v>0</v>
      </c>
      <c r="FR63" s="4">
        <v>2</v>
      </c>
      <c r="FS63" s="4">
        <v>5.57</v>
      </c>
      <c r="FT63" s="4">
        <v>5.7</v>
      </c>
      <c r="FU63" s="4">
        <v>5.91</v>
      </c>
      <c r="FV63" s="4">
        <v>6.14</v>
      </c>
      <c r="FW63" s="4">
        <v>6.26</v>
      </c>
      <c r="FX63" s="4">
        <v>0</v>
      </c>
      <c r="FY63" s="4">
        <v>0</v>
      </c>
      <c r="FZ63" s="86">
        <v>2</v>
      </c>
      <c r="GA63" s="110">
        <v>46.2</v>
      </c>
      <c r="GB63" s="110">
        <v>46.6</v>
      </c>
      <c r="GC63" s="110">
        <v>46.4</v>
      </c>
      <c r="GD63" s="110">
        <v>116.7</v>
      </c>
      <c r="GE63" s="110">
        <v>0.4</v>
      </c>
      <c r="GF63" s="110">
        <v>-7</v>
      </c>
      <c r="GG63" s="110">
        <v>-7.3</v>
      </c>
      <c r="GH63" s="110">
        <v>-7.1</v>
      </c>
      <c r="GI63" s="110">
        <v>3.3</v>
      </c>
      <c r="GJ63" s="110">
        <v>0.2</v>
      </c>
      <c r="GK63" s="110">
        <v>3.8</v>
      </c>
      <c r="GL63" s="110">
        <v>11.4</v>
      </c>
      <c r="GM63" s="110">
        <v>25.1</v>
      </c>
      <c r="GN63" s="110">
        <v>63.7</v>
      </c>
      <c r="GO63" s="119">
        <v>17</v>
      </c>
      <c r="IL63" s="83">
        <f t="shared" si="165"/>
        <v>7.24</v>
      </c>
      <c r="IM63" s="4">
        <f t="shared" si="166"/>
        <v>7.31</v>
      </c>
      <c r="IN63" s="4">
        <f t="shared" si="167"/>
        <v>116.7</v>
      </c>
      <c r="IO63" s="4">
        <f t="shared" si="168"/>
        <v>0.4</v>
      </c>
      <c r="IP63" s="4">
        <f t="shared" si="169"/>
        <v>0.41</v>
      </c>
      <c r="IQ63" s="4">
        <f t="shared" si="170"/>
        <v>0.55000000000000004</v>
      </c>
      <c r="IR63" s="4">
        <f t="shared" si="171"/>
        <v>3.29</v>
      </c>
      <c r="IS63" s="4">
        <f t="shared" si="172"/>
        <v>3.8</v>
      </c>
      <c r="IT63" s="4">
        <f t="shared" si="173"/>
        <v>516</v>
      </c>
      <c r="IU63" s="4">
        <f t="shared" si="174"/>
        <v>513</v>
      </c>
      <c r="IV63" s="4">
        <f t="shared" si="175"/>
        <v>655</v>
      </c>
      <c r="IW63" s="4">
        <f t="shared" si="176"/>
        <v>647</v>
      </c>
      <c r="IX63" s="4">
        <f t="shared" si="177"/>
        <v>628</v>
      </c>
      <c r="IY63" s="4">
        <f t="shared" si="178"/>
        <v>612</v>
      </c>
      <c r="IZ63" s="4">
        <f t="shared" si="179"/>
        <v>512</v>
      </c>
      <c r="JA63" s="4">
        <f t="shared" si="180"/>
        <v>-0.57999999999999996</v>
      </c>
      <c r="JB63" s="4">
        <f t="shared" si="181"/>
        <v>-0.19</v>
      </c>
      <c r="JC63" s="4">
        <f t="shared" si="182"/>
        <v>7.32</v>
      </c>
      <c r="JD63" s="4">
        <f t="shared" si="183"/>
        <v>7.25</v>
      </c>
      <c r="JE63" s="4">
        <f t="shared" si="184"/>
        <v>7.27</v>
      </c>
      <c r="JF63" s="4">
        <f t="shared" si="185"/>
        <v>7.48</v>
      </c>
      <c r="JG63" s="4">
        <f t="shared" si="186"/>
        <v>7.77</v>
      </c>
      <c r="JH63" s="4">
        <f t="shared" si="187"/>
        <v>8.0399999999999991</v>
      </c>
      <c r="JI63" s="4">
        <f t="shared" si="188"/>
        <v>0</v>
      </c>
      <c r="JJ63" s="4">
        <f t="shared" si="189"/>
        <v>2</v>
      </c>
      <c r="JK63" s="4">
        <f t="shared" si="190"/>
        <v>5.57</v>
      </c>
      <c r="JL63" s="4">
        <f t="shared" si="191"/>
        <v>5.7</v>
      </c>
      <c r="JM63" s="4">
        <f t="shared" si="192"/>
        <v>5.91</v>
      </c>
      <c r="JN63" s="4">
        <f t="shared" si="193"/>
        <v>6.14</v>
      </c>
      <c r="JO63" s="4">
        <f t="shared" si="194"/>
        <v>6.26</v>
      </c>
      <c r="JP63" s="4">
        <f t="shared" si="195"/>
        <v>0</v>
      </c>
      <c r="JQ63" s="117">
        <f t="shared" si="196"/>
        <v>0</v>
      </c>
      <c r="JR63" s="110">
        <f t="shared" si="197"/>
        <v>2</v>
      </c>
      <c r="JS63" s="110">
        <f t="shared" si="198"/>
        <v>46.2</v>
      </c>
      <c r="JT63" s="110">
        <f t="shared" si="199"/>
        <v>46.6</v>
      </c>
      <c r="JU63" s="110">
        <f t="shared" si="200"/>
        <v>46.4</v>
      </c>
      <c r="JV63" s="110">
        <f t="shared" si="201"/>
        <v>116.7</v>
      </c>
      <c r="JW63" s="110">
        <f t="shared" si="202"/>
        <v>0.4</v>
      </c>
      <c r="JX63" s="110">
        <f t="shared" si="203"/>
        <v>-7</v>
      </c>
      <c r="JY63" s="110">
        <f t="shared" si="204"/>
        <v>-7.3</v>
      </c>
      <c r="JZ63" s="110">
        <f t="shared" si="205"/>
        <v>-7.1</v>
      </c>
      <c r="KA63" s="110">
        <f t="shared" si="206"/>
        <v>3.3</v>
      </c>
      <c r="KB63" s="110">
        <f t="shared" si="207"/>
        <v>0.2</v>
      </c>
      <c r="KC63" s="110">
        <f t="shared" si="208"/>
        <v>3.8</v>
      </c>
      <c r="KD63" s="110">
        <f t="shared" si="209"/>
        <v>11.4</v>
      </c>
      <c r="KE63" s="110">
        <f t="shared" si="210"/>
        <v>25.1</v>
      </c>
      <c r="KF63" s="110">
        <f t="shared" si="211"/>
        <v>63.7</v>
      </c>
      <c r="KG63" s="121">
        <f t="shared" si="212"/>
        <v>17</v>
      </c>
      <c r="KH63" s="83">
        <f t="shared" si="213"/>
        <v>-9.9999999999997868E-3</v>
      </c>
      <c r="KI63" s="4">
        <f t="shared" si="214"/>
        <v>9.9999999999999645E-2</v>
      </c>
      <c r="KJ63" s="4">
        <f t="shared" si="215"/>
        <v>-22.799999999999997</v>
      </c>
      <c r="KK63" s="4">
        <f t="shared" si="216"/>
        <v>0.7</v>
      </c>
      <c r="KL63" s="4">
        <f t="shared" si="217"/>
        <v>0.12999999999999995</v>
      </c>
      <c r="KM63" s="4">
        <f t="shared" si="218"/>
        <v>-4.9999999999999933E-2</v>
      </c>
      <c r="KN63" s="4">
        <f t="shared" si="219"/>
        <v>0.43999999999999995</v>
      </c>
      <c r="KO63" s="4">
        <f t="shared" si="220"/>
        <v>0.33999999999999986</v>
      </c>
      <c r="KP63" s="4">
        <f t="shared" si="221"/>
        <v>-97</v>
      </c>
      <c r="KQ63" s="4">
        <f t="shared" si="222"/>
        <v>-103</v>
      </c>
      <c r="KR63" s="4">
        <f t="shared" si="223"/>
        <v>-3</v>
      </c>
      <c r="KS63" s="4">
        <f t="shared" si="224"/>
        <v>27</v>
      </c>
      <c r="KT63" s="4">
        <f t="shared" si="225"/>
        <v>-13</v>
      </c>
      <c r="KU63" s="4">
        <f t="shared" si="226"/>
        <v>-22</v>
      </c>
      <c r="KV63" s="4">
        <f t="shared" si="227"/>
        <v>-81</v>
      </c>
      <c r="KW63" s="4">
        <f t="shared" si="228"/>
        <v>-1.9500000000000002</v>
      </c>
      <c r="KX63" s="4">
        <f t="shared" si="229"/>
        <v>0.56000000000000005</v>
      </c>
      <c r="KY63" s="4">
        <f t="shared" si="230"/>
        <v>7.0000000000000284E-2</v>
      </c>
      <c r="KZ63" s="4">
        <f t="shared" si="231"/>
        <v>3.0000000000000249E-2</v>
      </c>
      <c r="LA63" s="4">
        <f t="shared" si="232"/>
        <v>9.9999999999997868E-3</v>
      </c>
      <c r="LB63" s="4">
        <f t="shared" si="233"/>
        <v>0</v>
      </c>
      <c r="LC63" s="4">
        <f t="shared" si="234"/>
        <v>-8.0000000000000071E-2</v>
      </c>
      <c r="LD63" s="4">
        <f t="shared" si="235"/>
        <v>-0.16000000000000014</v>
      </c>
      <c r="LE63" s="4">
        <f t="shared" si="236"/>
        <v>0</v>
      </c>
      <c r="LF63" s="4">
        <f t="shared" si="237"/>
        <v>1.7</v>
      </c>
      <c r="LG63" s="4">
        <f t="shared" si="238"/>
        <v>-1.4399999999999995</v>
      </c>
      <c r="LH63" s="4">
        <f t="shared" si="239"/>
        <v>-0.5699999999999994</v>
      </c>
      <c r="LI63" s="4">
        <f t="shared" si="240"/>
        <v>-9.9999999999999645E-2</v>
      </c>
      <c r="LJ63" s="4">
        <f t="shared" si="241"/>
        <v>-0.12000000000000011</v>
      </c>
      <c r="LK63" s="4">
        <f t="shared" si="242"/>
        <v>-0.37000000000000011</v>
      </c>
      <c r="LL63" s="4">
        <f t="shared" si="243"/>
        <v>0</v>
      </c>
      <c r="LM63" s="4">
        <f t="shared" si="244"/>
        <v>0</v>
      </c>
      <c r="LN63" s="4">
        <f t="shared" si="245"/>
        <v>1.7</v>
      </c>
      <c r="LO63" s="4">
        <f t="shared" si="246"/>
        <v>-0.29999999999999716</v>
      </c>
      <c r="LP63" s="4">
        <f t="shared" si="247"/>
        <v>-0.19999999999999574</v>
      </c>
      <c r="LQ63" s="4">
        <f t="shared" si="248"/>
        <v>-0.30000000000000426</v>
      </c>
      <c r="LR63" s="4">
        <f t="shared" si="249"/>
        <v>-22.799999999999997</v>
      </c>
      <c r="LS63" s="4">
        <f t="shared" si="250"/>
        <v>0.10000000000000003</v>
      </c>
      <c r="LT63" s="4">
        <f t="shared" si="251"/>
        <v>-1.2000000000000002</v>
      </c>
      <c r="LU63" s="4">
        <f t="shared" si="252"/>
        <v>-1.2000000000000002</v>
      </c>
      <c r="LV63" s="4">
        <f t="shared" si="253"/>
        <v>-1.0999999999999996</v>
      </c>
      <c r="LW63" s="4">
        <f t="shared" si="254"/>
        <v>-124.7</v>
      </c>
      <c r="LX63" s="4">
        <f t="shared" si="255"/>
        <v>-9.9999999999999978E-2</v>
      </c>
      <c r="LY63" s="4">
        <f t="shared" si="256"/>
        <v>-0.5</v>
      </c>
      <c r="LZ63" s="4">
        <f t="shared" si="257"/>
        <v>-0.90000000000000036</v>
      </c>
      <c r="MA63" s="4">
        <f t="shared" si="258"/>
        <v>-1.0999999999999979</v>
      </c>
      <c r="MB63" s="4">
        <f t="shared" si="259"/>
        <v>-0.79999999999999716</v>
      </c>
      <c r="MC63" s="4">
        <f t="shared" si="260"/>
        <v>3</v>
      </c>
      <c r="MD63" s="4" t="str">
        <f t="shared" si="261"/>
        <v/>
      </c>
      <c r="ME63" s="4" t="str">
        <f t="shared" si="262"/>
        <v/>
      </c>
      <c r="MF63" s="4" t="str">
        <f t="shared" si="263"/>
        <v/>
      </c>
      <c r="MG63" s="4">
        <f t="shared" si="264"/>
        <v>7.3</v>
      </c>
    </row>
    <row r="64" spans="1:345" ht="26.25" customHeight="1" thickBot="1" x14ac:dyDescent="0.25">
      <c r="A64" s="35">
        <v>41400</v>
      </c>
      <c r="B64" s="36" t="s">
        <v>183</v>
      </c>
      <c r="C64" s="36" t="s">
        <v>240</v>
      </c>
      <c r="D64" s="31" t="s">
        <v>111</v>
      </c>
      <c r="E64" s="36">
        <v>73</v>
      </c>
      <c r="F64" s="35">
        <v>14594</v>
      </c>
      <c r="G64" s="36" t="s">
        <v>87</v>
      </c>
      <c r="H64" s="36" t="s">
        <v>108</v>
      </c>
      <c r="I64" s="36">
        <v>1836165</v>
      </c>
      <c r="K64" s="227"/>
      <c r="L64" s="228"/>
      <c r="M64" s="228"/>
      <c r="N64" s="228"/>
      <c r="O64" s="258"/>
      <c r="P64" s="228"/>
      <c r="Q64" s="228"/>
      <c r="R64" s="33">
        <v>-0.5</v>
      </c>
      <c r="S64" s="4">
        <v>-0.46</v>
      </c>
      <c r="T64" s="39" t="s">
        <v>249</v>
      </c>
      <c r="U64" s="70">
        <v>24.5</v>
      </c>
      <c r="V64" s="124">
        <v>41394</v>
      </c>
      <c r="W64" s="70">
        <v>3.5</v>
      </c>
      <c r="X64" s="70">
        <v>1.25</v>
      </c>
      <c r="Y64" s="36">
        <v>45</v>
      </c>
      <c r="Z64" s="36">
        <v>25</v>
      </c>
      <c r="AA64" s="36">
        <v>11</v>
      </c>
      <c r="AB64" s="36">
        <v>517</v>
      </c>
      <c r="AC64" s="4">
        <v>23.37</v>
      </c>
      <c r="AD64" s="4">
        <v>11.2</v>
      </c>
      <c r="AE64" s="4">
        <v>4.6900000000000004</v>
      </c>
      <c r="AF64" s="4">
        <v>2.77</v>
      </c>
      <c r="AG64" s="4">
        <v>41.56</v>
      </c>
      <c r="AH64" s="4">
        <v>144</v>
      </c>
      <c r="AI64" s="4">
        <v>42.35</v>
      </c>
      <c r="AJ64" s="4">
        <v>54</v>
      </c>
      <c r="AK64" s="4">
        <v>1</v>
      </c>
      <c r="AL64" s="4" t="b">
        <f t="shared" si="135"/>
        <v>1</v>
      </c>
      <c r="AN64" s="42">
        <v>41591</v>
      </c>
      <c r="AO64" s="62"/>
      <c r="AP64" s="67">
        <v>-3</v>
      </c>
      <c r="AQ64" s="67">
        <v>1.25</v>
      </c>
      <c r="AR64" s="4">
        <v>5</v>
      </c>
      <c r="AS64" s="4">
        <v>20</v>
      </c>
      <c r="AT64" s="4">
        <v>20</v>
      </c>
      <c r="AU64" s="4">
        <v>475</v>
      </c>
      <c r="AV64" s="4">
        <v>2227</v>
      </c>
      <c r="BC64" s="4">
        <f t="shared" si="136"/>
        <v>-2.375</v>
      </c>
      <c r="BD64" s="4">
        <f t="shared" si="267"/>
        <v>-1.915</v>
      </c>
      <c r="BE64" s="4">
        <f t="shared" si="137"/>
        <v>-42</v>
      </c>
      <c r="BF64" s="3">
        <v>41796</v>
      </c>
      <c r="BU64" s="4" t="str">
        <f t="shared" si="266"/>
        <v/>
      </c>
      <c r="BV64" s="4" t="str">
        <f t="shared" si="138"/>
        <v/>
      </c>
      <c r="BW64" s="4" t="str">
        <f t="shared" si="139"/>
        <v/>
      </c>
      <c r="BX64" s="4">
        <f t="shared" si="140"/>
        <v>1</v>
      </c>
      <c r="BY64" s="4">
        <f t="shared" si="141"/>
        <v>0</v>
      </c>
      <c r="BZ64" s="4" t="str">
        <f t="shared" si="142"/>
        <v/>
      </c>
      <c r="CA64" s="4" t="str">
        <f t="shared" si="143"/>
        <v/>
      </c>
      <c r="CB64" s="4" t="str">
        <f t="shared" si="144"/>
        <v/>
      </c>
      <c r="CC64" s="53">
        <f t="shared" si="145"/>
        <v>191</v>
      </c>
      <c r="CD64" s="55">
        <f t="shared" si="146"/>
        <v>6.3666666666666663</v>
      </c>
      <c r="CE64" s="4" t="str">
        <f t="shared" si="147"/>
        <v/>
      </c>
      <c r="CF64" s="4" t="str">
        <f t="shared" si="148"/>
        <v/>
      </c>
      <c r="CG64" s="4" t="str">
        <f t="shared" si="149"/>
        <v/>
      </c>
      <c r="CH64" s="4" t="str">
        <f t="shared" si="150"/>
        <v/>
      </c>
      <c r="CI64" s="4">
        <f t="shared" si="151"/>
        <v>4.125</v>
      </c>
      <c r="CJ64" s="4">
        <f t="shared" si="152"/>
        <v>-2.375</v>
      </c>
      <c r="CK64" s="93">
        <f t="shared" si="153"/>
        <v>-1.915</v>
      </c>
      <c r="CL64" s="83">
        <f t="shared" si="154"/>
        <v>-42</v>
      </c>
      <c r="CM64" s="4" t="str">
        <f t="shared" si="155"/>
        <v/>
      </c>
      <c r="CN64" s="96">
        <f t="shared" si="156"/>
        <v>-0.46</v>
      </c>
      <c r="CO64" s="96">
        <f t="shared" si="265"/>
        <v>9.6910013008056392E-2</v>
      </c>
      <c r="CP64" s="127">
        <f t="shared" si="157"/>
        <v>1.25</v>
      </c>
      <c r="CQ64" s="127">
        <f t="shared" si="158"/>
        <v>0</v>
      </c>
      <c r="CR64" s="136">
        <f t="shared" si="159"/>
        <v>20</v>
      </c>
      <c r="CS64" s="136">
        <f t="shared" si="160"/>
        <v>25</v>
      </c>
      <c r="CT64" s="135" t="str">
        <f t="shared" si="161"/>
        <v/>
      </c>
      <c r="CU64" s="139">
        <f t="shared" si="162"/>
        <v>1</v>
      </c>
      <c r="CV64" s="96" t="str">
        <f t="shared" si="163"/>
        <v/>
      </c>
      <c r="CW64" s="141" t="b">
        <f t="shared" si="164"/>
        <v>1</v>
      </c>
      <c r="CX64">
        <v>8.09</v>
      </c>
      <c r="CY64" s="4">
        <v>7.95</v>
      </c>
      <c r="CZ64" s="4">
        <v>173.5</v>
      </c>
      <c r="DA64" s="4">
        <v>-0.7</v>
      </c>
      <c r="DB64" s="4">
        <v>0.56999999999999995</v>
      </c>
      <c r="DC64" s="4">
        <v>0.67</v>
      </c>
      <c r="DD64" s="4">
        <v>2.2400000000000002</v>
      </c>
      <c r="DE64" s="4">
        <v>2.78</v>
      </c>
      <c r="DF64" s="4">
        <v>533</v>
      </c>
      <c r="DG64" s="4">
        <v>530</v>
      </c>
      <c r="DH64" s="4">
        <v>602</v>
      </c>
      <c r="DI64" s="4">
        <v>592</v>
      </c>
      <c r="DJ64" s="4">
        <v>618</v>
      </c>
      <c r="DK64" s="4">
        <v>608</v>
      </c>
      <c r="DL64" s="4">
        <v>527</v>
      </c>
      <c r="DM64" s="4">
        <v>-0.66</v>
      </c>
      <c r="DN64" s="4">
        <v>-0.33</v>
      </c>
      <c r="DO64" s="4">
        <v>8.0500000000000007</v>
      </c>
      <c r="DP64" s="4">
        <v>7.97</v>
      </c>
      <c r="DQ64" s="4">
        <v>8.1</v>
      </c>
      <c r="DR64" s="4">
        <v>8.1999999999999993</v>
      </c>
      <c r="DS64" s="4">
        <v>8.36</v>
      </c>
      <c r="DT64" s="4">
        <v>8.58</v>
      </c>
      <c r="DU64" s="4">
        <v>0</v>
      </c>
      <c r="DV64" s="4">
        <v>1.5</v>
      </c>
      <c r="DW64" s="4">
        <v>6.48</v>
      </c>
      <c r="DX64" s="4">
        <v>6.7</v>
      </c>
      <c r="DY64" s="4">
        <v>7.01</v>
      </c>
      <c r="DZ64" s="4">
        <v>6.98</v>
      </c>
      <c r="EA64" s="4">
        <v>6.99</v>
      </c>
      <c r="EB64" s="4">
        <v>0</v>
      </c>
      <c r="EC64" s="4">
        <v>0</v>
      </c>
      <c r="ED64" s="89">
        <v>1.5</v>
      </c>
      <c r="EE64" s="110">
        <v>41.7</v>
      </c>
      <c r="EF64" s="110">
        <v>42.5</v>
      </c>
      <c r="EG64" s="110">
        <v>42.1</v>
      </c>
      <c r="EH64" s="110">
        <v>173.5</v>
      </c>
      <c r="EI64" s="110">
        <v>0.7</v>
      </c>
      <c r="EJ64" s="110">
        <v>-6.1</v>
      </c>
      <c r="EK64" s="110">
        <v>-6.2</v>
      </c>
      <c r="EL64" s="110">
        <v>-6.1</v>
      </c>
      <c r="EM64" s="110">
        <v>11.9</v>
      </c>
      <c r="EN64" s="110">
        <v>0</v>
      </c>
      <c r="EO64" s="110">
        <v>3.9</v>
      </c>
      <c r="EP64" s="110">
        <v>11.3</v>
      </c>
      <c r="EQ64" s="110">
        <v>23.8</v>
      </c>
      <c r="ER64" s="110">
        <v>55.7</v>
      </c>
      <c r="ES64" s="114">
        <v>25</v>
      </c>
      <c r="IL64" s="83" t="str">
        <f t="shared" si="165"/>
        <v/>
      </c>
      <c r="IM64" s="4" t="str">
        <f t="shared" si="166"/>
        <v/>
      </c>
      <c r="IN64" s="4" t="str">
        <f t="shared" si="167"/>
        <v/>
      </c>
      <c r="IO64" s="4" t="str">
        <f t="shared" si="168"/>
        <v/>
      </c>
      <c r="IP64" s="4" t="str">
        <f t="shared" si="169"/>
        <v/>
      </c>
      <c r="IQ64" s="4" t="str">
        <f t="shared" si="170"/>
        <v/>
      </c>
      <c r="IR64" s="4" t="str">
        <f t="shared" si="171"/>
        <v/>
      </c>
      <c r="IS64" s="4" t="str">
        <f t="shared" si="172"/>
        <v/>
      </c>
      <c r="IT64" s="4" t="str">
        <f t="shared" si="173"/>
        <v/>
      </c>
      <c r="IU64" s="4" t="str">
        <f t="shared" si="174"/>
        <v/>
      </c>
      <c r="IV64" s="4" t="str">
        <f t="shared" si="175"/>
        <v/>
      </c>
      <c r="IW64" s="4" t="str">
        <f t="shared" si="176"/>
        <v/>
      </c>
      <c r="IX64" s="4" t="str">
        <f t="shared" si="177"/>
        <v/>
      </c>
      <c r="IY64" s="4" t="str">
        <f t="shared" si="178"/>
        <v/>
      </c>
      <c r="IZ64" s="4" t="str">
        <f t="shared" si="179"/>
        <v/>
      </c>
      <c r="JA64" s="4" t="str">
        <f t="shared" si="180"/>
        <v/>
      </c>
      <c r="JB64" s="4" t="str">
        <f t="shared" si="181"/>
        <v/>
      </c>
      <c r="JC64" s="4" t="str">
        <f t="shared" si="182"/>
        <v/>
      </c>
      <c r="JD64" s="4" t="str">
        <f t="shared" si="183"/>
        <v/>
      </c>
      <c r="JE64" s="4" t="str">
        <f t="shared" si="184"/>
        <v/>
      </c>
      <c r="JF64" s="4" t="str">
        <f t="shared" si="185"/>
        <v/>
      </c>
      <c r="JG64" s="4" t="str">
        <f t="shared" si="186"/>
        <v/>
      </c>
      <c r="JH64" s="4" t="str">
        <f t="shared" si="187"/>
        <v/>
      </c>
      <c r="JI64" s="4" t="str">
        <f t="shared" si="188"/>
        <v/>
      </c>
      <c r="JJ64" s="4" t="str">
        <f t="shared" si="189"/>
        <v/>
      </c>
      <c r="JK64" s="4" t="str">
        <f t="shared" si="190"/>
        <v/>
      </c>
      <c r="JL64" s="4" t="str">
        <f t="shared" si="191"/>
        <v/>
      </c>
      <c r="JM64" s="4" t="str">
        <f t="shared" si="192"/>
        <v/>
      </c>
      <c r="JN64" s="4" t="str">
        <f t="shared" si="193"/>
        <v/>
      </c>
      <c r="JO64" s="4" t="str">
        <f t="shared" si="194"/>
        <v/>
      </c>
      <c r="JP64" s="4" t="str">
        <f t="shared" si="195"/>
        <v/>
      </c>
      <c r="JQ64" s="117" t="str">
        <f t="shared" si="196"/>
        <v/>
      </c>
      <c r="JR64" s="110" t="str">
        <f t="shared" si="197"/>
        <v/>
      </c>
      <c r="JS64" s="110" t="str">
        <f t="shared" si="198"/>
        <v/>
      </c>
      <c r="JT64" s="110" t="str">
        <f t="shared" si="199"/>
        <v/>
      </c>
      <c r="JU64" s="110" t="str">
        <f t="shared" si="200"/>
        <v/>
      </c>
      <c r="JV64" s="110" t="str">
        <f t="shared" si="201"/>
        <v/>
      </c>
      <c r="JW64" s="110" t="str">
        <f t="shared" si="202"/>
        <v/>
      </c>
      <c r="JX64" s="110" t="str">
        <f t="shared" si="203"/>
        <v/>
      </c>
      <c r="JY64" s="110" t="str">
        <f t="shared" si="204"/>
        <v/>
      </c>
      <c r="JZ64" s="110" t="str">
        <f t="shared" si="205"/>
        <v/>
      </c>
      <c r="KA64" s="110" t="str">
        <f t="shared" si="206"/>
        <v/>
      </c>
      <c r="KB64" s="110" t="str">
        <f t="shared" si="207"/>
        <v/>
      </c>
      <c r="KC64" s="110" t="str">
        <f t="shared" si="208"/>
        <v/>
      </c>
      <c r="KD64" s="110" t="str">
        <f t="shared" si="209"/>
        <v/>
      </c>
      <c r="KE64" s="110" t="str">
        <f t="shared" si="210"/>
        <v/>
      </c>
      <c r="KF64" s="110" t="str">
        <f t="shared" si="211"/>
        <v/>
      </c>
      <c r="KG64" s="121" t="str">
        <f t="shared" si="212"/>
        <v/>
      </c>
      <c r="KH64" s="83" t="str">
        <f t="shared" si="213"/>
        <v/>
      </c>
      <c r="KI64" s="4" t="str">
        <f t="shared" si="214"/>
        <v/>
      </c>
      <c r="KJ64" s="4" t="str">
        <f t="shared" si="215"/>
        <v/>
      </c>
      <c r="KK64" s="4" t="str">
        <f t="shared" si="216"/>
        <v/>
      </c>
      <c r="KL64" s="4" t="str">
        <f t="shared" si="217"/>
        <v/>
      </c>
      <c r="KM64" s="4" t="str">
        <f t="shared" si="218"/>
        <v/>
      </c>
      <c r="KN64" s="4" t="str">
        <f t="shared" si="219"/>
        <v/>
      </c>
      <c r="KO64" s="4" t="str">
        <f t="shared" si="220"/>
        <v/>
      </c>
      <c r="KP64" s="4" t="str">
        <f t="shared" si="221"/>
        <v/>
      </c>
      <c r="KQ64" s="4" t="str">
        <f t="shared" si="222"/>
        <v/>
      </c>
      <c r="KR64" s="4" t="str">
        <f t="shared" si="223"/>
        <v/>
      </c>
      <c r="KS64" s="4" t="str">
        <f t="shared" si="224"/>
        <v/>
      </c>
      <c r="KT64" s="4" t="str">
        <f t="shared" si="225"/>
        <v/>
      </c>
      <c r="KU64" s="4" t="str">
        <f t="shared" si="226"/>
        <v/>
      </c>
      <c r="KV64" s="4" t="str">
        <f t="shared" si="227"/>
        <v/>
      </c>
      <c r="KW64" s="4" t="str">
        <f t="shared" si="228"/>
        <v/>
      </c>
      <c r="KX64" s="4" t="str">
        <f t="shared" si="229"/>
        <v/>
      </c>
      <c r="KY64" s="4" t="str">
        <f t="shared" si="230"/>
        <v/>
      </c>
      <c r="KZ64" s="4" t="str">
        <f t="shared" si="231"/>
        <v/>
      </c>
      <c r="LA64" s="4" t="str">
        <f t="shared" si="232"/>
        <v/>
      </c>
      <c r="LB64" s="4" t="str">
        <f t="shared" si="233"/>
        <v/>
      </c>
      <c r="LC64" s="4" t="str">
        <f t="shared" si="234"/>
        <v/>
      </c>
      <c r="LD64" s="4" t="str">
        <f t="shared" si="235"/>
        <v/>
      </c>
      <c r="LE64" s="4" t="str">
        <f t="shared" si="236"/>
        <v/>
      </c>
      <c r="LF64" s="4" t="str">
        <f t="shared" si="237"/>
        <v/>
      </c>
      <c r="LG64" s="4" t="str">
        <f t="shared" si="238"/>
        <v/>
      </c>
      <c r="LH64" s="4" t="str">
        <f t="shared" si="239"/>
        <v/>
      </c>
      <c r="LI64" s="4" t="str">
        <f t="shared" si="240"/>
        <v/>
      </c>
      <c r="LJ64" s="4" t="str">
        <f t="shared" si="241"/>
        <v/>
      </c>
      <c r="LK64" s="4" t="str">
        <f t="shared" si="242"/>
        <v/>
      </c>
      <c r="LL64" s="4" t="str">
        <f t="shared" si="243"/>
        <v/>
      </c>
      <c r="LM64" s="4" t="str">
        <f t="shared" si="244"/>
        <v/>
      </c>
      <c r="LN64" s="4" t="str">
        <f t="shared" si="245"/>
        <v/>
      </c>
      <c r="LO64" s="4" t="str">
        <f t="shared" si="246"/>
        <v/>
      </c>
      <c r="LP64" s="4" t="str">
        <f t="shared" si="247"/>
        <v/>
      </c>
      <c r="LQ64" s="4" t="str">
        <f t="shared" si="248"/>
        <v/>
      </c>
      <c r="LR64" s="4" t="str">
        <f t="shared" si="249"/>
        <v/>
      </c>
      <c r="LS64" s="4" t="str">
        <f t="shared" si="250"/>
        <v/>
      </c>
      <c r="LT64" s="4" t="str">
        <f t="shared" si="251"/>
        <v/>
      </c>
      <c r="LU64" s="4" t="str">
        <f t="shared" si="252"/>
        <v/>
      </c>
      <c r="LV64" s="4" t="str">
        <f t="shared" si="253"/>
        <v/>
      </c>
      <c r="LW64" s="4" t="str">
        <f t="shared" si="254"/>
        <v/>
      </c>
      <c r="LX64" s="4" t="str">
        <f t="shared" si="255"/>
        <v/>
      </c>
      <c r="LY64" s="4" t="str">
        <f t="shared" si="256"/>
        <v/>
      </c>
      <c r="LZ64" s="4" t="str">
        <f t="shared" si="257"/>
        <v/>
      </c>
      <c r="MA64" s="4" t="str">
        <f t="shared" si="258"/>
        <v/>
      </c>
      <c r="MB64" s="4" t="str">
        <f t="shared" si="259"/>
        <v/>
      </c>
      <c r="MC64" s="4" t="str">
        <f t="shared" si="260"/>
        <v/>
      </c>
      <c r="MD64" s="4" t="str">
        <f t="shared" si="261"/>
        <v/>
      </c>
      <c r="ME64" s="4" t="str">
        <f t="shared" si="262"/>
        <v/>
      </c>
      <c r="MF64" s="4" t="str">
        <f t="shared" si="263"/>
        <v/>
      </c>
      <c r="MG64" s="4">
        <f t="shared" si="264"/>
        <v>0</v>
      </c>
    </row>
    <row r="65" spans="1:345" ht="26.25" customHeight="1" x14ac:dyDescent="0.2">
      <c r="A65" s="35">
        <v>41339</v>
      </c>
      <c r="B65" s="36" t="s">
        <v>234</v>
      </c>
      <c r="C65" s="36" t="s">
        <v>39</v>
      </c>
      <c r="D65" s="31" t="s">
        <v>111</v>
      </c>
      <c r="E65" s="4">
        <v>71</v>
      </c>
      <c r="F65" s="3">
        <v>15292</v>
      </c>
      <c r="G65" s="4" t="s">
        <v>87</v>
      </c>
      <c r="H65" s="4" t="s">
        <v>112</v>
      </c>
      <c r="I65" s="4">
        <v>1836234</v>
      </c>
      <c r="K65" s="235"/>
      <c r="L65" s="236"/>
      <c r="M65" s="236"/>
      <c r="N65" s="236"/>
      <c r="O65" s="235"/>
      <c r="P65" s="236"/>
      <c r="Q65" s="236"/>
      <c r="R65" s="33">
        <v>-0.5</v>
      </c>
      <c r="S65" s="4">
        <v>-0.44</v>
      </c>
      <c r="T65" s="39" t="s">
        <v>249</v>
      </c>
      <c r="U65" s="70">
        <v>19.75</v>
      </c>
      <c r="V65" s="124">
        <v>41316</v>
      </c>
      <c r="W65" s="67">
        <v>0.75</v>
      </c>
      <c r="X65" s="67">
        <v>1.75</v>
      </c>
      <c r="Y65" s="4">
        <v>35</v>
      </c>
      <c r="Z65" s="4">
        <v>50</v>
      </c>
      <c r="AA65" s="4">
        <v>13</v>
      </c>
      <c r="AB65" s="4">
        <v>696</v>
      </c>
      <c r="AC65" s="4">
        <v>24.2</v>
      </c>
      <c r="AD65" s="4">
        <v>12</v>
      </c>
      <c r="AE65" s="4">
        <v>4.6399999999999997</v>
      </c>
      <c r="AF65" s="4">
        <v>3.33</v>
      </c>
      <c r="AG65" s="4">
        <v>43.05</v>
      </c>
      <c r="AH65" s="4">
        <v>176</v>
      </c>
      <c r="AI65" s="4">
        <v>43.72</v>
      </c>
      <c r="AJ65" s="4">
        <v>86</v>
      </c>
      <c r="AK65" s="4">
        <v>0</v>
      </c>
      <c r="AL65" s="4" t="b">
        <f t="shared" si="135"/>
        <v>0</v>
      </c>
      <c r="AN65" s="32">
        <v>41541</v>
      </c>
      <c r="AO65" s="60">
        <v>40</v>
      </c>
      <c r="AP65" s="67">
        <v>0.5</v>
      </c>
      <c r="AQ65" s="67">
        <v>0.75</v>
      </c>
      <c r="AR65" s="4">
        <v>37</v>
      </c>
      <c r="AS65" s="4">
        <v>30</v>
      </c>
      <c r="AT65" s="4">
        <v>16</v>
      </c>
      <c r="AU65" s="4">
        <v>584</v>
      </c>
      <c r="AV65" s="4">
        <v>911</v>
      </c>
      <c r="AW65" s="4">
        <v>24.25</v>
      </c>
      <c r="AX65" s="4">
        <v>3.49</v>
      </c>
      <c r="AY65" s="4">
        <v>41.93</v>
      </c>
      <c r="AZ65" s="4">
        <v>133</v>
      </c>
      <c r="BA65" s="4">
        <v>42.67</v>
      </c>
      <c r="BB65" s="4">
        <v>43</v>
      </c>
      <c r="BC65" s="4">
        <f t="shared" si="136"/>
        <v>0.875</v>
      </c>
      <c r="BD65" s="4">
        <f t="shared" si="267"/>
        <v>1.3149999999999999</v>
      </c>
      <c r="BE65" s="4">
        <f t="shared" si="137"/>
        <v>-112</v>
      </c>
      <c r="BF65" s="37">
        <v>41696</v>
      </c>
      <c r="BH65" s="67">
        <v>0.5</v>
      </c>
      <c r="BI65" s="67">
        <v>-0.5</v>
      </c>
      <c r="BJ65" s="4">
        <v>130</v>
      </c>
      <c r="BK65" s="4">
        <v>30</v>
      </c>
      <c r="BL65" s="4">
        <v>14</v>
      </c>
      <c r="BM65" s="4">
        <v>564</v>
      </c>
      <c r="BN65" s="4">
        <v>906</v>
      </c>
      <c r="BO65" s="4">
        <v>24.07</v>
      </c>
      <c r="BP65" s="4">
        <v>4.17</v>
      </c>
      <c r="BQ65" s="4">
        <v>42.13</v>
      </c>
      <c r="BR65" s="4">
        <v>160</v>
      </c>
      <c r="BS65" s="4">
        <v>42.99</v>
      </c>
      <c r="BT65" s="4">
        <v>70</v>
      </c>
      <c r="BU65" s="4">
        <f t="shared" si="266"/>
        <v>0.25</v>
      </c>
      <c r="BV65" s="4">
        <f t="shared" si="138"/>
        <v>0.69</v>
      </c>
      <c r="BW65" s="4">
        <f t="shared" si="139"/>
        <v>-132</v>
      </c>
      <c r="BX65" s="4">
        <f t="shared" si="140"/>
        <v>1</v>
      </c>
      <c r="BY65" s="4">
        <f t="shared" si="141"/>
        <v>1</v>
      </c>
      <c r="BZ65" s="4">
        <f t="shared" si="142"/>
        <v>1.625</v>
      </c>
      <c r="CA65" s="4">
        <f t="shared" si="143"/>
        <v>0.875</v>
      </c>
      <c r="CB65" s="4">
        <f t="shared" si="144"/>
        <v>0.25</v>
      </c>
      <c r="CC65" s="53">
        <f t="shared" si="145"/>
        <v>357</v>
      </c>
      <c r="CD65" s="55">
        <f t="shared" si="146"/>
        <v>11.9</v>
      </c>
      <c r="CE65" s="4">
        <f t="shared" si="147"/>
        <v>-0.625</v>
      </c>
      <c r="CF65" s="4">
        <f t="shared" si="148"/>
        <v>-1.0850000000000009</v>
      </c>
      <c r="CG65" s="4">
        <f t="shared" si="149"/>
        <v>-0.82499999999999574</v>
      </c>
      <c r="CH65" s="4">
        <f t="shared" si="150"/>
        <v>-0.82499999999999574</v>
      </c>
      <c r="CI65" s="4">
        <f t="shared" si="151"/>
        <v>1.625</v>
      </c>
      <c r="CJ65" s="4">
        <f t="shared" si="152"/>
        <v>0.25</v>
      </c>
      <c r="CK65" s="93">
        <f t="shared" si="153"/>
        <v>0.69</v>
      </c>
      <c r="CL65" s="83">
        <f t="shared" si="154"/>
        <v>-132</v>
      </c>
      <c r="CM65" s="4">
        <f t="shared" si="155"/>
        <v>5.0000000000000711E-2</v>
      </c>
      <c r="CN65" s="96">
        <f t="shared" si="156"/>
        <v>-0.44</v>
      </c>
      <c r="CO65" s="96">
        <f t="shared" si="265"/>
        <v>0.22184874961635634</v>
      </c>
      <c r="CP65" s="127">
        <f t="shared" si="157"/>
        <v>-0.5</v>
      </c>
      <c r="CQ65" s="127">
        <f t="shared" si="158"/>
        <v>-2.25</v>
      </c>
      <c r="CR65" s="136">
        <f t="shared" si="159"/>
        <v>30</v>
      </c>
      <c r="CS65" s="136">
        <f t="shared" si="160"/>
        <v>50</v>
      </c>
      <c r="CT65" s="135">
        <f t="shared" si="161"/>
        <v>40</v>
      </c>
      <c r="CU65" s="139">
        <f t="shared" si="162"/>
        <v>1</v>
      </c>
      <c r="CV65" s="96">
        <f t="shared" si="163"/>
        <v>1</v>
      </c>
      <c r="CW65" s="141" t="b">
        <f t="shared" si="164"/>
        <v>0</v>
      </c>
      <c r="CX65">
        <v>7.98</v>
      </c>
      <c r="CY65" s="4">
        <v>7.89</v>
      </c>
      <c r="CZ65" s="4">
        <v>32.799999999999997</v>
      </c>
      <c r="DA65" s="4">
        <v>-0.5</v>
      </c>
      <c r="DB65" s="4">
        <v>-0.02</v>
      </c>
      <c r="DC65" s="4">
        <v>0.47</v>
      </c>
      <c r="DD65" s="4">
        <v>2.5099999999999998</v>
      </c>
      <c r="DE65" s="4">
        <v>3.23</v>
      </c>
      <c r="DF65" s="4">
        <v>721</v>
      </c>
      <c r="DG65" s="4">
        <v>724</v>
      </c>
      <c r="DH65" s="4">
        <v>779</v>
      </c>
      <c r="DI65" s="4">
        <v>632</v>
      </c>
      <c r="DJ65" s="4">
        <v>713</v>
      </c>
      <c r="DK65" s="4">
        <v>748</v>
      </c>
      <c r="DL65" s="4">
        <v>629</v>
      </c>
      <c r="DM65" s="4">
        <v>0.14000000000000001</v>
      </c>
      <c r="DN65" s="4">
        <v>-3.19</v>
      </c>
      <c r="DO65" s="4">
        <v>7.99</v>
      </c>
      <c r="DP65" s="4">
        <v>7.89</v>
      </c>
      <c r="DQ65" s="4">
        <v>7.83</v>
      </c>
      <c r="DR65" s="4">
        <v>8</v>
      </c>
      <c r="DS65" s="4">
        <v>8.4600000000000009</v>
      </c>
      <c r="DT65" s="4">
        <v>8.8699999999999992</v>
      </c>
      <c r="DU65" s="4">
        <v>0</v>
      </c>
      <c r="DV65" s="4">
        <v>0.3</v>
      </c>
      <c r="DW65" s="4">
        <v>8.07</v>
      </c>
      <c r="DX65" s="4">
        <v>7.18</v>
      </c>
      <c r="DY65" s="4">
        <v>6.7</v>
      </c>
      <c r="DZ65" s="4">
        <v>6.67</v>
      </c>
      <c r="EA65" s="4">
        <v>6.87</v>
      </c>
      <c r="EB65" s="4">
        <v>7.2</v>
      </c>
      <c r="EC65" s="4">
        <v>0</v>
      </c>
      <c r="ED65" s="89">
        <v>0.3</v>
      </c>
      <c r="EE65" s="110">
        <v>42.3</v>
      </c>
      <c r="EF65" s="110">
        <v>42.8</v>
      </c>
      <c r="EG65" s="110">
        <v>42.5</v>
      </c>
      <c r="EH65" s="110">
        <v>32.799999999999997</v>
      </c>
      <c r="EI65" s="110">
        <v>0.5</v>
      </c>
      <c r="EJ65" s="110">
        <v>-5</v>
      </c>
      <c r="EK65" s="110">
        <v>-5.5</v>
      </c>
      <c r="EL65" s="110">
        <v>-5.2</v>
      </c>
      <c r="EM65" s="110">
        <v>97.2</v>
      </c>
      <c r="EN65" s="110">
        <v>0.5</v>
      </c>
      <c r="EO65" s="110">
        <v>5.0999999999999996</v>
      </c>
      <c r="EP65" s="110">
        <v>14.2</v>
      </c>
      <c r="EQ65" s="110">
        <v>29.2</v>
      </c>
      <c r="ER65" s="110">
        <v>68</v>
      </c>
      <c r="ES65" s="114">
        <v>12</v>
      </c>
      <c r="IL65" s="83" t="str">
        <f t="shared" si="165"/>
        <v/>
      </c>
      <c r="IM65" s="4" t="str">
        <f t="shared" si="166"/>
        <v/>
      </c>
      <c r="IN65" s="4" t="str">
        <f t="shared" si="167"/>
        <v/>
      </c>
      <c r="IO65" s="4" t="str">
        <f t="shared" si="168"/>
        <v/>
      </c>
      <c r="IP65" s="4" t="str">
        <f t="shared" si="169"/>
        <v/>
      </c>
      <c r="IQ65" s="4" t="str">
        <f t="shared" si="170"/>
        <v/>
      </c>
      <c r="IR65" s="4" t="str">
        <f t="shared" si="171"/>
        <v/>
      </c>
      <c r="IS65" s="4" t="str">
        <f t="shared" si="172"/>
        <v/>
      </c>
      <c r="IT65" s="4" t="str">
        <f t="shared" si="173"/>
        <v/>
      </c>
      <c r="IU65" s="4" t="str">
        <f t="shared" si="174"/>
        <v/>
      </c>
      <c r="IV65" s="4" t="str">
        <f t="shared" si="175"/>
        <v/>
      </c>
      <c r="IW65" s="4" t="str">
        <f t="shared" si="176"/>
        <v/>
      </c>
      <c r="IX65" s="4" t="str">
        <f t="shared" si="177"/>
        <v/>
      </c>
      <c r="IY65" s="4" t="str">
        <f t="shared" si="178"/>
        <v/>
      </c>
      <c r="IZ65" s="4" t="str">
        <f t="shared" si="179"/>
        <v/>
      </c>
      <c r="JA65" s="4" t="str">
        <f t="shared" si="180"/>
        <v/>
      </c>
      <c r="JB65" s="4" t="str">
        <f t="shared" si="181"/>
        <v/>
      </c>
      <c r="JC65" s="4" t="str">
        <f t="shared" si="182"/>
        <v/>
      </c>
      <c r="JD65" s="4" t="str">
        <f t="shared" si="183"/>
        <v/>
      </c>
      <c r="JE65" s="4" t="str">
        <f t="shared" si="184"/>
        <v/>
      </c>
      <c r="JF65" s="4" t="str">
        <f t="shared" si="185"/>
        <v/>
      </c>
      <c r="JG65" s="4" t="str">
        <f t="shared" si="186"/>
        <v/>
      </c>
      <c r="JH65" s="4" t="str">
        <f t="shared" si="187"/>
        <v/>
      </c>
      <c r="JI65" s="4" t="str">
        <f t="shared" si="188"/>
        <v/>
      </c>
      <c r="JJ65" s="4" t="str">
        <f t="shared" si="189"/>
        <v/>
      </c>
      <c r="JK65" s="4" t="str">
        <f t="shared" si="190"/>
        <v/>
      </c>
      <c r="JL65" s="4" t="str">
        <f t="shared" si="191"/>
        <v/>
      </c>
      <c r="JM65" s="4" t="str">
        <f t="shared" si="192"/>
        <v/>
      </c>
      <c r="JN65" s="4" t="str">
        <f t="shared" si="193"/>
        <v/>
      </c>
      <c r="JO65" s="4" t="str">
        <f t="shared" si="194"/>
        <v/>
      </c>
      <c r="JP65" s="4" t="str">
        <f t="shared" si="195"/>
        <v/>
      </c>
      <c r="JQ65" s="117" t="str">
        <f t="shared" si="196"/>
        <v/>
      </c>
      <c r="JR65" s="110" t="str">
        <f t="shared" si="197"/>
        <v/>
      </c>
      <c r="JS65" s="110" t="str">
        <f t="shared" si="198"/>
        <v/>
      </c>
      <c r="JT65" s="110" t="str">
        <f t="shared" si="199"/>
        <v/>
      </c>
      <c r="JU65" s="110" t="str">
        <f t="shared" si="200"/>
        <v/>
      </c>
      <c r="JV65" s="110" t="str">
        <f t="shared" si="201"/>
        <v/>
      </c>
      <c r="JW65" s="110" t="str">
        <f t="shared" si="202"/>
        <v/>
      </c>
      <c r="JX65" s="110" t="str">
        <f t="shared" si="203"/>
        <v/>
      </c>
      <c r="JY65" s="110" t="str">
        <f t="shared" si="204"/>
        <v/>
      </c>
      <c r="JZ65" s="110" t="str">
        <f t="shared" si="205"/>
        <v/>
      </c>
      <c r="KA65" s="110" t="str">
        <f t="shared" si="206"/>
        <v/>
      </c>
      <c r="KB65" s="110" t="str">
        <f t="shared" si="207"/>
        <v/>
      </c>
      <c r="KC65" s="110" t="str">
        <f t="shared" si="208"/>
        <v/>
      </c>
      <c r="KD65" s="110" t="str">
        <f t="shared" si="209"/>
        <v/>
      </c>
      <c r="KE65" s="110" t="str">
        <f t="shared" si="210"/>
        <v/>
      </c>
      <c r="KF65" s="110" t="str">
        <f t="shared" si="211"/>
        <v/>
      </c>
      <c r="KG65" s="121" t="str">
        <f t="shared" si="212"/>
        <v/>
      </c>
      <c r="KH65" s="83" t="str">
        <f t="shared" si="213"/>
        <v/>
      </c>
      <c r="KI65" s="4" t="str">
        <f t="shared" si="214"/>
        <v/>
      </c>
      <c r="KJ65" s="4" t="str">
        <f t="shared" si="215"/>
        <v/>
      </c>
      <c r="KK65" s="4" t="str">
        <f t="shared" si="216"/>
        <v/>
      </c>
      <c r="KL65" s="4" t="str">
        <f t="shared" si="217"/>
        <v/>
      </c>
      <c r="KM65" s="4" t="str">
        <f t="shared" si="218"/>
        <v/>
      </c>
      <c r="KN65" s="4" t="str">
        <f t="shared" si="219"/>
        <v/>
      </c>
      <c r="KO65" s="4" t="str">
        <f t="shared" si="220"/>
        <v/>
      </c>
      <c r="KP65" s="4" t="str">
        <f t="shared" si="221"/>
        <v/>
      </c>
      <c r="KQ65" s="4" t="str">
        <f t="shared" si="222"/>
        <v/>
      </c>
      <c r="KR65" s="4" t="str">
        <f t="shared" si="223"/>
        <v/>
      </c>
      <c r="KS65" s="4" t="str">
        <f t="shared" si="224"/>
        <v/>
      </c>
      <c r="KT65" s="4" t="str">
        <f t="shared" si="225"/>
        <v/>
      </c>
      <c r="KU65" s="4" t="str">
        <f t="shared" si="226"/>
        <v/>
      </c>
      <c r="KV65" s="4" t="str">
        <f t="shared" si="227"/>
        <v/>
      </c>
      <c r="KW65" s="4" t="str">
        <f t="shared" si="228"/>
        <v/>
      </c>
      <c r="KX65" s="4" t="str">
        <f t="shared" si="229"/>
        <v/>
      </c>
      <c r="KY65" s="4" t="str">
        <f t="shared" si="230"/>
        <v/>
      </c>
      <c r="KZ65" s="4" t="str">
        <f t="shared" si="231"/>
        <v/>
      </c>
      <c r="LA65" s="4" t="str">
        <f t="shared" si="232"/>
        <v/>
      </c>
      <c r="LB65" s="4" t="str">
        <f t="shared" si="233"/>
        <v/>
      </c>
      <c r="LC65" s="4" t="str">
        <f t="shared" si="234"/>
        <v/>
      </c>
      <c r="LD65" s="4" t="str">
        <f t="shared" si="235"/>
        <v/>
      </c>
      <c r="LE65" s="4" t="str">
        <f t="shared" si="236"/>
        <v/>
      </c>
      <c r="LF65" s="4" t="str">
        <f t="shared" si="237"/>
        <v/>
      </c>
      <c r="LG65" s="4" t="str">
        <f t="shared" si="238"/>
        <v/>
      </c>
      <c r="LH65" s="4" t="str">
        <f t="shared" si="239"/>
        <v/>
      </c>
      <c r="LI65" s="4" t="str">
        <f t="shared" si="240"/>
        <v/>
      </c>
      <c r="LJ65" s="4" t="str">
        <f t="shared" si="241"/>
        <v/>
      </c>
      <c r="LK65" s="4" t="str">
        <f t="shared" si="242"/>
        <v/>
      </c>
      <c r="LL65" s="4" t="str">
        <f t="shared" si="243"/>
        <v/>
      </c>
      <c r="LM65" s="4" t="str">
        <f t="shared" si="244"/>
        <v/>
      </c>
      <c r="LN65" s="4" t="str">
        <f t="shared" si="245"/>
        <v/>
      </c>
      <c r="LO65" s="4" t="str">
        <f t="shared" si="246"/>
        <v/>
      </c>
      <c r="LP65" s="4" t="str">
        <f t="shared" si="247"/>
        <v/>
      </c>
      <c r="LQ65" s="4" t="str">
        <f t="shared" si="248"/>
        <v/>
      </c>
      <c r="LR65" s="4" t="str">
        <f t="shared" si="249"/>
        <v/>
      </c>
      <c r="LS65" s="4" t="str">
        <f t="shared" si="250"/>
        <v/>
      </c>
      <c r="LT65" s="4" t="str">
        <f t="shared" si="251"/>
        <v/>
      </c>
      <c r="LU65" s="4" t="str">
        <f t="shared" si="252"/>
        <v/>
      </c>
      <c r="LV65" s="4" t="str">
        <f t="shared" si="253"/>
        <v/>
      </c>
      <c r="LW65" s="4" t="str">
        <f t="shared" si="254"/>
        <v/>
      </c>
      <c r="LX65" s="4" t="str">
        <f t="shared" si="255"/>
        <v/>
      </c>
      <c r="LY65" s="4" t="str">
        <f t="shared" si="256"/>
        <v/>
      </c>
      <c r="LZ65" s="4" t="str">
        <f t="shared" si="257"/>
        <v/>
      </c>
      <c r="MA65" s="4" t="str">
        <f t="shared" si="258"/>
        <v/>
      </c>
      <c r="MB65" s="4" t="str">
        <f t="shared" si="259"/>
        <v/>
      </c>
      <c r="MC65" s="4" t="str">
        <f t="shared" si="260"/>
        <v/>
      </c>
      <c r="MD65" s="4" t="str">
        <f t="shared" si="261"/>
        <v/>
      </c>
      <c r="ME65" s="4" t="str">
        <f t="shared" si="262"/>
        <v/>
      </c>
      <c r="MF65" s="4" t="str">
        <f t="shared" si="263"/>
        <v/>
      </c>
      <c r="MG65" s="4">
        <f t="shared" si="264"/>
        <v>0</v>
      </c>
    </row>
    <row r="66" spans="1:345" ht="26.25" customHeight="1" thickBot="1" x14ac:dyDescent="0.25">
      <c r="A66" s="35">
        <v>41332</v>
      </c>
      <c r="B66" s="36" t="s">
        <v>236</v>
      </c>
      <c r="C66" s="36" t="s">
        <v>226</v>
      </c>
      <c r="D66" s="31" t="s">
        <v>110</v>
      </c>
      <c r="E66" s="4">
        <v>58</v>
      </c>
      <c r="F66" s="3">
        <v>20124</v>
      </c>
      <c r="G66" s="4" t="s">
        <v>87</v>
      </c>
      <c r="H66" s="4" t="s">
        <v>108</v>
      </c>
      <c r="I66" s="4">
        <v>1836239</v>
      </c>
      <c r="J66" s="4" t="s">
        <v>309</v>
      </c>
      <c r="R66" s="33">
        <v>-0.5</v>
      </c>
      <c r="S66" s="4">
        <v>-0.68</v>
      </c>
      <c r="T66" s="4" t="s">
        <v>249</v>
      </c>
      <c r="U66" s="67">
        <v>22.25</v>
      </c>
      <c r="V66" s="124">
        <v>41284</v>
      </c>
      <c r="W66" s="67">
        <v>-0.25</v>
      </c>
      <c r="X66" s="67">
        <v>1</v>
      </c>
      <c r="Y66" s="4">
        <v>115</v>
      </c>
      <c r="Z66" s="4">
        <v>50</v>
      </c>
      <c r="AA66" s="4">
        <v>21</v>
      </c>
      <c r="AB66" s="4">
        <v>625</v>
      </c>
      <c r="AC66" s="4">
        <v>22.3</v>
      </c>
      <c r="AD66" s="4">
        <v>12.4</v>
      </c>
      <c r="AF66" s="4">
        <v>3.16</v>
      </c>
      <c r="AG66" s="4">
        <v>46.04</v>
      </c>
      <c r="AH66" s="4">
        <v>0</v>
      </c>
      <c r="AI66" s="4">
        <v>46.81</v>
      </c>
      <c r="AJ66" s="4">
        <v>90</v>
      </c>
      <c r="AK66" s="4">
        <v>0</v>
      </c>
      <c r="AL66" s="4" t="b">
        <f t="shared" ref="AL66:AL97" si="268">IF(AND(ISNUMBER(SK),SK&gt;0),TRUE,FALSE)</f>
        <v>0</v>
      </c>
      <c r="AN66" s="32">
        <v>41501</v>
      </c>
      <c r="AO66" s="60"/>
      <c r="AP66" s="67">
        <v>-0.5</v>
      </c>
      <c r="AQ66" s="67">
        <v>1.5</v>
      </c>
      <c r="AR66" s="4">
        <v>105</v>
      </c>
      <c r="AS66" s="4">
        <v>40</v>
      </c>
      <c r="AT66" s="4">
        <v>11</v>
      </c>
      <c r="AU66" s="4">
        <v>566</v>
      </c>
      <c r="AV66" s="4">
        <v>1179</v>
      </c>
      <c r="BC66" s="4">
        <f t="shared" ref="BC66:BC83" si="269">IF(ISNUMBER(AP66),AP66+0.5*AQ66,"")</f>
        <v>0.25</v>
      </c>
      <c r="BD66" s="4">
        <f t="shared" si="267"/>
        <v>0.93</v>
      </c>
      <c r="BE66" s="4">
        <f t="shared" ref="BE66:BE97" si="270">IF(AND(ISNUMBER(AU66),ISNUMBER(AB66)),AU66-AB66,IF(ISNUMBER(AU66),"MISSING",""))</f>
        <v>-59</v>
      </c>
      <c r="BF66" s="3">
        <v>41611</v>
      </c>
      <c r="BG66" s="56">
        <v>40</v>
      </c>
      <c r="BH66" s="67">
        <v>0</v>
      </c>
      <c r="BI66" s="67">
        <v>1.25</v>
      </c>
      <c r="BJ66" s="4">
        <v>110</v>
      </c>
      <c r="BK66" s="4">
        <v>40</v>
      </c>
      <c r="BL66" s="4">
        <v>16</v>
      </c>
      <c r="BM66" s="4">
        <v>568</v>
      </c>
      <c r="BN66" s="4">
        <v>852</v>
      </c>
      <c r="BO66" s="4">
        <v>22.37</v>
      </c>
      <c r="BP66" s="4">
        <v>2.79</v>
      </c>
      <c r="BQ66" s="4">
        <v>44.88</v>
      </c>
      <c r="BR66" s="4">
        <v>7</v>
      </c>
      <c r="BS66" s="4">
        <v>45.42</v>
      </c>
      <c r="BT66" s="4">
        <v>97</v>
      </c>
      <c r="BU66" s="4">
        <f t="shared" si="266"/>
        <v>0.625</v>
      </c>
      <c r="BV66" s="4">
        <f t="shared" ref="BV66:BV97" si="271">IF(ISNUMBER(BU66),IF(ISNUMBER($S66),BU66-$S66,"MISSING"),"")</f>
        <v>1.3050000000000002</v>
      </c>
      <c r="BW66" s="4">
        <f t="shared" ref="BW66:BW97" si="272">IF(AND(ISNUMBER(BM66),ISNUMBER($AB66)),BM66-$AB66,IF(ISNUMBER(BM66),"MISSING",""))</f>
        <v>-57</v>
      </c>
      <c r="BX66" s="4">
        <f t="shared" ref="BX66:BX85" si="273">IF(AND(ISBLANK(SPH_6),ISBLANK(SPH_12)),0,1)</f>
        <v>1</v>
      </c>
      <c r="BY66" s="4">
        <f t="shared" ref="BY66:BY97" si="274">IF(AND(ISNUMBER($AP66),ISNUMBER($BH66)),1,0)</f>
        <v>1</v>
      </c>
      <c r="BZ66" s="4">
        <f t="shared" ref="BZ66:BZ97" si="275">IF(BY66,SE_PREOP,"")</f>
        <v>0.25</v>
      </c>
      <c r="CA66" s="4">
        <f t="shared" ref="CA66:CA97" si="276">IF(FU_6_AND_12,SE_6,"")</f>
        <v>0.25</v>
      </c>
      <c r="CB66" s="4">
        <f t="shared" ref="CB66:CB97" si="277">IF(FU_6_AND_12,SE_12,"")</f>
        <v>0.625</v>
      </c>
      <c r="CC66" s="53">
        <f t="shared" ref="CC66:CC97" si="278">IF(AND(ISNUMBER(BF66),ISNUMBER(BH66)),BF66-A66,IF(ISNUMBER(AN66),AN66-A66,0))</f>
        <v>279</v>
      </c>
      <c r="CD66" s="55">
        <f t="shared" ref="CD66:CD97" si="279">IF(CC66&gt;0,CC66/30,"")</f>
        <v>9.3000000000000007</v>
      </c>
      <c r="CE66" s="4">
        <f t="shared" ref="CE66:CE97" si="280">IF(AND(ISNUMBER(BC66),ISNUMBER(BU66)),(BU66-BC66),"")</f>
        <v>0.375</v>
      </c>
      <c r="CF66" s="4" t="str">
        <f t="shared" ref="CF66:CF97" si="281">IF(AND(ISNUMBER(BA66), ISNUMBER(AG66)), AVERAGE(BA66,AY66)-AVERAGE(AG66,AI66),"")</f>
        <v/>
      </c>
      <c r="CG66" s="4">
        <f t="shared" ref="CG66:CG97" si="282">IF(AND(ISNUMBER(BQ66), ISNUMBER(AG66)), AVERAGE(BQ66,BS66)-AVERAGE(AG66,AI66),"")</f>
        <v>-1.2749999999999915</v>
      </c>
      <c r="CH66" s="4">
        <f t="shared" ref="CH66:CH97" si="283">IF(ISNUMBER(CG66),CG66,IF(ISNUMBER(CF66),CF66,""))</f>
        <v>-1.2749999999999915</v>
      </c>
      <c r="CI66" s="4">
        <f t="shared" ref="CI66:CI97" si="284">IF(AND(ISNUMBER(SPH_PREOP),ISNUMBER(SE_LAST_)),SPH_PREOP+CYL_PREOP/2,"")</f>
        <v>0.25</v>
      </c>
      <c r="CJ66" s="4">
        <f t="shared" ref="CJ66:CJ97" si="285">IF(ISNUMBER(SE_12),SE_12,IF(ISNUMBER(SE_6),SE_6,""))</f>
        <v>0.625</v>
      </c>
      <c r="CK66" s="93">
        <f t="shared" ref="CK66:CK97" si="286">IF(AND(ISNUMBER(SE_LAST_),ISNUMBER(REF_TARGET)),SE_LAST_-REF_TARGET,"")</f>
        <v>1.3050000000000002</v>
      </c>
      <c r="CL66" s="83">
        <f t="shared" ref="CL66:CL97" si="287">IF(ISNUMBER(AB66),IF(ISNUMBER(BM66),BM66-AB66,IF(ISNUMBER(AU66),AU66-AB66,"")),"")</f>
        <v>-57</v>
      </c>
      <c r="CM66" s="4">
        <f t="shared" ref="CM66:CM97" si="288">IF(ISNUMBER(AC66),IF(ISNUMBER(AW66),AW66-AC66,IF(ISNUMBER(BO66),BO66-AC66,"")),"")</f>
        <v>7.0000000000000284E-2</v>
      </c>
      <c r="CN66" s="96">
        <f t="shared" ref="CN66:CN97" si="289">IF(ISNUMBER(LAST_SE_ERROR),REF_TARGET,"")</f>
        <v>-0.68</v>
      </c>
      <c r="CO66" s="96">
        <f t="shared" si="265"/>
        <v>9.6910013008056406E-2</v>
      </c>
      <c r="CP66" s="127">
        <f t="shared" ref="CP66:CP97" si="290">IF(ISNUMBER(BI66),BI66,IF(ISNUMBER(AQ66),AQ66,""))</f>
        <v>1.25</v>
      </c>
      <c r="CQ66" s="127">
        <f t="shared" ref="CQ66:CQ97" si="291">IF(AND(ISNUMBER(CP66),ISNUMBER(X66)),CP66-X66,"")</f>
        <v>0.25</v>
      </c>
      <c r="CR66" s="136">
        <f t="shared" ref="CR66:CR97" si="292">IF(ISNUMBER(BCVA_12),BCVA_12,IF(ISNUMBER(BCVA_6),BCVA_6,""))</f>
        <v>40</v>
      </c>
      <c r="CS66" s="136">
        <f t="shared" ref="CS66:CS97" si="293">IF(ISNUMBER(CR66),PREOP_BCVA,"")</f>
        <v>50</v>
      </c>
      <c r="CT66" s="135">
        <f t="shared" ref="CT66:CT97" si="294">IF(AND(REF_TARGET&lt;=0,REF_TARGET&gt;-1),IF(ISNUMBER(UDVA_12),UDVA_12,IF(ISNUMBER(UDVA_6),UDVA_6,"")),"")</f>
        <v>40</v>
      </c>
      <c r="CU66" s="139">
        <f t="shared" ref="CU66:CU97" si="295">IF(ISNUMBER(PREOP_PENTACAM_RV),IF(ISNUMBER(SPH_6),IF(ISNUMBER($ET66),0,1),""),"")</f>
        <v>0</v>
      </c>
      <c r="CV66" s="96">
        <f t="shared" ref="CV66:CV97" si="296">IF(ISNUMBER(PREOP_PENTACAM_RV),IF(ISNUMBER(SPH_12),IF(ISNUMBER($GP66),0,1),""),"")</f>
        <v>0</v>
      </c>
      <c r="CW66" s="141" t="b">
        <f t="shared" ref="CW66:CW97" si="297">IF(OR(ISNUMBER(MISSING_PENT_6),ISNUMBER(MISSING_PENT_12)),IF(AND(ISNUMBER(MISSING_PENT_6),ISNUMBER(MISSING_PENT_12)),AND(MISSING_PENT_6,MISSING_PENT_12),IF(ISNUMBER(MISSING_PENT_6),INT(MISSING_PENT_6)&gt;0,INT(MISSING_PENT_12)&gt;0)),"")</f>
        <v>0</v>
      </c>
      <c r="CX66">
        <v>7.49</v>
      </c>
      <c r="CY66" s="4">
        <v>7.37</v>
      </c>
      <c r="CZ66" s="4">
        <v>177.7</v>
      </c>
      <c r="DA66" s="4">
        <v>-0.7</v>
      </c>
      <c r="DB66" s="4">
        <v>0.09</v>
      </c>
      <c r="DC66" s="4">
        <v>0.45</v>
      </c>
      <c r="DD66" s="4">
        <v>2.93</v>
      </c>
      <c r="DE66" s="4">
        <v>3.56</v>
      </c>
      <c r="DF66" s="4">
        <v>636</v>
      </c>
      <c r="DG66" s="4">
        <v>640</v>
      </c>
      <c r="DH66" s="4">
        <v>668</v>
      </c>
      <c r="DI66" s="4">
        <v>660</v>
      </c>
      <c r="DJ66" s="4">
        <v>647</v>
      </c>
      <c r="DK66" s="4">
        <v>632</v>
      </c>
      <c r="DL66" s="4">
        <v>617</v>
      </c>
      <c r="DM66" s="4">
        <v>-1.74</v>
      </c>
      <c r="DN66" s="4">
        <v>-1.1100000000000001</v>
      </c>
      <c r="DO66" s="4">
        <v>7.44</v>
      </c>
      <c r="DP66" s="4">
        <v>7.4</v>
      </c>
      <c r="DQ66" s="4">
        <v>7.38</v>
      </c>
      <c r="DR66" s="4">
        <v>7.51</v>
      </c>
      <c r="DS66" s="4">
        <v>7.96</v>
      </c>
      <c r="DT66" s="4">
        <v>8.1999999999999993</v>
      </c>
      <c r="DU66" s="4">
        <v>0</v>
      </c>
      <c r="DV66" s="4">
        <v>0.5</v>
      </c>
      <c r="DW66" s="4">
        <v>7.14</v>
      </c>
      <c r="DX66" s="4">
        <v>6.58</v>
      </c>
      <c r="DY66" s="4">
        <v>6.35</v>
      </c>
      <c r="DZ66" s="4">
        <v>6.67</v>
      </c>
      <c r="EA66" s="4">
        <v>7.21</v>
      </c>
      <c r="EB66" s="4">
        <v>7.21</v>
      </c>
      <c r="EC66" s="4">
        <v>0</v>
      </c>
      <c r="ED66" s="89">
        <v>0.5</v>
      </c>
      <c r="EE66" s="110">
        <v>45</v>
      </c>
      <c r="EF66" s="110">
        <v>45.8</v>
      </c>
      <c r="EG66" s="110">
        <v>45.4</v>
      </c>
      <c r="EH66" s="110">
        <v>177.7</v>
      </c>
      <c r="EI66" s="110">
        <v>0.7</v>
      </c>
      <c r="EJ66" s="110">
        <v>-5.6</v>
      </c>
      <c r="EK66" s="110">
        <v>-5.9</v>
      </c>
      <c r="EL66" s="110">
        <v>-5.8</v>
      </c>
      <c r="EM66" s="110">
        <v>21.7</v>
      </c>
      <c r="EN66" s="110">
        <v>0.3</v>
      </c>
      <c r="EO66" s="110">
        <v>4.5</v>
      </c>
      <c r="EP66" s="110">
        <v>12.8</v>
      </c>
      <c r="EQ66" s="110">
        <v>26.6</v>
      </c>
      <c r="ER66" s="110">
        <v>61.7</v>
      </c>
      <c r="ES66" s="114">
        <v>13</v>
      </c>
      <c r="ET66" s="83">
        <v>7.55</v>
      </c>
      <c r="EU66" s="4">
        <v>7.27</v>
      </c>
      <c r="EV66" s="4">
        <v>1</v>
      </c>
      <c r="EW66" s="4">
        <v>-1.8</v>
      </c>
      <c r="EX66" s="4">
        <v>0.43</v>
      </c>
      <c r="EY66" s="4">
        <v>0.51</v>
      </c>
      <c r="EZ66" s="4">
        <v>5.5</v>
      </c>
      <c r="FA66" s="4">
        <v>6.1</v>
      </c>
      <c r="FB66" s="4">
        <v>603</v>
      </c>
      <c r="FC66" s="4">
        <v>598</v>
      </c>
      <c r="FD66" s="4">
        <v>698</v>
      </c>
      <c r="FE66" s="4">
        <v>665</v>
      </c>
      <c r="FF66" s="4">
        <v>704</v>
      </c>
      <c r="FG66" s="4">
        <v>646</v>
      </c>
      <c r="FH66" s="4">
        <v>592</v>
      </c>
      <c r="FI66" s="4">
        <v>0.98</v>
      </c>
      <c r="FJ66" s="4">
        <v>-0.52</v>
      </c>
      <c r="FK66" s="4">
        <v>7.46</v>
      </c>
      <c r="FL66" s="4">
        <v>7.37</v>
      </c>
      <c r="FM66" s="4">
        <v>7.42</v>
      </c>
      <c r="FN66" s="4">
        <v>7.57</v>
      </c>
      <c r="FO66" s="4">
        <v>7.9</v>
      </c>
      <c r="FP66" s="4">
        <v>8.1300000000000008</v>
      </c>
      <c r="FQ66" s="4">
        <v>0</v>
      </c>
      <c r="FR66" s="4">
        <v>1.4</v>
      </c>
      <c r="FS66" s="4">
        <v>6.08</v>
      </c>
      <c r="FT66" s="4">
        <v>5.98</v>
      </c>
      <c r="FU66" s="4">
        <v>6.04</v>
      </c>
      <c r="FV66" s="4">
        <v>6.33</v>
      </c>
      <c r="FW66" s="4">
        <v>6.48</v>
      </c>
      <c r="FX66" s="4">
        <v>0</v>
      </c>
      <c r="FY66" s="4">
        <v>0</v>
      </c>
      <c r="FZ66" s="86">
        <v>1.4</v>
      </c>
      <c r="GA66" s="110">
        <v>44.7</v>
      </c>
      <c r="GB66" s="110">
        <v>46.4</v>
      </c>
      <c r="GC66" s="110">
        <v>45.6</v>
      </c>
      <c r="GD66" s="110">
        <v>1</v>
      </c>
      <c r="GE66" s="110">
        <v>1.8</v>
      </c>
      <c r="GF66" s="110">
        <v>-6.4</v>
      </c>
      <c r="GG66" s="110">
        <v>-6.8</v>
      </c>
      <c r="GH66" s="110">
        <v>-6.6</v>
      </c>
      <c r="GI66" s="110">
        <v>8.9</v>
      </c>
      <c r="GJ66" s="110">
        <v>0.4</v>
      </c>
      <c r="GK66" s="110">
        <v>4.4000000000000004</v>
      </c>
      <c r="GL66" s="110">
        <v>12.8</v>
      </c>
      <c r="GM66" s="110">
        <v>27.5</v>
      </c>
      <c r="GN66" s="110">
        <v>67.400000000000006</v>
      </c>
      <c r="GO66" s="119">
        <v>20</v>
      </c>
      <c r="GP66" s="83">
        <v>7.6</v>
      </c>
      <c r="GQ66" s="4">
        <v>7.43</v>
      </c>
      <c r="GR66" s="4">
        <v>5</v>
      </c>
      <c r="GS66" s="4">
        <v>-1</v>
      </c>
      <c r="GT66" s="4">
        <v>0.25</v>
      </c>
      <c r="GU66" s="4">
        <v>0.42</v>
      </c>
      <c r="GV66" s="4">
        <v>4.83</v>
      </c>
      <c r="GW66" s="4">
        <v>5.37</v>
      </c>
      <c r="GX66" s="4">
        <v>540</v>
      </c>
      <c r="GY66" s="4">
        <v>539</v>
      </c>
      <c r="GZ66" s="4">
        <v>634</v>
      </c>
      <c r="HA66" s="4">
        <v>647</v>
      </c>
      <c r="HB66" s="4">
        <v>631</v>
      </c>
      <c r="HC66" s="4">
        <v>614</v>
      </c>
      <c r="HD66" s="4">
        <v>538</v>
      </c>
      <c r="HE66" s="4">
        <v>0.52</v>
      </c>
      <c r="HF66" s="4">
        <v>-0.33</v>
      </c>
      <c r="HG66" s="4">
        <v>7.54</v>
      </c>
      <c r="HH66" s="4">
        <v>7.44</v>
      </c>
      <c r="HI66" s="4">
        <v>7.43</v>
      </c>
      <c r="HJ66" s="4">
        <v>7.58</v>
      </c>
      <c r="HK66" s="4">
        <v>7.83</v>
      </c>
      <c r="HL66" s="4">
        <v>7.96</v>
      </c>
      <c r="HM66" s="4">
        <v>0</v>
      </c>
      <c r="HN66" s="4">
        <v>1.5</v>
      </c>
      <c r="HO66" s="4">
        <v>6.08</v>
      </c>
      <c r="HP66" s="4">
        <v>6</v>
      </c>
      <c r="HQ66" s="4">
        <v>6.05</v>
      </c>
      <c r="HR66" s="4">
        <v>6.42</v>
      </c>
      <c r="HS66" s="4">
        <v>6.76</v>
      </c>
      <c r="HT66" s="4">
        <v>0</v>
      </c>
      <c r="HU66" s="4">
        <v>0</v>
      </c>
      <c r="HV66" s="93">
        <v>1.5</v>
      </c>
      <c r="HW66" s="110">
        <v>44.4</v>
      </c>
      <c r="HX66" s="110">
        <v>45.4</v>
      </c>
      <c r="HY66" s="110">
        <v>44.9</v>
      </c>
      <c r="HZ66" s="110">
        <v>5</v>
      </c>
      <c r="IA66" s="110">
        <v>1</v>
      </c>
      <c r="IB66" s="110">
        <v>-6.4</v>
      </c>
      <c r="IC66" s="110">
        <v>-6.9</v>
      </c>
      <c r="ID66" s="110">
        <v>-6.6</v>
      </c>
      <c r="IE66" s="110">
        <v>1.6</v>
      </c>
      <c r="IF66" s="110">
        <v>0.5</v>
      </c>
      <c r="IG66" s="110">
        <v>3.9</v>
      </c>
      <c r="IH66" s="110">
        <v>11.6</v>
      </c>
      <c r="II66" s="110">
        <v>25.2</v>
      </c>
      <c r="IJ66" s="110">
        <v>62.2</v>
      </c>
      <c r="IK66" s="121">
        <v>16</v>
      </c>
      <c r="IL66" s="83">
        <f t="shared" ref="IL66:IL97" si="298">IF(ISNUMBER(GP66),GP66,IF(ISNUMBER(ET66),ET66,""))</f>
        <v>7.6</v>
      </c>
      <c r="IM66" s="4">
        <f t="shared" ref="IM66:IM97" si="299">IF(ISNUMBER(GQ66),GQ66,IF(ISNUMBER(EU66),EU66,""))</f>
        <v>7.43</v>
      </c>
      <c r="IN66" s="4">
        <f t="shared" ref="IN66:IN97" si="300">IF(ISNUMBER(GR66),GR66,IF(ISNUMBER(EV66),EV66,""))</f>
        <v>5</v>
      </c>
      <c r="IO66" s="4">
        <f t="shared" ref="IO66:IO97" si="301">IF(ISNUMBER(GS66),GS66,IF(ISNUMBER(EW66),EW66,""))</f>
        <v>-1</v>
      </c>
      <c r="IP66" s="4">
        <f t="shared" ref="IP66:IP97" si="302">IF(ISNUMBER(GT66),GT66,IF(ISNUMBER(EX66),EX66,""))</f>
        <v>0.25</v>
      </c>
      <c r="IQ66" s="4">
        <f t="shared" ref="IQ66:IQ97" si="303">IF(ISNUMBER(GU66),GU66,IF(ISNUMBER(EY66),EY66,""))</f>
        <v>0.42</v>
      </c>
      <c r="IR66" s="4">
        <f t="shared" ref="IR66:IR97" si="304">IF(ISNUMBER(GV66),GV66,IF(ISNUMBER(EZ66),EZ66,""))</f>
        <v>4.83</v>
      </c>
      <c r="IS66" s="4">
        <f t="shared" ref="IS66:IS97" si="305">IF(ISNUMBER(GW66),GW66,IF(ISNUMBER(FA66),FA66,""))</f>
        <v>5.37</v>
      </c>
      <c r="IT66" s="4">
        <f t="shared" ref="IT66:IT97" si="306">IF(ISNUMBER(GX66),GX66,IF(ISNUMBER(FB66),FB66,""))</f>
        <v>540</v>
      </c>
      <c r="IU66" s="4">
        <f t="shared" ref="IU66:IU97" si="307">IF(ISNUMBER(GY66),GY66,IF(ISNUMBER(FC66),FC66,""))</f>
        <v>539</v>
      </c>
      <c r="IV66" s="4">
        <f t="shared" ref="IV66:IV97" si="308">IF(ISNUMBER(GZ66),GZ66,IF(ISNUMBER(FD66),FD66,""))</f>
        <v>634</v>
      </c>
      <c r="IW66" s="4">
        <f t="shared" ref="IW66:IW97" si="309">IF(ISNUMBER(HA66),HA66,IF(ISNUMBER(FE66),FE66,""))</f>
        <v>647</v>
      </c>
      <c r="IX66" s="4">
        <f t="shared" ref="IX66:IX97" si="310">IF(ISNUMBER(HB66),HB66,IF(ISNUMBER(FF66),FF66,""))</f>
        <v>631</v>
      </c>
      <c r="IY66" s="4">
        <f t="shared" ref="IY66:IY97" si="311">IF(ISNUMBER(HC66),HC66,IF(ISNUMBER(FG66),FG66,""))</f>
        <v>614</v>
      </c>
      <c r="IZ66" s="4">
        <f t="shared" ref="IZ66:IZ97" si="312">IF(ISNUMBER(HD66),HD66,IF(ISNUMBER(FH66),FH66,""))</f>
        <v>538</v>
      </c>
      <c r="JA66" s="4">
        <f t="shared" ref="JA66:JA97" si="313">IF(ISNUMBER(HE66),HE66,IF(ISNUMBER(FI66),FI66,""))</f>
        <v>0.52</v>
      </c>
      <c r="JB66" s="4">
        <f t="shared" ref="JB66:JB97" si="314">IF(ISNUMBER(HF66),HF66,IF(ISNUMBER(FJ66),FJ66,""))</f>
        <v>-0.33</v>
      </c>
      <c r="JC66" s="4">
        <f t="shared" ref="JC66:JC97" si="315">IF(ISNUMBER(HG66),HG66,IF(ISNUMBER(FK66),FK66,""))</f>
        <v>7.54</v>
      </c>
      <c r="JD66" s="4">
        <f t="shared" ref="JD66:JD97" si="316">IF(ISNUMBER(HH66),HH66,IF(ISNUMBER(FL66),FL66,""))</f>
        <v>7.44</v>
      </c>
      <c r="JE66" s="4">
        <f t="shared" ref="JE66:JE97" si="317">IF(ISNUMBER(HI66),HI66,IF(ISNUMBER(FM66),FM66,""))</f>
        <v>7.43</v>
      </c>
      <c r="JF66" s="4">
        <f t="shared" ref="JF66:JF97" si="318">IF(ISNUMBER(HJ66),HJ66,IF(ISNUMBER(FN66),FN66,""))</f>
        <v>7.58</v>
      </c>
      <c r="JG66" s="4">
        <f t="shared" ref="JG66:JG97" si="319">IF(ISNUMBER(HK66),HK66,IF(ISNUMBER(FO66),FO66,""))</f>
        <v>7.83</v>
      </c>
      <c r="JH66" s="4">
        <f t="shared" ref="JH66:JH97" si="320">IF(ISNUMBER(HL66),HL66,IF(ISNUMBER(FP66),FP66,""))</f>
        <v>7.96</v>
      </c>
      <c r="JI66" s="4">
        <f t="shared" ref="JI66:JI97" si="321">IF(ISNUMBER(HM66),HM66,IF(ISNUMBER(FQ66),FQ66,""))</f>
        <v>0</v>
      </c>
      <c r="JJ66" s="4">
        <f t="shared" ref="JJ66:JJ97" si="322">IF(ISNUMBER(HN66),HN66,IF(ISNUMBER(FR66),FR66,""))</f>
        <v>1.5</v>
      </c>
      <c r="JK66" s="4">
        <f t="shared" ref="JK66:JK97" si="323">IF(ISNUMBER(HO66),HO66,IF(ISNUMBER(FS66),FS66,""))</f>
        <v>6.08</v>
      </c>
      <c r="JL66" s="4">
        <f t="shared" ref="JL66:JL97" si="324">IF(ISNUMBER(HP66),HP66,IF(ISNUMBER(FT66),FT66,""))</f>
        <v>6</v>
      </c>
      <c r="JM66" s="4">
        <f t="shared" ref="JM66:JM97" si="325">IF(ISNUMBER(HQ66),HQ66,IF(ISNUMBER(FU66),FU66,""))</f>
        <v>6.05</v>
      </c>
      <c r="JN66" s="4">
        <f t="shared" ref="JN66:JN97" si="326">IF(ISNUMBER(HR66),HR66,IF(ISNUMBER(FV66),FV66,""))</f>
        <v>6.42</v>
      </c>
      <c r="JO66" s="4">
        <f t="shared" ref="JO66:JO97" si="327">IF(ISNUMBER(HS66),HS66,IF(ISNUMBER(FW66),FW66,""))</f>
        <v>6.76</v>
      </c>
      <c r="JP66" s="4">
        <f t="shared" ref="JP66:JP97" si="328">IF(ISNUMBER(HT66),HT66,IF(ISNUMBER(FX66),FX66,""))</f>
        <v>0</v>
      </c>
      <c r="JQ66" s="117">
        <f t="shared" ref="JQ66:JQ97" si="329">IF(ISNUMBER(HU66),HU66,IF(ISNUMBER(FY66),FY66,""))</f>
        <v>0</v>
      </c>
      <c r="JR66" s="110">
        <f t="shared" ref="JR66:JR97" si="330">IF(ISNUMBER(HV66),HV66,IF(ISNUMBER(FZ66),FZ66,""))</f>
        <v>1.5</v>
      </c>
      <c r="JS66" s="110">
        <f t="shared" ref="JS66:JS97" si="331">IF(ISNUMBER(HW66),HW66,IF(ISNUMBER(GA66),GA66,""))</f>
        <v>44.4</v>
      </c>
      <c r="JT66" s="110">
        <f t="shared" ref="JT66:JT97" si="332">IF(ISNUMBER(HX66),HX66,IF(ISNUMBER(GB66),GB66,""))</f>
        <v>45.4</v>
      </c>
      <c r="JU66" s="110">
        <f t="shared" ref="JU66:JU97" si="333">IF(ISNUMBER(HY66),HY66,IF(ISNUMBER(GC66),GC66,""))</f>
        <v>44.9</v>
      </c>
      <c r="JV66" s="110">
        <f t="shared" ref="JV66:JV97" si="334">IF(ISNUMBER(HZ66),HZ66,IF(ISNUMBER(GD66),GD66,""))</f>
        <v>5</v>
      </c>
      <c r="JW66" s="110">
        <f t="shared" ref="JW66:JW97" si="335">IF(ISNUMBER(IA66),IA66,IF(ISNUMBER(GE66),GE66,""))</f>
        <v>1</v>
      </c>
      <c r="JX66" s="110">
        <f t="shared" ref="JX66:JX97" si="336">IF(ISNUMBER(IB66),IB66,IF(ISNUMBER(GF66),GF66,""))</f>
        <v>-6.4</v>
      </c>
      <c r="JY66" s="110">
        <f t="shared" ref="JY66:JY97" si="337">IF(ISNUMBER(IC66),IC66,IF(ISNUMBER(GG66),GG66,""))</f>
        <v>-6.9</v>
      </c>
      <c r="JZ66" s="110">
        <f t="shared" ref="JZ66:JZ97" si="338">IF(ISNUMBER(ID66),ID66,IF(ISNUMBER(GH66),GH66,""))</f>
        <v>-6.6</v>
      </c>
      <c r="KA66" s="110">
        <f t="shared" ref="KA66:KA97" si="339">IF(ISNUMBER(IE66),IE66,IF(ISNUMBER(GI66),GI66,""))</f>
        <v>1.6</v>
      </c>
      <c r="KB66" s="110">
        <f t="shared" ref="KB66:KB97" si="340">IF(ISNUMBER(IF66),IF66,IF(ISNUMBER(GJ66),GJ66,""))</f>
        <v>0.5</v>
      </c>
      <c r="KC66" s="110">
        <f t="shared" ref="KC66:KC97" si="341">IF(ISNUMBER(IG66),IG66,IF(ISNUMBER(GK66),GK66,""))</f>
        <v>3.9</v>
      </c>
      <c r="KD66" s="110">
        <f t="shared" ref="KD66:KD97" si="342">IF(ISNUMBER(IH66),IH66,IF(ISNUMBER(GL66),GL66,""))</f>
        <v>11.6</v>
      </c>
      <c r="KE66" s="110">
        <f t="shared" ref="KE66:KE97" si="343">IF(ISNUMBER(II66),II66,IF(ISNUMBER(GM66),GM66,""))</f>
        <v>25.2</v>
      </c>
      <c r="KF66" s="110">
        <f t="shared" ref="KF66:KF97" si="344">IF(ISNUMBER(IJ66),IJ66,IF(ISNUMBER(GN66),GN66,""))</f>
        <v>62.2</v>
      </c>
      <c r="KG66" s="121">
        <f t="shared" ref="KG66:KG97" si="345">IF(ISNUMBER(IK66),IK66,IF(ISNUMBER(GO66),GO66,""))</f>
        <v>16</v>
      </c>
      <c r="KH66" s="83">
        <f t="shared" ref="KH66:KH97" si="346">IF(AND(ISNUMBER(IL66),ISNUMBER(CX66)),IL66-CX66,"")</f>
        <v>0.10999999999999943</v>
      </c>
      <c r="KI66" s="4">
        <f t="shared" ref="KI66:KI97" si="347">IF(AND(ISNUMBER(IM66),ISNUMBER(CY66)),IM66-CY66,"")</f>
        <v>5.9999999999999609E-2</v>
      </c>
      <c r="KJ66" s="4">
        <f t="shared" ref="KJ66:KJ97" si="348">IF(AND(ISNUMBER(IN66),ISNUMBER(CZ66)),IN66-CZ66,"")</f>
        <v>-172.7</v>
      </c>
      <c r="KK66" s="4">
        <f t="shared" ref="KK66:KK97" si="349">IF(AND(ISNUMBER(IO66),ISNUMBER(DA66)),IO66-DA66,"")</f>
        <v>-0.30000000000000004</v>
      </c>
      <c r="KL66" s="4">
        <f t="shared" ref="KL66:KL97" si="350">IF(AND(ISNUMBER(IP66),ISNUMBER(DB66)),IP66-DB66,"")</f>
        <v>0.16</v>
      </c>
      <c r="KM66" s="4">
        <f t="shared" ref="KM66:KM97" si="351">IF(AND(ISNUMBER(IQ66),ISNUMBER(DC66)),IQ66-DC66,"")</f>
        <v>-3.0000000000000027E-2</v>
      </c>
      <c r="KN66" s="4">
        <f t="shared" ref="KN66:KN97" si="352">IF(AND(ISNUMBER(IR66),ISNUMBER(DD66)),IR66-DD66,"")</f>
        <v>1.9</v>
      </c>
      <c r="KO66" s="4">
        <f t="shared" ref="KO66:KO97" si="353">IF(AND(ISNUMBER(IS66),ISNUMBER(DE66)),IS66-DE66,"")</f>
        <v>1.81</v>
      </c>
      <c r="KP66" s="4">
        <f t="shared" ref="KP66:KP97" si="354">IF(AND(ISNUMBER(IT66),ISNUMBER(DF66)),IT66-DF66,"")</f>
        <v>-96</v>
      </c>
      <c r="KQ66" s="4">
        <f t="shared" ref="KQ66:KQ97" si="355">IF(AND(ISNUMBER(IU66),ISNUMBER(DG66)),IU66-DG66,"")</f>
        <v>-101</v>
      </c>
      <c r="KR66" s="4">
        <f t="shared" ref="KR66:KR97" si="356">IF(AND(ISNUMBER(IV66),ISNUMBER(DH66)),IV66-DH66,"")</f>
        <v>-34</v>
      </c>
      <c r="KS66" s="4">
        <f t="shared" ref="KS66:KS97" si="357">IF(AND(ISNUMBER(IW66),ISNUMBER(DI66)),IW66-DI66,"")</f>
        <v>-13</v>
      </c>
      <c r="KT66" s="4">
        <f t="shared" ref="KT66:KT97" si="358">IF(AND(ISNUMBER(IX66),ISNUMBER(DJ66)),IX66-DJ66,"")</f>
        <v>-16</v>
      </c>
      <c r="KU66" s="4">
        <f t="shared" ref="KU66:KU97" si="359">IF(AND(ISNUMBER(IY66),ISNUMBER(DK66)),IY66-DK66,"")</f>
        <v>-18</v>
      </c>
      <c r="KV66" s="4">
        <f t="shared" ref="KV66:KV97" si="360">IF(AND(ISNUMBER(IZ66),ISNUMBER(DL66)),IZ66-DL66,"")</f>
        <v>-79</v>
      </c>
      <c r="KW66" s="4">
        <f t="shared" ref="KW66:KW97" si="361">IF(AND(ISNUMBER(JA66),ISNUMBER(DM66)),JA66-DM66,"")</f>
        <v>2.2599999999999998</v>
      </c>
      <c r="KX66" s="4">
        <f t="shared" ref="KX66:KX97" si="362">IF(AND(ISNUMBER(JB66),ISNUMBER(DN66)),JB66-DN66,"")</f>
        <v>0.78</v>
      </c>
      <c r="KY66" s="4">
        <f t="shared" ref="KY66:KY97" si="363">IF(AND(ISNUMBER(JC66),ISNUMBER(DO66)),JC66-DO66,"")</f>
        <v>9.9999999999999645E-2</v>
      </c>
      <c r="KZ66" s="4">
        <f t="shared" ref="KZ66:KZ97" si="364">IF(AND(ISNUMBER(JD66),ISNUMBER(DP66)),JD66-DP66,"")</f>
        <v>4.0000000000000036E-2</v>
      </c>
      <c r="LA66" s="4">
        <f t="shared" ref="LA66:LA97" si="365">IF(AND(ISNUMBER(JE66),ISNUMBER(DQ66)),JE66-DQ66,"")</f>
        <v>4.9999999999999822E-2</v>
      </c>
      <c r="LB66" s="4">
        <f t="shared" ref="LB66:LB97" si="366">IF(AND(ISNUMBER(JF66),ISNUMBER(DR66)),JF66-DR66,"")</f>
        <v>7.0000000000000284E-2</v>
      </c>
      <c r="LC66" s="4">
        <f t="shared" ref="LC66:LC97" si="367">IF(AND(ISNUMBER(JG66),ISNUMBER(DS66)),JG66-DS66,"")</f>
        <v>-0.12999999999999989</v>
      </c>
      <c r="LD66" s="4">
        <f t="shared" ref="LD66:LD97" si="368">IF(AND(ISNUMBER(JH66),ISNUMBER(DT66)),JH66-DT66,"")</f>
        <v>-0.23999999999999932</v>
      </c>
      <c r="LE66" s="4">
        <f t="shared" ref="LE66:LE97" si="369">IF(AND(ISNUMBER(JI66),ISNUMBER(DU66)),JI66-DU66,"")</f>
        <v>0</v>
      </c>
      <c r="LF66" s="4">
        <f t="shared" ref="LF66:LF97" si="370">IF(AND(ISNUMBER(JJ66),ISNUMBER(DV66)),JJ66-DV66,"")</f>
        <v>1</v>
      </c>
      <c r="LG66" s="4">
        <f t="shared" ref="LG66:LG97" si="371">IF(AND(ISNUMBER(JK66),ISNUMBER(DW66)),JK66-DW66,"")</f>
        <v>-1.0599999999999996</v>
      </c>
      <c r="LH66" s="4">
        <f t="shared" ref="LH66:LH97" si="372">IF(AND(ISNUMBER(JL66),ISNUMBER(DX66)),JL66-DX66,"")</f>
        <v>-0.58000000000000007</v>
      </c>
      <c r="LI66" s="4">
        <f t="shared" ref="LI66:LI97" si="373">IF(AND(ISNUMBER(JM66),ISNUMBER(DY66)),JM66-DY66,"")</f>
        <v>-0.29999999999999982</v>
      </c>
      <c r="LJ66" s="4">
        <f t="shared" ref="LJ66:LJ97" si="374">IF(AND(ISNUMBER(JN66),ISNUMBER(DZ66)),JN66-DZ66,"")</f>
        <v>-0.25</v>
      </c>
      <c r="LK66" s="4">
        <f t="shared" ref="LK66:LK97" si="375">IF(AND(ISNUMBER(JO66),ISNUMBER(EA66)),JO66-EA66,"")</f>
        <v>-0.45000000000000018</v>
      </c>
      <c r="LL66" s="4">
        <f t="shared" ref="LL66:LL97" si="376">IF(AND(ISNUMBER(JP66),ISNUMBER(EB66)),JP66-EB66,"")</f>
        <v>-7.21</v>
      </c>
      <c r="LM66" s="4">
        <f t="shared" ref="LM66:LM97" si="377">IF(AND(ISNUMBER(JQ66),ISNUMBER(EC66)),JQ66-EC66,"")</f>
        <v>0</v>
      </c>
      <c r="LN66" s="4">
        <f t="shared" ref="LN66:LN97" si="378">IF(AND(ISNUMBER(JR66),ISNUMBER(ED66)),JR66-ED66,"")</f>
        <v>1</v>
      </c>
      <c r="LO66" s="4">
        <f t="shared" ref="LO66:LO97" si="379">IF(AND(ISNUMBER(JS66),ISNUMBER(EE66)),JS66-EE66,"")</f>
        <v>-0.60000000000000142</v>
      </c>
      <c r="LP66" s="4">
        <f t="shared" ref="LP66:LP97" si="380">IF(AND(ISNUMBER(JT66),ISNUMBER(EF66)),JT66-EF66,"")</f>
        <v>-0.39999999999999858</v>
      </c>
      <c r="LQ66" s="4">
        <f t="shared" ref="LQ66:LQ97" si="381">IF(AND(ISNUMBER(JU66),ISNUMBER(EG66)),JU66-EG66,"")</f>
        <v>-0.5</v>
      </c>
      <c r="LR66" s="4">
        <f t="shared" ref="LR66:LR97" si="382">IF(AND(ISNUMBER(JV66),ISNUMBER(EH66)),JV66-EH66,"")</f>
        <v>-172.7</v>
      </c>
      <c r="LS66" s="4">
        <f t="shared" ref="LS66:LS97" si="383">IF(AND(ISNUMBER(JW66),ISNUMBER(EI66)),JW66-EI66,"")</f>
        <v>0.30000000000000004</v>
      </c>
      <c r="LT66" s="4">
        <f t="shared" ref="LT66:LT97" si="384">IF(AND(ISNUMBER(JX66),ISNUMBER(EJ66)),JX66-EJ66,"")</f>
        <v>-0.80000000000000071</v>
      </c>
      <c r="LU66" s="4">
        <f t="shared" ref="LU66:LU97" si="385">IF(AND(ISNUMBER(JY66),ISNUMBER(EK66)),JY66-EK66,"")</f>
        <v>-1</v>
      </c>
      <c r="LV66" s="4">
        <f t="shared" ref="LV66:LV97" si="386">IF(AND(ISNUMBER(JZ66),ISNUMBER(EL66)),JZ66-EL66,"")</f>
        <v>-0.79999999999999982</v>
      </c>
      <c r="LW66" s="4">
        <f t="shared" ref="LW66:LW97" si="387">IF(AND(ISNUMBER(KA66),ISNUMBER(EM66)),KA66-EM66,"")</f>
        <v>-20.099999999999998</v>
      </c>
      <c r="LX66" s="4">
        <f t="shared" ref="LX66:LX97" si="388">IF(AND(ISNUMBER(KB66),ISNUMBER(EN66)),KB66-EN66,"")</f>
        <v>0.2</v>
      </c>
      <c r="LY66" s="4">
        <f t="shared" ref="LY66:LY97" si="389">IF(AND(ISNUMBER(KC66),ISNUMBER(EO66)),KC66-EO66,"")</f>
        <v>-0.60000000000000009</v>
      </c>
      <c r="LZ66" s="4">
        <f t="shared" ref="LZ66:LZ97" si="390">IF(AND(ISNUMBER(KD66),ISNUMBER(EP66)),KD66-EP66,"")</f>
        <v>-1.2000000000000011</v>
      </c>
      <c r="MA66" s="4">
        <f t="shared" ref="MA66:MA97" si="391">IF(AND(ISNUMBER(KE66),ISNUMBER(EQ66)),KE66-EQ66,"")</f>
        <v>-1.4000000000000021</v>
      </c>
      <c r="MB66" s="4">
        <f t="shared" ref="MB66:MB97" si="392">IF(AND(ISNUMBER(KF66),ISNUMBER(ER66)),KF66-ER66,"")</f>
        <v>0.5</v>
      </c>
      <c r="MC66" s="4">
        <f t="shared" ref="MC66:MC97" si="393">IF(AND(ISNUMBER(KG66),ISNUMBER(ES66)),KG66-ES66,"")</f>
        <v>3</v>
      </c>
      <c r="MD66" s="4">
        <f t="shared" ref="MD66:MD97" si="394">IF(AND(ISNUMBER(HW66),ISNUMBER(GA66)),HW66-GA66,"")</f>
        <v>-0.30000000000000426</v>
      </c>
      <c r="ME66" s="4">
        <f t="shared" ref="ME66:ME97" si="395">IF(AND(ISNUMBER(HX66),ISNUMBER(GB66)),HX66-GB66,"")</f>
        <v>-1</v>
      </c>
      <c r="MF66" s="4">
        <f t="shared" ref="MF66:MF97" si="396">IF(AND(ISNUMBER(IB66),ISNUMBER(GF66)),IB66-GF66,"")</f>
        <v>0</v>
      </c>
      <c r="MG66" s="4">
        <f t="shared" ref="MG66:MG97" si="397">IC66-GG66</f>
        <v>-0.10000000000000053</v>
      </c>
    </row>
    <row r="67" spans="1:345" ht="26.25" customHeight="1" thickBot="1" x14ac:dyDescent="0.25">
      <c r="A67" s="35">
        <v>41360</v>
      </c>
      <c r="B67" s="36" t="s">
        <v>146</v>
      </c>
      <c r="C67" s="36" t="s">
        <v>43</v>
      </c>
      <c r="D67" s="31" t="s">
        <v>111</v>
      </c>
      <c r="E67" s="4">
        <v>64</v>
      </c>
      <c r="F67" s="3">
        <v>17834</v>
      </c>
      <c r="G67" s="4" t="s">
        <v>87</v>
      </c>
      <c r="H67" s="4" t="s">
        <v>108</v>
      </c>
      <c r="I67" s="4">
        <v>1836300</v>
      </c>
      <c r="K67" s="227"/>
      <c r="L67" s="228"/>
      <c r="M67" s="228"/>
      <c r="N67" s="228"/>
      <c r="O67" s="258"/>
      <c r="P67" s="228"/>
      <c r="Q67" s="228"/>
      <c r="R67" s="33">
        <v>-0.5</v>
      </c>
      <c r="S67" s="33">
        <v>-0.51</v>
      </c>
      <c r="T67" s="33" t="s">
        <v>249</v>
      </c>
      <c r="U67" s="67">
        <v>19.75</v>
      </c>
      <c r="V67" s="124">
        <v>41309</v>
      </c>
      <c r="W67" s="67">
        <v>1</v>
      </c>
      <c r="X67" s="67">
        <v>0</v>
      </c>
      <c r="Y67" s="4">
        <v>0</v>
      </c>
      <c r="Z67" s="4">
        <v>30</v>
      </c>
      <c r="AA67" s="4">
        <v>15</v>
      </c>
      <c r="AB67" s="4">
        <v>594</v>
      </c>
      <c r="AC67" s="4">
        <v>24.91</v>
      </c>
      <c r="AD67" s="4">
        <v>12.3</v>
      </c>
      <c r="AE67" s="4">
        <v>4.21</v>
      </c>
      <c r="AF67" s="4">
        <v>3.61</v>
      </c>
      <c r="AG67" s="4">
        <v>41.51</v>
      </c>
      <c r="AH67" s="4">
        <v>104</v>
      </c>
      <c r="AI67" s="4">
        <v>41.67</v>
      </c>
      <c r="AJ67" s="4">
        <v>14</v>
      </c>
      <c r="AK67" s="4">
        <v>1</v>
      </c>
      <c r="AL67" s="4" t="b">
        <f t="shared" si="268"/>
        <v>1</v>
      </c>
      <c r="AM67" s="54"/>
      <c r="AN67" s="32">
        <v>41570</v>
      </c>
      <c r="AO67" s="60"/>
      <c r="AP67" s="67">
        <v>-1.5</v>
      </c>
      <c r="AQ67" s="67">
        <v>1.5</v>
      </c>
      <c r="AR67" s="4">
        <v>43</v>
      </c>
      <c r="AS67" s="4">
        <v>25</v>
      </c>
      <c r="AT67" s="4">
        <v>14</v>
      </c>
      <c r="AU67" s="4">
        <v>465</v>
      </c>
      <c r="AV67" s="4">
        <v>656</v>
      </c>
      <c r="AW67" s="4">
        <v>24.94</v>
      </c>
      <c r="AX67" s="4">
        <v>5</v>
      </c>
      <c r="AY67" s="4">
        <v>41.77</v>
      </c>
      <c r="AZ67" s="4">
        <v>152</v>
      </c>
      <c r="BA67" s="4">
        <v>42.56</v>
      </c>
      <c r="BB67" s="4">
        <v>62</v>
      </c>
      <c r="BC67" s="4">
        <f t="shared" si="269"/>
        <v>-0.75</v>
      </c>
      <c r="BD67" s="4">
        <f t="shared" si="267"/>
        <v>-0.24</v>
      </c>
      <c r="BE67" s="4">
        <f t="shared" si="270"/>
        <v>-129</v>
      </c>
      <c r="BF67" s="40">
        <v>41717</v>
      </c>
      <c r="BG67" s="58"/>
      <c r="BU67" s="4" t="str">
        <f t="shared" si="266"/>
        <v/>
      </c>
      <c r="BV67" s="4" t="str">
        <f t="shared" si="271"/>
        <v/>
      </c>
      <c r="BW67" s="4" t="str">
        <f t="shared" si="272"/>
        <v/>
      </c>
      <c r="BX67" s="4">
        <f t="shared" si="273"/>
        <v>1</v>
      </c>
      <c r="BY67" s="4">
        <f t="shared" si="274"/>
        <v>0</v>
      </c>
      <c r="BZ67" s="4" t="str">
        <f t="shared" si="275"/>
        <v/>
      </c>
      <c r="CA67" s="4" t="str">
        <f t="shared" si="276"/>
        <v/>
      </c>
      <c r="CB67" s="4" t="str">
        <f t="shared" si="277"/>
        <v/>
      </c>
      <c r="CC67" s="53">
        <f t="shared" si="278"/>
        <v>210</v>
      </c>
      <c r="CD67" s="55">
        <f t="shared" si="279"/>
        <v>7</v>
      </c>
      <c r="CE67" s="4" t="str">
        <f t="shared" si="280"/>
        <v/>
      </c>
      <c r="CF67" s="4">
        <f t="shared" si="281"/>
        <v>0.57500000000000284</v>
      </c>
      <c r="CG67" s="4" t="str">
        <f t="shared" si="282"/>
        <v/>
      </c>
      <c r="CH67" s="4">
        <f t="shared" si="283"/>
        <v>0.57500000000000284</v>
      </c>
      <c r="CI67" s="4">
        <f t="shared" si="284"/>
        <v>1</v>
      </c>
      <c r="CJ67" s="4">
        <f t="shared" si="285"/>
        <v>-0.75</v>
      </c>
      <c r="CK67" s="93">
        <f t="shared" si="286"/>
        <v>-0.24</v>
      </c>
      <c r="CL67" s="83">
        <f t="shared" si="287"/>
        <v>-129</v>
      </c>
      <c r="CM67" s="4">
        <f t="shared" si="288"/>
        <v>3.0000000000001137E-2</v>
      </c>
      <c r="CN67" s="96">
        <f t="shared" si="289"/>
        <v>-0.51</v>
      </c>
      <c r="CO67" s="96">
        <f t="shared" si="265"/>
        <v>7.9181246047624873E-2</v>
      </c>
      <c r="CP67" s="127">
        <f t="shared" si="290"/>
        <v>1.5</v>
      </c>
      <c r="CQ67" s="127">
        <f t="shared" si="291"/>
        <v>1.5</v>
      </c>
      <c r="CR67" s="136">
        <f t="shared" si="292"/>
        <v>25</v>
      </c>
      <c r="CS67" s="136">
        <f t="shared" si="293"/>
        <v>30</v>
      </c>
      <c r="CT67" s="135" t="str">
        <f t="shared" si="294"/>
        <v/>
      </c>
      <c r="CU67" s="139">
        <f t="shared" si="295"/>
        <v>0</v>
      </c>
      <c r="CV67" s="96" t="str">
        <f t="shared" si="296"/>
        <v/>
      </c>
      <c r="CW67" s="141" t="b">
        <f t="shared" si="297"/>
        <v>0</v>
      </c>
      <c r="CX67">
        <v>8.2200000000000006</v>
      </c>
      <c r="CY67" s="4">
        <v>8.1999999999999993</v>
      </c>
      <c r="CZ67" s="4">
        <v>138.6</v>
      </c>
      <c r="DA67" s="4">
        <v>-0.1</v>
      </c>
      <c r="DB67" s="4">
        <v>-0.1</v>
      </c>
      <c r="DC67" s="4">
        <v>0.4</v>
      </c>
      <c r="DD67" s="4">
        <v>3.26</v>
      </c>
      <c r="DE67" s="4">
        <v>3.86</v>
      </c>
      <c r="DF67" s="4">
        <v>600</v>
      </c>
      <c r="DG67" s="4">
        <v>596</v>
      </c>
      <c r="DH67" s="4">
        <v>698</v>
      </c>
      <c r="DI67" s="4">
        <v>651</v>
      </c>
      <c r="DJ67" s="4">
        <v>662</v>
      </c>
      <c r="DK67" s="4">
        <v>643</v>
      </c>
      <c r="DL67" s="4">
        <v>595</v>
      </c>
      <c r="DM67" s="4">
        <v>-0.21</v>
      </c>
      <c r="DN67" s="4">
        <v>-0.71</v>
      </c>
      <c r="DO67" s="4">
        <v>8.26</v>
      </c>
      <c r="DP67" s="4">
        <v>8.1300000000000008</v>
      </c>
      <c r="DQ67" s="4">
        <v>8.09</v>
      </c>
      <c r="DR67" s="4">
        <v>8.2200000000000006</v>
      </c>
      <c r="DS67" s="4">
        <v>8.51</v>
      </c>
      <c r="DT67" s="4">
        <v>8.91</v>
      </c>
      <c r="DU67" s="4">
        <v>0</v>
      </c>
      <c r="DV67" s="4">
        <v>1.4</v>
      </c>
      <c r="DW67" s="4">
        <v>6.69</v>
      </c>
      <c r="DX67" s="4">
        <v>6.77</v>
      </c>
      <c r="DY67" s="4">
        <v>7.01</v>
      </c>
      <c r="DZ67" s="4">
        <v>7.32</v>
      </c>
      <c r="EA67" s="4">
        <v>7.57</v>
      </c>
      <c r="EB67" s="4">
        <v>7.87</v>
      </c>
      <c r="EC67" s="4">
        <v>0</v>
      </c>
      <c r="ED67" s="89">
        <v>1.4</v>
      </c>
      <c r="EE67" s="110">
        <v>41.2</v>
      </c>
      <c r="EF67" s="110">
        <v>42</v>
      </c>
      <c r="EG67" s="110">
        <v>41.6</v>
      </c>
      <c r="EH67" s="110">
        <v>164.8</v>
      </c>
      <c r="EI67" s="110">
        <v>0.9</v>
      </c>
      <c r="EJ67" s="110">
        <v>-5.4</v>
      </c>
      <c r="EK67" s="110">
        <v>-5.8</v>
      </c>
      <c r="EL67" s="110">
        <v>-5.6</v>
      </c>
      <c r="EM67" s="110">
        <v>97.2</v>
      </c>
      <c r="EN67" s="110">
        <v>0.4</v>
      </c>
      <c r="EO67" s="110">
        <v>4.8</v>
      </c>
      <c r="EP67" s="110">
        <v>13.7</v>
      </c>
      <c r="EQ67" s="110">
        <v>28.2</v>
      </c>
      <c r="ER67" s="110">
        <v>62.5</v>
      </c>
      <c r="ES67" s="114">
        <v>18</v>
      </c>
      <c r="ET67" s="83">
        <v>8.1300000000000008</v>
      </c>
      <c r="EU67" s="4">
        <v>7.97</v>
      </c>
      <c r="EV67" s="4">
        <v>147.4</v>
      </c>
      <c r="EW67" s="4">
        <v>-0.8</v>
      </c>
      <c r="EX67" s="4">
        <v>0.6</v>
      </c>
      <c r="EY67" s="4">
        <v>0.63</v>
      </c>
      <c r="EZ67" s="4">
        <v>-0.57999999999999996</v>
      </c>
      <c r="FA67" s="4">
        <v>-0.02</v>
      </c>
      <c r="FB67" s="4">
        <v>560</v>
      </c>
      <c r="FC67" s="4">
        <v>559</v>
      </c>
      <c r="FD67" s="4">
        <v>689</v>
      </c>
      <c r="FE67" s="4">
        <v>620</v>
      </c>
      <c r="FF67" s="4">
        <v>629</v>
      </c>
      <c r="FG67" s="4">
        <v>636</v>
      </c>
      <c r="FH67" s="4">
        <v>554</v>
      </c>
      <c r="FI67" s="4">
        <v>-0.74</v>
      </c>
      <c r="FJ67" s="4">
        <v>-0.94</v>
      </c>
      <c r="FK67" s="4">
        <v>8.02</v>
      </c>
      <c r="FL67" s="4">
        <v>8.11</v>
      </c>
      <c r="FM67" s="4">
        <v>8.19</v>
      </c>
      <c r="FN67" s="4">
        <v>8.2899999999999991</v>
      </c>
      <c r="FO67" s="4">
        <v>8.6199999999999992</v>
      </c>
      <c r="FP67" s="4">
        <v>8.89</v>
      </c>
      <c r="FQ67" s="4">
        <v>0</v>
      </c>
      <c r="FR67" s="4">
        <v>1.2</v>
      </c>
      <c r="FS67" s="4">
        <v>6.65</v>
      </c>
      <c r="FT67" s="4">
        <v>6.6</v>
      </c>
      <c r="FU67" s="4">
        <v>6.75</v>
      </c>
      <c r="FV67" s="4">
        <v>7.06</v>
      </c>
      <c r="FW67" s="4">
        <v>7.61</v>
      </c>
      <c r="FX67" s="4">
        <v>0</v>
      </c>
      <c r="FY67" s="4">
        <v>0</v>
      </c>
      <c r="FZ67" s="86">
        <v>1.2</v>
      </c>
      <c r="GA67" s="110">
        <v>41.3</v>
      </c>
      <c r="GB67" s="110">
        <v>42.1</v>
      </c>
      <c r="GC67" s="110">
        <v>41.7</v>
      </c>
      <c r="GD67" s="110">
        <v>11.7</v>
      </c>
      <c r="GE67" s="110">
        <v>0.9</v>
      </c>
      <c r="GF67" s="110">
        <v>-5.7</v>
      </c>
      <c r="GG67" s="110">
        <v>-6.1</v>
      </c>
      <c r="GH67" s="110">
        <v>-5.9</v>
      </c>
      <c r="GI67" s="110">
        <v>175.3</v>
      </c>
      <c r="GJ67" s="110">
        <v>0.4</v>
      </c>
      <c r="GK67" s="110">
        <v>4</v>
      </c>
      <c r="GL67" s="110">
        <v>11.7</v>
      </c>
      <c r="GM67" s="110">
        <v>24.7</v>
      </c>
      <c r="GN67" s="110">
        <v>57.5</v>
      </c>
      <c r="GO67" s="119">
        <v>21</v>
      </c>
      <c r="IL67" s="83">
        <f t="shared" si="298"/>
        <v>8.1300000000000008</v>
      </c>
      <c r="IM67" s="4">
        <f t="shared" si="299"/>
        <v>7.97</v>
      </c>
      <c r="IN67" s="4">
        <f t="shared" si="300"/>
        <v>147.4</v>
      </c>
      <c r="IO67" s="4">
        <f t="shared" si="301"/>
        <v>-0.8</v>
      </c>
      <c r="IP67" s="4">
        <f t="shared" si="302"/>
        <v>0.6</v>
      </c>
      <c r="IQ67" s="4">
        <f t="shared" si="303"/>
        <v>0.63</v>
      </c>
      <c r="IR67" s="4">
        <f t="shared" si="304"/>
        <v>-0.57999999999999996</v>
      </c>
      <c r="IS67" s="4">
        <f t="shared" si="305"/>
        <v>-0.02</v>
      </c>
      <c r="IT67" s="4">
        <f t="shared" si="306"/>
        <v>560</v>
      </c>
      <c r="IU67" s="4">
        <f t="shared" si="307"/>
        <v>559</v>
      </c>
      <c r="IV67" s="4">
        <f t="shared" si="308"/>
        <v>689</v>
      </c>
      <c r="IW67" s="4">
        <f t="shared" si="309"/>
        <v>620</v>
      </c>
      <c r="IX67" s="4">
        <f t="shared" si="310"/>
        <v>629</v>
      </c>
      <c r="IY67" s="4">
        <f t="shared" si="311"/>
        <v>636</v>
      </c>
      <c r="IZ67" s="4">
        <f t="shared" si="312"/>
        <v>554</v>
      </c>
      <c r="JA67" s="4">
        <f t="shared" si="313"/>
        <v>-0.74</v>
      </c>
      <c r="JB67" s="4">
        <f t="shared" si="314"/>
        <v>-0.94</v>
      </c>
      <c r="JC67" s="4">
        <f t="shared" si="315"/>
        <v>8.02</v>
      </c>
      <c r="JD67" s="4">
        <f t="shared" si="316"/>
        <v>8.11</v>
      </c>
      <c r="JE67" s="4">
        <f t="shared" si="317"/>
        <v>8.19</v>
      </c>
      <c r="JF67" s="4">
        <f t="shared" si="318"/>
        <v>8.2899999999999991</v>
      </c>
      <c r="JG67" s="4">
        <f t="shared" si="319"/>
        <v>8.6199999999999992</v>
      </c>
      <c r="JH67" s="4">
        <f t="shared" si="320"/>
        <v>8.89</v>
      </c>
      <c r="JI67" s="4">
        <f t="shared" si="321"/>
        <v>0</v>
      </c>
      <c r="JJ67" s="4">
        <f t="shared" si="322"/>
        <v>1.2</v>
      </c>
      <c r="JK67" s="4">
        <f t="shared" si="323"/>
        <v>6.65</v>
      </c>
      <c r="JL67" s="4">
        <f t="shared" si="324"/>
        <v>6.6</v>
      </c>
      <c r="JM67" s="4">
        <f t="shared" si="325"/>
        <v>6.75</v>
      </c>
      <c r="JN67" s="4">
        <f t="shared" si="326"/>
        <v>7.06</v>
      </c>
      <c r="JO67" s="4">
        <f t="shared" si="327"/>
        <v>7.61</v>
      </c>
      <c r="JP67" s="4">
        <f t="shared" si="328"/>
        <v>0</v>
      </c>
      <c r="JQ67" s="117">
        <f t="shared" si="329"/>
        <v>0</v>
      </c>
      <c r="JR67" s="110">
        <f t="shared" si="330"/>
        <v>1.2</v>
      </c>
      <c r="JS67" s="110">
        <f t="shared" si="331"/>
        <v>41.3</v>
      </c>
      <c r="JT67" s="110">
        <f t="shared" si="332"/>
        <v>42.1</v>
      </c>
      <c r="JU67" s="110">
        <f t="shared" si="333"/>
        <v>41.7</v>
      </c>
      <c r="JV67" s="110">
        <f t="shared" si="334"/>
        <v>11.7</v>
      </c>
      <c r="JW67" s="110">
        <f t="shared" si="335"/>
        <v>0.9</v>
      </c>
      <c r="JX67" s="110">
        <f t="shared" si="336"/>
        <v>-5.7</v>
      </c>
      <c r="JY67" s="110">
        <f t="shared" si="337"/>
        <v>-6.1</v>
      </c>
      <c r="JZ67" s="110">
        <f t="shared" si="338"/>
        <v>-5.9</v>
      </c>
      <c r="KA67" s="110">
        <f t="shared" si="339"/>
        <v>175.3</v>
      </c>
      <c r="KB67" s="110">
        <f t="shared" si="340"/>
        <v>0.4</v>
      </c>
      <c r="KC67" s="110">
        <f t="shared" si="341"/>
        <v>4</v>
      </c>
      <c r="KD67" s="110">
        <f t="shared" si="342"/>
        <v>11.7</v>
      </c>
      <c r="KE67" s="110">
        <f t="shared" si="343"/>
        <v>24.7</v>
      </c>
      <c r="KF67" s="110">
        <f t="shared" si="344"/>
        <v>57.5</v>
      </c>
      <c r="KG67" s="121">
        <f t="shared" si="345"/>
        <v>21</v>
      </c>
      <c r="KH67" s="83">
        <f t="shared" si="346"/>
        <v>-8.9999999999999858E-2</v>
      </c>
      <c r="KI67" s="4">
        <f t="shared" si="347"/>
        <v>-0.22999999999999954</v>
      </c>
      <c r="KJ67" s="4">
        <f t="shared" si="348"/>
        <v>8.8000000000000114</v>
      </c>
      <c r="KK67" s="4">
        <f t="shared" si="349"/>
        <v>-0.70000000000000007</v>
      </c>
      <c r="KL67" s="4">
        <f t="shared" si="350"/>
        <v>0.7</v>
      </c>
      <c r="KM67" s="4">
        <f t="shared" si="351"/>
        <v>0.22999999999999998</v>
      </c>
      <c r="KN67" s="4">
        <f t="shared" si="352"/>
        <v>-3.84</v>
      </c>
      <c r="KO67" s="4">
        <f t="shared" si="353"/>
        <v>-3.88</v>
      </c>
      <c r="KP67" s="4">
        <f t="shared" si="354"/>
        <v>-40</v>
      </c>
      <c r="KQ67" s="4">
        <f t="shared" si="355"/>
        <v>-37</v>
      </c>
      <c r="KR67" s="4">
        <f t="shared" si="356"/>
        <v>-9</v>
      </c>
      <c r="KS67" s="4">
        <f t="shared" si="357"/>
        <v>-31</v>
      </c>
      <c r="KT67" s="4">
        <f t="shared" si="358"/>
        <v>-33</v>
      </c>
      <c r="KU67" s="4">
        <f t="shared" si="359"/>
        <v>-7</v>
      </c>
      <c r="KV67" s="4">
        <f t="shared" si="360"/>
        <v>-41</v>
      </c>
      <c r="KW67" s="4">
        <f t="shared" si="361"/>
        <v>-0.53</v>
      </c>
      <c r="KX67" s="4">
        <f t="shared" si="362"/>
        <v>-0.22999999999999998</v>
      </c>
      <c r="KY67" s="4">
        <f t="shared" si="363"/>
        <v>-0.24000000000000021</v>
      </c>
      <c r="KZ67" s="4">
        <f t="shared" si="364"/>
        <v>-2.000000000000135E-2</v>
      </c>
      <c r="LA67" s="4">
        <f t="shared" si="365"/>
        <v>9.9999999999999645E-2</v>
      </c>
      <c r="LB67" s="4">
        <f t="shared" si="366"/>
        <v>6.9999999999998508E-2</v>
      </c>
      <c r="LC67" s="4">
        <f t="shared" si="367"/>
        <v>0.10999999999999943</v>
      </c>
      <c r="LD67" s="4">
        <f t="shared" si="368"/>
        <v>-1.9999999999999574E-2</v>
      </c>
      <c r="LE67" s="4">
        <f t="shared" si="369"/>
        <v>0</v>
      </c>
      <c r="LF67" s="4">
        <f t="shared" si="370"/>
        <v>-0.19999999999999996</v>
      </c>
      <c r="LG67" s="4">
        <f t="shared" si="371"/>
        <v>-4.0000000000000036E-2</v>
      </c>
      <c r="LH67" s="4">
        <f t="shared" si="372"/>
        <v>-0.16999999999999993</v>
      </c>
      <c r="LI67" s="4">
        <f t="shared" si="373"/>
        <v>-0.25999999999999979</v>
      </c>
      <c r="LJ67" s="4">
        <f t="shared" si="374"/>
        <v>-0.26000000000000068</v>
      </c>
      <c r="LK67" s="4">
        <f t="shared" si="375"/>
        <v>4.0000000000000036E-2</v>
      </c>
      <c r="LL67" s="4">
        <f t="shared" si="376"/>
        <v>-7.87</v>
      </c>
      <c r="LM67" s="4">
        <f t="shared" si="377"/>
        <v>0</v>
      </c>
      <c r="LN67" s="4">
        <f t="shared" si="378"/>
        <v>-0.19999999999999996</v>
      </c>
      <c r="LO67" s="4">
        <f t="shared" si="379"/>
        <v>9.9999999999994316E-2</v>
      </c>
      <c r="LP67" s="4">
        <f t="shared" si="380"/>
        <v>0.10000000000000142</v>
      </c>
      <c r="LQ67" s="4">
        <f t="shared" si="381"/>
        <v>0.10000000000000142</v>
      </c>
      <c r="LR67" s="4">
        <f t="shared" si="382"/>
        <v>-153.10000000000002</v>
      </c>
      <c r="LS67" s="4">
        <f t="shared" si="383"/>
        <v>0</v>
      </c>
      <c r="LT67" s="4">
        <f t="shared" si="384"/>
        <v>-0.29999999999999982</v>
      </c>
      <c r="LU67" s="4">
        <f t="shared" si="385"/>
        <v>-0.29999999999999982</v>
      </c>
      <c r="LV67" s="4">
        <f t="shared" si="386"/>
        <v>-0.30000000000000071</v>
      </c>
      <c r="LW67" s="4">
        <f t="shared" si="387"/>
        <v>78.100000000000009</v>
      </c>
      <c r="LX67" s="4">
        <f t="shared" si="388"/>
        <v>0</v>
      </c>
      <c r="LY67" s="4">
        <f t="shared" si="389"/>
        <v>-0.79999999999999982</v>
      </c>
      <c r="LZ67" s="4">
        <f t="shared" si="390"/>
        <v>-2</v>
      </c>
      <c r="MA67" s="4">
        <f t="shared" si="391"/>
        <v>-3.5</v>
      </c>
      <c r="MB67" s="4">
        <f t="shared" si="392"/>
        <v>-5</v>
      </c>
      <c r="MC67" s="4">
        <f t="shared" si="393"/>
        <v>3</v>
      </c>
      <c r="MD67" s="4" t="str">
        <f t="shared" si="394"/>
        <v/>
      </c>
      <c r="ME67" s="4" t="str">
        <f t="shared" si="395"/>
        <v/>
      </c>
      <c r="MF67" s="4" t="str">
        <f t="shared" si="396"/>
        <v/>
      </c>
      <c r="MG67" s="4">
        <f t="shared" si="397"/>
        <v>6.1</v>
      </c>
    </row>
    <row r="68" spans="1:345" ht="26.25" customHeight="1" thickBot="1" x14ac:dyDescent="0.25">
      <c r="A68" s="35">
        <v>41332</v>
      </c>
      <c r="B68" s="36" t="s">
        <v>120</v>
      </c>
      <c r="C68" s="36" t="s">
        <v>38</v>
      </c>
      <c r="D68" s="31" t="s">
        <v>111</v>
      </c>
      <c r="E68" s="4">
        <v>67</v>
      </c>
      <c r="F68" s="3">
        <v>16619</v>
      </c>
      <c r="G68" s="4" t="s">
        <v>87</v>
      </c>
      <c r="H68" s="4" t="s">
        <v>112</v>
      </c>
      <c r="I68" s="4">
        <v>1836315</v>
      </c>
      <c r="J68" s="36"/>
      <c r="K68" s="246"/>
      <c r="L68" s="247"/>
      <c r="M68" s="247"/>
      <c r="N68" s="247"/>
      <c r="O68" s="264"/>
      <c r="P68" s="247"/>
      <c r="Q68" s="247"/>
      <c r="R68" s="39">
        <v>-1.5</v>
      </c>
      <c r="S68" s="39">
        <v>-1.49</v>
      </c>
      <c r="T68" s="39" t="s">
        <v>249</v>
      </c>
      <c r="U68" s="70">
        <v>17.75</v>
      </c>
      <c r="V68" s="124">
        <v>41330</v>
      </c>
      <c r="W68" s="67">
        <v>-4.5</v>
      </c>
      <c r="X68" s="67">
        <v>2</v>
      </c>
      <c r="Y68" s="4">
        <v>165</v>
      </c>
      <c r="Z68" s="4">
        <v>25</v>
      </c>
      <c r="AA68" s="4">
        <v>15</v>
      </c>
      <c r="AB68" s="4">
        <v>599</v>
      </c>
      <c r="AC68" s="4">
        <v>24.55</v>
      </c>
      <c r="AD68" s="4">
        <v>11.4</v>
      </c>
      <c r="AE68" s="4">
        <v>4.54</v>
      </c>
      <c r="AF68" s="4">
        <v>3.74</v>
      </c>
      <c r="AG68" s="4">
        <v>45.67</v>
      </c>
      <c r="AH68" s="4">
        <v>57</v>
      </c>
      <c r="AI68" s="4">
        <v>46.55</v>
      </c>
      <c r="AJ68" s="4">
        <v>147</v>
      </c>
      <c r="AK68" s="4">
        <v>1</v>
      </c>
      <c r="AL68" s="4" t="b">
        <f t="shared" si="268"/>
        <v>1</v>
      </c>
      <c r="AM68" s="54"/>
      <c r="AN68" s="32">
        <v>41470</v>
      </c>
      <c r="AO68" s="60">
        <v>40</v>
      </c>
      <c r="AP68" s="67">
        <v>-3</v>
      </c>
      <c r="AQ68" s="67">
        <v>0.75</v>
      </c>
      <c r="AR68" s="4">
        <v>5</v>
      </c>
      <c r="AS68" s="4">
        <v>20</v>
      </c>
      <c r="AT68" s="4">
        <v>16</v>
      </c>
      <c r="AU68" s="4">
        <v>513</v>
      </c>
      <c r="AV68" s="4">
        <v>2458</v>
      </c>
      <c r="BC68" s="4">
        <f t="shared" si="269"/>
        <v>-2.625</v>
      </c>
      <c r="BD68" s="4">
        <f t="shared" si="267"/>
        <v>-1.135</v>
      </c>
      <c r="BE68" s="4">
        <f t="shared" si="270"/>
        <v>-86</v>
      </c>
      <c r="BF68" s="51" t="s">
        <v>501</v>
      </c>
      <c r="BU68" s="4" t="str">
        <f t="shared" si="266"/>
        <v/>
      </c>
      <c r="BV68" s="4" t="str">
        <f t="shared" si="271"/>
        <v/>
      </c>
      <c r="BW68" s="4" t="str">
        <f t="shared" si="272"/>
        <v/>
      </c>
      <c r="BX68" s="4">
        <f t="shared" si="273"/>
        <v>1</v>
      </c>
      <c r="BY68" s="4">
        <f t="shared" si="274"/>
        <v>0</v>
      </c>
      <c r="BZ68" s="4" t="str">
        <f t="shared" si="275"/>
        <v/>
      </c>
      <c r="CA68" s="4" t="str">
        <f t="shared" si="276"/>
        <v/>
      </c>
      <c r="CB68" s="4" t="str">
        <f t="shared" si="277"/>
        <v/>
      </c>
      <c r="CC68" s="53">
        <f t="shared" si="278"/>
        <v>138</v>
      </c>
      <c r="CD68" s="55">
        <f t="shared" si="279"/>
        <v>4.5999999999999996</v>
      </c>
      <c r="CE68" s="4" t="str">
        <f t="shared" si="280"/>
        <v/>
      </c>
      <c r="CF68" s="4" t="str">
        <f t="shared" si="281"/>
        <v/>
      </c>
      <c r="CG68" s="4" t="str">
        <f t="shared" si="282"/>
        <v/>
      </c>
      <c r="CH68" s="4" t="str">
        <f t="shared" si="283"/>
        <v/>
      </c>
      <c r="CI68" s="4">
        <f t="shared" si="284"/>
        <v>-3.5</v>
      </c>
      <c r="CJ68" s="4">
        <f t="shared" si="285"/>
        <v>-2.625</v>
      </c>
      <c r="CK68" s="93">
        <f t="shared" si="286"/>
        <v>-1.135</v>
      </c>
      <c r="CL68" s="83">
        <f t="shared" si="287"/>
        <v>-86</v>
      </c>
      <c r="CM68" s="4" t="str">
        <f t="shared" si="288"/>
        <v/>
      </c>
      <c r="CN68" s="96">
        <f t="shared" si="289"/>
        <v>-1.49</v>
      </c>
      <c r="CO68" s="96">
        <f t="shared" si="265"/>
        <v>9.6910013008056392E-2</v>
      </c>
      <c r="CP68" s="127">
        <f t="shared" si="290"/>
        <v>0.75</v>
      </c>
      <c r="CQ68" s="127">
        <f t="shared" si="291"/>
        <v>-1.25</v>
      </c>
      <c r="CR68" s="136">
        <f t="shared" si="292"/>
        <v>20</v>
      </c>
      <c r="CS68" s="136">
        <f t="shared" si="293"/>
        <v>25</v>
      </c>
      <c r="CT68" s="135" t="str">
        <f t="shared" si="294"/>
        <v/>
      </c>
      <c r="CU68" s="139" t="str">
        <f t="shared" si="295"/>
        <v/>
      </c>
      <c r="CV68" s="96" t="str">
        <f t="shared" si="296"/>
        <v/>
      </c>
      <c r="CW68" s="141" t="str">
        <f t="shared" si="297"/>
        <v/>
      </c>
      <c r="ET68" s="83">
        <v>7.34</v>
      </c>
      <c r="EU68" s="4">
        <v>7.46</v>
      </c>
      <c r="EV68" s="4">
        <v>61.8</v>
      </c>
      <c r="EW68" s="4">
        <v>0.7</v>
      </c>
      <c r="EX68" s="4">
        <v>0.77</v>
      </c>
      <c r="EY68" s="4">
        <v>0.81</v>
      </c>
      <c r="EZ68" s="4">
        <v>3.85</v>
      </c>
      <c r="FA68" s="4">
        <v>4.3600000000000003</v>
      </c>
      <c r="FB68" s="4">
        <v>510</v>
      </c>
      <c r="FC68" s="4">
        <v>509</v>
      </c>
      <c r="FD68" s="4">
        <v>611</v>
      </c>
      <c r="FE68" s="4">
        <v>583</v>
      </c>
      <c r="FF68" s="4">
        <v>576</v>
      </c>
      <c r="FG68" s="4">
        <v>583</v>
      </c>
      <c r="FH68" s="4">
        <v>506</v>
      </c>
      <c r="FI68" s="4">
        <v>-0.52</v>
      </c>
      <c r="FJ68" s="4">
        <v>-0.45</v>
      </c>
      <c r="FK68" s="4">
        <v>7.42</v>
      </c>
      <c r="FL68" s="4">
        <v>7.41</v>
      </c>
      <c r="FM68" s="4">
        <v>7.52</v>
      </c>
      <c r="FN68" s="4">
        <v>7.89</v>
      </c>
      <c r="FO68" s="4">
        <v>8.26</v>
      </c>
      <c r="FP68" s="4">
        <v>8.61</v>
      </c>
      <c r="FQ68" s="4">
        <v>0</v>
      </c>
      <c r="FR68" s="4">
        <v>1.4</v>
      </c>
      <c r="FS68" s="4">
        <v>6.12</v>
      </c>
      <c r="FT68" s="4">
        <v>6.17</v>
      </c>
      <c r="FU68" s="4">
        <v>6.32</v>
      </c>
      <c r="FV68" s="4">
        <v>6.53</v>
      </c>
      <c r="FW68" s="4">
        <v>6.82</v>
      </c>
      <c r="FX68" s="4">
        <v>0</v>
      </c>
      <c r="FY68" s="4">
        <v>0</v>
      </c>
      <c r="FZ68" s="86">
        <v>1.4</v>
      </c>
      <c r="IL68" s="83">
        <f t="shared" si="298"/>
        <v>7.34</v>
      </c>
      <c r="IM68" s="4">
        <f t="shared" si="299"/>
        <v>7.46</v>
      </c>
      <c r="IN68" s="4">
        <f t="shared" si="300"/>
        <v>61.8</v>
      </c>
      <c r="IO68" s="4">
        <f t="shared" si="301"/>
        <v>0.7</v>
      </c>
      <c r="IP68" s="4">
        <f t="shared" si="302"/>
        <v>0.77</v>
      </c>
      <c r="IQ68" s="4">
        <f t="shared" si="303"/>
        <v>0.81</v>
      </c>
      <c r="IR68" s="4">
        <f t="shared" si="304"/>
        <v>3.85</v>
      </c>
      <c r="IS68" s="4">
        <f t="shared" si="305"/>
        <v>4.3600000000000003</v>
      </c>
      <c r="IT68" s="4">
        <f t="shared" si="306"/>
        <v>510</v>
      </c>
      <c r="IU68" s="4">
        <f t="shared" si="307"/>
        <v>509</v>
      </c>
      <c r="IV68" s="4">
        <f t="shared" si="308"/>
        <v>611</v>
      </c>
      <c r="IW68" s="4">
        <f t="shared" si="309"/>
        <v>583</v>
      </c>
      <c r="IX68" s="4">
        <f t="shared" si="310"/>
        <v>576</v>
      </c>
      <c r="IY68" s="4">
        <f t="shared" si="311"/>
        <v>583</v>
      </c>
      <c r="IZ68" s="4">
        <f t="shared" si="312"/>
        <v>506</v>
      </c>
      <c r="JA68" s="4">
        <f t="shared" si="313"/>
        <v>-0.52</v>
      </c>
      <c r="JB68" s="4">
        <f t="shared" si="314"/>
        <v>-0.45</v>
      </c>
      <c r="JC68" s="4">
        <f t="shared" si="315"/>
        <v>7.42</v>
      </c>
      <c r="JD68" s="4">
        <f t="shared" si="316"/>
        <v>7.41</v>
      </c>
      <c r="JE68" s="4">
        <f t="shared" si="317"/>
        <v>7.52</v>
      </c>
      <c r="JF68" s="4">
        <f t="shared" si="318"/>
        <v>7.89</v>
      </c>
      <c r="JG68" s="4">
        <f t="shared" si="319"/>
        <v>8.26</v>
      </c>
      <c r="JH68" s="4">
        <f t="shared" si="320"/>
        <v>8.61</v>
      </c>
      <c r="JI68" s="4">
        <f t="shared" si="321"/>
        <v>0</v>
      </c>
      <c r="JJ68" s="4">
        <f t="shared" si="322"/>
        <v>1.4</v>
      </c>
      <c r="JK68" s="4">
        <f t="shared" si="323"/>
        <v>6.12</v>
      </c>
      <c r="JL68" s="4">
        <f t="shared" si="324"/>
        <v>6.17</v>
      </c>
      <c r="JM68" s="4">
        <f t="shared" si="325"/>
        <v>6.32</v>
      </c>
      <c r="JN68" s="4">
        <f t="shared" si="326"/>
        <v>6.53</v>
      </c>
      <c r="JO68" s="4">
        <f t="shared" si="327"/>
        <v>6.82</v>
      </c>
      <c r="JP68" s="4">
        <f t="shared" si="328"/>
        <v>0</v>
      </c>
      <c r="JQ68" s="117">
        <f t="shared" si="329"/>
        <v>0</v>
      </c>
      <c r="JR68" s="110">
        <f t="shared" si="330"/>
        <v>1.4</v>
      </c>
      <c r="JS68" s="110" t="str">
        <f t="shared" si="331"/>
        <v/>
      </c>
      <c r="JT68" s="110" t="str">
        <f t="shared" si="332"/>
        <v/>
      </c>
      <c r="JU68" s="110" t="str">
        <f t="shared" si="333"/>
        <v/>
      </c>
      <c r="JV68" s="110" t="str">
        <f t="shared" si="334"/>
        <v/>
      </c>
      <c r="JW68" s="110" t="str">
        <f t="shared" si="335"/>
        <v/>
      </c>
      <c r="JX68" s="110" t="str">
        <f t="shared" si="336"/>
        <v/>
      </c>
      <c r="JY68" s="110" t="str">
        <f t="shared" si="337"/>
        <v/>
      </c>
      <c r="JZ68" s="110" t="str">
        <f t="shared" si="338"/>
        <v/>
      </c>
      <c r="KA68" s="110" t="str">
        <f t="shared" si="339"/>
        <v/>
      </c>
      <c r="KB68" s="110" t="str">
        <f t="shared" si="340"/>
        <v/>
      </c>
      <c r="KC68" s="110" t="str">
        <f t="shared" si="341"/>
        <v/>
      </c>
      <c r="KD68" s="110" t="str">
        <f t="shared" si="342"/>
        <v/>
      </c>
      <c r="KE68" s="110" t="str">
        <f t="shared" si="343"/>
        <v/>
      </c>
      <c r="KF68" s="110" t="str">
        <f t="shared" si="344"/>
        <v/>
      </c>
      <c r="KG68" s="121" t="str">
        <f t="shared" si="345"/>
        <v/>
      </c>
      <c r="KH68" s="83" t="str">
        <f t="shared" si="346"/>
        <v/>
      </c>
      <c r="KI68" s="4" t="str">
        <f t="shared" si="347"/>
        <v/>
      </c>
      <c r="KJ68" s="4" t="str">
        <f t="shared" si="348"/>
        <v/>
      </c>
      <c r="KK68" s="4" t="str">
        <f t="shared" si="349"/>
        <v/>
      </c>
      <c r="KL68" s="4" t="str">
        <f t="shared" si="350"/>
        <v/>
      </c>
      <c r="KM68" s="4" t="str">
        <f t="shared" si="351"/>
        <v/>
      </c>
      <c r="KN68" s="4" t="str">
        <f t="shared" si="352"/>
        <v/>
      </c>
      <c r="KO68" s="4" t="str">
        <f t="shared" si="353"/>
        <v/>
      </c>
      <c r="KP68" s="4" t="str">
        <f t="shared" si="354"/>
        <v/>
      </c>
      <c r="KQ68" s="4" t="str">
        <f t="shared" si="355"/>
        <v/>
      </c>
      <c r="KR68" s="4" t="str">
        <f t="shared" si="356"/>
        <v/>
      </c>
      <c r="KS68" s="4" t="str">
        <f t="shared" si="357"/>
        <v/>
      </c>
      <c r="KT68" s="4" t="str">
        <f t="shared" si="358"/>
        <v/>
      </c>
      <c r="KU68" s="4" t="str">
        <f t="shared" si="359"/>
        <v/>
      </c>
      <c r="KV68" s="4" t="str">
        <f t="shared" si="360"/>
        <v/>
      </c>
      <c r="KW68" s="4" t="str">
        <f t="shared" si="361"/>
        <v/>
      </c>
      <c r="KX68" s="4" t="str">
        <f t="shared" si="362"/>
        <v/>
      </c>
      <c r="KY68" s="4" t="str">
        <f t="shared" si="363"/>
        <v/>
      </c>
      <c r="KZ68" s="4" t="str">
        <f t="shared" si="364"/>
        <v/>
      </c>
      <c r="LA68" s="4" t="str">
        <f t="shared" si="365"/>
        <v/>
      </c>
      <c r="LB68" s="4" t="str">
        <f t="shared" si="366"/>
        <v/>
      </c>
      <c r="LC68" s="4" t="str">
        <f t="shared" si="367"/>
        <v/>
      </c>
      <c r="LD68" s="4" t="str">
        <f t="shared" si="368"/>
        <v/>
      </c>
      <c r="LE68" s="4" t="str">
        <f t="shared" si="369"/>
        <v/>
      </c>
      <c r="LF68" s="4" t="str">
        <f t="shared" si="370"/>
        <v/>
      </c>
      <c r="LG68" s="4" t="str">
        <f t="shared" si="371"/>
        <v/>
      </c>
      <c r="LH68" s="4" t="str">
        <f t="shared" si="372"/>
        <v/>
      </c>
      <c r="LI68" s="4" t="str">
        <f t="shared" si="373"/>
        <v/>
      </c>
      <c r="LJ68" s="4" t="str">
        <f t="shared" si="374"/>
        <v/>
      </c>
      <c r="LK68" s="4" t="str">
        <f t="shared" si="375"/>
        <v/>
      </c>
      <c r="LL68" s="4" t="str">
        <f t="shared" si="376"/>
        <v/>
      </c>
      <c r="LM68" s="4" t="str">
        <f t="shared" si="377"/>
        <v/>
      </c>
      <c r="LN68" s="4" t="str">
        <f t="shared" si="378"/>
        <v/>
      </c>
      <c r="LO68" s="4" t="str">
        <f t="shared" si="379"/>
        <v/>
      </c>
      <c r="LP68" s="4" t="str">
        <f t="shared" si="380"/>
        <v/>
      </c>
      <c r="LQ68" s="4" t="str">
        <f t="shared" si="381"/>
        <v/>
      </c>
      <c r="LR68" s="4" t="str">
        <f t="shared" si="382"/>
        <v/>
      </c>
      <c r="LS68" s="4" t="str">
        <f t="shared" si="383"/>
        <v/>
      </c>
      <c r="LT68" s="4" t="str">
        <f t="shared" si="384"/>
        <v/>
      </c>
      <c r="LU68" s="4" t="str">
        <f t="shared" si="385"/>
        <v/>
      </c>
      <c r="LV68" s="4" t="str">
        <f t="shared" si="386"/>
        <v/>
      </c>
      <c r="LW68" s="4" t="str">
        <f t="shared" si="387"/>
        <v/>
      </c>
      <c r="LX68" s="4" t="str">
        <f t="shared" si="388"/>
        <v/>
      </c>
      <c r="LY68" s="4" t="str">
        <f t="shared" si="389"/>
        <v/>
      </c>
      <c r="LZ68" s="4" t="str">
        <f t="shared" si="390"/>
        <v/>
      </c>
      <c r="MA68" s="4" t="str">
        <f t="shared" si="391"/>
        <v/>
      </c>
      <c r="MB68" s="4" t="str">
        <f t="shared" si="392"/>
        <v/>
      </c>
      <c r="MC68" s="4" t="str">
        <f t="shared" si="393"/>
        <v/>
      </c>
      <c r="MD68" s="4" t="str">
        <f t="shared" si="394"/>
        <v/>
      </c>
      <c r="ME68" s="4" t="str">
        <f t="shared" si="395"/>
        <v/>
      </c>
      <c r="MF68" s="4" t="str">
        <f t="shared" si="396"/>
        <v/>
      </c>
      <c r="MG68" s="4">
        <f t="shared" si="397"/>
        <v>0</v>
      </c>
    </row>
    <row r="69" spans="1:345" ht="26.25" customHeight="1" thickBot="1" x14ac:dyDescent="0.25">
      <c r="A69" s="35">
        <v>41374</v>
      </c>
      <c r="B69" s="36" t="s">
        <v>140</v>
      </c>
      <c r="C69" s="36" t="s">
        <v>47</v>
      </c>
      <c r="D69" s="31" t="s">
        <v>111</v>
      </c>
      <c r="E69" s="4">
        <v>73</v>
      </c>
      <c r="F69" s="3">
        <v>14501</v>
      </c>
      <c r="G69" s="4" t="s">
        <v>87</v>
      </c>
      <c r="H69" s="4" t="s">
        <v>108</v>
      </c>
      <c r="I69" s="4">
        <v>1836345</v>
      </c>
      <c r="K69" s="227"/>
      <c r="L69" s="228"/>
      <c r="M69" s="228"/>
      <c r="N69" s="228"/>
      <c r="O69" s="258"/>
      <c r="P69" s="228"/>
      <c r="Q69" s="228"/>
      <c r="R69" s="4">
        <v>-0.5</v>
      </c>
      <c r="S69" s="4">
        <v>-0.59</v>
      </c>
      <c r="T69" s="4" t="s">
        <v>249</v>
      </c>
      <c r="U69" s="67">
        <v>16.25</v>
      </c>
      <c r="V69" s="124">
        <v>41351</v>
      </c>
      <c r="W69" s="67">
        <v>-2</v>
      </c>
      <c r="X69" s="67">
        <v>1</v>
      </c>
      <c r="Y69" s="4">
        <v>155</v>
      </c>
      <c r="Z69" s="4">
        <v>50</v>
      </c>
      <c r="AA69" s="4">
        <v>16</v>
      </c>
      <c r="AB69" s="4">
        <v>657</v>
      </c>
      <c r="AC69" s="4">
        <v>24.86</v>
      </c>
      <c r="AD69" s="4">
        <v>12</v>
      </c>
      <c r="AE69" s="4">
        <v>4.59</v>
      </c>
      <c r="AF69" s="4">
        <v>3.28</v>
      </c>
      <c r="AG69" s="4">
        <v>44.18</v>
      </c>
      <c r="AH69" s="4">
        <v>99</v>
      </c>
      <c r="AI69" s="4">
        <v>44.29</v>
      </c>
      <c r="AJ69" s="4">
        <v>9</v>
      </c>
      <c r="AK69" s="4">
        <v>1</v>
      </c>
      <c r="AL69" s="4" t="b">
        <f t="shared" si="268"/>
        <v>1</v>
      </c>
      <c r="AM69" s="54"/>
      <c r="AN69" s="3">
        <v>41556</v>
      </c>
      <c r="AO69" s="51" t="s">
        <v>282</v>
      </c>
      <c r="AP69" s="67">
        <v>-1.25</v>
      </c>
      <c r="AQ69" s="67">
        <v>1.25</v>
      </c>
      <c r="AR69" s="4">
        <v>168</v>
      </c>
      <c r="AS69" s="4">
        <v>25</v>
      </c>
      <c r="AT69" s="4">
        <v>15</v>
      </c>
      <c r="AU69" s="4">
        <v>551</v>
      </c>
      <c r="AV69" s="4">
        <v>2169</v>
      </c>
      <c r="AW69" s="51" t="s">
        <v>282</v>
      </c>
      <c r="AX69" s="51" t="s">
        <v>282</v>
      </c>
      <c r="AY69" s="51" t="s">
        <v>282</v>
      </c>
      <c r="AZ69" s="51" t="s">
        <v>282</v>
      </c>
      <c r="BA69" s="51" t="s">
        <v>282</v>
      </c>
      <c r="BB69" s="51" t="s">
        <v>282</v>
      </c>
      <c r="BC69" s="4">
        <f t="shared" si="269"/>
        <v>-0.625</v>
      </c>
      <c r="BD69" s="4">
        <f t="shared" si="267"/>
        <v>-3.5000000000000031E-2</v>
      </c>
      <c r="BE69" s="4">
        <f t="shared" si="270"/>
        <v>-106</v>
      </c>
      <c r="BF69" s="137">
        <v>41773</v>
      </c>
      <c r="BU69" s="4" t="str">
        <f t="shared" si="266"/>
        <v/>
      </c>
      <c r="BV69" s="4" t="str">
        <f t="shared" si="271"/>
        <v/>
      </c>
      <c r="BW69" s="4" t="str">
        <f t="shared" si="272"/>
        <v/>
      </c>
      <c r="BX69" s="4">
        <f t="shared" si="273"/>
        <v>1</v>
      </c>
      <c r="BY69" s="4">
        <f t="shared" si="274"/>
        <v>0</v>
      </c>
      <c r="BZ69" s="4" t="str">
        <f t="shared" si="275"/>
        <v/>
      </c>
      <c r="CA69" s="4" t="str">
        <f t="shared" si="276"/>
        <v/>
      </c>
      <c r="CB69" s="4" t="str">
        <f t="shared" si="277"/>
        <v/>
      </c>
      <c r="CC69" s="53">
        <f t="shared" si="278"/>
        <v>182</v>
      </c>
      <c r="CD69" s="55">
        <f t="shared" si="279"/>
        <v>6.0666666666666664</v>
      </c>
      <c r="CE69" s="4" t="str">
        <f t="shared" si="280"/>
        <v/>
      </c>
      <c r="CF69" s="4" t="str">
        <f t="shared" si="281"/>
        <v/>
      </c>
      <c r="CG69" s="4" t="str">
        <f t="shared" si="282"/>
        <v/>
      </c>
      <c r="CH69" s="4" t="str">
        <f t="shared" si="283"/>
        <v/>
      </c>
      <c r="CI69" s="4">
        <f t="shared" si="284"/>
        <v>-1.5</v>
      </c>
      <c r="CJ69" s="4">
        <f t="shared" si="285"/>
        <v>-0.625</v>
      </c>
      <c r="CK69" s="93">
        <f t="shared" si="286"/>
        <v>-3.5000000000000031E-2</v>
      </c>
      <c r="CL69" s="83">
        <f t="shared" si="287"/>
        <v>-106</v>
      </c>
      <c r="CM69" s="4" t="str">
        <f t="shared" si="288"/>
        <v/>
      </c>
      <c r="CN69" s="96">
        <f t="shared" si="289"/>
        <v>-0.59</v>
      </c>
      <c r="CO69" s="96">
        <f t="shared" si="265"/>
        <v>0.3010299956639812</v>
      </c>
      <c r="CP69" s="127">
        <f t="shared" si="290"/>
        <v>1.25</v>
      </c>
      <c r="CQ69" s="127">
        <f t="shared" si="291"/>
        <v>0.25</v>
      </c>
      <c r="CR69" s="136">
        <f t="shared" si="292"/>
        <v>25</v>
      </c>
      <c r="CS69" s="136">
        <f t="shared" si="293"/>
        <v>50</v>
      </c>
      <c r="CT69" s="135" t="str">
        <f t="shared" si="294"/>
        <v/>
      </c>
      <c r="CU69" s="139">
        <f t="shared" si="295"/>
        <v>1</v>
      </c>
      <c r="CV69" s="96" t="str">
        <f t="shared" si="296"/>
        <v/>
      </c>
      <c r="CW69" s="141" t="b">
        <f t="shared" si="297"/>
        <v>1</v>
      </c>
      <c r="CX69">
        <v>7.75</v>
      </c>
      <c r="CY69" s="4">
        <v>7.87</v>
      </c>
      <c r="CZ69" s="4">
        <v>110.1</v>
      </c>
      <c r="DA69" s="4">
        <v>0.7</v>
      </c>
      <c r="DB69" s="4">
        <v>-0.03</v>
      </c>
      <c r="DC69" s="4">
        <v>0.56000000000000005</v>
      </c>
      <c r="DD69" s="4">
        <v>2.58</v>
      </c>
      <c r="DE69" s="4">
        <v>3.25</v>
      </c>
      <c r="DF69" s="4">
        <v>668</v>
      </c>
      <c r="DG69" s="4">
        <v>666</v>
      </c>
      <c r="DH69" s="4">
        <v>749</v>
      </c>
      <c r="DI69" s="4">
        <v>697</v>
      </c>
      <c r="DJ69" s="4">
        <v>737</v>
      </c>
      <c r="DK69" s="4">
        <v>678</v>
      </c>
      <c r="DL69" s="4">
        <v>640</v>
      </c>
      <c r="DM69" s="4">
        <v>-4.47</v>
      </c>
      <c r="DN69" s="4">
        <v>-1.47</v>
      </c>
      <c r="DO69" s="4">
        <v>7.84</v>
      </c>
      <c r="DP69" s="4">
        <v>7.74</v>
      </c>
      <c r="DQ69" s="4">
        <v>7.71</v>
      </c>
      <c r="DR69" s="4">
        <v>7.93</v>
      </c>
      <c r="DS69" s="4">
        <v>8.51</v>
      </c>
      <c r="DT69" s="4">
        <v>9.08</v>
      </c>
      <c r="DU69" s="4">
        <v>0</v>
      </c>
      <c r="DV69" s="4">
        <v>1.1000000000000001</v>
      </c>
      <c r="DW69" s="4">
        <v>6.66</v>
      </c>
      <c r="DX69" s="4">
        <v>6.68</v>
      </c>
      <c r="DY69" s="4">
        <v>6.95</v>
      </c>
      <c r="DZ69" s="4">
        <v>7.38</v>
      </c>
      <c r="EA69" s="4">
        <v>7.57</v>
      </c>
      <c r="EB69" s="4">
        <v>7.58</v>
      </c>
      <c r="EC69" s="4">
        <v>0</v>
      </c>
      <c r="ED69" s="89">
        <v>1.1000000000000001</v>
      </c>
      <c r="EE69" s="110">
        <v>42.9</v>
      </c>
      <c r="EF69" s="110">
        <v>43.6</v>
      </c>
      <c r="EG69" s="110">
        <v>43.2</v>
      </c>
      <c r="EH69" s="110">
        <v>110.1</v>
      </c>
      <c r="EI69" s="110">
        <v>0.7</v>
      </c>
      <c r="EJ69" s="110">
        <v>-5.8</v>
      </c>
      <c r="EK69" s="110">
        <v>-6.1</v>
      </c>
      <c r="EL69" s="110">
        <v>-5.9</v>
      </c>
      <c r="EM69" s="110">
        <v>134.4</v>
      </c>
      <c r="EN69" s="110">
        <v>0.3</v>
      </c>
      <c r="EO69" s="110">
        <v>4.8</v>
      </c>
      <c r="EP69" s="110">
        <v>13.8</v>
      </c>
      <c r="EQ69" s="110">
        <v>28.5</v>
      </c>
      <c r="ER69" s="110">
        <v>62.8</v>
      </c>
      <c r="ES69" s="114">
        <v>19</v>
      </c>
      <c r="IL69" s="83" t="str">
        <f t="shared" si="298"/>
        <v/>
      </c>
      <c r="IM69" s="4" t="str">
        <f t="shared" si="299"/>
        <v/>
      </c>
      <c r="IN69" s="4" t="str">
        <f t="shared" si="300"/>
        <v/>
      </c>
      <c r="IO69" s="4" t="str">
        <f t="shared" si="301"/>
        <v/>
      </c>
      <c r="IP69" s="4" t="str">
        <f t="shared" si="302"/>
        <v/>
      </c>
      <c r="IQ69" s="4" t="str">
        <f t="shared" si="303"/>
        <v/>
      </c>
      <c r="IR69" s="4" t="str">
        <f t="shared" si="304"/>
        <v/>
      </c>
      <c r="IS69" s="4" t="str">
        <f t="shared" si="305"/>
        <v/>
      </c>
      <c r="IT69" s="4" t="str">
        <f t="shared" si="306"/>
        <v/>
      </c>
      <c r="IU69" s="4" t="str">
        <f t="shared" si="307"/>
        <v/>
      </c>
      <c r="IV69" s="4" t="str">
        <f t="shared" si="308"/>
        <v/>
      </c>
      <c r="IW69" s="4" t="str">
        <f t="shared" si="309"/>
        <v/>
      </c>
      <c r="IX69" s="4" t="str">
        <f t="shared" si="310"/>
        <v/>
      </c>
      <c r="IY69" s="4" t="str">
        <f t="shared" si="311"/>
        <v/>
      </c>
      <c r="IZ69" s="4" t="str">
        <f t="shared" si="312"/>
        <v/>
      </c>
      <c r="JA69" s="4" t="str">
        <f t="shared" si="313"/>
        <v/>
      </c>
      <c r="JB69" s="4" t="str">
        <f t="shared" si="314"/>
        <v/>
      </c>
      <c r="JC69" s="4" t="str">
        <f t="shared" si="315"/>
        <v/>
      </c>
      <c r="JD69" s="4" t="str">
        <f t="shared" si="316"/>
        <v/>
      </c>
      <c r="JE69" s="4" t="str">
        <f t="shared" si="317"/>
        <v/>
      </c>
      <c r="JF69" s="4" t="str">
        <f t="shared" si="318"/>
        <v/>
      </c>
      <c r="JG69" s="4" t="str">
        <f t="shared" si="319"/>
        <v/>
      </c>
      <c r="JH69" s="4" t="str">
        <f t="shared" si="320"/>
        <v/>
      </c>
      <c r="JI69" s="4" t="str">
        <f t="shared" si="321"/>
        <v/>
      </c>
      <c r="JJ69" s="4" t="str">
        <f t="shared" si="322"/>
        <v/>
      </c>
      <c r="JK69" s="4" t="str">
        <f t="shared" si="323"/>
        <v/>
      </c>
      <c r="JL69" s="4" t="str">
        <f t="shared" si="324"/>
        <v/>
      </c>
      <c r="JM69" s="4" t="str">
        <f t="shared" si="325"/>
        <v/>
      </c>
      <c r="JN69" s="4" t="str">
        <f t="shared" si="326"/>
        <v/>
      </c>
      <c r="JO69" s="4" t="str">
        <f t="shared" si="327"/>
        <v/>
      </c>
      <c r="JP69" s="4" t="str">
        <f t="shared" si="328"/>
        <v/>
      </c>
      <c r="JQ69" s="117" t="str">
        <f t="shared" si="329"/>
        <v/>
      </c>
      <c r="JR69" s="110" t="str">
        <f t="shared" si="330"/>
        <v/>
      </c>
      <c r="JS69" s="110" t="str">
        <f t="shared" si="331"/>
        <v/>
      </c>
      <c r="JT69" s="110" t="str">
        <f t="shared" si="332"/>
        <v/>
      </c>
      <c r="JU69" s="110" t="str">
        <f t="shared" si="333"/>
        <v/>
      </c>
      <c r="JV69" s="110" t="str">
        <f t="shared" si="334"/>
        <v/>
      </c>
      <c r="JW69" s="110" t="str">
        <f t="shared" si="335"/>
        <v/>
      </c>
      <c r="JX69" s="110" t="str">
        <f t="shared" si="336"/>
        <v/>
      </c>
      <c r="JY69" s="110" t="str">
        <f t="shared" si="337"/>
        <v/>
      </c>
      <c r="JZ69" s="110" t="str">
        <f t="shared" si="338"/>
        <v/>
      </c>
      <c r="KA69" s="110" t="str">
        <f t="shared" si="339"/>
        <v/>
      </c>
      <c r="KB69" s="110" t="str">
        <f t="shared" si="340"/>
        <v/>
      </c>
      <c r="KC69" s="110" t="str">
        <f t="shared" si="341"/>
        <v/>
      </c>
      <c r="KD69" s="110" t="str">
        <f t="shared" si="342"/>
        <v/>
      </c>
      <c r="KE69" s="110" t="str">
        <f t="shared" si="343"/>
        <v/>
      </c>
      <c r="KF69" s="110" t="str">
        <f t="shared" si="344"/>
        <v/>
      </c>
      <c r="KG69" s="121" t="str">
        <f t="shared" si="345"/>
        <v/>
      </c>
      <c r="KH69" s="83" t="str">
        <f t="shared" si="346"/>
        <v/>
      </c>
      <c r="KI69" s="4" t="str">
        <f t="shared" si="347"/>
        <v/>
      </c>
      <c r="KJ69" s="4" t="str">
        <f t="shared" si="348"/>
        <v/>
      </c>
      <c r="KK69" s="4" t="str">
        <f t="shared" si="349"/>
        <v/>
      </c>
      <c r="KL69" s="4" t="str">
        <f t="shared" si="350"/>
        <v/>
      </c>
      <c r="KM69" s="4" t="str">
        <f t="shared" si="351"/>
        <v/>
      </c>
      <c r="KN69" s="4" t="str">
        <f t="shared" si="352"/>
        <v/>
      </c>
      <c r="KO69" s="4" t="str">
        <f t="shared" si="353"/>
        <v/>
      </c>
      <c r="KP69" s="4" t="str">
        <f t="shared" si="354"/>
        <v/>
      </c>
      <c r="KQ69" s="4" t="str">
        <f t="shared" si="355"/>
        <v/>
      </c>
      <c r="KR69" s="4" t="str">
        <f t="shared" si="356"/>
        <v/>
      </c>
      <c r="KS69" s="4" t="str">
        <f t="shared" si="357"/>
        <v/>
      </c>
      <c r="KT69" s="4" t="str">
        <f t="shared" si="358"/>
        <v/>
      </c>
      <c r="KU69" s="4" t="str">
        <f t="shared" si="359"/>
        <v/>
      </c>
      <c r="KV69" s="4" t="str">
        <f t="shared" si="360"/>
        <v/>
      </c>
      <c r="KW69" s="4" t="str">
        <f t="shared" si="361"/>
        <v/>
      </c>
      <c r="KX69" s="4" t="str">
        <f t="shared" si="362"/>
        <v/>
      </c>
      <c r="KY69" s="4" t="str">
        <f t="shared" si="363"/>
        <v/>
      </c>
      <c r="KZ69" s="4" t="str">
        <f t="shared" si="364"/>
        <v/>
      </c>
      <c r="LA69" s="4" t="str">
        <f t="shared" si="365"/>
        <v/>
      </c>
      <c r="LB69" s="4" t="str">
        <f t="shared" si="366"/>
        <v/>
      </c>
      <c r="LC69" s="4" t="str">
        <f t="shared" si="367"/>
        <v/>
      </c>
      <c r="LD69" s="4" t="str">
        <f t="shared" si="368"/>
        <v/>
      </c>
      <c r="LE69" s="4" t="str">
        <f t="shared" si="369"/>
        <v/>
      </c>
      <c r="LF69" s="4" t="str">
        <f t="shared" si="370"/>
        <v/>
      </c>
      <c r="LG69" s="4" t="str">
        <f t="shared" si="371"/>
        <v/>
      </c>
      <c r="LH69" s="4" t="str">
        <f t="shared" si="372"/>
        <v/>
      </c>
      <c r="LI69" s="4" t="str">
        <f t="shared" si="373"/>
        <v/>
      </c>
      <c r="LJ69" s="4" t="str">
        <f t="shared" si="374"/>
        <v/>
      </c>
      <c r="LK69" s="4" t="str">
        <f t="shared" si="375"/>
        <v/>
      </c>
      <c r="LL69" s="4" t="str">
        <f t="shared" si="376"/>
        <v/>
      </c>
      <c r="LM69" s="4" t="str">
        <f t="shared" si="377"/>
        <v/>
      </c>
      <c r="LN69" s="4" t="str">
        <f t="shared" si="378"/>
        <v/>
      </c>
      <c r="LO69" s="4" t="str">
        <f t="shared" si="379"/>
        <v/>
      </c>
      <c r="LP69" s="4" t="str">
        <f t="shared" si="380"/>
        <v/>
      </c>
      <c r="LQ69" s="4" t="str">
        <f t="shared" si="381"/>
        <v/>
      </c>
      <c r="LR69" s="4" t="str">
        <f t="shared" si="382"/>
        <v/>
      </c>
      <c r="LS69" s="4" t="str">
        <f t="shared" si="383"/>
        <v/>
      </c>
      <c r="LT69" s="4" t="str">
        <f t="shared" si="384"/>
        <v/>
      </c>
      <c r="LU69" s="4" t="str">
        <f t="shared" si="385"/>
        <v/>
      </c>
      <c r="LV69" s="4" t="str">
        <f t="shared" si="386"/>
        <v/>
      </c>
      <c r="LW69" s="4" t="str">
        <f t="shared" si="387"/>
        <v/>
      </c>
      <c r="LX69" s="4" t="str">
        <f t="shared" si="388"/>
        <v/>
      </c>
      <c r="LY69" s="4" t="str">
        <f t="shared" si="389"/>
        <v/>
      </c>
      <c r="LZ69" s="4" t="str">
        <f t="shared" si="390"/>
        <v/>
      </c>
      <c r="MA69" s="4" t="str">
        <f t="shared" si="391"/>
        <v/>
      </c>
      <c r="MB69" s="4" t="str">
        <f t="shared" si="392"/>
        <v/>
      </c>
      <c r="MC69" s="4" t="str">
        <f t="shared" si="393"/>
        <v/>
      </c>
      <c r="MD69" s="4" t="str">
        <f t="shared" si="394"/>
        <v/>
      </c>
      <c r="ME69" s="4" t="str">
        <f t="shared" si="395"/>
        <v/>
      </c>
      <c r="MF69" s="4" t="str">
        <f t="shared" si="396"/>
        <v/>
      </c>
      <c r="MG69" s="4">
        <f t="shared" si="397"/>
        <v>0</v>
      </c>
    </row>
    <row r="70" spans="1:345" ht="26.25" customHeight="1" x14ac:dyDescent="0.2">
      <c r="A70" s="35">
        <v>41402</v>
      </c>
      <c r="B70" s="36" t="s">
        <v>140</v>
      </c>
      <c r="C70" s="36" t="s">
        <v>97</v>
      </c>
      <c r="D70" s="31" t="s">
        <v>110</v>
      </c>
      <c r="E70" s="4">
        <v>73</v>
      </c>
      <c r="F70" s="3">
        <v>14501</v>
      </c>
      <c r="G70" s="4" t="s">
        <v>87</v>
      </c>
      <c r="H70" s="4" t="s">
        <v>108</v>
      </c>
      <c r="I70" s="4">
        <v>1836345</v>
      </c>
      <c r="K70" s="248"/>
      <c r="L70" s="239"/>
      <c r="M70" s="239"/>
      <c r="N70" s="236"/>
      <c r="O70" s="235"/>
      <c r="P70" s="236"/>
      <c r="Q70" s="236"/>
      <c r="R70" s="33">
        <v>-0.5</v>
      </c>
      <c r="S70" s="33">
        <v>-0.57999999999999996</v>
      </c>
      <c r="T70" s="33" t="s">
        <v>249</v>
      </c>
      <c r="U70" s="67">
        <v>15</v>
      </c>
      <c r="V70" s="124">
        <v>41351</v>
      </c>
      <c r="W70" s="67">
        <v>-3.5</v>
      </c>
      <c r="X70" s="67">
        <v>1.25</v>
      </c>
      <c r="Y70" s="4">
        <v>5</v>
      </c>
      <c r="Z70" s="4">
        <v>40</v>
      </c>
      <c r="AA70" s="4">
        <v>16</v>
      </c>
      <c r="AB70" s="4">
        <v>645</v>
      </c>
      <c r="AC70" s="4">
        <v>25.34</v>
      </c>
      <c r="AD70" s="4">
        <v>11.9</v>
      </c>
      <c r="AE70" s="4">
        <v>4.6399999999999997</v>
      </c>
      <c r="AF70" s="4">
        <v>3.24</v>
      </c>
      <c r="AG70" s="4">
        <v>43.89</v>
      </c>
      <c r="AH70" s="4">
        <v>55</v>
      </c>
      <c r="AI70" s="4">
        <v>44.47</v>
      </c>
      <c r="AJ70" s="4">
        <v>145</v>
      </c>
      <c r="AK70" s="4">
        <v>0</v>
      </c>
      <c r="AL70" s="4" t="b">
        <f t="shared" si="268"/>
        <v>0</v>
      </c>
      <c r="AN70" s="37">
        <v>41556</v>
      </c>
      <c r="AO70" s="51" t="s">
        <v>282</v>
      </c>
      <c r="AP70" s="67">
        <v>0.25</v>
      </c>
      <c r="AQ70" s="67">
        <v>0.5</v>
      </c>
      <c r="AR70" s="4">
        <v>127</v>
      </c>
      <c r="AS70" s="4">
        <v>25</v>
      </c>
      <c r="AT70" s="4">
        <v>24</v>
      </c>
      <c r="AU70" s="4">
        <v>562</v>
      </c>
      <c r="AV70" s="4">
        <v>2415</v>
      </c>
      <c r="AW70" s="51" t="s">
        <v>282</v>
      </c>
      <c r="AX70" s="51" t="s">
        <v>282</v>
      </c>
      <c r="AY70" s="51" t="s">
        <v>282</v>
      </c>
      <c r="AZ70" s="51" t="s">
        <v>282</v>
      </c>
      <c r="BA70" s="51" t="s">
        <v>282</v>
      </c>
      <c r="BB70" s="51" t="s">
        <v>282</v>
      </c>
      <c r="BC70" s="4">
        <f t="shared" si="269"/>
        <v>0.5</v>
      </c>
      <c r="BD70" s="4">
        <f t="shared" si="267"/>
        <v>1.08</v>
      </c>
      <c r="BE70" s="4">
        <f t="shared" si="270"/>
        <v>-83</v>
      </c>
      <c r="BF70" s="137">
        <v>41773</v>
      </c>
      <c r="BU70" s="4" t="str">
        <f t="shared" si="266"/>
        <v/>
      </c>
      <c r="BV70" s="4" t="str">
        <f t="shared" si="271"/>
        <v/>
      </c>
      <c r="BW70" s="4" t="str">
        <f t="shared" si="272"/>
        <v/>
      </c>
      <c r="BX70" s="4">
        <f t="shared" si="273"/>
        <v>1</v>
      </c>
      <c r="BY70" s="4">
        <f t="shared" si="274"/>
        <v>0</v>
      </c>
      <c r="BZ70" s="4" t="str">
        <f t="shared" si="275"/>
        <v/>
      </c>
      <c r="CA70" s="4" t="str">
        <f t="shared" si="276"/>
        <v/>
      </c>
      <c r="CB70" s="4" t="str">
        <f t="shared" si="277"/>
        <v/>
      </c>
      <c r="CC70" s="53">
        <f t="shared" si="278"/>
        <v>154</v>
      </c>
      <c r="CD70" s="55">
        <f t="shared" si="279"/>
        <v>5.1333333333333337</v>
      </c>
      <c r="CE70" s="4" t="str">
        <f t="shared" si="280"/>
        <v/>
      </c>
      <c r="CF70" s="4" t="str">
        <f t="shared" si="281"/>
        <v/>
      </c>
      <c r="CG70" s="4" t="str">
        <f t="shared" si="282"/>
        <v/>
      </c>
      <c r="CH70" s="4" t="str">
        <f t="shared" si="283"/>
        <v/>
      </c>
      <c r="CI70" s="4">
        <f t="shared" si="284"/>
        <v>-2.875</v>
      </c>
      <c r="CJ70" s="4">
        <f t="shared" si="285"/>
        <v>0.5</v>
      </c>
      <c r="CK70" s="93">
        <f t="shared" si="286"/>
        <v>1.08</v>
      </c>
      <c r="CL70" s="83">
        <f t="shared" si="287"/>
        <v>-83</v>
      </c>
      <c r="CM70" s="4" t="str">
        <f t="shared" si="288"/>
        <v/>
      </c>
      <c r="CN70" s="96">
        <f t="shared" si="289"/>
        <v>-0.57999999999999996</v>
      </c>
      <c r="CO70" s="96">
        <f t="shared" si="265"/>
        <v>0.20411998265592479</v>
      </c>
      <c r="CP70" s="127">
        <f t="shared" si="290"/>
        <v>0.5</v>
      </c>
      <c r="CQ70" s="127">
        <f t="shared" si="291"/>
        <v>-0.75</v>
      </c>
      <c r="CR70" s="136">
        <f t="shared" si="292"/>
        <v>25</v>
      </c>
      <c r="CS70" s="136">
        <f t="shared" si="293"/>
        <v>40</v>
      </c>
      <c r="CT70" s="135" t="str">
        <f t="shared" si="294"/>
        <v/>
      </c>
      <c r="CU70" s="139">
        <f t="shared" si="295"/>
        <v>1</v>
      </c>
      <c r="CV70" s="96" t="str">
        <f t="shared" si="296"/>
        <v/>
      </c>
      <c r="CW70" s="141" t="b">
        <f t="shared" si="297"/>
        <v>1</v>
      </c>
      <c r="CX70" s="108">
        <v>7.88</v>
      </c>
      <c r="CY70" s="4">
        <v>7.75</v>
      </c>
      <c r="CZ70" s="4">
        <v>43.3</v>
      </c>
      <c r="DA70" s="4">
        <v>-0.7</v>
      </c>
      <c r="DB70" s="4">
        <v>-0.18</v>
      </c>
      <c r="DC70" s="4">
        <v>0.57999999999999996</v>
      </c>
      <c r="DD70" s="4">
        <v>2.52</v>
      </c>
      <c r="DE70" s="4">
        <v>3.18</v>
      </c>
      <c r="DF70" s="4">
        <v>666</v>
      </c>
      <c r="DG70" s="4">
        <v>664</v>
      </c>
      <c r="DH70" s="4">
        <v>726</v>
      </c>
      <c r="DI70" s="4">
        <v>703</v>
      </c>
      <c r="DJ70" s="4">
        <v>700</v>
      </c>
      <c r="DK70" s="4">
        <v>693</v>
      </c>
      <c r="DL70" s="4">
        <v>659</v>
      </c>
      <c r="DM70" s="4">
        <v>0.77</v>
      </c>
      <c r="DN70" s="4">
        <v>0.63</v>
      </c>
      <c r="DO70" s="4">
        <v>7.89</v>
      </c>
      <c r="DP70" s="4">
        <v>7.72</v>
      </c>
      <c r="DQ70" s="4">
        <v>7.66</v>
      </c>
      <c r="DR70" s="4">
        <v>7.92</v>
      </c>
      <c r="DS70" s="4">
        <v>8.51</v>
      </c>
      <c r="DT70" s="4">
        <v>9.09</v>
      </c>
      <c r="DU70" s="4">
        <v>0</v>
      </c>
      <c r="DV70" s="4">
        <v>1</v>
      </c>
      <c r="DW70" s="4">
        <v>6.75</v>
      </c>
      <c r="DX70" s="4">
        <v>6.68</v>
      </c>
      <c r="DY70" s="4">
        <v>6.87</v>
      </c>
      <c r="DZ70" s="4">
        <v>7.34</v>
      </c>
      <c r="EA70" s="4">
        <v>7.53</v>
      </c>
      <c r="EB70" s="4">
        <v>7.66</v>
      </c>
      <c r="EC70" s="4">
        <v>0</v>
      </c>
      <c r="ED70" s="89">
        <v>1</v>
      </c>
      <c r="EE70" s="110">
        <v>42.9</v>
      </c>
      <c r="EF70" s="110">
        <v>43.6</v>
      </c>
      <c r="EG70" s="110">
        <v>43.2</v>
      </c>
      <c r="EH70" s="110">
        <v>43.3</v>
      </c>
      <c r="EI70" s="110">
        <v>0.7</v>
      </c>
      <c r="EJ70" s="110">
        <v>-5.8</v>
      </c>
      <c r="EK70" s="110">
        <v>-6.1</v>
      </c>
      <c r="EL70" s="110">
        <v>-5.9</v>
      </c>
      <c r="EM70" s="110">
        <v>23.9</v>
      </c>
      <c r="EN70" s="110">
        <v>0.3</v>
      </c>
      <c r="EO70" s="110">
        <v>4.8</v>
      </c>
      <c r="EP70" s="110">
        <v>13.7</v>
      </c>
      <c r="EQ70" s="110">
        <v>28.3</v>
      </c>
      <c r="ER70" s="110">
        <v>62.7</v>
      </c>
      <c r="ES70" s="114">
        <v>20</v>
      </c>
      <c r="IL70" s="83" t="str">
        <f t="shared" si="298"/>
        <v/>
      </c>
      <c r="IM70" s="4" t="str">
        <f t="shared" si="299"/>
        <v/>
      </c>
      <c r="IN70" s="4" t="str">
        <f t="shared" si="300"/>
        <v/>
      </c>
      <c r="IO70" s="4" t="str">
        <f t="shared" si="301"/>
        <v/>
      </c>
      <c r="IP70" s="4" t="str">
        <f t="shared" si="302"/>
        <v/>
      </c>
      <c r="IQ70" s="4" t="str">
        <f t="shared" si="303"/>
        <v/>
      </c>
      <c r="IR70" s="4" t="str">
        <f t="shared" si="304"/>
        <v/>
      </c>
      <c r="IS70" s="4" t="str">
        <f t="shared" si="305"/>
        <v/>
      </c>
      <c r="IT70" s="4" t="str">
        <f t="shared" si="306"/>
        <v/>
      </c>
      <c r="IU70" s="4" t="str">
        <f t="shared" si="307"/>
        <v/>
      </c>
      <c r="IV70" s="4" t="str">
        <f t="shared" si="308"/>
        <v/>
      </c>
      <c r="IW70" s="4" t="str">
        <f t="shared" si="309"/>
        <v/>
      </c>
      <c r="IX70" s="4" t="str">
        <f t="shared" si="310"/>
        <v/>
      </c>
      <c r="IY70" s="4" t="str">
        <f t="shared" si="311"/>
        <v/>
      </c>
      <c r="IZ70" s="4" t="str">
        <f t="shared" si="312"/>
        <v/>
      </c>
      <c r="JA70" s="4" t="str">
        <f t="shared" si="313"/>
        <v/>
      </c>
      <c r="JB70" s="4" t="str">
        <f t="shared" si="314"/>
        <v/>
      </c>
      <c r="JC70" s="4" t="str">
        <f t="shared" si="315"/>
        <v/>
      </c>
      <c r="JD70" s="4" t="str">
        <f t="shared" si="316"/>
        <v/>
      </c>
      <c r="JE70" s="4" t="str">
        <f t="shared" si="317"/>
        <v/>
      </c>
      <c r="JF70" s="4" t="str">
        <f t="shared" si="318"/>
        <v/>
      </c>
      <c r="JG70" s="4" t="str">
        <f t="shared" si="319"/>
        <v/>
      </c>
      <c r="JH70" s="4" t="str">
        <f t="shared" si="320"/>
        <v/>
      </c>
      <c r="JI70" s="4" t="str">
        <f t="shared" si="321"/>
        <v/>
      </c>
      <c r="JJ70" s="4" t="str">
        <f t="shared" si="322"/>
        <v/>
      </c>
      <c r="JK70" s="4" t="str">
        <f t="shared" si="323"/>
        <v/>
      </c>
      <c r="JL70" s="4" t="str">
        <f t="shared" si="324"/>
        <v/>
      </c>
      <c r="JM70" s="4" t="str">
        <f t="shared" si="325"/>
        <v/>
      </c>
      <c r="JN70" s="4" t="str">
        <f t="shared" si="326"/>
        <v/>
      </c>
      <c r="JO70" s="4" t="str">
        <f t="shared" si="327"/>
        <v/>
      </c>
      <c r="JP70" s="4" t="str">
        <f t="shared" si="328"/>
        <v/>
      </c>
      <c r="JQ70" s="117" t="str">
        <f t="shared" si="329"/>
        <v/>
      </c>
      <c r="JR70" s="110" t="str">
        <f t="shared" si="330"/>
        <v/>
      </c>
      <c r="JS70" s="110" t="str">
        <f t="shared" si="331"/>
        <v/>
      </c>
      <c r="JT70" s="110" t="str">
        <f t="shared" si="332"/>
        <v/>
      </c>
      <c r="JU70" s="110" t="str">
        <f t="shared" si="333"/>
        <v/>
      </c>
      <c r="JV70" s="110" t="str">
        <f t="shared" si="334"/>
        <v/>
      </c>
      <c r="JW70" s="110" t="str">
        <f t="shared" si="335"/>
        <v/>
      </c>
      <c r="JX70" s="110" t="str">
        <f t="shared" si="336"/>
        <v/>
      </c>
      <c r="JY70" s="110" t="str">
        <f t="shared" si="337"/>
        <v/>
      </c>
      <c r="JZ70" s="110" t="str">
        <f t="shared" si="338"/>
        <v/>
      </c>
      <c r="KA70" s="110" t="str">
        <f t="shared" si="339"/>
        <v/>
      </c>
      <c r="KB70" s="110" t="str">
        <f t="shared" si="340"/>
        <v/>
      </c>
      <c r="KC70" s="110" t="str">
        <f t="shared" si="341"/>
        <v/>
      </c>
      <c r="KD70" s="110" t="str">
        <f t="shared" si="342"/>
        <v/>
      </c>
      <c r="KE70" s="110" t="str">
        <f t="shared" si="343"/>
        <v/>
      </c>
      <c r="KF70" s="110" t="str">
        <f t="shared" si="344"/>
        <v/>
      </c>
      <c r="KG70" s="121" t="str">
        <f t="shared" si="345"/>
        <v/>
      </c>
      <c r="KH70" s="83" t="str">
        <f t="shared" si="346"/>
        <v/>
      </c>
      <c r="KI70" s="4" t="str">
        <f t="shared" si="347"/>
        <v/>
      </c>
      <c r="KJ70" s="4" t="str">
        <f t="shared" si="348"/>
        <v/>
      </c>
      <c r="KK70" s="4" t="str">
        <f t="shared" si="349"/>
        <v/>
      </c>
      <c r="KL70" s="4" t="str">
        <f t="shared" si="350"/>
        <v/>
      </c>
      <c r="KM70" s="4" t="str">
        <f t="shared" si="351"/>
        <v/>
      </c>
      <c r="KN70" s="4" t="str">
        <f t="shared" si="352"/>
        <v/>
      </c>
      <c r="KO70" s="4" t="str">
        <f t="shared" si="353"/>
        <v/>
      </c>
      <c r="KP70" s="4" t="str">
        <f t="shared" si="354"/>
        <v/>
      </c>
      <c r="KQ70" s="4" t="str">
        <f t="shared" si="355"/>
        <v/>
      </c>
      <c r="KR70" s="4" t="str">
        <f t="shared" si="356"/>
        <v/>
      </c>
      <c r="KS70" s="4" t="str">
        <f t="shared" si="357"/>
        <v/>
      </c>
      <c r="KT70" s="4" t="str">
        <f t="shared" si="358"/>
        <v/>
      </c>
      <c r="KU70" s="4" t="str">
        <f t="shared" si="359"/>
        <v/>
      </c>
      <c r="KV70" s="4" t="str">
        <f t="shared" si="360"/>
        <v/>
      </c>
      <c r="KW70" s="4" t="str">
        <f t="shared" si="361"/>
        <v/>
      </c>
      <c r="KX70" s="4" t="str">
        <f t="shared" si="362"/>
        <v/>
      </c>
      <c r="KY70" s="4" t="str">
        <f t="shared" si="363"/>
        <v/>
      </c>
      <c r="KZ70" s="4" t="str">
        <f t="shared" si="364"/>
        <v/>
      </c>
      <c r="LA70" s="4" t="str">
        <f t="shared" si="365"/>
        <v/>
      </c>
      <c r="LB70" s="4" t="str">
        <f t="shared" si="366"/>
        <v/>
      </c>
      <c r="LC70" s="4" t="str">
        <f t="shared" si="367"/>
        <v/>
      </c>
      <c r="LD70" s="4" t="str">
        <f t="shared" si="368"/>
        <v/>
      </c>
      <c r="LE70" s="4" t="str">
        <f t="shared" si="369"/>
        <v/>
      </c>
      <c r="LF70" s="4" t="str">
        <f t="shared" si="370"/>
        <v/>
      </c>
      <c r="LG70" s="4" t="str">
        <f t="shared" si="371"/>
        <v/>
      </c>
      <c r="LH70" s="4" t="str">
        <f t="shared" si="372"/>
        <v/>
      </c>
      <c r="LI70" s="4" t="str">
        <f t="shared" si="373"/>
        <v/>
      </c>
      <c r="LJ70" s="4" t="str">
        <f t="shared" si="374"/>
        <v/>
      </c>
      <c r="LK70" s="4" t="str">
        <f t="shared" si="375"/>
        <v/>
      </c>
      <c r="LL70" s="4" t="str">
        <f t="shared" si="376"/>
        <v/>
      </c>
      <c r="LM70" s="4" t="str">
        <f t="shared" si="377"/>
        <v/>
      </c>
      <c r="LN70" s="4" t="str">
        <f t="shared" si="378"/>
        <v/>
      </c>
      <c r="LO70" s="4" t="str">
        <f t="shared" si="379"/>
        <v/>
      </c>
      <c r="LP70" s="4" t="str">
        <f t="shared" si="380"/>
        <v/>
      </c>
      <c r="LQ70" s="4" t="str">
        <f t="shared" si="381"/>
        <v/>
      </c>
      <c r="LR70" s="4" t="str">
        <f t="shared" si="382"/>
        <v/>
      </c>
      <c r="LS70" s="4" t="str">
        <f t="shared" si="383"/>
        <v/>
      </c>
      <c r="LT70" s="4" t="str">
        <f t="shared" si="384"/>
        <v/>
      </c>
      <c r="LU70" s="4" t="str">
        <f t="shared" si="385"/>
        <v/>
      </c>
      <c r="LV70" s="4" t="str">
        <f t="shared" si="386"/>
        <v/>
      </c>
      <c r="LW70" s="4" t="str">
        <f t="shared" si="387"/>
        <v/>
      </c>
      <c r="LX70" s="4" t="str">
        <f t="shared" si="388"/>
        <v/>
      </c>
      <c r="LY70" s="4" t="str">
        <f t="shared" si="389"/>
        <v/>
      </c>
      <c r="LZ70" s="4" t="str">
        <f t="shared" si="390"/>
        <v/>
      </c>
      <c r="MA70" s="4" t="str">
        <f t="shared" si="391"/>
        <v/>
      </c>
      <c r="MB70" s="4" t="str">
        <f t="shared" si="392"/>
        <v/>
      </c>
      <c r="MC70" s="4" t="str">
        <f t="shared" si="393"/>
        <v/>
      </c>
      <c r="MD70" s="4" t="str">
        <f t="shared" si="394"/>
        <v/>
      </c>
      <c r="ME70" s="4" t="str">
        <f t="shared" si="395"/>
        <v/>
      </c>
      <c r="MF70" s="4" t="str">
        <f t="shared" si="396"/>
        <v/>
      </c>
      <c r="MG70" s="4">
        <f t="shared" si="397"/>
        <v>0</v>
      </c>
    </row>
    <row r="71" spans="1:345" ht="26.25" customHeight="1" thickBot="1" x14ac:dyDescent="0.25">
      <c r="A71" s="35">
        <v>41325</v>
      </c>
      <c r="B71" s="36" t="s">
        <v>130</v>
      </c>
      <c r="C71" s="36" t="s">
        <v>35</v>
      </c>
      <c r="D71" s="31" t="s">
        <v>110</v>
      </c>
      <c r="E71" s="4">
        <v>54</v>
      </c>
      <c r="F71" s="3">
        <v>21309</v>
      </c>
      <c r="G71" s="4" t="s">
        <v>87</v>
      </c>
      <c r="H71" s="4" t="s">
        <v>108</v>
      </c>
      <c r="I71" s="4">
        <v>1836353</v>
      </c>
      <c r="R71" s="33">
        <v>-0.5</v>
      </c>
      <c r="S71" s="33">
        <v>-0.57999999999999996</v>
      </c>
      <c r="T71" s="33" t="s">
        <v>249</v>
      </c>
      <c r="U71" s="67">
        <v>18</v>
      </c>
      <c r="V71" s="124">
        <v>41323</v>
      </c>
      <c r="W71" s="67">
        <v>-2.25</v>
      </c>
      <c r="X71" s="67">
        <v>1.25</v>
      </c>
      <c r="Y71" s="4">
        <v>4</v>
      </c>
      <c r="Z71" s="4">
        <v>50</v>
      </c>
      <c r="AA71" s="4">
        <v>12</v>
      </c>
      <c r="AB71" s="4">
        <v>573</v>
      </c>
      <c r="AC71" s="4">
        <v>24.52</v>
      </c>
      <c r="AD71" s="4">
        <v>12.8</v>
      </c>
      <c r="AE71" s="4">
        <v>4.49</v>
      </c>
      <c r="AF71" s="4">
        <v>4.12</v>
      </c>
      <c r="AG71" s="4">
        <v>43.05</v>
      </c>
      <c r="AH71" s="4">
        <v>104</v>
      </c>
      <c r="AI71" s="4">
        <v>44.29</v>
      </c>
      <c r="AJ71" s="4">
        <v>14</v>
      </c>
      <c r="AK71" s="4">
        <v>0</v>
      </c>
      <c r="AL71" s="4" t="b">
        <f t="shared" si="268"/>
        <v>0</v>
      </c>
      <c r="AM71" s="54" t="s">
        <v>609</v>
      </c>
      <c r="AN71" s="3">
        <v>41487</v>
      </c>
      <c r="AP71" s="67">
        <v>0</v>
      </c>
      <c r="AQ71" s="67">
        <v>0</v>
      </c>
      <c r="AR71" s="4">
        <v>0</v>
      </c>
      <c r="AS71" s="4">
        <v>20</v>
      </c>
      <c r="AT71" s="4">
        <v>16</v>
      </c>
      <c r="AU71" s="4">
        <v>490</v>
      </c>
      <c r="BC71" s="4">
        <f t="shared" si="269"/>
        <v>0</v>
      </c>
      <c r="BD71" s="4">
        <f t="shared" si="267"/>
        <v>0.57999999999999996</v>
      </c>
      <c r="BE71" s="4">
        <f t="shared" si="270"/>
        <v>-83</v>
      </c>
      <c r="BF71" s="51" t="s">
        <v>501</v>
      </c>
      <c r="BU71" s="4" t="str">
        <f t="shared" si="266"/>
        <v/>
      </c>
      <c r="BV71" s="4" t="str">
        <f t="shared" si="271"/>
        <v/>
      </c>
      <c r="BW71" s="4" t="str">
        <f t="shared" si="272"/>
        <v/>
      </c>
      <c r="BX71" s="4">
        <f t="shared" si="273"/>
        <v>1</v>
      </c>
      <c r="BY71" s="4">
        <f t="shared" si="274"/>
        <v>0</v>
      </c>
      <c r="BZ71" s="4" t="str">
        <f t="shared" si="275"/>
        <v/>
      </c>
      <c r="CA71" s="4" t="str">
        <f t="shared" si="276"/>
        <v/>
      </c>
      <c r="CB71" s="4" t="str">
        <f t="shared" si="277"/>
        <v/>
      </c>
      <c r="CC71" s="53">
        <f t="shared" si="278"/>
        <v>162</v>
      </c>
      <c r="CD71" s="55">
        <f t="shared" si="279"/>
        <v>5.4</v>
      </c>
      <c r="CE71" s="4" t="str">
        <f t="shared" si="280"/>
        <v/>
      </c>
      <c r="CF71" s="4" t="str">
        <f t="shared" si="281"/>
        <v/>
      </c>
      <c r="CG71" s="4" t="str">
        <f t="shared" si="282"/>
        <v/>
      </c>
      <c r="CH71" s="4" t="str">
        <f t="shared" si="283"/>
        <v/>
      </c>
      <c r="CI71" s="4">
        <f t="shared" si="284"/>
        <v>-1.625</v>
      </c>
      <c r="CJ71" s="4">
        <f t="shared" si="285"/>
        <v>0</v>
      </c>
      <c r="CK71" s="93">
        <f t="shared" si="286"/>
        <v>0.57999999999999996</v>
      </c>
      <c r="CL71" s="83">
        <f t="shared" si="287"/>
        <v>-83</v>
      </c>
      <c r="CM71" s="4" t="str">
        <f t="shared" si="288"/>
        <v/>
      </c>
      <c r="CN71" s="96">
        <f t="shared" si="289"/>
        <v>-0.57999999999999996</v>
      </c>
      <c r="CO71" s="96">
        <f t="shared" si="265"/>
        <v>0.3979400086720376</v>
      </c>
      <c r="CP71" s="127">
        <f t="shared" si="290"/>
        <v>0</v>
      </c>
      <c r="CQ71" s="127">
        <f t="shared" si="291"/>
        <v>-1.25</v>
      </c>
      <c r="CR71" s="136">
        <f t="shared" si="292"/>
        <v>20</v>
      </c>
      <c r="CS71" s="136">
        <f t="shared" si="293"/>
        <v>50</v>
      </c>
      <c r="CT71" s="135" t="str">
        <f t="shared" si="294"/>
        <v/>
      </c>
      <c r="CU71" s="139">
        <f t="shared" si="295"/>
        <v>1</v>
      </c>
      <c r="CV71" s="96" t="str">
        <f t="shared" si="296"/>
        <v/>
      </c>
      <c r="CW71" s="141" t="b">
        <f t="shared" si="297"/>
        <v>1</v>
      </c>
      <c r="CX71">
        <v>7.77</v>
      </c>
      <c r="CY71" s="4">
        <v>7.95</v>
      </c>
      <c r="CZ71" s="4">
        <v>88.3</v>
      </c>
      <c r="DA71" s="4">
        <v>1</v>
      </c>
      <c r="DB71" s="4">
        <v>-0.19</v>
      </c>
      <c r="DC71" s="4">
        <v>0.31</v>
      </c>
      <c r="DD71" s="4">
        <v>3.41</v>
      </c>
      <c r="DE71" s="4">
        <v>4.0199999999999996</v>
      </c>
      <c r="DF71" s="4">
        <v>602</v>
      </c>
      <c r="DG71" s="4">
        <v>610</v>
      </c>
      <c r="DH71" s="4">
        <v>619</v>
      </c>
      <c r="DI71" s="4">
        <v>640</v>
      </c>
      <c r="DJ71" s="4">
        <v>619</v>
      </c>
      <c r="DK71" s="4">
        <v>609</v>
      </c>
      <c r="DL71" s="4">
        <v>584</v>
      </c>
      <c r="DM71" s="4">
        <v>1.25</v>
      </c>
      <c r="DN71" s="4">
        <v>0.96</v>
      </c>
      <c r="DO71" s="4">
        <v>7.92</v>
      </c>
      <c r="DP71" s="4">
        <v>7.79</v>
      </c>
      <c r="DQ71" s="4">
        <v>7.77</v>
      </c>
      <c r="DR71" s="4">
        <v>7.84</v>
      </c>
      <c r="DS71" s="4">
        <v>7.98</v>
      </c>
      <c r="DT71" s="4">
        <v>8.3000000000000007</v>
      </c>
      <c r="DU71" s="4">
        <v>8.32</v>
      </c>
      <c r="DV71" s="4">
        <v>0.4</v>
      </c>
      <c r="DW71" s="4">
        <v>7.54</v>
      </c>
      <c r="DX71" s="4">
        <v>6.91</v>
      </c>
      <c r="DY71" s="4">
        <v>6.58</v>
      </c>
      <c r="DZ71" s="4">
        <v>6.68</v>
      </c>
      <c r="EA71" s="4">
        <v>7.03</v>
      </c>
      <c r="EB71" s="4">
        <v>7.28</v>
      </c>
      <c r="EC71" s="4">
        <v>0</v>
      </c>
      <c r="ED71" s="89">
        <v>0.4</v>
      </c>
      <c r="EE71" s="110">
        <v>42.4</v>
      </c>
      <c r="EF71" s="110">
        <v>43.5</v>
      </c>
      <c r="EG71" s="110">
        <v>42.9</v>
      </c>
      <c r="EH71" s="110">
        <v>88.3</v>
      </c>
      <c r="EI71" s="110">
        <v>1</v>
      </c>
      <c r="EJ71" s="110">
        <v>-5.3</v>
      </c>
      <c r="EK71" s="110">
        <v>-5.6</v>
      </c>
      <c r="EL71" s="110">
        <v>-5.5</v>
      </c>
      <c r="EM71" s="110">
        <v>37.6</v>
      </c>
      <c r="EN71" s="110">
        <v>0.2</v>
      </c>
      <c r="EO71" s="110">
        <v>4.3</v>
      </c>
      <c r="EP71" s="110">
        <v>12.1</v>
      </c>
      <c r="EQ71" s="110">
        <v>25.3</v>
      </c>
      <c r="ER71" s="110">
        <v>59.7</v>
      </c>
      <c r="ES71" s="114">
        <v>16</v>
      </c>
      <c r="IL71" s="83" t="str">
        <f t="shared" si="298"/>
        <v/>
      </c>
      <c r="IM71" s="4" t="str">
        <f t="shared" si="299"/>
        <v/>
      </c>
      <c r="IN71" s="4" t="str">
        <f t="shared" si="300"/>
        <v/>
      </c>
      <c r="IO71" s="4" t="str">
        <f t="shared" si="301"/>
        <v/>
      </c>
      <c r="IP71" s="4" t="str">
        <f t="shared" si="302"/>
        <v/>
      </c>
      <c r="IQ71" s="4" t="str">
        <f t="shared" si="303"/>
        <v/>
      </c>
      <c r="IR71" s="4" t="str">
        <f t="shared" si="304"/>
        <v/>
      </c>
      <c r="IS71" s="4" t="str">
        <f t="shared" si="305"/>
        <v/>
      </c>
      <c r="IT71" s="4" t="str">
        <f t="shared" si="306"/>
        <v/>
      </c>
      <c r="IU71" s="4" t="str">
        <f t="shared" si="307"/>
        <v/>
      </c>
      <c r="IV71" s="4" t="str">
        <f t="shared" si="308"/>
        <v/>
      </c>
      <c r="IW71" s="4" t="str">
        <f t="shared" si="309"/>
        <v/>
      </c>
      <c r="IX71" s="4" t="str">
        <f t="shared" si="310"/>
        <v/>
      </c>
      <c r="IY71" s="4" t="str">
        <f t="shared" si="311"/>
        <v/>
      </c>
      <c r="IZ71" s="4" t="str">
        <f t="shared" si="312"/>
        <v/>
      </c>
      <c r="JA71" s="4" t="str">
        <f t="shared" si="313"/>
        <v/>
      </c>
      <c r="JB71" s="4" t="str">
        <f t="shared" si="314"/>
        <v/>
      </c>
      <c r="JC71" s="4" t="str">
        <f t="shared" si="315"/>
        <v/>
      </c>
      <c r="JD71" s="4" t="str">
        <f t="shared" si="316"/>
        <v/>
      </c>
      <c r="JE71" s="4" t="str">
        <f t="shared" si="317"/>
        <v/>
      </c>
      <c r="JF71" s="4" t="str">
        <f t="shared" si="318"/>
        <v/>
      </c>
      <c r="JG71" s="4" t="str">
        <f t="shared" si="319"/>
        <v/>
      </c>
      <c r="JH71" s="4" t="str">
        <f t="shared" si="320"/>
        <v/>
      </c>
      <c r="JI71" s="4" t="str">
        <f t="shared" si="321"/>
        <v/>
      </c>
      <c r="JJ71" s="4" t="str">
        <f t="shared" si="322"/>
        <v/>
      </c>
      <c r="JK71" s="4" t="str">
        <f t="shared" si="323"/>
        <v/>
      </c>
      <c r="JL71" s="4" t="str">
        <f t="shared" si="324"/>
        <v/>
      </c>
      <c r="JM71" s="4" t="str">
        <f t="shared" si="325"/>
        <v/>
      </c>
      <c r="JN71" s="4" t="str">
        <f t="shared" si="326"/>
        <v/>
      </c>
      <c r="JO71" s="4" t="str">
        <f t="shared" si="327"/>
        <v/>
      </c>
      <c r="JP71" s="4" t="str">
        <f t="shared" si="328"/>
        <v/>
      </c>
      <c r="JQ71" s="117" t="str">
        <f t="shared" si="329"/>
        <v/>
      </c>
      <c r="JR71" s="110" t="str">
        <f t="shared" si="330"/>
        <v/>
      </c>
      <c r="JS71" s="110" t="str">
        <f t="shared" si="331"/>
        <v/>
      </c>
      <c r="JT71" s="110" t="str">
        <f t="shared" si="332"/>
        <v/>
      </c>
      <c r="JU71" s="110" t="str">
        <f t="shared" si="333"/>
        <v/>
      </c>
      <c r="JV71" s="110" t="str">
        <f t="shared" si="334"/>
        <v/>
      </c>
      <c r="JW71" s="110" t="str">
        <f t="shared" si="335"/>
        <v/>
      </c>
      <c r="JX71" s="110" t="str">
        <f t="shared" si="336"/>
        <v/>
      </c>
      <c r="JY71" s="110" t="str">
        <f t="shared" si="337"/>
        <v/>
      </c>
      <c r="JZ71" s="110" t="str">
        <f t="shared" si="338"/>
        <v/>
      </c>
      <c r="KA71" s="110" t="str">
        <f t="shared" si="339"/>
        <v/>
      </c>
      <c r="KB71" s="110" t="str">
        <f t="shared" si="340"/>
        <v/>
      </c>
      <c r="KC71" s="110" t="str">
        <f t="shared" si="341"/>
        <v/>
      </c>
      <c r="KD71" s="110" t="str">
        <f t="shared" si="342"/>
        <v/>
      </c>
      <c r="KE71" s="110" t="str">
        <f t="shared" si="343"/>
        <v/>
      </c>
      <c r="KF71" s="110" t="str">
        <f t="shared" si="344"/>
        <v/>
      </c>
      <c r="KG71" s="121" t="str">
        <f t="shared" si="345"/>
        <v/>
      </c>
      <c r="KH71" s="83" t="str">
        <f t="shared" si="346"/>
        <v/>
      </c>
      <c r="KI71" s="4" t="str">
        <f t="shared" si="347"/>
        <v/>
      </c>
      <c r="KJ71" s="4" t="str">
        <f t="shared" si="348"/>
        <v/>
      </c>
      <c r="KK71" s="4" t="str">
        <f t="shared" si="349"/>
        <v/>
      </c>
      <c r="KL71" s="4" t="str">
        <f t="shared" si="350"/>
        <v/>
      </c>
      <c r="KM71" s="4" t="str">
        <f t="shared" si="351"/>
        <v/>
      </c>
      <c r="KN71" s="4" t="str">
        <f t="shared" si="352"/>
        <v/>
      </c>
      <c r="KO71" s="4" t="str">
        <f t="shared" si="353"/>
        <v/>
      </c>
      <c r="KP71" s="4" t="str">
        <f t="shared" si="354"/>
        <v/>
      </c>
      <c r="KQ71" s="4" t="str">
        <f t="shared" si="355"/>
        <v/>
      </c>
      <c r="KR71" s="4" t="str">
        <f t="shared" si="356"/>
        <v/>
      </c>
      <c r="KS71" s="4" t="str">
        <f t="shared" si="357"/>
        <v/>
      </c>
      <c r="KT71" s="4" t="str">
        <f t="shared" si="358"/>
        <v/>
      </c>
      <c r="KU71" s="4" t="str">
        <f t="shared" si="359"/>
        <v/>
      </c>
      <c r="KV71" s="4" t="str">
        <f t="shared" si="360"/>
        <v/>
      </c>
      <c r="KW71" s="4" t="str">
        <f t="shared" si="361"/>
        <v/>
      </c>
      <c r="KX71" s="4" t="str">
        <f t="shared" si="362"/>
        <v/>
      </c>
      <c r="KY71" s="4" t="str">
        <f t="shared" si="363"/>
        <v/>
      </c>
      <c r="KZ71" s="4" t="str">
        <f t="shared" si="364"/>
        <v/>
      </c>
      <c r="LA71" s="4" t="str">
        <f t="shared" si="365"/>
        <v/>
      </c>
      <c r="LB71" s="4" t="str">
        <f t="shared" si="366"/>
        <v/>
      </c>
      <c r="LC71" s="4" t="str">
        <f t="shared" si="367"/>
        <v/>
      </c>
      <c r="LD71" s="4" t="str">
        <f t="shared" si="368"/>
        <v/>
      </c>
      <c r="LE71" s="4" t="str">
        <f t="shared" si="369"/>
        <v/>
      </c>
      <c r="LF71" s="4" t="str">
        <f t="shared" si="370"/>
        <v/>
      </c>
      <c r="LG71" s="4" t="str">
        <f t="shared" si="371"/>
        <v/>
      </c>
      <c r="LH71" s="4" t="str">
        <f t="shared" si="372"/>
        <v/>
      </c>
      <c r="LI71" s="4" t="str">
        <f t="shared" si="373"/>
        <v/>
      </c>
      <c r="LJ71" s="4" t="str">
        <f t="shared" si="374"/>
        <v/>
      </c>
      <c r="LK71" s="4" t="str">
        <f t="shared" si="375"/>
        <v/>
      </c>
      <c r="LL71" s="4" t="str">
        <f t="shared" si="376"/>
        <v/>
      </c>
      <c r="LM71" s="4" t="str">
        <f t="shared" si="377"/>
        <v/>
      </c>
      <c r="LN71" s="4" t="str">
        <f t="shared" si="378"/>
        <v/>
      </c>
      <c r="LO71" s="4" t="str">
        <f t="shared" si="379"/>
        <v/>
      </c>
      <c r="LP71" s="4" t="str">
        <f t="shared" si="380"/>
        <v/>
      </c>
      <c r="LQ71" s="4" t="str">
        <f t="shared" si="381"/>
        <v/>
      </c>
      <c r="LR71" s="4" t="str">
        <f t="shared" si="382"/>
        <v/>
      </c>
      <c r="LS71" s="4" t="str">
        <f t="shared" si="383"/>
        <v/>
      </c>
      <c r="LT71" s="4" t="str">
        <f t="shared" si="384"/>
        <v/>
      </c>
      <c r="LU71" s="4" t="str">
        <f t="shared" si="385"/>
        <v/>
      </c>
      <c r="LV71" s="4" t="str">
        <f t="shared" si="386"/>
        <v/>
      </c>
      <c r="LW71" s="4" t="str">
        <f t="shared" si="387"/>
        <v/>
      </c>
      <c r="LX71" s="4" t="str">
        <f t="shared" si="388"/>
        <v/>
      </c>
      <c r="LY71" s="4" t="str">
        <f t="shared" si="389"/>
        <v/>
      </c>
      <c r="LZ71" s="4" t="str">
        <f t="shared" si="390"/>
        <v/>
      </c>
      <c r="MA71" s="4" t="str">
        <f t="shared" si="391"/>
        <v/>
      </c>
      <c r="MB71" s="4" t="str">
        <f t="shared" si="392"/>
        <v/>
      </c>
      <c r="MC71" s="4" t="str">
        <f t="shared" si="393"/>
        <v/>
      </c>
      <c r="MD71" s="4" t="str">
        <f t="shared" si="394"/>
        <v/>
      </c>
      <c r="ME71" s="4" t="str">
        <f t="shared" si="395"/>
        <v/>
      </c>
      <c r="MF71" s="4" t="str">
        <f t="shared" si="396"/>
        <v/>
      </c>
      <c r="MG71" s="4">
        <f t="shared" si="397"/>
        <v>0</v>
      </c>
    </row>
    <row r="72" spans="1:345" ht="26.25" customHeight="1" thickBot="1" x14ac:dyDescent="0.25">
      <c r="A72" s="35">
        <v>41330</v>
      </c>
      <c r="B72" s="36" t="s">
        <v>213</v>
      </c>
      <c r="C72" s="36" t="s">
        <v>36</v>
      </c>
      <c r="D72" s="31" t="s">
        <v>111</v>
      </c>
      <c r="E72" s="4">
        <v>74</v>
      </c>
      <c r="F72" s="3">
        <v>14140</v>
      </c>
      <c r="G72" s="4" t="s">
        <v>87</v>
      </c>
      <c r="H72" s="4" t="s">
        <v>108</v>
      </c>
      <c r="I72" s="4">
        <v>1836378</v>
      </c>
      <c r="K72" s="230"/>
      <c r="L72" s="231"/>
      <c r="M72" s="231"/>
      <c r="N72" s="231"/>
      <c r="O72" s="261"/>
      <c r="P72" s="231"/>
      <c r="Q72" s="231"/>
      <c r="R72" s="33">
        <v>-0.5</v>
      </c>
      <c r="S72" s="33">
        <v>-0.54</v>
      </c>
      <c r="T72" s="33" t="s">
        <v>249</v>
      </c>
      <c r="U72" s="67">
        <v>21.75</v>
      </c>
      <c r="V72" s="124">
        <v>41303</v>
      </c>
      <c r="W72" s="67">
        <v>-1.75</v>
      </c>
      <c r="X72" s="67">
        <v>0.75</v>
      </c>
      <c r="Y72" s="4">
        <v>20</v>
      </c>
      <c r="Z72" s="4">
        <v>40</v>
      </c>
      <c r="AA72" s="4">
        <v>14</v>
      </c>
      <c r="AB72" s="4">
        <v>589</v>
      </c>
      <c r="AC72" s="4">
        <v>23.01</v>
      </c>
      <c r="AD72" s="4">
        <v>11.6</v>
      </c>
      <c r="AE72" s="4">
        <v>4.97</v>
      </c>
      <c r="AF72" s="4">
        <v>2.27</v>
      </c>
      <c r="AG72" s="4">
        <v>46.11</v>
      </c>
      <c r="AH72" s="4">
        <v>94</v>
      </c>
      <c r="AI72" s="4">
        <v>46.49</v>
      </c>
      <c r="AJ72" s="4">
        <v>4</v>
      </c>
      <c r="AK72" s="4">
        <v>0</v>
      </c>
      <c r="AL72" s="4" t="b">
        <f t="shared" si="268"/>
        <v>0</v>
      </c>
      <c r="AN72" s="3">
        <v>41550</v>
      </c>
      <c r="AO72" s="56">
        <v>30</v>
      </c>
      <c r="AP72" s="67">
        <v>-1.5</v>
      </c>
      <c r="AQ72" s="67">
        <v>1</v>
      </c>
      <c r="AR72" s="4">
        <v>175</v>
      </c>
      <c r="AS72" s="4">
        <v>20</v>
      </c>
      <c r="AT72" s="4">
        <v>18</v>
      </c>
      <c r="AU72" s="4">
        <v>568</v>
      </c>
      <c r="AV72" s="4">
        <v>2299</v>
      </c>
      <c r="AW72" s="4">
        <v>23.06</v>
      </c>
      <c r="AX72" s="4" t="s">
        <v>82</v>
      </c>
      <c r="AY72" s="4">
        <v>46.23</v>
      </c>
      <c r="AZ72" s="4">
        <v>94</v>
      </c>
      <c r="BA72" s="4">
        <v>47.14</v>
      </c>
      <c r="BB72" s="4">
        <v>4</v>
      </c>
      <c r="BC72" s="4">
        <f t="shared" si="269"/>
        <v>-1</v>
      </c>
      <c r="BD72" s="4">
        <f t="shared" si="267"/>
        <v>-0.45999999999999996</v>
      </c>
      <c r="BE72" s="4">
        <f t="shared" si="270"/>
        <v>-21</v>
      </c>
      <c r="BF72" s="137">
        <v>41761</v>
      </c>
      <c r="BU72" s="4" t="str">
        <f t="shared" si="266"/>
        <v/>
      </c>
      <c r="BV72" s="4" t="str">
        <f t="shared" si="271"/>
        <v/>
      </c>
      <c r="BW72" s="4" t="str">
        <f t="shared" si="272"/>
        <v/>
      </c>
      <c r="BX72" s="4">
        <f t="shared" si="273"/>
        <v>1</v>
      </c>
      <c r="BY72" s="4">
        <f t="shared" si="274"/>
        <v>0</v>
      </c>
      <c r="BZ72" s="4" t="str">
        <f t="shared" si="275"/>
        <v/>
      </c>
      <c r="CA72" s="4" t="str">
        <f t="shared" si="276"/>
        <v/>
      </c>
      <c r="CB72" s="4" t="str">
        <f t="shared" si="277"/>
        <v/>
      </c>
      <c r="CC72" s="53">
        <f t="shared" si="278"/>
        <v>220</v>
      </c>
      <c r="CD72" s="55">
        <f t="shared" si="279"/>
        <v>7.333333333333333</v>
      </c>
      <c r="CE72" s="4" t="str">
        <f t="shared" si="280"/>
        <v/>
      </c>
      <c r="CF72" s="4">
        <f t="shared" si="281"/>
        <v>0.38500000000000512</v>
      </c>
      <c r="CG72" s="4" t="str">
        <f t="shared" si="282"/>
        <v/>
      </c>
      <c r="CH72" s="4">
        <f t="shared" si="283"/>
        <v>0.38500000000000512</v>
      </c>
      <c r="CI72" s="4">
        <f t="shared" si="284"/>
        <v>-1.375</v>
      </c>
      <c r="CJ72" s="4">
        <f t="shared" si="285"/>
        <v>-1</v>
      </c>
      <c r="CK72" s="93">
        <f t="shared" si="286"/>
        <v>-0.45999999999999996</v>
      </c>
      <c r="CL72" s="83">
        <f t="shared" si="287"/>
        <v>-21</v>
      </c>
      <c r="CM72" s="4">
        <f t="shared" si="288"/>
        <v>4.9999999999997158E-2</v>
      </c>
      <c r="CN72" s="96">
        <f t="shared" si="289"/>
        <v>-0.54</v>
      </c>
      <c r="CO72" s="96">
        <f t="shared" si="265"/>
        <v>0.3010299956639812</v>
      </c>
      <c r="CP72" s="127">
        <f t="shared" si="290"/>
        <v>1</v>
      </c>
      <c r="CQ72" s="127">
        <f t="shared" si="291"/>
        <v>0.25</v>
      </c>
      <c r="CR72" s="136">
        <f t="shared" si="292"/>
        <v>20</v>
      </c>
      <c r="CS72" s="136">
        <f t="shared" si="293"/>
        <v>40</v>
      </c>
      <c r="CT72" s="135">
        <f t="shared" si="294"/>
        <v>30</v>
      </c>
      <c r="CU72" s="139" t="str">
        <f t="shared" si="295"/>
        <v/>
      </c>
      <c r="CV72" s="96" t="str">
        <f t="shared" si="296"/>
        <v/>
      </c>
      <c r="CW72" s="141" t="str">
        <f t="shared" si="297"/>
        <v/>
      </c>
      <c r="ET72" s="83">
        <v>7.29</v>
      </c>
      <c r="EU72" s="4">
        <v>7.38</v>
      </c>
      <c r="EV72" s="4">
        <v>95.4</v>
      </c>
      <c r="EW72" s="4">
        <v>0.6</v>
      </c>
      <c r="EX72" s="4">
        <v>0.34</v>
      </c>
      <c r="EY72" s="4">
        <v>0.43</v>
      </c>
      <c r="EZ72" s="4">
        <v>4.71</v>
      </c>
      <c r="FA72" s="4">
        <v>5.28</v>
      </c>
      <c r="FB72" s="4">
        <v>572</v>
      </c>
      <c r="FC72" s="4">
        <v>572</v>
      </c>
      <c r="FD72" s="4">
        <v>722</v>
      </c>
      <c r="FE72" s="4">
        <v>667</v>
      </c>
      <c r="FF72" s="4">
        <v>717</v>
      </c>
      <c r="FG72" s="4">
        <v>632</v>
      </c>
      <c r="FH72" s="4">
        <v>564</v>
      </c>
      <c r="FI72" s="4">
        <v>-0.76</v>
      </c>
      <c r="FJ72" s="4">
        <v>-0.25</v>
      </c>
      <c r="FK72" s="4">
        <v>7.34</v>
      </c>
      <c r="FL72" s="4">
        <v>7.32</v>
      </c>
      <c r="FM72" s="4">
        <v>7.34</v>
      </c>
      <c r="FN72" s="4">
        <v>7.45</v>
      </c>
      <c r="FO72" s="4">
        <v>7.58</v>
      </c>
      <c r="FP72" s="4">
        <v>7.74</v>
      </c>
      <c r="FQ72" s="4">
        <v>0</v>
      </c>
      <c r="FR72" s="4">
        <v>1.7</v>
      </c>
      <c r="FS72" s="4">
        <v>5.73</v>
      </c>
      <c r="FT72" s="4">
        <v>5.72</v>
      </c>
      <c r="FU72" s="4">
        <v>5.83</v>
      </c>
      <c r="FV72" s="4">
        <v>6.04</v>
      </c>
      <c r="FW72" s="4">
        <v>6.18</v>
      </c>
      <c r="FX72" s="4">
        <v>0</v>
      </c>
      <c r="FY72" s="4">
        <v>0</v>
      </c>
      <c r="FZ72" s="86">
        <v>1.7</v>
      </c>
      <c r="IL72" s="83">
        <f t="shared" si="298"/>
        <v>7.29</v>
      </c>
      <c r="IM72" s="4">
        <f t="shared" si="299"/>
        <v>7.38</v>
      </c>
      <c r="IN72" s="4">
        <f t="shared" si="300"/>
        <v>95.4</v>
      </c>
      <c r="IO72" s="4">
        <f t="shared" si="301"/>
        <v>0.6</v>
      </c>
      <c r="IP72" s="4">
        <f t="shared" si="302"/>
        <v>0.34</v>
      </c>
      <c r="IQ72" s="4">
        <f t="shared" si="303"/>
        <v>0.43</v>
      </c>
      <c r="IR72" s="4">
        <f t="shared" si="304"/>
        <v>4.71</v>
      </c>
      <c r="IS72" s="4">
        <f t="shared" si="305"/>
        <v>5.28</v>
      </c>
      <c r="IT72" s="4">
        <f t="shared" si="306"/>
        <v>572</v>
      </c>
      <c r="IU72" s="4">
        <f t="shared" si="307"/>
        <v>572</v>
      </c>
      <c r="IV72" s="4">
        <f t="shared" si="308"/>
        <v>722</v>
      </c>
      <c r="IW72" s="4">
        <f t="shared" si="309"/>
        <v>667</v>
      </c>
      <c r="IX72" s="4">
        <f t="shared" si="310"/>
        <v>717</v>
      </c>
      <c r="IY72" s="4">
        <f t="shared" si="311"/>
        <v>632</v>
      </c>
      <c r="IZ72" s="4">
        <f t="shared" si="312"/>
        <v>564</v>
      </c>
      <c r="JA72" s="4">
        <f t="shared" si="313"/>
        <v>-0.76</v>
      </c>
      <c r="JB72" s="4">
        <f t="shared" si="314"/>
        <v>-0.25</v>
      </c>
      <c r="JC72" s="4">
        <f t="shared" si="315"/>
        <v>7.34</v>
      </c>
      <c r="JD72" s="4">
        <f t="shared" si="316"/>
        <v>7.32</v>
      </c>
      <c r="JE72" s="4">
        <f t="shared" si="317"/>
        <v>7.34</v>
      </c>
      <c r="JF72" s="4">
        <f t="shared" si="318"/>
        <v>7.45</v>
      </c>
      <c r="JG72" s="4">
        <f t="shared" si="319"/>
        <v>7.58</v>
      </c>
      <c r="JH72" s="4">
        <f t="shared" si="320"/>
        <v>7.74</v>
      </c>
      <c r="JI72" s="4">
        <f t="shared" si="321"/>
        <v>0</v>
      </c>
      <c r="JJ72" s="4">
        <f t="shared" si="322"/>
        <v>1.7</v>
      </c>
      <c r="JK72" s="4">
        <f t="shared" si="323"/>
        <v>5.73</v>
      </c>
      <c r="JL72" s="4">
        <f t="shared" si="324"/>
        <v>5.72</v>
      </c>
      <c r="JM72" s="4">
        <f t="shared" si="325"/>
        <v>5.83</v>
      </c>
      <c r="JN72" s="4">
        <f t="shared" si="326"/>
        <v>6.04</v>
      </c>
      <c r="JO72" s="4">
        <f t="shared" si="327"/>
        <v>6.18</v>
      </c>
      <c r="JP72" s="4">
        <f t="shared" si="328"/>
        <v>0</v>
      </c>
      <c r="JQ72" s="117">
        <f t="shared" si="329"/>
        <v>0</v>
      </c>
      <c r="JR72" s="110">
        <f t="shared" si="330"/>
        <v>1.7</v>
      </c>
      <c r="JS72" s="110" t="str">
        <f t="shared" si="331"/>
        <v/>
      </c>
      <c r="JT72" s="110" t="str">
        <f t="shared" si="332"/>
        <v/>
      </c>
      <c r="JU72" s="110" t="str">
        <f t="shared" si="333"/>
        <v/>
      </c>
      <c r="JV72" s="110" t="str">
        <f t="shared" si="334"/>
        <v/>
      </c>
      <c r="JW72" s="110" t="str">
        <f t="shared" si="335"/>
        <v/>
      </c>
      <c r="JX72" s="110" t="str">
        <f t="shared" si="336"/>
        <v/>
      </c>
      <c r="JY72" s="110" t="str">
        <f t="shared" si="337"/>
        <v/>
      </c>
      <c r="JZ72" s="110" t="str">
        <f t="shared" si="338"/>
        <v/>
      </c>
      <c r="KA72" s="110" t="str">
        <f t="shared" si="339"/>
        <v/>
      </c>
      <c r="KB72" s="110" t="str">
        <f t="shared" si="340"/>
        <v/>
      </c>
      <c r="KC72" s="110" t="str">
        <f t="shared" si="341"/>
        <v/>
      </c>
      <c r="KD72" s="110" t="str">
        <f t="shared" si="342"/>
        <v/>
      </c>
      <c r="KE72" s="110" t="str">
        <f t="shared" si="343"/>
        <v/>
      </c>
      <c r="KF72" s="110" t="str">
        <f t="shared" si="344"/>
        <v/>
      </c>
      <c r="KG72" s="121" t="str">
        <f t="shared" si="345"/>
        <v/>
      </c>
      <c r="KH72" s="83" t="str">
        <f t="shared" si="346"/>
        <v/>
      </c>
      <c r="KI72" s="4" t="str">
        <f t="shared" si="347"/>
        <v/>
      </c>
      <c r="KJ72" s="4" t="str">
        <f t="shared" si="348"/>
        <v/>
      </c>
      <c r="KK72" s="4" t="str">
        <f t="shared" si="349"/>
        <v/>
      </c>
      <c r="KL72" s="4" t="str">
        <f t="shared" si="350"/>
        <v/>
      </c>
      <c r="KM72" s="4" t="str">
        <f t="shared" si="351"/>
        <v/>
      </c>
      <c r="KN72" s="4" t="str">
        <f t="shared" si="352"/>
        <v/>
      </c>
      <c r="KO72" s="4" t="str">
        <f t="shared" si="353"/>
        <v/>
      </c>
      <c r="KP72" s="4" t="str">
        <f t="shared" si="354"/>
        <v/>
      </c>
      <c r="KQ72" s="4" t="str">
        <f t="shared" si="355"/>
        <v/>
      </c>
      <c r="KR72" s="4" t="str">
        <f t="shared" si="356"/>
        <v/>
      </c>
      <c r="KS72" s="4" t="str">
        <f t="shared" si="357"/>
        <v/>
      </c>
      <c r="KT72" s="4" t="str">
        <f t="shared" si="358"/>
        <v/>
      </c>
      <c r="KU72" s="4" t="str">
        <f t="shared" si="359"/>
        <v/>
      </c>
      <c r="KV72" s="4" t="str">
        <f t="shared" si="360"/>
        <v/>
      </c>
      <c r="KW72" s="4" t="str">
        <f t="shared" si="361"/>
        <v/>
      </c>
      <c r="KX72" s="4" t="str">
        <f t="shared" si="362"/>
        <v/>
      </c>
      <c r="KY72" s="4" t="str">
        <f t="shared" si="363"/>
        <v/>
      </c>
      <c r="KZ72" s="4" t="str">
        <f t="shared" si="364"/>
        <v/>
      </c>
      <c r="LA72" s="4" t="str">
        <f t="shared" si="365"/>
        <v/>
      </c>
      <c r="LB72" s="4" t="str">
        <f t="shared" si="366"/>
        <v/>
      </c>
      <c r="LC72" s="4" t="str">
        <f t="shared" si="367"/>
        <v/>
      </c>
      <c r="LD72" s="4" t="str">
        <f t="shared" si="368"/>
        <v/>
      </c>
      <c r="LE72" s="4" t="str">
        <f t="shared" si="369"/>
        <v/>
      </c>
      <c r="LF72" s="4" t="str">
        <f t="shared" si="370"/>
        <v/>
      </c>
      <c r="LG72" s="4" t="str">
        <f t="shared" si="371"/>
        <v/>
      </c>
      <c r="LH72" s="4" t="str">
        <f t="shared" si="372"/>
        <v/>
      </c>
      <c r="LI72" s="4" t="str">
        <f t="shared" si="373"/>
        <v/>
      </c>
      <c r="LJ72" s="4" t="str">
        <f t="shared" si="374"/>
        <v/>
      </c>
      <c r="LK72" s="4" t="str">
        <f t="shared" si="375"/>
        <v/>
      </c>
      <c r="LL72" s="4" t="str">
        <f t="shared" si="376"/>
        <v/>
      </c>
      <c r="LM72" s="4" t="str">
        <f t="shared" si="377"/>
        <v/>
      </c>
      <c r="LN72" s="4" t="str">
        <f t="shared" si="378"/>
        <v/>
      </c>
      <c r="LO72" s="4" t="str">
        <f t="shared" si="379"/>
        <v/>
      </c>
      <c r="LP72" s="4" t="str">
        <f t="shared" si="380"/>
        <v/>
      </c>
      <c r="LQ72" s="4" t="str">
        <f t="shared" si="381"/>
        <v/>
      </c>
      <c r="LR72" s="4" t="str">
        <f t="shared" si="382"/>
        <v/>
      </c>
      <c r="LS72" s="4" t="str">
        <f t="shared" si="383"/>
        <v/>
      </c>
      <c r="LT72" s="4" t="str">
        <f t="shared" si="384"/>
        <v/>
      </c>
      <c r="LU72" s="4" t="str">
        <f t="shared" si="385"/>
        <v/>
      </c>
      <c r="LV72" s="4" t="str">
        <f t="shared" si="386"/>
        <v/>
      </c>
      <c r="LW72" s="4" t="str">
        <f t="shared" si="387"/>
        <v/>
      </c>
      <c r="LX72" s="4" t="str">
        <f t="shared" si="388"/>
        <v/>
      </c>
      <c r="LY72" s="4" t="str">
        <f t="shared" si="389"/>
        <v/>
      </c>
      <c r="LZ72" s="4" t="str">
        <f t="shared" si="390"/>
        <v/>
      </c>
      <c r="MA72" s="4" t="str">
        <f t="shared" si="391"/>
        <v/>
      </c>
      <c r="MB72" s="4" t="str">
        <f t="shared" si="392"/>
        <v/>
      </c>
      <c r="MC72" s="4" t="str">
        <f t="shared" si="393"/>
        <v/>
      </c>
      <c r="MD72" s="4" t="str">
        <f t="shared" si="394"/>
        <v/>
      </c>
      <c r="ME72" s="4" t="str">
        <f t="shared" si="395"/>
        <v/>
      </c>
      <c r="MF72" s="4" t="str">
        <f t="shared" si="396"/>
        <v/>
      </c>
      <c r="MG72" s="4">
        <f t="shared" si="397"/>
        <v>0</v>
      </c>
    </row>
    <row r="73" spans="1:345" ht="26.25" customHeight="1" x14ac:dyDescent="0.2">
      <c r="A73" s="35">
        <v>41339</v>
      </c>
      <c r="B73" s="36" t="s">
        <v>146</v>
      </c>
      <c r="C73" s="36" t="s">
        <v>40</v>
      </c>
      <c r="D73" s="31" t="s">
        <v>111</v>
      </c>
      <c r="E73" s="4">
        <v>76</v>
      </c>
      <c r="F73" s="3">
        <v>13294</v>
      </c>
      <c r="G73" s="4" t="s">
        <v>87</v>
      </c>
      <c r="H73" s="4" t="s">
        <v>108</v>
      </c>
      <c r="I73" s="4">
        <v>1836414</v>
      </c>
      <c r="K73" s="248"/>
      <c r="L73" s="239"/>
      <c r="M73" s="239"/>
      <c r="N73" s="236"/>
      <c r="O73" s="235"/>
      <c r="P73" s="236"/>
      <c r="Q73" s="236"/>
      <c r="R73" s="33">
        <v>-1.5</v>
      </c>
      <c r="S73" s="33">
        <v>-1.71</v>
      </c>
      <c r="T73" s="33" t="s">
        <v>249</v>
      </c>
      <c r="U73" s="67">
        <v>22.75</v>
      </c>
      <c r="V73" s="124">
        <v>41333</v>
      </c>
      <c r="W73" s="67">
        <v>0.27500000000000002</v>
      </c>
      <c r="X73" s="67">
        <v>0</v>
      </c>
      <c r="Y73" s="4">
        <v>0</v>
      </c>
      <c r="Z73" s="4">
        <v>50</v>
      </c>
      <c r="AA73" s="4">
        <v>15</v>
      </c>
      <c r="AB73" s="4">
        <v>583</v>
      </c>
      <c r="AC73" s="4">
        <v>22.9</v>
      </c>
      <c r="AD73" s="4">
        <v>11.6</v>
      </c>
      <c r="AE73" s="4">
        <v>4.62</v>
      </c>
      <c r="AF73" s="4">
        <v>2.96</v>
      </c>
      <c r="AG73" s="4">
        <v>43.95</v>
      </c>
      <c r="AH73" s="4">
        <v>145</v>
      </c>
      <c r="AI73" s="4">
        <v>44.88</v>
      </c>
      <c r="AJ73" s="4">
        <v>55</v>
      </c>
      <c r="AK73" s="4">
        <v>0</v>
      </c>
      <c r="AL73" s="4" t="b">
        <f t="shared" si="268"/>
        <v>0</v>
      </c>
      <c r="AN73" s="32">
        <v>41507</v>
      </c>
      <c r="AO73" s="60">
        <v>40</v>
      </c>
      <c r="AP73" s="67">
        <v>0</v>
      </c>
      <c r="AQ73" s="67">
        <v>1.25</v>
      </c>
      <c r="AR73" s="4">
        <v>53</v>
      </c>
      <c r="AS73" s="4">
        <v>20</v>
      </c>
      <c r="AT73" s="4">
        <v>15</v>
      </c>
      <c r="AU73" s="4">
        <v>500</v>
      </c>
      <c r="AV73" s="4">
        <v>2058</v>
      </c>
      <c r="BC73" s="4">
        <f t="shared" si="269"/>
        <v>0.625</v>
      </c>
      <c r="BD73" s="4">
        <f t="shared" si="267"/>
        <v>2.335</v>
      </c>
      <c r="BE73" s="4">
        <f t="shared" si="270"/>
        <v>-83</v>
      </c>
      <c r="BF73" s="137">
        <v>41717</v>
      </c>
      <c r="BU73" s="4" t="str">
        <f t="shared" si="266"/>
        <v/>
      </c>
      <c r="BV73" s="4" t="str">
        <f t="shared" si="271"/>
        <v/>
      </c>
      <c r="BW73" s="4" t="str">
        <f t="shared" si="272"/>
        <v/>
      </c>
      <c r="BX73" s="4">
        <f t="shared" si="273"/>
        <v>1</v>
      </c>
      <c r="BY73" s="4">
        <f t="shared" si="274"/>
        <v>0</v>
      </c>
      <c r="BZ73" s="4" t="str">
        <f t="shared" si="275"/>
        <v/>
      </c>
      <c r="CA73" s="4" t="str">
        <f t="shared" si="276"/>
        <v/>
      </c>
      <c r="CB73" s="4" t="str">
        <f t="shared" si="277"/>
        <v/>
      </c>
      <c r="CC73" s="53">
        <f t="shared" si="278"/>
        <v>168</v>
      </c>
      <c r="CD73" s="55">
        <f t="shared" si="279"/>
        <v>5.6</v>
      </c>
      <c r="CE73" s="4" t="str">
        <f t="shared" si="280"/>
        <v/>
      </c>
      <c r="CF73" s="4" t="str">
        <f t="shared" si="281"/>
        <v/>
      </c>
      <c r="CG73" s="4" t="str">
        <f t="shared" si="282"/>
        <v/>
      </c>
      <c r="CH73" s="4" t="str">
        <f t="shared" si="283"/>
        <v/>
      </c>
      <c r="CI73" s="4">
        <f t="shared" si="284"/>
        <v>0.27500000000000002</v>
      </c>
      <c r="CJ73" s="4">
        <f t="shared" si="285"/>
        <v>0.625</v>
      </c>
      <c r="CK73" s="93">
        <f t="shared" si="286"/>
        <v>2.335</v>
      </c>
      <c r="CL73" s="83">
        <f t="shared" si="287"/>
        <v>-83</v>
      </c>
      <c r="CM73" s="4" t="str">
        <f t="shared" si="288"/>
        <v/>
      </c>
      <c r="CN73" s="96">
        <f t="shared" si="289"/>
        <v>-1.71</v>
      </c>
      <c r="CO73" s="96">
        <f t="shared" si="265"/>
        <v>0.3979400086720376</v>
      </c>
      <c r="CP73" s="127">
        <f t="shared" si="290"/>
        <v>1.25</v>
      </c>
      <c r="CQ73" s="127">
        <f t="shared" si="291"/>
        <v>1.25</v>
      </c>
      <c r="CR73" s="136">
        <f t="shared" si="292"/>
        <v>20</v>
      </c>
      <c r="CS73" s="136">
        <f t="shared" si="293"/>
        <v>50</v>
      </c>
      <c r="CT73" s="135" t="str">
        <f t="shared" si="294"/>
        <v/>
      </c>
      <c r="CU73" s="139">
        <f t="shared" si="295"/>
        <v>1</v>
      </c>
      <c r="CV73" s="96" t="str">
        <f t="shared" si="296"/>
        <v/>
      </c>
      <c r="CW73" s="141" t="b">
        <f t="shared" si="297"/>
        <v>1</v>
      </c>
      <c r="CX73">
        <v>7.81</v>
      </c>
      <c r="CY73" s="4">
        <v>7.65</v>
      </c>
      <c r="CZ73" s="4">
        <v>161.1</v>
      </c>
      <c r="DA73" s="4">
        <v>-0.9</v>
      </c>
      <c r="DB73" s="4">
        <v>0.19</v>
      </c>
      <c r="DC73" s="4">
        <v>0.6</v>
      </c>
      <c r="DD73" s="4">
        <v>2.2200000000000002</v>
      </c>
      <c r="DE73" s="4">
        <v>2.82</v>
      </c>
      <c r="DF73" s="4">
        <v>593</v>
      </c>
      <c r="DG73" s="4">
        <v>593</v>
      </c>
      <c r="DH73" s="4">
        <v>613</v>
      </c>
      <c r="DI73" s="4">
        <v>607</v>
      </c>
      <c r="DJ73" s="4">
        <v>624</v>
      </c>
      <c r="DK73" s="4">
        <v>609</v>
      </c>
      <c r="DL73" s="4">
        <v>582</v>
      </c>
      <c r="DM73" s="4">
        <v>-1.06</v>
      </c>
      <c r="DN73" s="4">
        <v>1.48</v>
      </c>
      <c r="DO73" s="4">
        <v>7.75</v>
      </c>
      <c r="DP73" s="4">
        <v>7.68</v>
      </c>
      <c r="DQ73" s="4">
        <v>7.68</v>
      </c>
      <c r="DR73" s="4">
        <v>7.91</v>
      </c>
      <c r="DS73" s="4">
        <v>8.31</v>
      </c>
      <c r="DT73" s="4">
        <v>8.51</v>
      </c>
      <c r="DU73" s="4">
        <v>0</v>
      </c>
      <c r="DV73" s="4">
        <v>0.3</v>
      </c>
      <c r="DW73" s="4">
        <v>7.33</v>
      </c>
      <c r="DX73" s="4">
        <v>6.79</v>
      </c>
      <c r="DY73" s="4">
        <v>6.58</v>
      </c>
      <c r="DZ73" s="4">
        <v>6.84</v>
      </c>
      <c r="EA73" s="4">
        <v>7.21</v>
      </c>
      <c r="EB73" s="4">
        <v>7.43</v>
      </c>
      <c r="EC73" s="4">
        <v>0</v>
      </c>
      <c r="ED73" s="89">
        <v>0.3</v>
      </c>
      <c r="EE73" s="110">
        <v>43.2</v>
      </c>
      <c r="EF73" s="110">
        <v>44.1</v>
      </c>
      <c r="EG73" s="110">
        <v>43.7</v>
      </c>
      <c r="EH73" s="110">
        <v>161.1</v>
      </c>
      <c r="EI73" s="110">
        <v>0.9</v>
      </c>
      <c r="EJ73" s="110">
        <v>-5.5</v>
      </c>
      <c r="EK73" s="110">
        <v>-5.7</v>
      </c>
      <c r="EL73" s="110">
        <v>-5.6</v>
      </c>
      <c r="EM73" s="110">
        <v>140.5</v>
      </c>
      <c r="EN73" s="110">
        <v>0.3</v>
      </c>
      <c r="EO73" s="110">
        <v>4.2</v>
      </c>
      <c r="EP73" s="110">
        <v>11.9</v>
      </c>
      <c r="EQ73" s="110">
        <v>24.9</v>
      </c>
      <c r="ER73" s="110">
        <v>58.4</v>
      </c>
      <c r="ES73" s="114">
        <v>14</v>
      </c>
      <c r="GA73" s="110">
        <v>42.9</v>
      </c>
      <c r="GB73" s="110">
        <v>43.9</v>
      </c>
      <c r="GC73" s="110">
        <v>43.4</v>
      </c>
      <c r="GD73" s="110">
        <v>144.69999999999999</v>
      </c>
      <c r="GE73" s="110">
        <v>1</v>
      </c>
      <c r="GF73" s="110">
        <v>-6.3</v>
      </c>
      <c r="GG73" s="110">
        <v>-6.4</v>
      </c>
      <c r="GH73" s="110">
        <v>-6.4</v>
      </c>
      <c r="GI73" s="110">
        <v>166.8</v>
      </c>
      <c r="GJ73" s="110">
        <v>0.1</v>
      </c>
      <c r="GK73" s="110">
        <v>3.6</v>
      </c>
      <c r="GL73" s="110">
        <v>10.7</v>
      </c>
      <c r="GM73" s="110">
        <v>23.2</v>
      </c>
      <c r="GN73" s="110">
        <v>57.1</v>
      </c>
      <c r="GO73" s="119">
        <v>16</v>
      </c>
      <c r="IL73" s="83" t="str">
        <f t="shared" si="298"/>
        <v/>
      </c>
      <c r="IM73" s="4" t="str">
        <f t="shared" si="299"/>
        <v/>
      </c>
      <c r="IN73" s="4" t="str">
        <f t="shared" si="300"/>
        <v/>
      </c>
      <c r="IO73" s="4" t="str">
        <f t="shared" si="301"/>
        <v/>
      </c>
      <c r="IP73" s="4" t="str">
        <f t="shared" si="302"/>
        <v/>
      </c>
      <c r="IQ73" s="4" t="str">
        <f t="shared" si="303"/>
        <v/>
      </c>
      <c r="IR73" s="4" t="str">
        <f t="shared" si="304"/>
        <v/>
      </c>
      <c r="IS73" s="4" t="str">
        <f t="shared" si="305"/>
        <v/>
      </c>
      <c r="IT73" s="4" t="str">
        <f t="shared" si="306"/>
        <v/>
      </c>
      <c r="IU73" s="4" t="str">
        <f t="shared" si="307"/>
        <v/>
      </c>
      <c r="IV73" s="4" t="str">
        <f t="shared" si="308"/>
        <v/>
      </c>
      <c r="IW73" s="4" t="str">
        <f t="shared" si="309"/>
        <v/>
      </c>
      <c r="IX73" s="4" t="str">
        <f t="shared" si="310"/>
        <v/>
      </c>
      <c r="IY73" s="4" t="str">
        <f t="shared" si="311"/>
        <v/>
      </c>
      <c r="IZ73" s="4" t="str">
        <f t="shared" si="312"/>
        <v/>
      </c>
      <c r="JA73" s="4" t="str">
        <f t="shared" si="313"/>
        <v/>
      </c>
      <c r="JB73" s="4" t="str">
        <f t="shared" si="314"/>
        <v/>
      </c>
      <c r="JC73" s="4" t="str">
        <f t="shared" si="315"/>
        <v/>
      </c>
      <c r="JD73" s="4" t="str">
        <f t="shared" si="316"/>
        <v/>
      </c>
      <c r="JE73" s="4" t="str">
        <f t="shared" si="317"/>
        <v/>
      </c>
      <c r="JF73" s="4" t="str">
        <f t="shared" si="318"/>
        <v/>
      </c>
      <c r="JG73" s="4" t="str">
        <f t="shared" si="319"/>
        <v/>
      </c>
      <c r="JH73" s="4" t="str">
        <f t="shared" si="320"/>
        <v/>
      </c>
      <c r="JI73" s="4" t="str">
        <f t="shared" si="321"/>
        <v/>
      </c>
      <c r="JJ73" s="4" t="str">
        <f t="shared" si="322"/>
        <v/>
      </c>
      <c r="JK73" s="4" t="str">
        <f t="shared" si="323"/>
        <v/>
      </c>
      <c r="JL73" s="4" t="str">
        <f t="shared" si="324"/>
        <v/>
      </c>
      <c r="JM73" s="4" t="str">
        <f t="shared" si="325"/>
        <v/>
      </c>
      <c r="JN73" s="4" t="str">
        <f t="shared" si="326"/>
        <v/>
      </c>
      <c r="JO73" s="4" t="str">
        <f t="shared" si="327"/>
        <v/>
      </c>
      <c r="JP73" s="4" t="str">
        <f t="shared" si="328"/>
        <v/>
      </c>
      <c r="JQ73" s="117" t="str">
        <f t="shared" si="329"/>
        <v/>
      </c>
      <c r="JR73" s="110" t="str">
        <f t="shared" si="330"/>
        <v/>
      </c>
      <c r="JS73" s="110">
        <f t="shared" si="331"/>
        <v>42.9</v>
      </c>
      <c r="JT73" s="110">
        <f t="shared" si="332"/>
        <v>43.9</v>
      </c>
      <c r="JU73" s="110">
        <f t="shared" si="333"/>
        <v>43.4</v>
      </c>
      <c r="JV73" s="110">
        <f t="shared" si="334"/>
        <v>144.69999999999999</v>
      </c>
      <c r="JW73" s="110">
        <f t="shared" si="335"/>
        <v>1</v>
      </c>
      <c r="JX73" s="110">
        <f t="shared" si="336"/>
        <v>-6.3</v>
      </c>
      <c r="JY73" s="110">
        <f t="shared" si="337"/>
        <v>-6.4</v>
      </c>
      <c r="JZ73" s="110">
        <f t="shared" si="338"/>
        <v>-6.4</v>
      </c>
      <c r="KA73" s="110">
        <f t="shared" si="339"/>
        <v>166.8</v>
      </c>
      <c r="KB73" s="110">
        <f t="shared" si="340"/>
        <v>0.1</v>
      </c>
      <c r="KC73" s="110">
        <f t="shared" si="341"/>
        <v>3.6</v>
      </c>
      <c r="KD73" s="110">
        <f t="shared" si="342"/>
        <v>10.7</v>
      </c>
      <c r="KE73" s="110">
        <f t="shared" si="343"/>
        <v>23.2</v>
      </c>
      <c r="KF73" s="110">
        <f t="shared" si="344"/>
        <v>57.1</v>
      </c>
      <c r="KG73" s="121">
        <f t="shared" si="345"/>
        <v>16</v>
      </c>
      <c r="KH73" s="83" t="str">
        <f t="shared" si="346"/>
        <v/>
      </c>
      <c r="KI73" s="4" t="str">
        <f t="shared" si="347"/>
        <v/>
      </c>
      <c r="KJ73" s="4" t="str">
        <f t="shared" si="348"/>
        <v/>
      </c>
      <c r="KK73" s="4" t="str">
        <f t="shared" si="349"/>
        <v/>
      </c>
      <c r="KL73" s="4" t="str">
        <f t="shared" si="350"/>
        <v/>
      </c>
      <c r="KM73" s="4" t="str">
        <f t="shared" si="351"/>
        <v/>
      </c>
      <c r="KN73" s="4" t="str">
        <f t="shared" si="352"/>
        <v/>
      </c>
      <c r="KO73" s="4" t="str">
        <f t="shared" si="353"/>
        <v/>
      </c>
      <c r="KP73" s="4" t="str">
        <f t="shared" si="354"/>
        <v/>
      </c>
      <c r="KQ73" s="4" t="str">
        <f t="shared" si="355"/>
        <v/>
      </c>
      <c r="KR73" s="4" t="str">
        <f t="shared" si="356"/>
        <v/>
      </c>
      <c r="KS73" s="4" t="str">
        <f t="shared" si="357"/>
        <v/>
      </c>
      <c r="KT73" s="4" t="str">
        <f t="shared" si="358"/>
        <v/>
      </c>
      <c r="KU73" s="4" t="str">
        <f t="shared" si="359"/>
        <v/>
      </c>
      <c r="KV73" s="4" t="str">
        <f t="shared" si="360"/>
        <v/>
      </c>
      <c r="KW73" s="4" t="str">
        <f t="shared" si="361"/>
        <v/>
      </c>
      <c r="KX73" s="4" t="str">
        <f t="shared" si="362"/>
        <v/>
      </c>
      <c r="KY73" s="4" t="str">
        <f t="shared" si="363"/>
        <v/>
      </c>
      <c r="KZ73" s="4" t="str">
        <f t="shared" si="364"/>
        <v/>
      </c>
      <c r="LA73" s="4" t="str">
        <f t="shared" si="365"/>
        <v/>
      </c>
      <c r="LB73" s="4" t="str">
        <f t="shared" si="366"/>
        <v/>
      </c>
      <c r="LC73" s="4" t="str">
        <f t="shared" si="367"/>
        <v/>
      </c>
      <c r="LD73" s="4" t="str">
        <f t="shared" si="368"/>
        <v/>
      </c>
      <c r="LE73" s="4" t="str">
        <f t="shared" si="369"/>
        <v/>
      </c>
      <c r="LF73" s="4" t="str">
        <f t="shared" si="370"/>
        <v/>
      </c>
      <c r="LG73" s="4" t="str">
        <f t="shared" si="371"/>
        <v/>
      </c>
      <c r="LH73" s="4" t="str">
        <f t="shared" si="372"/>
        <v/>
      </c>
      <c r="LI73" s="4" t="str">
        <f t="shared" si="373"/>
        <v/>
      </c>
      <c r="LJ73" s="4" t="str">
        <f t="shared" si="374"/>
        <v/>
      </c>
      <c r="LK73" s="4" t="str">
        <f t="shared" si="375"/>
        <v/>
      </c>
      <c r="LL73" s="4" t="str">
        <f t="shared" si="376"/>
        <v/>
      </c>
      <c r="LM73" s="4" t="str">
        <f t="shared" si="377"/>
        <v/>
      </c>
      <c r="LN73" s="4" t="str">
        <f t="shared" si="378"/>
        <v/>
      </c>
      <c r="LO73" s="4">
        <f t="shared" si="379"/>
        <v>-0.30000000000000426</v>
      </c>
      <c r="LP73" s="4">
        <f t="shared" si="380"/>
        <v>-0.20000000000000284</v>
      </c>
      <c r="LQ73" s="4">
        <f t="shared" si="381"/>
        <v>-0.30000000000000426</v>
      </c>
      <c r="LR73" s="4">
        <f t="shared" si="382"/>
        <v>-16.400000000000006</v>
      </c>
      <c r="LS73" s="4">
        <f t="shared" si="383"/>
        <v>9.9999999999999978E-2</v>
      </c>
      <c r="LT73" s="4">
        <f t="shared" si="384"/>
        <v>-0.79999999999999982</v>
      </c>
      <c r="LU73" s="4">
        <f t="shared" si="385"/>
        <v>-0.70000000000000018</v>
      </c>
      <c r="LV73" s="4">
        <f t="shared" si="386"/>
        <v>-0.80000000000000071</v>
      </c>
      <c r="LW73" s="4">
        <f t="shared" si="387"/>
        <v>26.300000000000011</v>
      </c>
      <c r="LX73" s="4">
        <f t="shared" si="388"/>
        <v>-0.19999999999999998</v>
      </c>
      <c r="LY73" s="4">
        <f t="shared" si="389"/>
        <v>-0.60000000000000009</v>
      </c>
      <c r="LZ73" s="4">
        <f t="shared" si="390"/>
        <v>-1.2000000000000011</v>
      </c>
      <c r="MA73" s="4">
        <f t="shared" si="391"/>
        <v>-1.6999999999999993</v>
      </c>
      <c r="MB73" s="4">
        <f t="shared" si="392"/>
        <v>-1.2999999999999972</v>
      </c>
      <c r="MC73" s="4">
        <f t="shared" si="393"/>
        <v>2</v>
      </c>
      <c r="MD73" s="4" t="str">
        <f t="shared" si="394"/>
        <v/>
      </c>
      <c r="ME73" s="4" t="str">
        <f t="shared" si="395"/>
        <v/>
      </c>
      <c r="MF73" s="4" t="str">
        <f t="shared" si="396"/>
        <v/>
      </c>
      <c r="MG73" s="4">
        <f t="shared" si="397"/>
        <v>6.4</v>
      </c>
    </row>
    <row r="74" spans="1:345" ht="26.25" customHeight="1" x14ac:dyDescent="0.2">
      <c r="A74" s="35">
        <v>41416</v>
      </c>
      <c r="B74" s="36" t="s">
        <v>146</v>
      </c>
      <c r="C74" s="36" t="s">
        <v>40</v>
      </c>
      <c r="D74" s="31" t="s">
        <v>110</v>
      </c>
      <c r="E74" s="4">
        <v>76</v>
      </c>
      <c r="F74" s="3">
        <v>13294</v>
      </c>
      <c r="G74" s="4" t="s">
        <v>87</v>
      </c>
      <c r="H74" s="4" t="s">
        <v>108</v>
      </c>
      <c r="I74" s="4">
        <v>1836414</v>
      </c>
      <c r="N74" s="236"/>
      <c r="O74" s="235"/>
      <c r="P74" s="236"/>
      <c r="Q74" s="236"/>
      <c r="R74" s="33">
        <v>-0.5</v>
      </c>
      <c r="S74" s="33">
        <v>-0.54</v>
      </c>
      <c r="T74" s="33" t="s">
        <v>249</v>
      </c>
      <c r="U74" s="67">
        <v>23</v>
      </c>
      <c r="V74" s="124">
        <v>41333</v>
      </c>
      <c r="W74" s="67">
        <v>2.25</v>
      </c>
      <c r="X74" s="67">
        <v>0.75</v>
      </c>
      <c r="Y74" s="4">
        <v>134</v>
      </c>
      <c r="Z74" s="4">
        <v>40</v>
      </c>
      <c r="AA74" s="4">
        <v>15</v>
      </c>
      <c r="AB74" s="4">
        <v>564</v>
      </c>
      <c r="AC74" s="4">
        <v>22.83</v>
      </c>
      <c r="AD74" s="4">
        <v>11.5</v>
      </c>
      <c r="AE74" s="4">
        <v>4.3600000000000003</v>
      </c>
      <c r="AF74" s="4">
        <v>4.1100000000000003</v>
      </c>
      <c r="AG74" s="4">
        <v>44.35</v>
      </c>
      <c r="AH74" s="4">
        <v>68</v>
      </c>
      <c r="AI74" s="4">
        <v>44.82</v>
      </c>
      <c r="AJ74" s="4">
        <v>158</v>
      </c>
      <c r="AK74" s="4">
        <v>0</v>
      </c>
      <c r="AL74" s="4" t="b">
        <f t="shared" si="268"/>
        <v>0</v>
      </c>
      <c r="AN74" s="37">
        <v>41605</v>
      </c>
      <c r="AO74" s="59">
        <v>40</v>
      </c>
      <c r="AP74" s="67">
        <v>-0.75</v>
      </c>
      <c r="AQ74" s="67">
        <v>1.25</v>
      </c>
      <c r="AR74" s="4">
        <v>150</v>
      </c>
      <c r="AS74" s="4">
        <v>20</v>
      </c>
      <c r="AT74" s="4">
        <v>15</v>
      </c>
      <c r="AU74" s="4">
        <v>482</v>
      </c>
      <c r="AV74" s="4">
        <v>1996</v>
      </c>
      <c r="AW74" s="4">
        <v>22.87</v>
      </c>
      <c r="AX74" s="4">
        <v>4.1100000000000003</v>
      </c>
      <c r="AY74" s="4">
        <v>43.32</v>
      </c>
      <c r="AZ74" s="4">
        <v>64</v>
      </c>
      <c r="BA74" s="4">
        <v>44.76</v>
      </c>
      <c r="BB74" s="4">
        <v>154</v>
      </c>
      <c r="BC74" s="4">
        <f t="shared" si="269"/>
        <v>-0.125</v>
      </c>
      <c r="BD74" s="4">
        <f t="shared" si="267"/>
        <v>0.41500000000000004</v>
      </c>
      <c r="BE74" s="4">
        <f t="shared" si="270"/>
        <v>-82</v>
      </c>
      <c r="BF74" s="137">
        <v>41717</v>
      </c>
      <c r="BV74" s="4" t="str">
        <f t="shared" si="271"/>
        <v/>
      </c>
      <c r="BW74" s="4" t="str">
        <f t="shared" si="272"/>
        <v/>
      </c>
      <c r="BX74" s="4">
        <f t="shared" si="273"/>
        <v>1</v>
      </c>
      <c r="BY74" s="4">
        <f t="shared" si="274"/>
        <v>0</v>
      </c>
      <c r="BZ74" s="4" t="str">
        <f t="shared" si="275"/>
        <v/>
      </c>
      <c r="CA74" s="4" t="str">
        <f t="shared" si="276"/>
        <v/>
      </c>
      <c r="CB74" s="4" t="str">
        <f t="shared" si="277"/>
        <v/>
      </c>
      <c r="CC74" s="53">
        <f t="shared" si="278"/>
        <v>189</v>
      </c>
      <c r="CD74" s="55">
        <f t="shared" si="279"/>
        <v>6.3</v>
      </c>
      <c r="CE74" s="4" t="str">
        <f t="shared" si="280"/>
        <v/>
      </c>
      <c r="CF74" s="4">
        <f t="shared" si="281"/>
        <v>-0.54500000000000171</v>
      </c>
      <c r="CG74" s="4" t="str">
        <f t="shared" si="282"/>
        <v/>
      </c>
      <c r="CH74" s="4">
        <f t="shared" si="283"/>
        <v>-0.54500000000000171</v>
      </c>
      <c r="CI74" s="4">
        <f t="shared" si="284"/>
        <v>2.625</v>
      </c>
      <c r="CJ74" s="4">
        <f t="shared" si="285"/>
        <v>-0.125</v>
      </c>
      <c r="CK74" s="93">
        <f t="shared" si="286"/>
        <v>0.41500000000000004</v>
      </c>
      <c r="CL74" s="83">
        <f t="shared" si="287"/>
        <v>-82</v>
      </c>
      <c r="CM74" s="4">
        <f t="shared" si="288"/>
        <v>4.00000000000027E-2</v>
      </c>
      <c r="CN74" s="96">
        <f t="shared" si="289"/>
        <v>-0.54</v>
      </c>
      <c r="CO74" s="96">
        <f t="shared" si="265"/>
        <v>0.3010299956639812</v>
      </c>
      <c r="CP74" s="127">
        <f t="shared" si="290"/>
        <v>1.25</v>
      </c>
      <c r="CQ74" s="127">
        <f t="shared" si="291"/>
        <v>0.5</v>
      </c>
      <c r="CR74" s="136">
        <f t="shared" si="292"/>
        <v>20</v>
      </c>
      <c r="CS74" s="136">
        <f t="shared" si="293"/>
        <v>40</v>
      </c>
      <c r="CT74" s="135">
        <f t="shared" si="294"/>
        <v>40</v>
      </c>
      <c r="CU74" s="139">
        <f t="shared" si="295"/>
        <v>0</v>
      </c>
      <c r="CV74" s="96" t="str">
        <f t="shared" si="296"/>
        <v/>
      </c>
      <c r="CW74" s="141" t="b">
        <f t="shared" si="297"/>
        <v>0</v>
      </c>
      <c r="CX74">
        <v>7.65</v>
      </c>
      <c r="CY74" s="4">
        <v>7.77</v>
      </c>
      <c r="CZ74" s="4">
        <v>60.1</v>
      </c>
      <c r="DA74" s="4">
        <v>0.7</v>
      </c>
      <c r="DB74" s="4">
        <v>0.18</v>
      </c>
      <c r="DC74" s="4">
        <v>0.56999999999999995</v>
      </c>
      <c r="DD74" s="4">
        <v>2.35</v>
      </c>
      <c r="DE74" s="4">
        <v>2.92</v>
      </c>
      <c r="DF74" s="4">
        <v>568</v>
      </c>
      <c r="DG74" s="4">
        <v>569</v>
      </c>
      <c r="DH74" s="4">
        <v>633</v>
      </c>
      <c r="DI74" s="4">
        <v>575</v>
      </c>
      <c r="DJ74" s="4">
        <v>639</v>
      </c>
      <c r="DK74" s="4">
        <v>582</v>
      </c>
      <c r="DL74" s="4">
        <v>568</v>
      </c>
      <c r="DM74" s="4">
        <v>-7.0000000000000007E-2</v>
      </c>
      <c r="DN74" s="4">
        <v>0.13</v>
      </c>
      <c r="DO74" s="4">
        <v>7.73</v>
      </c>
      <c r="DP74" s="4">
        <v>7.69</v>
      </c>
      <c r="DQ74" s="4">
        <v>7.73</v>
      </c>
      <c r="DR74" s="4">
        <v>7.92</v>
      </c>
      <c r="DS74" s="4">
        <v>8.31</v>
      </c>
      <c r="DT74" s="4">
        <v>8.27</v>
      </c>
      <c r="DU74" s="4">
        <v>0</v>
      </c>
      <c r="DV74" s="4">
        <v>1.1000000000000001</v>
      </c>
      <c r="DW74" s="4">
        <v>6.64</v>
      </c>
      <c r="DX74" s="4">
        <v>6.67</v>
      </c>
      <c r="DY74" s="4">
        <v>6.69</v>
      </c>
      <c r="DZ74" s="4">
        <v>6.92</v>
      </c>
      <c r="EA74" s="4">
        <v>7.21</v>
      </c>
      <c r="EB74" s="4">
        <v>7.11</v>
      </c>
      <c r="EC74" s="4">
        <v>0</v>
      </c>
      <c r="ED74" s="89">
        <v>1.1000000000000001</v>
      </c>
      <c r="EE74" s="110">
        <v>43.4</v>
      </c>
      <c r="EF74" s="110">
        <v>44.1</v>
      </c>
      <c r="EG74" s="110">
        <v>43.8</v>
      </c>
      <c r="EH74" s="110">
        <v>60.1</v>
      </c>
      <c r="EI74" s="110">
        <v>0.7</v>
      </c>
      <c r="EJ74" s="110">
        <v>-5.9</v>
      </c>
      <c r="EK74" s="110">
        <v>-6.2</v>
      </c>
      <c r="EL74" s="110">
        <v>-6</v>
      </c>
      <c r="EM74" s="110">
        <v>56.8</v>
      </c>
      <c r="EN74" s="110">
        <v>0.3</v>
      </c>
      <c r="EO74" s="110">
        <v>4.0999999999999996</v>
      </c>
      <c r="EP74" s="110">
        <v>11.8</v>
      </c>
      <c r="EQ74" s="110">
        <v>24.6</v>
      </c>
      <c r="ER74" s="110">
        <v>57.5</v>
      </c>
      <c r="ES74" s="114">
        <v>15</v>
      </c>
      <c r="ET74" s="83">
        <v>7.61</v>
      </c>
      <c r="EU74" s="4">
        <v>7.82</v>
      </c>
      <c r="EV74" s="4">
        <v>65.5</v>
      </c>
      <c r="EW74" s="4">
        <v>1.2</v>
      </c>
      <c r="EX74" s="4">
        <v>0.38</v>
      </c>
      <c r="EY74" s="4">
        <v>0.57999999999999996</v>
      </c>
      <c r="EZ74" s="4">
        <v>4.41</v>
      </c>
      <c r="FA74" s="4">
        <v>4.91</v>
      </c>
      <c r="FB74" s="4">
        <v>504</v>
      </c>
      <c r="FC74" s="4">
        <v>500</v>
      </c>
      <c r="FD74" s="4">
        <v>637</v>
      </c>
      <c r="FE74" s="4">
        <v>593</v>
      </c>
      <c r="FF74" s="4">
        <v>633</v>
      </c>
      <c r="FG74" s="4">
        <v>548</v>
      </c>
      <c r="FH74" s="4">
        <v>484</v>
      </c>
      <c r="FI74" s="4">
        <v>1.17</v>
      </c>
      <c r="FJ74" s="4">
        <v>-0.72</v>
      </c>
      <c r="FK74" s="4">
        <v>7.71</v>
      </c>
      <c r="FL74" s="4">
        <v>7.73</v>
      </c>
      <c r="FM74" s="4">
        <v>7.78</v>
      </c>
      <c r="FN74" s="4">
        <v>7.96</v>
      </c>
      <c r="FO74" s="4">
        <v>8.17</v>
      </c>
      <c r="FP74" s="4">
        <v>8.26</v>
      </c>
      <c r="FQ74" s="4">
        <v>0</v>
      </c>
      <c r="FR74" s="4">
        <v>1.3</v>
      </c>
      <c r="FS74" s="4">
        <v>6.3</v>
      </c>
      <c r="FT74" s="4">
        <v>6.22</v>
      </c>
      <c r="FU74" s="4">
        <v>6.4</v>
      </c>
      <c r="FV74" s="4">
        <v>6.8</v>
      </c>
      <c r="FW74" s="4">
        <v>6.76</v>
      </c>
      <c r="FX74" s="4">
        <v>0</v>
      </c>
      <c r="FY74" s="4">
        <v>0</v>
      </c>
      <c r="FZ74" s="86">
        <v>1.3</v>
      </c>
      <c r="GA74" s="110">
        <v>43.2</v>
      </c>
      <c r="GB74" s="110">
        <v>44.4</v>
      </c>
      <c r="GC74" s="110">
        <v>43.8</v>
      </c>
      <c r="GD74" s="110">
        <v>65.5</v>
      </c>
      <c r="GE74" s="110">
        <v>1.2</v>
      </c>
      <c r="GF74" s="110">
        <v>-6.3</v>
      </c>
      <c r="GG74" s="110">
        <v>-6.5</v>
      </c>
      <c r="GH74" s="110">
        <v>-6.4</v>
      </c>
      <c r="GI74" s="110">
        <v>154.5</v>
      </c>
      <c r="GJ74" s="110">
        <v>0.3</v>
      </c>
      <c r="GK74" s="110">
        <v>3.7</v>
      </c>
      <c r="GL74" s="110">
        <v>10.8</v>
      </c>
      <c r="GM74" s="110">
        <v>23.4</v>
      </c>
      <c r="GN74" s="110">
        <v>57.2</v>
      </c>
      <c r="GO74" s="119">
        <v>17</v>
      </c>
      <c r="IL74" s="83">
        <f t="shared" si="298"/>
        <v>7.61</v>
      </c>
      <c r="IM74" s="4">
        <f t="shared" si="299"/>
        <v>7.82</v>
      </c>
      <c r="IN74" s="4">
        <f t="shared" si="300"/>
        <v>65.5</v>
      </c>
      <c r="IO74" s="4">
        <f t="shared" si="301"/>
        <v>1.2</v>
      </c>
      <c r="IP74" s="4">
        <f t="shared" si="302"/>
        <v>0.38</v>
      </c>
      <c r="IQ74" s="4">
        <f t="shared" si="303"/>
        <v>0.57999999999999996</v>
      </c>
      <c r="IR74" s="4">
        <f t="shared" si="304"/>
        <v>4.41</v>
      </c>
      <c r="IS74" s="4">
        <f t="shared" si="305"/>
        <v>4.91</v>
      </c>
      <c r="IT74" s="4">
        <f t="shared" si="306"/>
        <v>504</v>
      </c>
      <c r="IU74" s="4">
        <f t="shared" si="307"/>
        <v>500</v>
      </c>
      <c r="IV74" s="4">
        <f t="shared" si="308"/>
        <v>637</v>
      </c>
      <c r="IW74" s="4">
        <f t="shared" si="309"/>
        <v>593</v>
      </c>
      <c r="IX74" s="4">
        <f t="shared" si="310"/>
        <v>633</v>
      </c>
      <c r="IY74" s="4">
        <f t="shared" si="311"/>
        <v>548</v>
      </c>
      <c r="IZ74" s="4">
        <f t="shared" si="312"/>
        <v>484</v>
      </c>
      <c r="JA74" s="4">
        <f t="shared" si="313"/>
        <v>1.17</v>
      </c>
      <c r="JB74" s="4">
        <f t="shared" si="314"/>
        <v>-0.72</v>
      </c>
      <c r="JC74" s="4">
        <f t="shared" si="315"/>
        <v>7.71</v>
      </c>
      <c r="JD74" s="4">
        <f t="shared" si="316"/>
        <v>7.73</v>
      </c>
      <c r="JE74" s="4">
        <f t="shared" si="317"/>
        <v>7.78</v>
      </c>
      <c r="JF74" s="4">
        <f t="shared" si="318"/>
        <v>7.96</v>
      </c>
      <c r="JG74" s="4">
        <f t="shared" si="319"/>
        <v>8.17</v>
      </c>
      <c r="JH74" s="4">
        <f t="shared" si="320"/>
        <v>8.26</v>
      </c>
      <c r="JI74" s="4">
        <f t="shared" si="321"/>
        <v>0</v>
      </c>
      <c r="JJ74" s="4">
        <f t="shared" si="322"/>
        <v>1.3</v>
      </c>
      <c r="JK74" s="4">
        <f t="shared" si="323"/>
        <v>6.3</v>
      </c>
      <c r="JL74" s="4">
        <f t="shared" si="324"/>
        <v>6.22</v>
      </c>
      <c r="JM74" s="4">
        <f t="shared" si="325"/>
        <v>6.4</v>
      </c>
      <c r="JN74" s="4">
        <f t="shared" si="326"/>
        <v>6.8</v>
      </c>
      <c r="JO74" s="4">
        <f t="shared" si="327"/>
        <v>6.76</v>
      </c>
      <c r="JP74" s="4">
        <f t="shared" si="328"/>
        <v>0</v>
      </c>
      <c r="JQ74" s="117">
        <f t="shared" si="329"/>
        <v>0</v>
      </c>
      <c r="JR74" s="110">
        <f t="shared" si="330"/>
        <v>1.3</v>
      </c>
      <c r="JS74" s="110">
        <f t="shared" si="331"/>
        <v>43.2</v>
      </c>
      <c r="JT74" s="110">
        <f t="shared" si="332"/>
        <v>44.4</v>
      </c>
      <c r="JU74" s="110">
        <f t="shared" si="333"/>
        <v>43.8</v>
      </c>
      <c r="JV74" s="110">
        <f t="shared" si="334"/>
        <v>65.5</v>
      </c>
      <c r="JW74" s="110">
        <f t="shared" si="335"/>
        <v>1.2</v>
      </c>
      <c r="JX74" s="110">
        <f t="shared" si="336"/>
        <v>-6.3</v>
      </c>
      <c r="JY74" s="110">
        <f t="shared" si="337"/>
        <v>-6.5</v>
      </c>
      <c r="JZ74" s="110">
        <f t="shared" si="338"/>
        <v>-6.4</v>
      </c>
      <c r="KA74" s="110">
        <f t="shared" si="339"/>
        <v>154.5</v>
      </c>
      <c r="KB74" s="110">
        <f t="shared" si="340"/>
        <v>0.3</v>
      </c>
      <c r="KC74" s="110">
        <f t="shared" si="341"/>
        <v>3.7</v>
      </c>
      <c r="KD74" s="110">
        <f t="shared" si="342"/>
        <v>10.8</v>
      </c>
      <c r="KE74" s="110">
        <f t="shared" si="343"/>
        <v>23.4</v>
      </c>
      <c r="KF74" s="110">
        <f t="shared" si="344"/>
        <v>57.2</v>
      </c>
      <c r="KG74" s="121">
        <f t="shared" si="345"/>
        <v>17</v>
      </c>
      <c r="KH74" s="83">
        <f t="shared" si="346"/>
        <v>-4.0000000000000036E-2</v>
      </c>
      <c r="KI74" s="4">
        <f t="shared" si="347"/>
        <v>5.0000000000000711E-2</v>
      </c>
      <c r="KJ74" s="4">
        <f t="shared" si="348"/>
        <v>5.3999999999999986</v>
      </c>
      <c r="KK74" s="4">
        <f t="shared" si="349"/>
        <v>0.5</v>
      </c>
      <c r="KL74" s="4">
        <f t="shared" si="350"/>
        <v>0.2</v>
      </c>
      <c r="KM74" s="4">
        <f t="shared" si="351"/>
        <v>1.0000000000000009E-2</v>
      </c>
      <c r="KN74" s="4">
        <f t="shared" si="352"/>
        <v>2.06</v>
      </c>
      <c r="KO74" s="4">
        <f t="shared" si="353"/>
        <v>1.9900000000000002</v>
      </c>
      <c r="KP74" s="4">
        <f t="shared" si="354"/>
        <v>-64</v>
      </c>
      <c r="KQ74" s="4">
        <f t="shared" si="355"/>
        <v>-69</v>
      </c>
      <c r="KR74" s="4">
        <f t="shared" si="356"/>
        <v>4</v>
      </c>
      <c r="KS74" s="4">
        <f t="shared" si="357"/>
        <v>18</v>
      </c>
      <c r="KT74" s="4">
        <f t="shared" si="358"/>
        <v>-6</v>
      </c>
      <c r="KU74" s="4">
        <f t="shared" si="359"/>
        <v>-34</v>
      </c>
      <c r="KV74" s="4">
        <f t="shared" si="360"/>
        <v>-84</v>
      </c>
      <c r="KW74" s="4">
        <f t="shared" si="361"/>
        <v>1.24</v>
      </c>
      <c r="KX74" s="4">
        <f t="shared" si="362"/>
        <v>-0.85</v>
      </c>
      <c r="KY74" s="4">
        <f t="shared" si="363"/>
        <v>-2.0000000000000462E-2</v>
      </c>
      <c r="KZ74" s="4">
        <f t="shared" si="364"/>
        <v>4.0000000000000036E-2</v>
      </c>
      <c r="LA74" s="4">
        <f t="shared" si="365"/>
        <v>4.9999999999999822E-2</v>
      </c>
      <c r="LB74" s="4">
        <f t="shared" si="366"/>
        <v>4.0000000000000036E-2</v>
      </c>
      <c r="LC74" s="4">
        <f t="shared" si="367"/>
        <v>-0.14000000000000057</v>
      </c>
      <c r="LD74" s="4">
        <f t="shared" si="368"/>
        <v>-9.9999999999997868E-3</v>
      </c>
      <c r="LE74" s="4">
        <f t="shared" si="369"/>
        <v>0</v>
      </c>
      <c r="LF74" s="4">
        <f t="shared" si="370"/>
        <v>0.19999999999999996</v>
      </c>
      <c r="LG74" s="4">
        <f t="shared" si="371"/>
        <v>-0.33999999999999986</v>
      </c>
      <c r="LH74" s="4">
        <f t="shared" si="372"/>
        <v>-0.45000000000000018</v>
      </c>
      <c r="LI74" s="4">
        <f t="shared" si="373"/>
        <v>-0.29000000000000004</v>
      </c>
      <c r="LJ74" s="4">
        <f t="shared" si="374"/>
        <v>-0.12000000000000011</v>
      </c>
      <c r="LK74" s="4">
        <f t="shared" si="375"/>
        <v>-0.45000000000000018</v>
      </c>
      <c r="LL74" s="4">
        <f t="shared" si="376"/>
        <v>-7.11</v>
      </c>
      <c r="LM74" s="4">
        <f t="shared" si="377"/>
        <v>0</v>
      </c>
      <c r="LN74" s="4">
        <f t="shared" si="378"/>
        <v>0.19999999999999996</v>
      </c>
      <c r="LO74" s="4">
        <f t="shared" si="379"/>
        <v>-0.19999999999999574</v>
      </c>
      <c r="LP74" s="4">
        <f t="shared" si="380"/>
        <v>0.29999999999999716</v>
      </c>
      <c r="LQ74" s="4">
        <f t="shared" si="381"/>
        <v>0</v>
      </c>
      <c r="LR74" s="4">
        <f t="shared" si="382"/>
        <v>5.3999999999999986</v>
      </c>
      <c r="LS74" s="4">
        <f t="shared" si="383"/>
        <v>0.5</v>
      </c>
      <c r="LT74" s="4">
        <f t="shared" si="384"/>
        <v>-0.39999999999999947</v>
      </c>
      <c r="LU74" s="4">
        <f t="shared" si="385"/>
        <v>-0.29999999999999982</v>
      </c>
      <c r="LV74" s="4">
        <f t="shared" si="386"/>
        <v>-0.40000000000000036</v>
      </c>
      <c r="LW74" s="4">
        <f t="shared" si="387"/>
        <v>97.7</v>
      </c>
      <c r="LX74" s="4">
        <f t="shared" si="388"/>
        <v>0</v>
      </c>
      <c r="LY74" s="4">
        <f t="shared" si="389"/>
        <v>-0.39999999999999947</v>
      </c>
      <c r="LZ74" s="4">
        <f t="shared" si="390"/>
        <v>-1</v>
      </c>
      <c r="MA74" s="4">
        <f t="shared" si="391"/>
        <v>-1.2000000000000028</v>
      </c>
      <c r="MB74" s="4">
        <f t="shared" si="392"/>
        <v>-0.29999999999999716</v>
      </c>
      <c r="MC74" s="4">
        <f t="shared" si="393"/>
        <v>2</v>
      </c>
      <c r="MD74" s="4" t="str">
        <f t="shared" si="394"/>
        <v/>
      </c>
      <c r="ME74" s="4" t="str">
        <f t="shared" si="395"/>
        <v/>
      </c>
      <c r="MF74" s="4" t="str">
        <f t="shared" si="396"/>
        <v/>
      </c>
      <c r="MG74" s="4">
        <f t="shared" si="397"/>
        <v>6.5</v>
      </c>
    </row>
    <row r="75" spans="1:345" ht="26.25" customHeight="1" x14ac:dyDescent="0.2">
      <c r="A75" s="35">
        <v>41374</v>
      </c>
      <c r="B75" s="36" t="s">
        <v>139</v>
      </c>
      <c r="C75" s="36" t="s">
        <v>42</v>
      </c>
      <c r="D75" s="31" t="s">
        <v>111</v>
      </c>
      <c r="E75" s="4">
        <v>60</v>
      </c>
      <c r="F75" s="3">
        <v>19282</v>
      </c>
      <c r="G75" s="4" t="s">
        <v>87</v>
      </c>
      <c r="H75" s="4" t="s">
        <v>108</v>
      </c>
      <c r="I75" s="4">
        <v>1836425</v>
      </c>
      <c r="K75" s="248"/>
      <c r="L75" s="239"/>
      <c r="M75" s="239"/>
      <c r="N75" s="236"/>
      <c r="O75" s="235"/>
      <c r="P75" s="236"/>
      <c r="Q75" s="236"/>
      <c r="R75" s="33">
        <v>-0.5</v>
      </c>
      <c r="S75" s="33">
        <v>-0.61</v>
      </c>
      <c r="T75" s="33" t="s">
        <v>276</v>
      </c>
      <c r="U75" s="67">
        <v>16</v>
      </c>
      <c r="V75" s="124">
        <v>41365</v>
      </c>
      <c r="W75" s="67">
        <v>-7</v>
      </c>
      <c r="X75" s="67">
        <v>2.5</v>
      </c>
      <c r="Y75" s="4">
        <v>79</v>
      </c>
      <c r="Z75" s="4">
        <v>60</v>
      </c>
      <c r="AA75" s="4">
        <v>13</v>
      </c>
      <c r="AB75" s="4">
        <v>604</v>
      </c>
      <c r="AC75" s="4">
        <v>24.72</v>
      </c>
      <c r="AD75" s="4">
        <v>11.5</v>
      </c>
      <c r="AF75" s="4">
        <v>2.6</v>
      </c>
      <c r="AG75" s="4">
        <v>44</v>
      </c>
      <c r="AH75" s="4">
        <v>2</v>
      </c>
      <c r="AI75" s="4">
        <v>46.04</v>
      </c>
      <c r="AJ75" s="4">
        <v>92</v>
      </c>
      <c r="AK75" s="4">
        <v>1</v>
      </c>
      <c r="AL75" s="4" t="b">
        <f t="shared" si="268"/>
        <v>1</v>
      </c>
      <c r="AM75" s="54" t="s">
        <v>497</v>
      </c>
      <c r="AN75" s="32">
        <v>41534</v>
      </c>
      <c r="AO75" s="60">
        <v>30</v>
      </c>
      <c r="AP75" s="67">
        <v>-1.75</v>
      </c>
      <c r="AQ75" s="67">
        <v>0.5</v>
      </c>
      <c r="AR75" s="4">
        <v>105</v>
      </c>
      <c r="AS75" s="4">
        <v>20</v>
      </c>
      <c r="AT75" s="4">
        <v>10</v>
      </c>
      <c r="AU75" s="4">
        <v>548</v>
      </c>
      <c r="AV75" s="4">
        <v>2474</v>
      </c>
      <c r="BC75" s="4">
        <f t="shared" si="269"/>
        <v>-1.5</v>
      </c>
      <c r="BD75" s="4">
        <f t="shared" si="267"/>
        <v>-0.89</v>
      </c>
      <c r="BE75" s="4">
        <f t="shared" si="270"/>
        <v>-56</v>
      </c>
      <c r="BF75" s="137">
        <v>41716</v>
      </c>
      <c r="BU75" s="4" t="str">
        <f>IF(ISNUMBER(BH75),BH75+0.5*BI75,"")</f>
        <v/>
      </c>
      <c r="BV75" s="4" t="str">
        <f t="shared" si="271"/>
        <v/>
      </c>
      <c r="BW75" s="4" t="str">
        <f t="shared" si="272"/>
        <v/>
      </c>
      <c r="BX75" s="4">
        <f t="shared" si="273"/>
        <v>1</v>
      </c>
      <c r="BY75" s="4">
        <f t="shared" si="274"/>
        <v>0</v>
      </c>
      <c r="BZ75" s="4" t="str">
        <f t="shared" si="275"/>
        <v/>
      </c>
      <c r="CA75" s="4" t="str">
        <f t="shared" si="276"/>
        <v/>
      </c>
      <c r="CB75" s="4" t="str">
        <f t="shared" si="277"/>
        <v/>
      </c>
      <c r="CC75" s="53">
        <f t="shared" si="278"/>
        <v>160</v>
      </c>
      <c r="CD75" s="55">
        <f t="shared" si="279"/>
        <v>5.333333333333333</v>
      </c>
      <c r="CE75" s="4" t="str">
        <f t="shared" si="280"/>
        <v/>
      </c>
      <c r="CF75" s="4" t="str">
        <f t="shared" si="281"/>
        <v/>
      </c>
      <c r="CG75" s="4" t="str">
        <f t="shared" si="282"/>
        <v/>
      </c>
      <c r="CH75" s="4" t="str">
        <f t="shared" si="283"/>
        <v/>
      </c>
      <c r="CI75" s="4">
        <f t="shared" si="284"/>
        <v>-5.75</v>
      </c>
      <c r="CJ75" s="4">
        <f t="shared" si="285"/>
        <v>-1.5</v>
      </c>
      <c r="CK75" s="93">
        <f t="shared" si="286"/>
        <v>-0.89</v>
      </c>
      <c r="CL75" s="83">
        <f t="shared" si="287"/>
        <v>-56</v>
      </c>
      <c r="CM75" s="4" t="str">
        <f t="shared" si="288"/>
        <v/>
      </c>
      <c r="CN75" s="96">
        <f t="shared" si="289"/>
        <v>-0.61</v>
      </c>
      <c r="CO75" s="96">
        <f t="shared" si="265"/>
        <v>0.47712125471966244</v>
      </c>
      <c r="CP75" s="127">
        <f t="shared" si="290"/>
        <v>0.5</v>
      </c>
      <c r="CQ75" s="127">
        <f t="shared" si="291"/>
        <v>-2</v>
      </c>
      <c r="CR75" s="136">
        <f t="shared" si="292"/>
        <v>20</v>
      </c>
      <c r="CS75" s="136">
        <f t="shared" si="293"/>
        <v>60</v>
      </c>
      <c r="CT75" s="135">
        <f t="shared" si="294"/>
        <v>30</v>
      </c>
      <c r="CU75" s="139">
        <f t="shared" si="295"/>
        <v>1</v>
      </c>
      <c r="CV75" s="96" t="str">
        <f t="shared" si="296"/>
        <v/>
      </c>
      <c r="CW75" s="141" t="b">
        <f t="shared" si="297"/>
        <v>1</v>
      </c>
      <c r="CX75">
        <v>7.77</v>
      </c>
      <c r="CY75" s="4">
        <v>7.47</v>
      </c>
      <c r="CZ75" s="4">
        <v>0.3</v>
      </c>
      <c r="DA75" s="4">
        <v>-1.7</v>
      </c>
      <c r="DB75" s="4">
        <v>0.4</v>
      </c>
      <c r="DC75" s="4">
        <v>0.69</v>
      </c>
      <c r="DD75" s="4">
        <v>2.2200000000000002</v>
      </c>
      <c r="DE75" s="4">
        <v>2.91</v>
      </c>
      <c r="DF75" s="4">
        <v>690</v>
      </c>
      <c r="DG75" s="4">
        <v>691</v>
      </c>
      <c r="DH75" s="4">
        <v>779</v>
      </c>
      <c r="DI75" s="4">
        <v>786</v>
      </c>
      <c r="DJ75" s="4">
        <v>757</v>
      </c>
      <c r="DK75" s="4">
        <v>776</v>
      </c>
      <c r="DL75" s="4">
        <v>690</v>
      </c>
      <c r="DM75" s="4">
        <v>-7.0000000000000007E-2</v>
      </c>
      <c r="DN75" s="4">
        <v>0</v>
      </c>
      <c r="DO75" s="4">
        <v>7.62</v>
      </c>
      <c r="DP75" s="4">
        <v>7.61</v>
      </c>
      <c r="DQ75" s="4">
        <v>7.68</v>
      </c>
      <c r="DR75" s="4">
        <v>7.94</v>
      </c>
      <c r="DS75" s="4">
        <v>8.2899999999999991</v>
      </c>
      <c r="DT75" s="4">
        <v>8.7899999999999991</v>
      </c>
      <c r="DU75" s="4">
        <v>0</v>
      </c>
      <c r="DV75" s="4">
        <v>1.5</v>
      </c>
      <c r="DW75" s="4">
        <v>6.1</v>
      </c>
      <c r="DX75" s="4">
        <v>6.06</v>
      </c>
      <c r="DY75" s="4">
        <v>6.33</v>
      </c>
      <c r="DZ75" s="4">
        <v>6.95</v>
      </c>
      <c r="EA75" s="4">
        <v>7.41</v>
      </c>
      <c r="EB75" s="4">
        <v>7.85</v>
      </c>
      <c r="EC75" s="4">
        <v>0</v>
      </c>
      <c r="ED75" s="89">
        <v>1.5</v>
      </c>
      <c r="IL75" s="83" t="str">
        <f t="shared" si="298"/>
        <v/>
      </c>
      <c r="IM75" s="4" t="str">
        <f t="shared" si="299"/>
        <v/>
      </c>
      <c r="IN75" s="4" t="str">
        <f t="shared" si="300"/>
        <v/>
      </c>
      <c r="IO75" s="4" t="str">
        <f t="shared" si="301"/>
        <v/>
      </c>
      <c r="IP75" s="4" t="str">
        <f t="shared" si="302"/>
        <v/>
      </c>
      <c r="IQ75" s="4" t="str">
        <f t="shared" si="303"/>
        <v/>
      </c>
      <c r="IR75" s="4" t="str">
        <f t="shared" si="304"/>
        <v/>
      </c>
      <c r="IS75" s="4" t="str">
        <f t="shared" si="305"/>
        <v/>
      </c>
      <c r="IT75" s="4" t="str">
        <f t="shared" si="306"/>
        <v/>
      </c>
      <c r="IU75" s="4" t="str">
        <f t="shared" si="307"/>
        <v/>
      </c>
      <c r="IV75" s="4" t="str">
        <f t="shared" si="308"/>
        <v/>
      </c>
      <c r="IW75" s="4" t="str">
        <f t="shared" si="309"/>
        <v/>
      </c>
      <c r="IX75" s="4" t="str">
        <f t="shared" si="310"/>
        <v/>
      </c>
      <c r="IY75" s="4" t="str">
        <f t="shared" si="311"/>
        <v/>
      </c>
      <c r="IZ75" s="4" t="str">
        <f t="shared" si="312"/>
        <v/>
      </c>
      <c r="JA75" s="4" t="str">
        <f t="shared" si="313"/>
        <v/>
      </c>
      <c r="JB75" s="4" t="str">
        <f t="shared" si="314"/>
        <v/>
      </c>
      <c r="JC75" s="4" t="str">
        <f t="shared" si="315"/>
        <v/>
      </c>
      <c r="JD75" s="4" t="str">
        <f t="shared" si="316"/>
        <v/>
      </c>
      <c r="JE75" s="4" t="str">
        <f t="shared" si="317"/>
        <v/>
      </c>
      <c r="JF75" s="4" t="str">
        <f t="shared" si="318"/>
        <v/>
      </c>
      <c r="JG75" s="4" t="str">
        <f t="shared" si="319"/>
        <v/>
      </c>
      <c r="JH75" s="4" t="str">
        <f t="shared" si="320"/>
        <v/>
      </c>
      <c r="JI75" s="4" t="str">
        <f t="shared" si="321"/>
        <v/>
      </c>
      <c r="JJ75" s="4" t="str">
        <f t="shared" si="322"/>
        <v/>
      </c>
      <c r="JK75" s="4" t="str">
        <f t="shared" si="323"/>
        <v/>
      </c>
      <c r="JL75" s="4" t="str">
        <f t="shared" si="324"/>
        <v/>
      </c>
      <c r="JM75" s="4" t="str">
        <f t="shared" si="325"/>
        <v/>
      </c>
      <c r="JN75" s="4" t="str">
        <f t="shared" si="326"/>
        <v/>
      </c>
      <c r="JO75" s="4" t="str">
        <f t="shared" si="327"/>
        <v/>
      </c>
      <c r="JP75" s="4" t="str">
        <f t="shared" si="328"/>
        <v/>
      </c>
      <c r="JQ75" s="117" t="str">
        <f t="shared" si="329"/>
        <v/>
      </c>
      <c r="JR75" s="110" t="str">
        <f t="shared" si="330"/>
        <v/>
      </c>
      <c r="JS75" s="110" t="str">
        <f t="shared" si="331"/>
        <v/>
      </c>
      <c r="JT75" s="110" t="str">
        <f t="shared" si="332"/>
        <v/>
      </c>
      <c r="JU75" s="110" t="str">
        <f t="shared" si="333"/>
        <v/>
      </c>
      <c r="JV75" s="110" t="str">
        <f t="shared" si="334"/>
        <v/>
      </c>
      <c r="JW75" s="110" t="str">
        <f t="shared" si="335"/>
        <v/>
      </c>
      <c r="JX75" s="110" t="str">
        <f t="shared" si="336"/>
        <v/>
      </c>
      <c r="JY75" s="110" t="str">
        <f t="shared" si="337"/>
        <v/>
      </c>
      <c r="JZ75" s="110" t="str">
        <f t="shared" si="338"/>
        <v/>
      </c>
      <c r="KA75" s="110" t="str">
        <f t="shared" si="339"/>
        <v/>
      </c>
      <c r="KB75" s="110" t="str">
        <f t="shared" si="340"/>
        <v/>
      </c>
      <c r="KC75" s="110" t="str">
        <f t="shared" si="341"/>
        <v/>
      </c>
      <c r="KD75" s="110" t="str">
        <f t="shared" si="342"/>
        <v/>
      </c>
      <c r="KE75" s="110" t="str">
        <f t="shared" si="343"/>
        <v/>
      </c>
      <c r="KF75" s="110" t="str">
        <f t="shared" si="344"/>
        <v/>
      </c>
      <c r="KG75" s="121" t="str">
        <f t="shared" si="345"/>
        <v/>
      </c>
      <c r="KH75" s="83" t="str">
        <f t="shared" si="346"/>
        <v/>
      </c>
      <c r="KI75" s="4" t="str">
        <f t="shared" si="347"/>
        <v/>
      </c>
      <c r="KJ75" s="4" t="str">
        <f t="shared" si="348"/>
        <v/>
      </c>
      <c r="KK75" s="4" t="str">
        <f t="shared" si="349"/>
        <v/>
      </c>
      <c r="KL75" s="4" t="str">
        <f t="shared" si="350"/>
        <v/>
      </c>
      <c r="KM75" s="4" t="str">
        <f t="shared" si="351"/>
        <v/>
      </c>
      <c r="KN75" s="4" t="str">
        <f t="shared" si="352"/>
        <v/>
      </c>
      <c r="KO75" s="4" t="str">
        <f t="shared" si="353"/>
        <v/>
      </c>
      <c r="KP75" s="4" t="str">
        <f t="shared" si="354"/>
        <v/>
      </c>
      <c r="KQ75" s="4" t="str">
        <f t="shared" si="355"/>
        <v/>
      </c>
      <c r="KR75" s="4" t="str">
        <f t="shared" si="356"/>
        <v/>
      </c>
      <c r="KS75" s="4" t="str">
        <f t="shared" si="357"/>
        <v/>
      </c>
      <c r="KT75" s="4" t="str">
        <f t="shared" si="358"/>
        <v/>
      </c>
      <c r="KU75" s="4" t="str">
        <f t="shared" si="359"/>
        <v/>
      </c>
      <c r="KV75" s="4" t="str">
        <f t="shared" si="360"/>
        <v/>
      </c>
      <c r="KW75" s="4" t="str">
        <f t="shared" si="361"/>
        <v/>
      </c>
      <c r="KX75" s="4" t="str">
        <f t="shared" si="362"/>
        <v/>
      </c>
      <c r="KY75" s="4" t="str">
        <f t="shared" si="363"/>
        <v/>
      </c>
      <c r="KZ75" s="4" t="str">
        <f t="shared" si="364"/>
        <v/>
      </c>
      <c r="LA75" s="4" t="str">
        <f t="shared" si="365"/>
        <v/>
      </c>
      <c r="LB75" s="4" t="str">
        <f t="shared" si="366"/>
        <v/>
      </c>
      <c r="LC75" s="4" t="str">
        <f t="shared" si="367"/>
        <v/>
      </c>
      <c r="LD75" s="4" t="str">
        <f t="shared" si="368"/>
        <v/>
      </c>
      <c r="LE75" s="4" t="str">
        <f t="shared" si="369"/>
        <v/>
      </c>
      <c r="LF75" s="4" t="str">
        <f t="shared" si="370"/>
        <v/>
      </c>
      <c r="LG75" s="4" t="str">
        <f t="shared" si="371"/>
        <v/>
      </c>
      <c r="LH75" s="4" t="str">
        <f t="shared" si="372"/>
        <v/>
      </c>
      <c r="LI75" s="4" t="str">
        <f t="shared" si="373"/>
        <v/>
      </c>
      <c r="LJ75" s="4" t="str">
        <f t="shared" si="374"/>
        <v/>
      </c>
      <c r="LK75" s="4" t="str">
        <f t="shared" si="375"/>
        <v/>
      </c>
      <c r="LL75" s="4" t="str">
        <f t="shared" si="376"/>
        <v/>
      </c>
      <c r="LM75" s="4" t="str">
        <f t="shared" si="377"/>
        <v/>
      </c>
      <c r="LN75" s="4" t="str">
        <f t="shared" si="378"/>
        <v/>
      </c>
      <c r="LO75" s="4" t="str">
        <f t="shared" si="379"/>
        <v/>
      </c>
      <c r="LP75" s="4" t="str">
        <f t="shared" si="380"/>
        <v/>
      </c>
      <c r="LQ75" s="4" t="str">
        <f t="shared" si="381"/>
        <v/>
      </c>
      <c r="LR75" s="4" t="str">
        <f t="shared" si="382"/>
        <v/>
      </c>
      <c r="LS75" s="4" t="str">
        <f t="shared" si="383"/>
        <v/>
      </c>
      <c r="LT75" s="4" t="str">
        <f t="shared" si="384"/>
        <v/>
      </c>
      <c r="LU75" s="4" t="str">
        <f t="shared" si="385"/>
        <v/>
      </c>
      <c r="LV75" s="4" t="str">
        <f t="shared" si="386"/>
        <v/>
      </c>
      <c r="LW75" s="4" t="str">
        <f t="shared" si="387"/>
        <v/>
      </c>
      <c r="LX75" s="4" t="str">
        <f t="shared" si="388"/>
        <v/>
      </c>
      <c r="LY75" s="4" t="str">
        <f t="shared" si="389"/>
        <v/>
      </c>
      <c r="LZ75" s="4" t="str">
        <f t="shared" si="390"/>
        <v/>
      </c>
      <c r="MA75" s="4" t="str">
        <f t="shared" si="391"/>
        <v/>
      </c>
      <c r="MB75" s="4" t="str">
        <f t="shared" si="392"/>
        <v/>
      </c>
      <c r="MC75" s="4" t="str">
        <f t="shared" si="393"/>
        <v/>
      </c>
      <c r="MD75" s="4" t="str">
        <f t="shared" si="394"/>
        <v/>
      </c>
      <c r="ME75" s="4" t="str">
        <f t="shared" si="395"/>
        <v/>
      </c>
      <c r="MF75" s="4" t="str">
        <f t="shared" si="396"/>
        <v/>
      </c>
      <c r="MG75" s="4">
        <f t="shared" si="397"/>
        <v>0</v>
      </c>
    </row>
    <row r="76" spans="1:345" ht="26.25" customHeight="1" x14ac:dyDescent="0.2">
      <c r="A76" s="35">
        <v>41360</v>
      </c>
      <c r="B76" s="36" t="s">
        <v>139</v>
      </c>
      <c r="C76" s="36" t="s">
        <v>42</v>
      </c>
      <c r="D76" s="31" t="s">
        <v>110</v>
      </c>
      <c r="E76" s="4">
        <v>60</v>
      </c>
      <c r="F76" s="3">
        <v>19282</v>
      </c>
      <c r="G76" s="4" t="s">
        <v>87</v>
      </c>
      <c r="H76" s="4" t="s">
        <v>108</v>
      </c>
      <c r="I76" s="4">
        <v>1836425</v>
      </c>
      <c r="K76" s="235"/>
      <c r="L76" s="236"/>
      <c r="M76" s="236"/>
      <c r="N76" s="236"/>
      <c r="O76" s="235"/>
      <c r="P76" s="236"/>
      <c r="Q76" s="236"/>
      <c r="R76" s="33">
        <v>-0.5</v>
      </c>
      <c r="S76" s="33">
        <v>-0.45</v>
      </c>
      <c r="T76" s="39" t="s">
        <v>249</v>
      </c>
      <c r="U76" s="70">
        <v>15.75</v>
      </c>
      <c r="V76" s="124">
        <v>41333</v>
      </c>
      <c r="W76" s="67">
        <v>-7.75</v>
      </c>
      <c r="X76" s="67">
        <v>0.25</v>
      </c>
      <c r="Y76" s="4">
        <v>68</v>
      </c>
      <c r="Z76" s="4">
        <v>200</v>
      </c>
      <c r="AA76" s="4">
        <v>13</v>
      </c>
      <c r="AB76" s="4">
        <v>680</v>
      </c>
      <c r="AC76" s="4">
        <v>24.74</v>
      </c>
      <c r="AD76" s="4">
        <v>11.5</v>
      </c>
      <c r="AE76" s="4">
        <v>4.6399999999999997</v>
      </c>
      <c r="AF76" s="4">
        <v>2.61</v>
      </c>
      <c r="AG76" s="4">
        <v>44.18</v>
      </c>
      <c r="AH76" s="4">
        <v>179</v>
      </c>
      <c r="AI76" s="4">
        <v>45.06</v>
      </c>
      <c r="AJ76" s="4">
        <v>89</v>
      </c>
      <c r="AK76" s="4">
        <v>0</v>
      </c>
      <c r="AL76" s="4" t="b">
        <f t="shared" si="268"/>
        <v>0</v>
      </c>
      <c r="AN76" s="32">
        <v>41534</v>
      </c>
      <c r="AO76" s="60">
        <v>60</v>
      </c>
      <c r="AP76" s="67">
        <v>-1</v>
      </c>
      <c r="AQ76" s="67">
        <v>0</v>
      </c>
      <c r="AR76" s="4">
        <v>0</v>
      </c>
      <c r="AS76" s="4">
        <v>50</v>
      </c>
      <c r="AT76" s="4">
        <v>12</v>
      </c>
      <c r="AU76" s="4">
        <v>549</v>
      </c>
      <c r="AV76" s="4">
        <v>2697</v>
      </c>
      <c r="BC76" s="4">
        <f t="shared" si="269"/>
        <v>-1</v>
      </c>
      <c r="BD76" s="4">
        <f t="shared" si="267"/>
        <v>-0.55000000000000004</v>
      </c>
      <c r="BE76" s="4">
        <f t="shared" si="270"/>
        <v>-131</v>
      </c>
      <c r="BF76" s="137">
        <v>41716</v>
      </c>
      <c r="BU76" s="4" t="str">
        <f>IF(ISNUMBER(BH76),BH76+0.5*BI76,"")</f>
        <v/>
      </c>
      <c r="BV76" s="4" t="str">
        <f t="shared" si="271"/>
        <v/>
      </c>
      <c r="BW76" s="4" t="str">
        <f t="shared" si="272"/>
        <v/>
      </c>
      <c r="BX76" s="4">
        <f t="shared" si="273"/>
        <v>1</v>
      </c>
      <c r="BY76" s="4">
        <f t="shared" si="274"/>
        <v>0</v>
      </c>
      <c r="BZ76" s="4" t="str">
        <f t="shared" si="275"/>
        <v/>
      </c>
      <c r="CA76" s="4" t="str">
        <f t="shared" si="276"/>
        <v/>
      </c>
      <c r="CB76" s="4" t="str">
        <f t="shared" si="277"/>
        <v/>
      </c>
      <c r="CC76" s="53">
        <f t="shared" si="278"/>
        <v>174</v>
      </c>
      <c r="CD76" s="55">
        <f t="shared" si="279"/>
        <v>5.8</v>
      </c>
      <c r="CE76" s="4" t="str">
        <f t="shared" si="280"/>
        <v/>
      </c>
      <c r="CF76" s="4" t="str">
        <f t="shared" si="281"/>
        <v/>
      </c>
      <c r="CG76" s="4" t="str">
        <f t="shared" si="282"/>
        <v/>
      </c>
      <c r="CH76" s="4" t="str">
        <f t="shared" si="283"/>
        <v/>
      </c>
      <c r="CI76" s="4">
        <f t="shared" si="284"/>
        <v>-7.625</v>
      </c>
      <c r="CJ76" s="4">
        <f t="shared" si="285"/>
        <v>-1</v>
      </c>
      <c r="CK76" s="93">
        <f t="shared" si="286"/>
        <v>-0.55000000000000004</v>
      </c>
      <c r="CL76" s="83">
        <f t="shared" si="287"/>
        <v>-131</v>
      </c>
      <c r="CM76" s="4" t="str">
        <f t="shared" si="288"/>
        <v/>
      </c>
      <c r="CN76" s="96">
        <f t="shared" si="289"/>
        <v>-0.45</v>
      </c>
      <c r="CO76" s="96">
        <f t="shared" si="265"/>
        <v>0.6020599913279624</v>
      </c>
      <c r="CP76" s="127">
        <f t="shared" si="290"/>
        <v>0</v>
      </c>
      <c r="CQ76" s="127">
        <f t="shared" si="291"/>
        <v>-0.25</v>
      </c>
      <c r="CR76" s="136">
        <f t="shared" si="292"/>
        <v>50</v>
      </c>
      <c r="CS76" s="136">
        <f t="shared" si="293"/>
        <v>200</v>
      </c>
      <c r="CT76" s="135">
        <f t="shared" si="294"/>
        <v>60</v>
      </c>
      <c r="CU76" s="139">
        <f t="shared" si="295"/>
        <v>1</v>
      </c>
      <c r="CV76" s="96" t="str">
        <f t="shared" si="296"/>
        <v/>
      </c>
      <c r="CW76" s="141" t="b">
        <f t="shared" si="297"/>
        <v>1</v>
      </c>
      <c r="CX76" s="129">
        <v>7.75</v>
      </c>
      <c r="CY76" s="48">
        <v>7.6</v>
      </c>
      <c r="CZ76" s="48">
        <v>169.1</v>
      </c>
      <c r="DA76" s="48">
        <v>-0.8</v>
      </c>
      <c r="DB76" s="48">
        <v>0.26</v>
      </c>
      <c r="DC76" s="48">
        <v>0.66</v>
      </c>
      <c r="DD76" s="48">
        <v>2.27</v>
      </c>
      <c r="DE76" s="48">
        <v>2.96</v>
      </c>
      <c r="DF76" s="48">
        <v>685</v>
      </c>
      <c r="DG76" s="48">
        <v>685</v>
      </c>
      <c r="DH76" s="48">
        <v>814</v>
      </c>
      <c r="DI76" s="48">
        <v>751</v>
      </c>
      <c r="DJ76" s="48">
        <v>769</v>
      </c>
      <c r="DK76" s="48">
        <v>745</v>
      </c>
      <c r="DL76" s="48">
        <v>682</v>
      </c>
      <c r="DM76" s="48">
        <v>-0.35</v>
      </c>
      <c r="DN76" s="48">
        <v>-0.42</v>
      </c>
      <c r="DO76" s="48">
        <v>7.7</v>
      </c>
      <c r="DP76" s="48">
        <v>7.66</v>
      </c>
      <c r="DQ76" s="48">
        <v>7.71</v>
      </c>
      <c r="DR76" s="48">
        <v>7.96</v>
      </c>
      <c r="DS76" s="48">
        <v>8.35</v>
      </c>
      <c r="DT76" s="48">
        <v>8.58</v>
      </c>
      <c r="DU76" s="48">
        <v>0</v>
      </c>
      <c r="DV76" s="48">
        <v>1.4</v>
      </c>
      <c r="DW76" s="48">
        <v>6.24</v>
      </c>
      <c r="DX76" s="48">
        <v>6.15</v>
      </c>
      <c r="DY76" s="48">
        <v>6.4</v>
      </c>
      <c r="DZ76" s="48">
        <v>7.17</v>
      </c>
      <c r="EA76" s="48">
        <v>7.45</v>
      </c>
      <c r="EB76" s="48">
        <v>7.5</v>
      </c>
      <c r="EC76" s="48">
        <v>0</v>
      </c>
      <c r="ED76" s="90">
        <v>1.4</v>
      </c>
      <c r="EE76" s="111">
        <v>43.5</v>
      </c>
      <c r="EF76" s="111">
        <v>44.4</v>
      </c>
      <c r="EG76" s="111">
        <v>44</v>
      </c>
      <c r="EH76" s="111">
        <v>169.1</v>
      </c>
      <c r="EI76" s="111">
        <v>0.8</v>
      </c>
      <c r="EJ76" s="111">
        <v>-6.2</v>
      </c>
      <c r="EK76" s="111">
        <v>-6.7</v>
      </c>
      <c r="EL76" s="111">
        <v>-6.5</v>
      </c>
      <c r="EM76" s="111">
        <v>174.4</v>
      </c>
      <c r="EN76" s="111">
        <v>0.5</v>
      </c>
      <c r="EO76" s="111">
        <v>4.9000000000000004</v>
      </c>
      <c r="EP76" s="111">
        <v>14.4</v>
      </c>
      <c r="EQ76" s="111">
        <v>30.5</v>
      </c>
      <c r="ER76" s="111">
        <v>70.599999999999994</v>
      </c>
      <c r="ES76" s="116">
        <v>26</v>
      </c>
      <c r="ET76" s="84"/>
      <c r="EU76" s="48"/>
      <c r="EV76" s="48"/>
      <c r="EW76" s="48"/>
      <c r="EX76" s="48"/>
      <c r="EY76" s="48"/>
      <c r="EZ76" s="48"/>
      <c r="FA76" s="48"/>
      <c r="FB76" s="48"/>
      <c r="FC76" s="48"/>
      <c r="FD76" s="48"/>
      <c r="FE76" s="48"/>
      <c r="FF76" s="48"/>
      <c r="FG76" s="48"/>
      <c r="FH76" s="48"/>
      <c r="FI76" s="48"/>
      <c r="FJ76" s="48"/>
      <c r="FK76" s="48"/>
      <c r="FL76" s="48"/>
      <c r="FM76" s="48"/>
      <c r="FN76" s="48"/>
      <c r="FO76" s="48"/>
      <c r="FP76" s="48"/>
      <c r="FQ76" s="48"/>
      <c r="FR76" s="48"/>
      <c r="FS76" s="48"/>
      <c r="FT76" s="48"/>
      <c r="FU76" s="48"/>
      <c r="FV76" s="48"/>
      <c r="FW76" s="48"/>
      <c r="FX76" s="48"/>
      <c r="FY76" s="48"/>
      <c r="FZ76" s="87"/>
      <c r="GA76" s="111"/>
      <c r="GB76" s="111"/>
      <c r="GC76" s="111"/>
      <c r="GD76" s="111"/>
      <c r="GE76" s="111"/>
      <c r="GF76" s="111"/>
      <c r="GG76" s="111"/>
      <c r="GH76" s="111"/>
      <c r="GI76" s="111"/>
      <c r="GJ76" s="111"/>
      <c r="GK76" s="111"/>
      <c r="GL76" s="111"/>
      <c r="GM76" s="111"/>
      <c r="GN76" s="111"/>
      <c r="GO76" s="120"/>
      <c r="GP76" s="84"/>
      <c r="GQ76" s="48"/>
      <c r="GR76" s="48"/>
      <c r="GS76" s="48"/>
      <c r="GT76" s="48"/>
      <c r="GU76" s="48"/>
      <c r="GV76" s="48"/>
      <c r="GW76" s="48"/>
      <c r="GX76" s="48"/>
      <c r="GY76" s="48"/>
      <c r="GZ76" s="48"/>
      <c r="HA76" s="48"/>
      <c r="HB76" s="48"/>
      <c r="HC76" s="48"/>
      <c r="HD76" s="48"/>
      <c r="HE76" s="48"/>
      <c r="HF76" s="48"/>
      <c r="HG76" s="48"/>
      <c r="HH76" s="48"/>
      <c r="HI76" s="48"/>
      <c r="HJ76" s="48"/>
      <c r="HK76" s="48"/>
      <c r="HL76" s="48"/>
      <c r="HM76" s="48"/>
      <c r="HN76" s="48"/>
      <c r="HO76" s="48"/>
      <c r="HP76" s="48"/>
      <c r="HQ76" s="48"/>
      <c r="HR76" s="48"/>
      <c r="HS76" s="48"/>
      <c r="HT76" s="48"/>
      <c r="HU76" s="48"/>
      <c r="HV76" s="95"/>
      <c r="HW76" s="111"/>
      <c r="HX76" s="111"/>
      <c r="HY76" s="111"/>
      <c r="HZ76" s="111"/>
      <c r="IA76" s="111"/>
      <c r="IB76" s="111"/>
      <c r="IC76" s="111"/>
      <c r="ID76" s="111"/>
      <c r="IE76" s="111"/>
      <c r="IF76" s="111"/>
      <c r="IG76" s="111"/>
      <c r="IH76" s="111"/>
      <c r="II76" s="111"/>
      <c r="IJ76" s="111"/>
      <c r="IK76" s="122"/>
      <c r="IL76" s="83" t="str">
        <f t="shared" si="298"/>
        <v/>
      </c>
      <c r="IM76" s="4" t="str">
        <f t="shared" si="299"/>
        <v/>
      </c>
      <c r="IN76" s="4" t="str">
        <f t="shared" si="300"/>
        <v/>
      </c>
      <c r="IO76" s="4" t="str">
        <f t="shared" si="301"/>
        <v/>
      </c>
      <c r="IP76" s="4" t="str">
        <f t="shared" si="302"/>
        <v/>
      </c>
      <c r="IQ76" s="4" t="str">
        <f t="shared" si="303"/>
        <v/>
      </c>
      <c r="IR76" s="4" t="str">
        <f t="shared" si="304"/>
        <v/>
      </c>
      <c r="IS76" s="4" t="str">
        <f t="shared" si="305"/>
        <v/>
      </c>
      <c r="IT76" s="4" t="str">
        <f t="shared" si="306"/>
        <v/>
      </c>
      <c r="IU76" s="4" t="str">
        <f t="shared" si="307"/>
        <v/>
      </c>
      <c r="IV76" s="4" t="str">
        <f t="shared" si="308"/>
        <v/>
      </c>
      <c r="IW76" s="4" t="str">
        <f t="shared" si="309"/>
        <v/>
      </c>
      <c r="IX76" s="4" t="str">
        <f t="shared" si="310"/>
        <v/>
      </c>
      <c r="IY76" s="4" t="str">
        <f t="shared" si="311"/>
        <v/>
      </c>
      <c r="IZ76" s="4" t="str">
        <f t="shared" si="312"/>
        <v/>
      </c>
      <c r="JA76" s="4" t="str">
        <f t="shared" si="313"/>
        <v/>
      </c>
      <c r="JB76" s="4" t="str">
        <f t="shared" si="314"/>
        <v/>
      </c>
      <c r="JC76" s="4" t="str">
        <f t="shared" si="315"/>
        <v/>
      </c>
      <c r="JD76" s="4" t="str">
        <f t="shared" si="316"/>
        <v/>
      </c>
      <c r="JE76" s="4" t="str">
        <f t="shared" si="317"/>
        <v/>
      </c>
      <c r="JF76" s="4" t="str">
        <f t="shared" si="318"/>
        <v/>
      </c>
      <c r="JG76" s="4" t="str">
        <f t="shared" si="319"/>
        <v/>
      </c>
      <c r="JH76" s="4" t="str">
        <f t="shared" si="320"/>
        <v/>
      </c>
      <c r="JI76" s="4" t="str">
        <f t="shared" si="321"/>
        <v/>
      </c>
      <c r="JJ76" s="4" t="str">
        <f t="shared" si="322"/>
        <v/>
      </c>
      <c r="JK76" s="4" t="str">
        <f t="shared" si="323"/>
        <v/>
      </c>
      <c r="JL76" s="4" t="str">
        <f t="shared" si="324"/>
        <v/>
      </c>
      <c r="JM76" s="4" t="str">
        <f t="shared" si="325"/>
        <v/>
      </c>
      <c r="JN76" s="4" t="str">
        <f t="shared" si="326"/>
        <v/>
      </c>
      <c r="JO76" s="4" t="str">
        <f t="shared" si="327"/>
        <v/>
      </c>
      <c r="JP76" s="4" t="str">
        <f t="shared" si="328"/>
        <v/>
      </c>
      <c r="JQ76" s="117" t="str">
        <f t="shared" si="329"/>
        <v/>
      </c>
      <c r="JR76" s="110" t="str">
        <f t="shared" si="330"/>
        <v/>
      </c>
      <c r="JS76" s="110" t="str">
        <f t="shared" si="331"/>
        <v/>
      </c>
      <c r="JT76" s="110" t="str">
        <f t="shared" si="332"/>
        <v/>
      </c>
      <c r="JU76" s="110" t="str">
        <f t="shared" si="333"/>
        <v/>
      </c>
      <c r="JV76" s="110" t="str">
        <f t="shared" si="334"/>
        <v/>
      </c>
      <c r="JW76" s="110" t="str">
        <f t="shared" si="335"/>
        <v/>
      </c>
      <c r="JX76" s="110" t="str">
        <f t="shared" si="336"/>
        <v/>
      </c>
      <c r="JY76" s="110" t="str">
        <f t="shared" si="337"/>
        <v/>
      </c>
      <c r="JZ76" s="110" t="str">
        <f t="shared" si="338"/>
        <v/>
      </c>
      <c r="KA76" s="110" t="str">
        <f t="shared" si="339"/>
        <v/>
      </c>
      <c r="KB76" s="110" t="str">
        <f t="shared" si="340"/>
        <v/>
      </c>
      <c r="KC76" s="110" t="str">
        <f t="shared" si="341"/>
        <v/>
      </c>
      <c r="KD76" s="110" t="str">
        <f t="shared" si="342"/>
        <v/>
      </c>
      <c r="KE76" s="110" t="str">
        <f t="shared" si="343"/>
        <v/>
      </c>
      <c r="KF76" s="110" t="str">
        <f t="shared" si="344"/>
        <v/>
      </c>
      <c r="KG76" s="121" t="str">
        <f t="shared" si="345"/>
        <v/>
      </c>
      <c r="KH76" s="83" t="str">
        <f t="shared" si="346"/>
        <v/>
      </c>
      <c r="KI76" s="4" t="str">
        <f t="shared" si="347"/>
        <v/>
      </c>
      <c r="KJ76" s="4" t="str">
        <f t="shared" si="348"/>
        <v/>
      </c>
      <c r="KK76" s="4" t="str">
        <f t="shared" si="349"/>
        <v/>
      </c>
      <c r="KL76" s="4" t="str">
        <f t="shared" si="350"/>
        <v/>
      </c>
      <c r="KM76" s="4" t="str">
        <f t="shared" si="351"/>
        <v/>
      </c>
      <c r="KN76" s="4" t="str">
        <f t="shared" si="352"/>
        <v/>
      </c>
      <c r="KO76" s="4" t="str">
        <f t="shared" si="353"/>
        <v/>
      </c>
      <c r="KP76" s="4" t="str">
        <f t="shared" si="354"/>
        <v/>
      </c>
      <c r="KQ76" s="4" t="str">
        <f t="shared" si="355"/>
        <v/>
      </c>
      <c r="KR76" s="4" t="str">
        <f t="shared" si="356"/>
        <v/>
      </c>
      <c r="KS76" s="4" t="str">
        <f t="shared" si="357"/>
        <v/>
      </c>
      <c r="KT76" s="4" t="str">
        <f t="shared" si="358"/>
        <v/>
      </c>
      <c r="KU76" s="4" t="str">
        <f t="shared" si="359"/>
        <v/>
      </c>
      <c r="KV76" s="4" t="str">
        <f t="shared" si="360"/>
        <v/>
      </c>
      <c r="KW76" s="4" t="str">
        <f t="shared" si="361"/>
        <v/>
      </c>
      <c r="KX76" s="4" t="str">
        <f t="shared" si="362"/>
        <v/>
      </c>
      <c r="KY76" s="4" t="str">
        <f t="shared" si="363"/>
        <v/>
      </c>
      <c r="KZ76" s="4" t="str">
        <f t="shared" si="364"/>
        <v/>
      </c>
      <c r="LA76" s="4" t="str">
        <f t="shared" si="365"/>
        <v/>
      </c>
      <c r="LB76" s="4" t="str">
        <f t="shared" si="366"/>
        <v/>
      </c>
      <c r="LC76" s="4" t="str">
        <f t="shared" si="367"/>
        <v/>
      </c>
      <c r="LD76" s="4" t="str">
        <f t="shared" si="368"/>
        <v/>
      </c>
      <c r="LE76" s="4" t="str">
        <f t="shared" si="369"/>
        <v/>
      </c>
      <c r="LF76" s="4" t="str">
        <f t="shared" si="370"/>
        <v/>
      </c>
      <c r="LG76" s="4" t="str">
        <f t="shared" si="371"/>
        <v/>
      </c>
      <c r="LH76" s="4" t="str">
        <f t="shared" si="372"/>
        <v/>
      </c>
      <c r="LI76" s="4" t="str">
        <f t="shared" si="373"/>
        <v/>
      </c>
      <c r="LJ76" s="4" t="str">
        <f t="shared" si="374"/>
        <v/>
      </c>
      <c r="LK76" s="4" t="str">
        <f t="shared" si="375"/>
        <v/>
      </c>
      <c r="LL76" s="4" t="str">
        <f t="shared" si="376"/>
        <v/>
      </c>
      <c r="LM76" s="4" t="str">
        <f t="shared" si="377"/>
        <v/>
      </c>
      <c r="LN76" s="4" t="str">
        <f t="shared" si="378"/>
        <v/>
      </c>
      <c r="LO76" s="4" t="str">
        <f t="shared" si="379"/>
        <v/>
      </c>
      <c r="LP76" s="4" t="str">
        <f t="shared" si="380"/>
        <v/>
      </c>
      <c r="LQ76" s="4" t="str">
        <f t="shared" si="381"/>
        <v/>
      </c>
      <c r="LR76" s="4" t="str">
        <f t="shared" si="382"/>
        <v/>
      </c>
      <c r="LS76" s="4" t="str">
        <f t="shared" si="383"/>
        <v/>
      </c>
      <c r="LT76" s="4" t="str">
        <f t="shared" si="384"/>
        <v/>
      </c>
      <c r="LU76" s="4" t="str">
        <f t="shared" si="385"/>
        <v/>
      </c>
      <c r="LV76" s="4" t="str">
        <f t="shared" si="386"/>
        <v/>
      </c>
      <c r="LW76" s="4" t="str">
        <f t="shared" si="387"/>
        <v/>
      </c>
      <c r="LX76" s="4" t="str">
        <f t="shared" si="388"/>
        <v/>
      </c>
      <c r="LY76" s="4" t="str">
        <f t="shared" si="389"/>
        <v/>
      </c>
      <c r="LZ76" s="4" t="str">
        <f t="shared" si="390"/>
        <v/>
      </c>
      <c r="MA76" s="4" t="str">
        <f t="shared" si="391"/>
        <v/>
      </c>
      <c r="MB76" s="4" t="str">
        <f t="shared" si="392"/>
        <v/>
      </c>
      <c r="MC76" s="4" t="str">
        <f t="shared" si="393"/>
        <v/>
      </c>
      <c r="MD76" s="4" t="str">
        <f t="shared" si="394"/>
        <v/>
      </c>
      <c r="ME76" s="4" t="str">
        <f t="shared" si="395"/>
        <v/>
      </c>
      <c r="MF76" s="4" t="str">
        <f t="shared" si="396"/>
        <v/>
      </c>
      <c r="MG76" s="4">
        <f t="shared" si="397"/>
        <v>0</v>
      </c>
    </row>
    <row r="77" spans="1:345" ht="26.25" customHeight="1" thickBot="1" x14ac:dyDescent="0.25">
      <c r="A77" s="194">
        <v>41374</v>
      </c>
      <c r="B77" s="195" t="s">
        <v>153</v>
      </c>
      <c r="C77" s="195" t="s">
        <v>154</v>
      </c>
      <c r="D77" s="196" t="s">
        <v>110</v>
      </c>
      <c r="E77" s="195">
        <v>63</v>
      </c>
      <c r="F77" s="194">
        <v>18013</v>
      </c>
      <c r="G77" s="195" t="s">
        <v>87</v>
      </c>
      <c r="H77" s="195" t="s">
        <v>112</v>
      </c>
      <c r="I77" s="195">
        <v>1836453</v>
      </c>
      <c r="J77" s="195"/>
      <c r="K77" s="249"/>
      <c r="L77" s="272"/>
      <c r="M77" s="272"/>
      <c r="N77" s="272"/>
      <c r="O77" s="249"/>
      <c r="P77" s="272"/>
      <c r="Q77" s="272"/>
      <c r="R77" s="197">
        <v>-0.5</v>
      </c>
      <c r="S77" s="197">
        <v>-0.61</v>
      </c>
      <c r="T77" s="195" t="s">
        <v>249</v>
      </c>
      <c r="U77" s="198">
        <v>8</v>
      </c>
      <c r="V77" s="194">
        <v>41344</v>
      </c>
      <c r="W77" s="198">
        <v>0</v>
      </c>
      <c r="X77" s="198">
        <v>0</v>
      </c>
      <c r="Y77" s="195">
        <v>0</v>
      </c>
      <c r="Z77" s="195">
        <v>300</v>
      </c>
      <c r="AA77" s="195">
        <v>16</v>
      </c>
      <c r="AB77" s="195">
        <v>592</v>
      </c>
      <c r="AC77" s="195">
        <v>26.11</v>
      </c>
      <c r="AD77" s="195">
        <v>12.1</v>
      </c>
      <c r="AE77" s="195"/>
      <c r="AF77" s="195">
        <v>3.61</v>
      </c>
      <c r="AG77" s="195">
        <v>46.3</v>
      </c>
      <c r="AH77" s="195">
        <v>164</v>
      </c>
      <c r="AI77" s="195">
        <v>48.56</v>
      </c>
      <c r="AJ77" s="195">
        <v>74</v>
      </c>
      <c r="AK77" s="195">
        <v>0</v>
      </c>
      <c r="AL77" s="195" t="b">
        <f t="shared" si="268"/>
        <v>0</v>
      </c>
      <c r="AM77" s="222"/>
      <c r="AN77" s="200">
        <v>41563</v>
      </c>
      <c r="AO77" s="201"/>
      <c r="AP77" s="198">
        <v>-0.25</v>
      </c>
      <c r="AQ77" s="198">
        <v>1.5</v>
      </c>
      <c r="AR77" s="195">
        <v>85</v>
      </c>
      <c r="AS77" s="195">
        <v>100</v>
      </c>
      <c r="AT77" s="195">
        <v>28</v>
      </c>
      <c r="AU77" s="195">
        <v>519</v>
      </c>
      <c r="AV77" s="195">
        <v>1869</v>
      </c>
      <c r="AW77" s="195" t="s">
        <v>250</v>
      </c>
      <c r="AX77" s="195" t="s">
        <v>82</v>
      </c>
      <c r="AY77" s="195">
        <v>45.98</v>
      </c>
      <c r="AZ77" s="195">
        <v>169</v>
      </c>
      <c r="BA77" s="195">
        <v>49.2</v>
      </c>
      <c r="BB77" s="195">
        <v>79</v>
      </c>
      <c r="BC77" s="195">
        <f t="shared" si="269"/>
        <v>0.5</v>
      </c>
      <c r="BD77" s="195">
        <f t="shared" si="267"/>
        <v>1.1099999999999999</v>
      </c>
      <c r="BE77" s="195">
        <f t="shared" si="270"/>
        <v>-73</v>
      </c>
      <c r="BF77" s="202">
        <v>41779</v>
      </c>
      <c r="BG77" s="223"/>
      <c r="BH77" s="198"/>
      <c r="BI77" s="198"/>
      <c r="BJ77" s="195"/>
      <c r="BK77" s="195"/>
      <c r="BL77" s="195"/>
      <c r="BM77" s="195"/>
      <c r="BN77" s="195"/>
      <c r="BO77" s="195"/>
      <c r="BP77" s="195"/>
      <c r="BQ77" s="195"/>
      <c r="BR77" s="195"/>
      <c r="BS77" s="195"/>
      <c r="BT77" s="195"/>
      <c r="BU77" s="195" t="str">
        <f>IF(ISNUMBER(BH77),BH77+0.5*BI77,"")</f>
        <v/>
      </c>
      <c r="BV77" s="195" t="str">
        <f t="shared" si="271"/>
        <v/>
      </c>
      <c r="BW77" s="195" t="str">
        <f t="shared" si="272"/>
        <v/>
      </c>
      <c r="BX77" s="195">
        <f t="shared" si="273"/>
        <v>1</v>
      </c>
      <c r="BY77" s="195">
        <f t="shared" si="274"/>
        <v>0</v>
      </c>
      <c r="BZ77" s="195" t="str">
        <f t="shared" si="275"/>
        <v/>
      </c>
      <c r="CA77" s="195" t="str">
        <f t="shared" si="276"/>
        <v/>
      </c>
      <c r="CB77" s="195" t="str">
        <f t="shared" si="277"/>
        <v/>
      </c>
      <c r="CC77" s="204">
        <f t="shared" si="278"/>
        <v>189</v>
      </c>
      <c r="CD77" s="205">
        <f t="shared" si="279"/>
        <v>6.3</v>
      </c>
      <c r="CE77" s="195" t="str">
        <f t="shared" si="280"/>
        <v/>
      </c>
      <c r="CF77" s="195">
        <f t="shared" si="281"/>
        <v>0.16000000000000369</v>
      </c>
      <c r="CG77" s="195" t="str">
        <f t="shared" si="282"/>
        <v/>
      </c>
      <c r="CH77" s="195">
        <f t="shared" si="283"/>
        <v>0.16000000000000369</v>
      </c>
      <c r="CI77" s="195">
        <f t="shared" si="284"/>
        <v>0</v>
      </c>
      <c r="CJ77" s="195">
        <f t="shared" si="285"/>
        <v>0.5</v>
      </c>
      <c r="CK77" s="206">
        <f t="shared" si="286"/>
        <v>1.1099999999999999</v>
      </c>
      <c r="CL77" s="207">
        <f t="shared" si="287"/>
        <v>-73</v>
      </c>
      <c r="CM77" s="195" t="str">
        <f t="shared" si="288"/>
        <v/>
      </c>
      <c r="CN77" s="208">
        <f t="shared" si="289"/>
        <v>-0.61</v>
      </c>
      <c r="CO77" s="208">
        <f t="shared" si="265"/>
        <v>0.4771212547196626</v>
      </c>
      <c r="CP77" s="209">
        <f t="shared" si="290"/>
        <v>1.5</v>
      </c>
      <c r="CQ77" s="209">
        <f t="shared" si="291"/>
        <v>1.5</v>
      </c>
      <c r="CR77" s="210">
        <f t="shared" si="292"/>
        <v>100</v>
      </c>
      <c r="CS77" s="210">
        <f t="shared" si="293"/>
        <v>300</v>
      </c>
      <c r="CT77" s="211" t="str">
        <f t="shared" si="294"/>
        <v/>
      </c>
      <c r="CU77" s="212" t="str">
        <f t="shared" si="295"/>
        <v/>
      </c>
      <c r="CV77" s="208" t="str">
        <f t="shared" si="296"/>
        <v/>
      </c>
      <c r="CW77" s="213" t="str">
        <f t="shared" si="297"/>
        <v/>
      </c>
      <c r="CX77" s="214"/>
      <c r="CY77" s="195"/>
      <c r="CZ77" s="195"/>
      <c r="DA77" s="195"/>
      <c r="DB77" s="195"/>
      <c r="DC77" s="195"/>
      <c r="DD77" s="195"/>
      <c r="DE77" s="195"/>
      <c r="DF77" s="195"/>
      <c r="DG77" s="195"/>
      <c r="DH77" s="195"/>
      <c r="DI77" s="195"/>
      <c r="DJ77" s="195"/>
      <c r="DK77" s="195"/>
      <c r="DL77" s="195"/>
      <c r="DM77" s="195"/>
      <c r="DN77" s="195"/>
      <c r="DO77" s="195"/>
      <c r="DP77" s="195"/>
      <c r="DQ77" s="195"/>
      <c r="DR77" s="195"/>
      <c r="DS77" s="195"/>
      <c r="DT77" s="195"/>
      <c r="DU77" s="195"/>
      <c r="DV77" s="195"/>
      <c r="DW77" s="195"/>
      <c r="DX77" s="195"/>
      <c r="DY77" s="195"/>
      <c r="DZ77" s="195"/>
      <c r="EA77" s="195"/>
      <c r="EB77" s="195"/>
      <c r="EC77" s="195"/>
      <c r="ED77" s="215"/>
      <c r="EE77" s="216"/>
      <c r="EF77" s="216"/>
      <c r="EG77" s="216"/>
      <c r="EH77" s="216"/>
      <c r="EI77" s="216"/>
      <c r="EJ77" s="216"/>
      <c r="EK77" s="216"/>
      <c r="EL77" s="216"/>
      <c r="EM77" s="216"/>
      <c r="EN77" s="216"/>
      <c r="EO77" s="216"/>
      <c r="EP77" s="216"/>
      <c r="EQ77" s="216"/>
      <c r="ER77" s="216"/>
      <c r="ES77" s="217"/>
      <c r="ET77" s="207">
        <v>7.4</v>
      </c>
      <c r="EU77" s="195">
        <v>6.86</v>
      </c>
      <c r="EV77" s="195">
        <v>162.6</v>
      </c>
      <c r="EW77" s="195">
        <v>-3.6</v>
      </c>
      <c r="EX77" s="195">
        <v>0.56999999999999995</v>
      </c>
      <c r="EY77" s="195">
        <v>0.62</v>
      </c>
      <c r="EZ77" s="195">
        <v>-0.63</v>
      </c>
      <c r="FA77" s="195">
        <v>-0.12</v>
      </c>
      <c r="FB77" s="195">
        <v>511</v>
      </c>
      <c r="FC77" s="195">
        <v>511</v>
      </c>
      <c r="FD77" s="195">
        <v>640</v>
      </c>
      <c r="FE77" s="195">
        <v>599</v>
      </c>
      <c r="FF77" s="195">
        <v>602</v>
      </c>
      <c r="FG77" s="195">
        <v>613</v>
      </c>
      <c r="FH77" s="195">
        <v>510</v>
      </c>
      <c r="FI77" s="195">
        <v>0.47</v>
      </c>
      <c r="FJ77" s="195">
        <v>-0.13</v>
      </c>
      <c r="FK77" s="195">
        <v>7.14</v>
      </c>
      <c r="FL77" s="195">
        <v>7.15</v>
      </c>
      <c r="FM77" s="195">
        <v>7.26</v>
      </c>
      <c r="FN77" s="195">
        <v>7.47</v>
      </c>
      <c r="FO77" s="195">
        <v>7.78</v>
      </c>
      <c r="FP77" s="195">
        <v>8.01</v>
      </c>
      <c r="FQ77" s="195">
        <v>0</v>
      </c>
      <c r="FR77" s="195">
        <v>1.4</v>
      </c>
      <c r="FS77" s="195">
        <v>5.85</v>
      </c>
      <c r="FT77" s="195">
        <v>5.79</v>
      </c>
      <c r="FU77" s="195">
        <v>6.06</v>
      </c>
      <c r="FV77" s="195">
        <v>6.48</v>
      </c>
      <c r="FW77" s="195">
        <v>6.7</v>
      </c>
      <c r="FX77" s="195">
        <v>0</v>
      </c>
      <c r="FY77" s="195">
        <v>0</v>
      </c>
      <c r="FZ77" s="218">
        <v>1.4</v>
      </c>
      <c r="GA77" s="216"/>
      <c r="GB77" s="216"/>
      <c r="GC77" s="216"/>
      <c r="GD77" s="216"/>
      <c r="GE77" s="216"/>
      <c r="GF77" s="216"/>
      <c r="GG77" s="216"/>
      <c r="GH77" s="216"/>
      <c r="GI77" s="216"/>
      <c r="GJ77" s="216"/>
      <c r="GK77" s="216"/>
      <c r="GL77" s="216"/>
      <c r="GM77" s="216"/>
      <c r="GN77" s="216"/>
      <c r="GO77" s="219"/>
      <c r="GP77" s="207"/>
      <c r="GQ77" s="195"/>
      <c r="GR77" s="195"/>
      <c r="GS77" s="195"/>
      <c r="GT77" s="195"/>
      <c r="GU77" s="195"/>
      <c r="GV77" s="195"/>
      <c r="GW77" s="195"/>
      <c r="GX77" s="195"/>
      <c r="GY77" s="195"/>
      <c r="GZ77" s="195"/>
      <c r="HA77" s="195"/>
      <c r="HB77" s="195"/>
      <c r="HC77" s="195"/>
      <c r="HD77" s="195"/>
      <c r="HE77" s="195"/>
      <c r="HF77" s="195"/>
      <c r="HG77" s="195"/>
      <c r="HH77" s="195"/>
      <c r="HI77" s="195"/>
      <c r="HJ77" s="195"/>
      <c r="HK77" s="195"/>
      <c r="HL77" s="195"/>
      <c r="HM77" s="195"/>
      <c r="HN77" s="195"/>
      <c r="HO77" s="195"/>
      <c r="HP77" s="195"/>
      <c r="HQ77" s="195"/>
      <c r="HR77" s="195"/>
      <c r="HS77" s="195"/>
      <c r="HT77" s="195"/>
      <c r="HU77" s="195"/>
      <c r="HV77" s="206"/>
      <c r="HW77" s="216"/>
      <c r="HX77" s="216"/>
      <c r="HY77" s="216"/>
      <c r="HZ77" s="216"/>
      <c r="IA77" s="216"/>
      <c r="IB77" s="216"/>
      <c r="IC77" s="216"/>
      <c r="ID77" s="216"/>
      <c r="IE77" s="216"/>
      <c r="IF77" s="216"/>
      <c r="IG77" s="216"/>
      <c r="IH77" s="216"/>
      <c r="II77" s="216"/>
      <c r="IJ77" s="216"/>
      <c r="IK77" s="220"/>
      <c r="IL77" s="207">
        <f t="shared" si="298"/>
        <v>7.4</v>
      </c>
      <c r="IM77" s="195">
        <f t="shared" si="299"/>
        <v>6.86</v>
      </c>
      <c r="IN77" s="195">
        <f t="shared" si="300"/>
        <v>162.6</v>
      </c>
      <c r="IO77" s="195">
        <f t="shared" si="301"/>
        <v>-3.6</v>
      </c>
      <c r="IP77" s="195">
        <f t="shared" si="302"/>
        <v>0.56999999999999995</v>
      </c>
      <c r="IQ77" s="195">
        <f t="shared" si="303"/>
        <v>0.62</v>
      </c>
      <c r="IR77" s="195">
        <f t="shared" si="304"/>
        <v>-0.63</v>
      </c>
      <c r="IS77" s="195">
        <f t="shared" si="305"/>
        <v>-0.12</v>
      </c>
      <c r="IT77" s="195">
        <f t="shared" si="306"/>
        <v>511</v>
      </c>
      <c r="IU77" s="195">
        <f t="shared" si="307"/>
        <v>511</v>
      </c>
      <c r="IV77" s="195">
        <f t="shared" si="308"/>
        <v>640</v>
      </c>
      <c r="IW77" s="195">
        <f t="shared" si="309"/>
        <v>599</v>
      </c>
      <c r="IX77" s="195">
        <f t="shared" si="310"/>
        <v>602</v>
      </c>
      <c r="IY77" s="195">
        <f t="shared" si="311"/>
        <v>613</v>
      </c>
      <c r="IZ77" s="195">
        <f t="shared" si="312"/>
        <v>510</v>
      </c>
      <c r="JA77" s="195">
        <f t="shared" si="313"/>
        <v>0.47</v>
      </c>
      <c r="JB77" s="195">
        <f t="shared" si="314"/>
        <v>-0.13</v>
      </c>
      <c r="JC77" s="195">
        <f t="shared" si="315"/>
        <v>7.14</v>
      </c>
      <c r="JD77" s="195">
        <f t="shared" si="316"/>
        <v>7.15</v>
      </c>
      <c r="JE77" s="195">
        <f t="shared" si="317"/>
        <v>7.26</v>
      </c>
      <c r="JF77" s="195">
        <f t="shared" si="318"/>
        <v>7.47</v>
      </c>
      <c r="JG77" s="195">
        <f t="shared" si="319"/>
        <v>7.78</v>
      </c>
      <c r="JH77" s="195">
        <f t="shared" si="320"/>
        <v>8.01</v>
      </c>
      <c r="JI77" s="195">
        <f t="shared" si="321"/>
        <v>0</v>
      </c>
      <c r="JJ77" s="195">
        <f t="shared" si="322"/>
        <v>1.4</v>
      </c>
      <c r="JK77" s="195">
        <f t="shared" si="323"/>
        <v>5.85</v>
      </c>
      <c r="JL77" s="195">
        <f t="shared" si="324"/>
        <v>5.79</v>
      </c>
      <c r="JM77" s="195">
        <f t="shared" si="325"/>
        <v>6.06</v>
      </c>
      <c r="JN77" s="195">
        <f t="shared" si="326"/>
        <v>6.48</v>
      </c>
      <c r="JO77" s="195">
        <f t="shared" si="327"/>
        <v>6.7</v>
      </c>
      <c r="JP77" s="195">
        <f t="shared" si="328"/>
        <v>0</v>
      </c>
      <c r="JQ77" s="221">
        <f t="shared" si="329"/>
        <v>0</v>
      </c>
      <c r="JR77" s="216">
        <f t="shared" si="330"/>
        <v>1.4</v>
      </c>
      <c r="JS77" s="216" t="str">
        <f t="shared" si="331"/>
        <v/>
      </c>
      <c r="JT77" s="216" t="str">
        <f t="shared" si="332"/>
        <v/>
      </c>
      <c r="JU77" s="216" t="str">
        <f t="shared" si="333"/>
        <v/>
      </c>
      <c r="JV77" s="216" t="str">
        <f t="shared" si="334"/>
        <v/>
      </c>
      <c r="JW77" s="216" t="str">
        <f t="shared" si="335"/>
        <v/>
      </c>
      <c r="JX77" s="216" t="str">
        <f t="shared" si="336"/>
        <v/>
      </c>
      <c r="JY77" s="216" t="str">
        <f t="shared" si="337"/>
        <v/>
      </c>
      <c r="JZ77" s="216" t="str">
        <f t="shared" si="338"/>
        <v/>
      </c>
      <c r="KA77" s="216" t="str">
        <f t="shared" si="339"/>
        <v/>
      </c>
      <c r="KB77" s="216" t="str">
        <f t="shared" si="340"/>
        <v/>
      </c>
      <c r="KC77" s="216" t="str">
        <f t="shared" si="341"/>
        <v/>
      </c>
      <c r="KD77" s="216" t="str">
        <f t="shared" si="342"/>
        <v/>
      </c>
      <c r="KE77" s="216" t="str">
        <f t="shared" si="343"/>
        <v/>
      </c>
      <c r="KF77" s="216" t="str">
        <f t="shared" si="344"/>
        <v/>
      </c>
      <c r="KG77" s="220" t="str">
        <f t="shared" si="345"/>
        <v/>
      </c>
      <c r="KH77" s="207" t="str">
        <f t="shared" si="346"/>
        <v/>
      </c>
      <c r="KI77" s="195" t="str">
        <f t="shared" si="347"/>
        <v/>
      </c>
      <c r="KJ77" s="195" t="str">
        <f t="shared" si="348"/>
        <v/>
      </c>
      <c r="KK77" s="195" t="str">
        <f t="shared" si="349"/>
        <v/>
      </c>
      <c r="KL77" s="195" t="str">
        <f t="shared" si="350"/>
        <v/>
      </c>
      <c r="KM77" s="195" t="str">
        <f t="shared" si="351"/>
        <v/>
      </c>
      <c r="KN77" s="195" t="str">
        <f t="shared" si="352"/>
        <v/>
      </c>
      <c r="KO77" s="195" t="str">
        <f t="shared" si="353"/>
        <v/>
      </c>
      <c r="KP77" s="195" t="str">
        <f t="shared" si="354"/>
        <v/>
      </c>
      <c r="KQ77" s="195" t="str">
        <f t="shared" si="355"/>
        <v/>
      </c>
      <c r="KR77" s="195" t="str">
        <f t="shared" si="356"/>
        <v/>
      </c>
      <c r="KS77" s="195" t="str">
        <f t="shared" si="357"/>
        <v/>
      </c>
      <c r="KT77" s="195" t="str">
        <f t="shared" si="358"/>
        <v/>
      </c>
      <c r="KU77" s="195" t="str">
        <f t="shared" si="359"/>
        <v/>
      </c>
      <c r="KV77" s="195" t="str">
        <f t="shared" si="360"/>
        <v/>
      </c>
      <c r="KW77" s="195" t="str">
        <f t="shared" si="361"/>
        <v/>
      </c>
      <c r="KX77" s="195" t="str">
        <f t="shared" si="362"/>
        <v/>
      </c>
      <c r="KY77" s="195" t="str">
        <f t="shared" si="363"/>
        <v/>
      </c>
      <c r="KZ77" s="195" t="str">
        <f t="shared" si="364"/>
        <v/>
      </c>
      <c r="LA77" s="195" t="str">
        <f t="shared" si="365"/>
        <v/>
      </c>
      <c r="LB77" s="195" t="str">
        <f t="shared" si="366"/>
        <v/>
      </c>
      <c r="LC77" s="195" t="str">
        <f t="shared" si="367"/>
        <v/>
      </c>
      <c r="LD77" s="195" t="str">
        <f t="shared" si="368"/>
        <v/>
      </c>
      <c r="LE77" s="195" t="str">
        <f t="shared" si="369"/>
        <v/>
      </c>
      <c r="LF77" s="195" t="str">
        <f t="shared" si="370"/>
        <v/>
      </c>
      <c r="LG77" s="195" t="str">
        <f t="shared" si="371"/>
        <v/>
      </c>
      <c r="LH77" s="195" t="str">
        <f t="shared" si="372"/>
        <v/>
      </c>
      <c r="LI77" s="195" t="str">
        <f t="shared" si="373"/>
        <v/>
      </c>
      <c r="LJ77" s="195" t="str">
        <f t="shared" si="374"/>
        <v/>
      </c>
      <c r="LK77" s="195" t="str">
        <f t="shared" si="375"/>
        <v/>
      </c>
      <c r="LL77" s="195" t="str">
        <f t="shared" si="376"/>
        <v/>
      </c>
      <c r="LM77" s="195" t="str">
        <f t="shared" si="377"/>
        <v/>
      </c>
      <c r="LN77" s="195" t="str">
        <f t="shared" si="378"/>
        <v/>
      </c>
      <c r="LO77" s="195" t="str">
        <f t="shared" si="379"/>
        <v/>
      </c>
      <c r="LP77" s="195" t="str">
        <f t="shared" si="380"/>
        <v/>
      </c>
      <c r="LQ77" s="195" t="str">
        <f t="shared" si="381"/>
        <v/>
      </c>
      <c r="LR77" s="195" t="str">
        <f t="shared" si="382"/>
        <v/>
      </c>
      <c r="LS77" s="195" t="str">
        <f t="shared" si="383"/>
        <v/>
      </c>
      <c r="LT77" s="195" t="str">
        <f t="shared" si="384"/>
        <v/>
      </c>
      <c r="LU77" s="195" t="str">
        <f t="shared" si="385"/>
        <v/>
      </c>
      <c r="LV77" s="195" t="str">
        <f t="shared" si="386"/>
        <v/>
      </c>
      <c r="LW77" s="195" t="str">
        <f t="shared" si="387"/>
        <v/>
      </c>
      <c r="LX77" s="195" t="str">
        <f t="shared" si="388"/>
        <v/>
      </c>
      <c r="LY77" s="195" t="str">
        <f t="shared" si="389"/>
        <v/>
      </c>
      <c r="LZ77" s="195" t="str">
        <f t="shared" si="390"/>
        <v/>
      </c>
      <c r="MA77" s="195" t="str">
        <f t="shared" si="391"/>
        <v/>
      </c>
      <c r="MB77" s="195" t="str">
        <f t="shared" si="392"/>
        <v/>
      </c>
      <c r="MC77" s="195" t="str">
        <f t="shared" si="393"/>
        <v/>
      </c>
      <c r="MD77" s="195" t="str">
        <f t="shared" si="394"/>
        <v/>
      </c>
      <c r="ME77" s="195" t="str">
        <f t="shared" si="395"/>
        <v/>
      </c>
      <c r="MF77" s="195" t="str">
        <f t="shared" si="396"/>
        <v/>
      </c>
      <c r="MG77" s="195">
        <f t="shared" si="397"/>
        <v>0</v>
      </c>
    </row>
    <row r="78" spans="1:345" s="195" customFormat="1" ht="26.25" customHeight="1" thickBot="1" x14ac:dyDescent="0.25">
      <c r="A78" s="35">
        <v>41395</v>
      </c>
      <c r="B78" s="36" t="s">
        <v>168</v>
      </c>
      <c r="C78" s="36" t="s">
        <v>49</v>
      </c>
      <c r="D78" s="31" t="s">
        <v>111</v>
      </c>
      <c r="E78" s="4">
        <v>65</v>
      </c>
      <c r="F78" s="3">
        <v>17622</v>
      </c>
      <c r="G78" s="4" t="s">
        <v>87</v>
      </c>
      <c r="H78" s="4" t="s">
        <v>108</v>
      </c>
      <c r="I78" s="4">
        <v>1836533</v>
      </c>
      <c r="J78" s="4"/>
      <c r="K78" s="54"/>
      <c r="L78" s="229"/>
      <c r="M78" s="229"/>
      <c r="N78" s="231"/>
      <c r="O78" s="261"/>
      <c r="P78" s="231"/>
      <c r="Q78" s="231"/>
      <c r="R78" s="33">
        <v>-0.5</v>
      </c>
      <c r="S78" s="33">
        <v>-0.81</v>
      </c>
      <c r="T78" s="33" t="s">
        <v>249</v>
      </c>
      <c r="U78" s="67">
        <v>20.75</v>
      </c>
      <c r="V78" s="124">
        <v>41361</v>
      </c>
      <c r="W78" s="67">
        <v>1.25</v>
      </c>
      <c r="X78" s="67">
        <v>1.25</v>
      </c>
      <c r="Y78" s="4">
        <v>180</v>
      </c>
      <c r="Z78" s="4">
        <v>50</v>
      </c>
      <c r="AA78" s="4">
        <v>10</v>
      </c>
      <c r="AB78" s="4">
        <v>631</v>
      </c>
      <c r="AC78" s="4">
        <v>23.74</v>
      </c>
      <c r="AD78" s="4">
        <v>11.6</v>
      </c>
      <c r="AE78" s="4">
        <v>4.6399999999999997</v>
      </c>
      <c r="AF78" s="4">
        <v>3.08</v>
      </c>
      <c r="AG78" s="4">
        <v>43.16</v>
      </c>
      <c r="AH78" s="4">
        <v>123</v>
      </c>
      <c r="AI78" s="4">
        <v>44.29</v>
      </c>
      <c r="AJ78" s="4">
        <v>33</v>
      </c>
      <c r="AK78" s="4">
        <v>0</v>
      </c>
      <c r="AL78" s="4" t="b">
        <f t="shared" si="268"/>
        <v>0</v>
      </c>
      <c r="AM78" s="43"/>
      <c r="AN78" s="37">
        <v>41556</v>
      </c>
      <c r="AO78" s="56"/>
      <c r="AP78" s="67">
        <v>-1.75</v>
      </c>
      <c r="AQ78" s="67">
        <v>2</v>
      </c>
      <c r="AR78" s="4">
        <v>17</v>
      </c>
      <c r="AS78" s="4">
        <v>20</v>
      </c>
      <c r="AT78" s="4">
        <v>14</v>
      </c>
      <c r="AU78" s="4">
        <v>499</v>
      </c>
      <c r="AV78" s="4">
        <v>2427</v>
      </c>
      <c r="AW78" s="4">
        <v>23.71</v>
      </c>
      <c r="AX78" s="4">
        <v>4.6399999999999997</v>
      </c>
      <c r="AY78" s="4">
        <v>42.79</v>
      </c>
      <c r="AZ78" s="4">
        <v>104</v>
      </c>
      <c r="BA78" s="4">
        <v>43.95</v>
      </c>
      <c r="BB78" s="4">
        <v>14</v>
      </c>
      <c r="BC78" s="4">
        <f t="shared" si="269"/>
        <v>-0.75</v>
      </c>
      <c r="BD78" s="4">
        <f t="shared" si="267"/>
        <v>6.0000000000000053E-2</v>
      </c>
      <c r="BE78" s="4">
        <f t="shared" si="270"/>
        <v>-132</v>
      </c>
      <c r="BF78" s="137">
        <v>41717</v>
      </c>
      <c r="BG78" s="56"/>
      <c r="BH78" s="67"/>
      <c r="BI78" s="67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tr">
        <f>IF(ISNUMBER(BH78),BH78+0.5*BI78,"")</f>
        <v/>
      </c>
      <c r="BV78" s="4" t="str">
        <f t="shared" si="271"/>
        <v/>
      </c>
      <c r="BW78" s="4" t="str">
        <f t="shared" si="272"/>
        <v/>
      </c>
      <c r="BX78" s="4">
        <f t="shared" si="273"/>
        <v>1</v>
      </c>
      <c r="BY78" s="4">
        <f t="shared" si="274"/>
        <v>0</v>
      </c>
      <c r="BZ78" s="4" t="str">
        <f t="shared" si="275"/>
        <v/>
      </c>
      <c r="CA78" s="4" t="str">
        <f t="shared" si="276"/>
        <v/>
      </c>
      <c r="CB78" s="4" t="str">
        <f t="shared" si="277"/>
        <v/>
      </c>
      <c r="CC78" s="53">
        <f t="shared" si="278"/>
        <v>161</v>
      </c>
      <c r="CD78" s="55">
        <f t="shared" si="279"/>
        <v>5.3666666666666663</v>
      </c>
      <c r="CE78" s="4" t="str">
        <f t="shared" si="280"/>
        <v/>
      </c>
      <c r="CF78" s="4">
        <f t="shared" si="281"/>
        <v>-0.35499999999998977</v>
      </c>
      <c r="CG78" s="4" t="str">
        <f t="shared" si="282"/>
        <v/>
      </c>
      <c r="CH78" s="4">
        <f t="shared" si="283"/>
        <v>-0.35499999999998977</v>
      </c>
      <c r="CI78" s="4">
        <f t="shared" si="284"/>
        <v>1.875</v>
      </c>
      <c r="CJ78" s="4">
        <f t="shared" si="285"/>
        <v>-0.75</v>
      </c>
      <c r="CK78" s="93">
        <f t="shared" si="286"/>
        <v>6.0000000000000053E-2</v>
      </c>
      <c r="CL78" s="83">
        <f t="shared" si="287"/>
        <v>-132</v>
      </c>
      <c r="CM78" s="4">
        <f t="shared" si="288"/>
        <v>-2.9999999999997584E-2</v>
      </c>
      <c r="CN78" s="96">
        <f t="shared" si="289"/>
        <v>-0.81</v>
      </c>
      <c r="CO78" s="96">
        <f t="shared" si="265"/>
        <v>0.3979400086720376</v>
      </c>
      <c r="CP78" s="127">
        <f t="shared" si="290"/>
        <v>2</v>
      </c>
      <c r="CQ78" s="127">
        <f t="shared" si="291"/>
        <v>0.75</v>
      </c>
      <c r="CR78" s="136">
        <f t="shared" si="292"/>
        <v>20</v>
      </c>
      <c r="CS78" s="136">
        <f t="shared" si="293"/>
        <v>50</v>
      </c>
      <c r="CT78" s="135" t="str">
        <f t="shared" si="294"/>
        <v/>
      </c>
      <c r="CU78" s="139">
        <f t="shared" si="295"/>
        <v>1</v>
      </c>
      <c r="CV78" s="96" t="str">
        <f t="shared" si="296"/>
        <v/>
      </c>
      <c r="CW78" s="141" t="b">
        <f t="shared" si="297"/>
        <v>1</v>
      </c>
      <c r="CX78" s="108">
        <v>7.73</v>
      </c>
      <c r="CY78" s="4">
        <v>7.88</v>
      </c>
      <c r="CZ78" s="4">
        <v>98.5</v>
      </c>
      <c r="DA78" s="4">
        <v>0.8</v>
      </c>
      <c r="DB78" s="4">
        <v>0.41</v>
      </c>
      <c r="DC78" s="4">
        <v>0.45</v>
      </c>
      <c r="DD78" s="4">
        <v>2.46</v>
      </c>
      <c r="DE78" s="4">
        <v>3.08</v>
      </c>
      <c r="DF78" s="4">
        <v>624</v>
      </c>
      <c r="DG78" s="4">
        <v>622</v>
      </c>
      <c r="DH78" s="4">
        <v>661</v>
      </c>
      <c r="DI78" s="4">
        <v>638</v>
      </c>
      <c r="DJ78" s="4">
        <v>669</v>
      </c>
      <c r="DK78" s="4">
        <v>693</v>
      </c>
      <c r="DL78" s="4">
        <v>615</v>
      </c>
      <c r="DM78" s="4">
        <v>-1.18</v>
      </c>
      <c r="DN78" s="4">
        <v>1.97</v>
      </c>
      <c r="DO78" s="4">
        <v>7.83</v>
      </c>
      <c r="DP78" s="4">
        <v>7.78</v>
      </c>
      <c r="DQ78" s="4">
        <v>7.76</v>
      </c>
      <c r="DR78" s="4">
        <v>7.88</v>
      </c>
      <c r="DS78" s="4">
        <v>8.0500000000000007</v>
      </c>
      <c r="DT78" s="4">
        <v>8.1300000000000008</v>
      </c>
      <c r="DU78" s="4">
        <v>0</v>
      </c>
      <c r="DV78" s="4">
        <v>1</v>
      </c>
      <c r="DW78" s="4">
        <v>6.85</v>
      </c>
      <c r="DX78" s="4">
        <v>6.76</v>
      </c>
      <c r="DY78" s="4">
        <v>6.49</v>
      </c>
      <c r="DZ78" s="4">
        <v>6.37</v>
      </c>
      <c r="EA78" s="4">
        <v>6.43</v>
      </c>
      <c r="EB78" s="4">
        <v>0</v>
      </c>
      <c r="EC78" s="4">
        <v>0</v>
      </c>
      <c r="ED78" s="89">
        <v>1</v>
      </c>
      <c r="EE78" s="110">
        <v>42.8</v>
      </c>
      <c r="EF78" s="110">
        <v>43.7</v>
      </c>
      <c r="EG78" s="110">
        <v>43.2</v>
      </c>
      <c r="EH78" s="110">
        <v>98.5</v>
      </c>
      <c r="EI78" s="110">
        <v>0.8</v>
      </c>
      <c r="EJ78" s="110">
        <v>-5.6</v>
      </c>
      <c r="EK78" s="110">
        <v>-6.1</v>
      </c>
      <c r="EL78" s="110">
        <v>-5.8</v>
      </c>
      <c r="EM78" s="110">
        <v>106.2</v>
      </c>
      <c r="EN78" s="110">
        <v>0.5</v>
      </c>
      <c r="EO78" s="110">
        <v>4.5</v>
      </c>
      <c r="EP78" s="110">
        <v>12.8</v>
      </c>
      <c r="EQ78" s="110">
        <v>26.8</v>
      </c>
      <c r="ER78" s="110">
        <v>64.3</v>
      </c>
      <c r="ES78" s="114">
        <v>14</v>
      </c>
      <c r="ET78" s="83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86"/>
      <c r="GA78" s="110">
        <v>42.7</v>
      </c>
      <c r="GB78" s="110">
        <v>43.7</v>
      </c>
      <c r="GC78" s="110">
        <v>43.2</v>
      </c>
      <c r="GD78" s="110">
        <v>112.7</v>
      </c>
      <c r="GE78" s="110">
        <v>1</v>
      </c>
      <c r="GF78" s="110">
        <v>-6.3</v>
      </c>
      <c r="GG78" s="110">
        <v>-6.5</v>
      </c>
      <c r="GH78" s="110">
        <v>-6.4</v>
      </c>
      <c r="GI78" s="110">
        <v>178.8</v>
      </c>
      <c r="GJ78" s="110">
        <v>0.2</v>
      </c>
      <c r="GK78" s="110">
        <v>3.6</v>
      </c>
      <c r="GL78" s="110">
        <v>10.6</v>
      </c>
      <c r="GM78" s="110">
        <v>23.2</v>
      </c>
      <c r="GN78" s="110">
        <v>59.4</v>
      </c>
      <c r="GO78" s="119">
        <v>12</v>
      </c>
      <c r="GP78" s="83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93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21"/>
      <c r="IL78" s="83" t="str">
        <f t="shared" si="298"/>
        <v/>
      </c>
      <c r="IM78" s="4" t="str">
        <f t="shared" si="299"/>
        <v/>
      </c>
      <c r="IN78" s="4" t="str">
        <f t="shared" si="300"/>
        <v/>
      </c>
      <c r="IO78" s="4" t="str">
        <f t="shared" si="301"/>
        <v/>
      </c>
      <c r="IP78" s="4" t="str">
        <f t="shared" si="302"/>
        <v/>
      </c>
      <c r="IQ78" s="4" t="str">
        <f t="shared" si="303"/>
        <v/>
      </c>
      <c r="IR78" s="4" t="str">
        <f t="shared" si="304"/>
        <v/>
      </c>
      <c r="IS78" s="4" t="str">
        <f t="shared" si="305"/>
        <v/>
      </c>
      <c r="IT78" s="4" t="str">
        <f t="shared" si="306"/>
        <v/>
      </c>
      <c r="IU78" s="4" t="str">
        <f t="shared" si="307"/>
        <v/>
      </c>
      <c r="IV78" s="4" t="str">
        <f t="shared" si="308"/>
        <v/>
      </c>
      <c r="IW78" s="4" t="str">
        <f t="shared" si="309"/>
        <v/>
      </c>
      <c r="IX78" s="4" t="str">
        <f t="shared" si="310"/>
        <v/>
      </c>
      <c r="IY78" s="4" t="str">
        <f t="shared" si="311"/>
        <v/>
      </c>
      <c r="IZ78" s="4" t="str">
        <f t="shared" si="312"/>
        <v/>
      </c>
      <c r="JA78" s="4" t="str">
        <f t="shared" si="313"/>
        <v/>
      </c>
      <c r="JB78" s="4" t="str">
        <f t="shared" si="314"/>
        <v/>
      </c>
      <c r="JC78" s="4" t="str">
        <f t="shared" si="315"/>
        <v/>
      </c>
      <c r="JD78" s="4" t="str">
        <f t="shared" si="316"/>
        <v/>
      </c>
      <c r="JE78" s="4" t="str">
        <f t="shared" si="317"/>
        <v/>
      </c>
      <c r="JF78" s="4" t="str">
        <f t="shared" si="318"/>
        <v/>
      </c>
      <c r="JG78" s="4" t="str">
        <f t="shared" si="319"/>
        <v/>
      </c>
      <c r="JH78" s="4" t="str">
        <f t="shared" si="320"/>
        <v/>
      </c>
      <c r="JI78" s="4" t="str">
        <f t="shared" si="321"/>
        <v/>
      </c>
      <c r="JJ78" s="4" t="str">
        <f t="shared" si="322"/>
        <v/>
      </c>
      <c r="JK78" s="4" t="str">
        <f t="shared" si="323"/>
        <v/>
      </c>
      <c r="JL78" s="4" t="str">
        <f t="shared" si="324"/>
        <v/>
      </c>
      <c r="JM78" s="4" t="str">
        <f t="shared" si="325"/>
        <v/>
      </c>
      <c r="JN78" s="4" t="str">
        <f t="shared" si="326"/>
        <v/>
      </c>
      <c r="JO78" s="4" t="str">
        <f t="shared" si="327"/>
        <v/>
      </c>
      <c r="JP78" s="4" t="str">
        <f t="shared" si="328"/>
        <v/>
      </c>
      <c r="JQ78" s="117" t="str">
        <f t="shared" si="329"/>
        <v/>
      </c>
      <c r="JR78" s="110" t="str">
        <f t="shared" si="330"/>
        <v/>
      </c>
      <c r="JS78" s="110">
        <f t="shared" si="331"/>
        <v>42.7</v>
      </c>
      <c r="JT78" s="110">
        <f t="shared" si="332"/>
        <v>43.7</v>
      </c>
      <c r="JU78" s="110">
        <f t="shared" si="333"/>
        <v>43.2</v>
      </c>
      <c r="JV78" s="110">
        <f t="shared" si="334"/>
        <v>112.7</v>
      </c>
      <c r="JW78" s="110">
        <f t="shared" si="335"/>
        <v>1</v>
      </c>
      <c r="JX78" s="110">
        <f t="shared" si="336"/>
        <v>-6.3</v>
      </c>
      <c r="JY78" s="110">
        <f t="shared" si="337"/>
        <v>-6.5</v>
      </c>
      <c r="JZ78" s="110">
        <f t="shared" si="338"/>
        <v>-6.4</v>
      </c>
      <c r="KA78" s="110">
        <f t="shared" si="339"/>
        <v>178.8</v>
      </c>
      <c r="KB78" s="110">
        <f t="shared" si="340"/>
        <v>0.2</v>
      </c>
      <c r="KC78" s="110">
        <f t="shared" si="341"/>
        <v>3.6</v>
      </c>
      <c r="KD78" s="110">
        <f t="shared" si="342"/>
        <v>10.6</v>
      </c>
      <c r="KE78" s="110">
        <f t="shared" si="343"/>
        <v>23.2</v>
      </c>
      <c r="KF78" s="110">
        <f t="shared" si="344"/>
        <v>59.4</v>
      </c>
      <c r="KG78" s="121">
        <f t="shared" si="345"/>
        <v>12</v>
      </c>
      <c r="KH78" s="83" t="str">
        <f t="shared" si="346"/>
        <v/>
      </c>
      <c r="KI78" s="4" t="str">
        <f t="shared" si="347"/>
        <v/>
      </c>
      <c r="KJ78" s="4" t="str">
        <f t="shared" si="348"/>
        <v/>
      </c>
      <c r="KK78" s="4" t="str">
        <f t="shared" si="349"/>
        <v/>
      </c>
      <c r="KL78" s="4" t="str">
        <f t="shared" si="350"/>
        <v/>
      </c>
      <c r="KM78" s="4" t="str">
        <f t="shared" si="351"/>
        <v/>
      </c>
      <c r="KN78" s="4" t="str">
        <f t="shared" si="352"/>
        <v/>
      </c>
      <c r="KO78" s="4" t="str">
        <f t="shared" si="353"/>
        <v/>
      </c>
      <c r="KP78" s="4" t="str">
        <f t="shared" si="354"/>
        <v/>
      </c>
      <c r="KQ78" s="4" t="str">
        <f t="shared" si="355"/>
        <v/>
      </c>
      <c r="KR78" s="4" t="str">
        <f t="shared" si="356"/>
        <v/>
      </c>
      <c r="KS78" s="4" t="str">
        <f t="shared" si="357"/>
        <v/>
      </c>
      <c r="KT78" s="4" t="str">
        <f t="shared" si="358"/>
        <v/>
      </c>
      <c r="KU78" s="4" t="str">
        <f t="shared" si="359"/>
        <v/>
      </c>
      <c r="KV78" s="4" t="str">
        <f t="shared" si="360"/>
        <v/>
      </c>
      <c r="KW78" s="4" t="str">
        <f t="shared" si="361"/>
        <v/>
      </c>
      <c r="KX78" s="4" t="str">
        <f t="shared" si="362"/>
        <v/>
      </c>
      <c r="KY78" s="4" t="str">
        <f t="shared" si="363"/>
        <v/>
      </c>
      <c r="KZ78" s="4" t="str">
        <f t="shared" si="364"/>
        <v/>
      </c>
      <c r="LA78" s="4" t="str">
        <f t="shared" si="365"/>
        <v/>
      </c>
      <c r="LB78" s="4" t="str">
        <f t="shared" si="366"/>
        <v/>
      </c>
      <c r="LC78" s="4" t="str">
        <f t="shared" si="367"/>
        <v/>
      </c>
      <c r="LD78" s="4" t="str">
        <f t="shared" si="368"/>
        <v/>
      </c>
      <c r="LE78" s="4" t="str">
        <f t="shared" si="369"/>
        <v/>
      </c>
      <c r="LF78" s="4" t="str">
        <f t="shared" si="370"/>
        <v/>
      </c>
      <c r="LG78" s="4" t="str">
        <f t="shared" si="371"/>
        <v/>
      </c>
      <c r="LH78" s="4" t="str">
        <f t="shared" si="372"/>
        <v/>
      </c>
      <c r="LI78" s="4" t="str">
        <f t="shared" si="373"/>
        <v/>
      </c>
      <c r="LJ78" s="4" t="str">
        <f t="shared" si="374"/>
        <v/>
      </c>
      <c r="LK78" s="4" t="str">
        <f t="shared" si="375"/>
        <v/>
      </c>
      <c r="LL78" s="4" t="str">
        <f t="shared" si="376"/>
        <v/>
      </c>
      <c r="LM78" s="4" t="str">
        <f t="shared" si="377"/>
        <v/>
      </c>
      <c r="LN78" s="4" t="str">
        <f t="shared" si="378"/>
        <v/>
      </c>
      <c r="LO78" s="4">
        <f t="shared" si="379"/>
        <v>-9.9999999999994316E-2</v>
      </c>
      <c r="LP78" s="4">
        <f t="shared" si="380"/>
        <v>0</v>
      </c>
      <c r="LQ78" s="4">
        <f t="shared" si="381"/>
        <v>0</v>
      </c>
      <c r="LR78" s="4">
        <f t="shared" si="382"/>
        <v>14.200000000000003</v>
      </c>
      <c r="LS78" s="4">
        <f t="shared" si="383"/>
        <v>0.19999999999999996</v>
      </c>
      <c r="LT78" s="4">
        <f t="shared" si="384"/>
        <v>-0.70000000000000018</v>
      </c>
      <c r="LU78" s="4">
        <f t="shared" si="385"/>
        <v>-0.40000000000000036</v>
      </c>
      <c r="LV78" s="4">
        <f t="shared" si="386"/>
        <v>-0.60000000000000053</v>
      </c>
      <c r="LW78" s="4">
        <f t="shared" si="387"/>
        <v>72.600000000000009</v>
      </c>
      <c r="LX78" s="4">
        <f t="shared" si="388"/>
        <v>-0.3</v>
      </c>
      <c r="LY78" s="4">
        <f t="shared" si="389"/>
        <v>-0.89999999999999991</v>
      </c>
      <c r="LZ78" s="4">
        <f t="shared" si="390"/>
        <v>-2.2000000000000011</v>
      </c>
      <c r="MA78" s="4">
        <f t="shared" si="391"/>
        <v>-3.6000000000000014</v>
      </c>
      <c r="MB78" s="4">
        <f t="shared" si="392"/>
        <v>-4.8999999999999986</v>
      </c>
      <c r="MC78" s="4">
        <f t="shared" si="393"/>
        <v>-2</v>
      </c>
      <c r="MD78" s="4" t="str">
        <f t="shared" si="394"/>
        <v/>
      </c>
      <c r="ME78" s="4" t="str">
        <f t="shared" si="395"/>
        <v/>
      </c>
      <c r="MF78" s="4" t="str">
        <f t="shared" si="396"/>
        <v/>
      </c>
      <c r="MG78" s="4">
        <f t="shared" si="397"/>
        <v>6.5</v>
      </c>
    </row>
    <row r="79" spans="1:345" ht="26.25" customHeight="1" thickBot="1" x14ac:dyDescent="0.25">
      <c r="A79" s="35">
        <v>41353</v>
      </c>
      <c r="B79" s="36" t="s">
        <v>125</v>
      </c>
      <c r="C79" s="36" t="s">
        <v>113</v>
      </c>
      <c r="D79" s="31" t="s">
        <v>111</v>
      </c>
      <c r="E79" s="4">
        <v>59</v>
      </c>
      <c r="F79" s="3">
        <v>19513</v>
      </c>
      <c r="G79" s="4" t="s">
        <v>87</v>
      </c>
      <c r="H79" s="4" t="s">
        <v>112</v>
      </c>
      <c r="I79" s="4">
        <v>1836535</v>
      </c>
      <c r="K79" s="230"/>
      <c r="L79" s="231"/>
      <c r="M79" s="231"/>
      <c r="N79" s="231"/>
      <c r="O79" s="261"/>
      <c r="P79" s="231"/>
      <c r="Q79" s="231"/>
      <c r="R79" s="33">
        <v>-0.5</v>
      </c>
      <c r="S79" s="33">
        <v>-0.52</v>
      </c>
      <c r="T79" s="33" t="s">
        <v>249</v>
      </c>
      <c r="U79" s="67">
        <v>18</v>
      </c>
      <c r="V79" s="124">
        <v>41347</v>
      </c>
      <c r="W79" s="67">
        <v>1</v>
      </c>
      <c r="X79" s="67">
        <v>1</v>
      </c>
      <c r="Y79" s="4">
        <v>5</v>
      </c>
      <c r="Z79" s="4">
        <v>30</v>
      </c>
      <c r="AA79" s="4">
        <v>12</v>
      </c>
      <c r="AB79" s="4">
        <v>663</v>
      </c>
      <c r="AC79" s="4">
        <v>24.65</v>
      </c>
      <c r="AD79" s="4">
        <v>12.8</v>
      </c>
      <c r="AE79" s="4">
        <v>4.28</v>
      </c>
      <c r="AF79" s="4">
        <v>2.21</v>
      </c>
      <c r="AG79" s="4">
        <v>43.38</v>
      </c>
      <c r="AH79" s="4">
        <v>139</v>
      </c>
      <c r="AI79" s="4">
        <v>43.77</v>
      </c>
      <c r="AJ79" s="4">
        <v>49</v>
      </c>
      <c r="AK79" s="4">
        <v>0</v>
      </c>
      <c r="AL79" s="4" t="b">
        <f t="shared" si="268"/>
        <v>0</v>
      </c>
      <c r="AN79" s="32">
        <v>41555</v>
      </c>
      <c r="AO79" s="60"/>
      <c r="AP79" s="67">
        <v>1.25</v>
      </c>
      <c r="AQ79" s="67">
        <v>1.25</v>
      </c>
      <c r="AR79" s="4">
        <v>10</v>
      </c>
      <c r="AS79" s="4">
        <v>20</v>
      </c>
      <c r="AT79" s="4">
        <v>13</v>
      </c>
      <c r="AU79" s="4">
        <v>562</v>
      </c>
      <c r="AV79" s="4">
        <v>2370</v>
      </c>
      <c r="AW79" s="4">
        <v>24.75</v>
      </c>
      <c r="AX79" s="4">
        <v>4.63</v>
      </c>
      <c r="AY79" s="4">
        <v>41.36</v>
      </c>
      <c r="AZ79" s="4">
        <v>107</v>
      </c>
      <c r="BA79" s="4">
        <v>42.13</v>
      </c>
      <c r="BB79" s="4">
        <v>17</v>
      </c>
      <c r="BC79" s="4">
        <f t="shared" si="269"/>
        <v>1.875</v>
      </c>
      <c r="BD79" s="4">
        <f t="shared" si="267"/>
        <v>2.395</v>
      </c>
      <c r="BE79" s="4">
        <f t="shared" si="270"/>
        <v>-101</v>
      </c>
      <c r="BF79" s="40">
        <v>41752</v>
      </c>
      <c r="BG79" s="58"/>
      <c r="BU79" s="4" t="str">
        <f>IF(ISNUMBER(BH79),BH79+0.5*BI79,"")</f>
        <v/>
      </c>
      <c r="BV79" s="4" t="str">
        <f t="shared" si="271"/>
        <v/>
      </c>
      <c r="BW79" s="4" t="str">
        <f t="shared" si="272"/>
        <v/>
      </c>
      <c r="BX79" s="4">
        <f t="shared" si="273"/>
        <v>1</v>
      </c>
      <c r="BY79" s="4">
        <f t="shared" si="274"/>
        <v>0</v>
      </c>
      <c r="BZ79" s="4" t="str">
        <f t="shared" si="275"/>
        <v/>
      </c>
      <c r="CA79" s="4" t="str">
        <f t="shared" si="276"/>
        <v/>
      </c>
      <c r="CB79" s="4" t="str">
        <f t="shared" si="277"/>
        <v/>
      </c>
      <c r="CC79" s="53">
        <f t="shared" si="278"/>
        <v>202</v>
      </c>
      <c r="CD79" s="55">
        <f t="shared" si="279"/>
        <v>6.7333333333333334</v>
      </c>
      <c r="CE79" s="4" t="str">
        <f t="shared" si="280"/>
        <v/>
      </c>
      <c r="CF79" s="4">
        <f t="shared" si="281"/>
        <v>-1.8299999999999983</v>
      </c>
      <c r="CG79" s="4" t="str">
        <f t="shared" si="282"/>
        <v/>
      </c>
      <c r="CH79" s="4">
        <f t="shared" si="283"/>
        <v>-1.8299999999999983</v>
      </c>
      <c r="CI79" s="4">
        <f t="shared" si="284"/>
        <v>1.5</v>
      </c>
      <c r="CJ79" s="4">
        <f t="shared" si="285"/>
        <v>1.875</v>
      </c>
      <c r="CK79" s="93">
        <f t="shared" si="286"/>
        <v>2.395</v>
      </c>
      <c r="CL79" s="83">
        <f t="shared" si="287"/>
        <v>-101</v>
      </c>
      <c r="CM79" s="4">
        <f t="shared" si="288"/>
        <v>0.10000000000000142</v>
      </c>
      <c r="CN79" s="96">
        <f t="shared" si="289"/>
        <v>-0.52</v>
      </c>
      <c r="CO79" s="96">
        <f t="shared" si="265"/>
        <v>0.17609125905568127</v>
      </c>
      <c r="CP79" s="127">
        <f t="shared" si="290"/>
        <v>1.25</v>
      </c>
      <c r="CQ79" s="127">
        <f t="shared" si="291"/>
        <v>0.25</v>
      </c>
      <c r="CR79" s="136">
        <f t="shared" si="292"/>
        <v>20</v>
      </c>
      <c r="CS79" s="136">
        <f t="shared" si="293"/>
        <v>30</v>
      </c>
      <c r="CT79" s="135" t="str">
        <f t="shared" si="294"/>
        <v/>
      </c>
      <c r="CU79" s="139">
        <f t="shared" si="295"/>
        <v>0</v>
      </c>
      <c r="CV79" s="96" t="str">
        <f t="shared" si="296"/>
        <v/>
      </c>
      <c r="CW79" s="141" t="b">
        <f t="shared" si="297"/>
        <v>0</v>
      </c>
      <c r="CX79">
        <v>7.87</v>
      </c>
      <c r="CY79" s="4">
        <v>7.99</v>
      </c>
      <c r="CZ79" s="4">
        <v>109.1</v>
      </c>
      <c r="DA79" s="4">
        <v>0.7</v>
      </c>
      <c r="DB79" s="4">
        <v>0.13</v>
      </c>
      <c r="DC79" s="4">
        <v>0.42</v>
      </c>
      <c r="DD79" s="4">
        <v>3.18</v>
      </c>
      <c r="DE79" s="4">
        <v>3.86</v>
      </c>
      <c r="DF79" s="4">
        <v>681</v>
      </c>
      <c r="DG79" s="4">
        <v>683</v>
      </c>
      <c r="DH79" s="4">
        <v>668</v>
      </c>
      <c r="DI79" s="4">
        <v>700</v>
      </c>
      <c r="DJ79" s="4">
        <v>665</v>
      </c>
      <c r="DK79" s="4">
        <v>669</v>
      </c>
      <c r="DL79" s="4">
        <v>638</v>
      </c>
      <c r="DM79" s="4">
        <v>-0.98</v>
      </c>
      <c r="DN79" s="4">
        <v>1.82</v>
      </c>
      <c r="DO79" s="4">
        <v>7.95</v>
      </c>
      <c r="DP79" s="4">
        <v>7.91</v>
      </c>
      <c r="DQ79" s="4">
        <v>7.9</v>
      </c>
      <c r="DR79" s="4">
        <v>8</v>
      </c>
      <c r="DS79" s="4">
        <v>8.39</v>
      </c>
      <c r="DT79" s="4">
        <v>8.75</v>
      </c>
      <c r="DU79" s="4">
        <v>0</v>
      </c>
      <c r="DV79" s="4">
        <v>0.2</v>
      </c>
      <c r="DW79" s="4">
        <v>8.11</v>
      </c>
      <c r="DX79" s="4">
        <v>7.3</v>
      </c>
      <c r="DY79" s="4">
        <v>6.82</v>
      </c>
      <c r="DZ79" s="4">
        <v>6.83</v>
      </c>
      <c r="EA79" s="4">
        <v>7.18</v>
      </c>
      <c r="EB79" s="4">
        <v>7.35</v>
      </c>
      <c r="EC79" s="4">
        <v>0</v>
      </c>
      <c r="ED79" s="89">
        <v>0.2</v>
      </c>
      <c r="EE79" s="110">
        <v>42.2</v>
      </c>
      <c r="EF79" s="110">
        <v>42.9</v>
      </c>
      <c r="EG79" s="110">
        <v>42.6</v>
      </c>
      <c r="EH79" s="110">
        <v>109.1</v>
      </c>
      <c r="EI79" s="110">
        <v>0.7</v>
      </c>
      <c r="EJ79" s="110">
        <v>-5</v>
      </c>
      <c r="EK79" s="110">
        <v>-5.2</v>
      </c>
      <c r="EL79" s="110">
        <v>-5.0999999999999996</v>
      </c>
      <c r="EM79" s="110">
        <v>147.69999999999999</v>
      </c>
      <c r="EN79" s="110">
        <v>0.2</v>
      </c>
      <c r="EO79" s="110">
        <v>4.8</v>
      </c>
      <c r="EP79" s="110">
        <v>13.4</v>
      </c>
      <c r="EQ79" s="110">
        <v>27.4</v>
      </c>
      <c r="ER79" s="110">
        <v>63.5</v>
      </c>
      <c r="ES79" s="114">
        <v>11</v>
      </c>
      <c r="ET79" s="83">
        <v>8.02</v>
      </c>
      <c r="EU79" s="4">
        <v>8.18</v>
      </c>
      <c r="EV79" s="4">
        <v>117.4</v>
      </c>
      <c r="EW79" s="4">
        <v>0.8</v>
      </c>
      <c r="EX79" s="4">
        <v>-0.03</v>
      </c>
      <c r="EY79" s="4">
        <v>7.0000000000000007E-2</v>
      </c>
      <c r="EZ79" s="4">
        <v>4.83</v>
      </c>
      <c r="FA79" s="4">
        <v>5.36</v>
      </c>
      <c r="FB79" s="4">
        <v>531</v>
      </c>
      <c r="FC79" s="4">
        <v>530</v>
      </c>
      <c r="FD79" s="4">
        <v>648</v>
      </c>
      <c r="FE79" s="4">
        <v>628</v>
      </c>
      <c r="FF79" s="4">
        <v>623</v>
      </c>
      <c r="FG79" s="4">
        <v>616</v>
      </c>
      <c r="FH79" s="4">
        <v>528</v>
      </c>
      <c r="FI79" s="4">
        <v>-0.55000000000000004</v>
      </c>
      <c r="FJ79" s="4">
        <v>-0.35</v>
      </c>
      <c r="FK79" s="4">
        <v>8.1300000000000008</v>
      </c>
      <c r="FL79" s="4">
        <v>8.0500000000000007</v>
      </c>
      <c r="FM79" s="4">
        <v>7.98</v>
      </c>
      <c r="FN79" s="4">
        <v>8.02</v>
      </c>
      <c r="FO79" s="4">
        <v>8.27</v>
      </c>
      <c r="FP79" s="4">
        <v>8.5399999999999991</v>
      </c>
      <c r="FQ79" s="4">
        <v>0</v>
      </c>
      <c r="FR79" s="4">
        <v>1.4</v>
      </c>
      <c r="FS79" s="4">
        <v>6.51</v>
      </c>
      <c r="FT79" s="4">
        <v>6.4</v>
      </c>
      <c r="FU79" s="4">
        <v>6.48</v>
      </c>
      <c r="FV79" s="4">
        <v>6.72</v>
      </c>
      <c r="FW79" s="4">
        <v>6.94</v>
      </c>
      <c r="FX79" s="4">
        <v>7.32</v>
      </c>
      <c r="FY79" s="4">
        <v>0</v>
      </c>
      <c r="FZ79" s="86">
        <v>1.4</v>
      </c>
      <c r="GA79" s="110">
        <v>41.2</v>
      </c>
      <c r="GB79" s="110">
        <v>42.1</v>
      </c>
      <c r="GC79" s="110">
        <v>41.7</v>
      </c>
      <c r="GD79" s="110">
        <v>117.4</v>
      </c>
      <c r="GE79" s="110">
        <v>0.8</v>
      </c>
      <c r="GF79" s="110">
        <v>-6.1</v>
      </c>
      <c r="GG79" s="110">
        <v>-6.3</v>
      </c>
      <c r="GH79" s="110">
        <v>-6.2</v>
      </c>
      <c r="GI79" s="110">
        <v>23.1</v>
      </c>
      <c r="GJ79" s="110">
        <v>0.2</v>
      </c>
      <c r="GK79" s="110">
        <v>3.9</v>
      </c>
      <c r="GL79" s="110">
        <v>11.4</v>
      </c>
      <c r="GM79" s="110">
        <v>24.6</v>
      </c>
      <c r="GN79" s="110">
        <v>60.2</v>
      </c>
      <c r="GO79" s="119">
        <v>17</v>
      </c>
      <c r="IL79" s="83">
        <f t="shared" si="298"/>
        <v>8.02</v>
      </c>
      <c r="IM79" s="4">
        <f t="shared" si="299"/>
        <v>8.18</v>
      </c>
      <c r="IN79" s="4">
        <f t="shared" si="300"/>
        <v>117.4</v>
      </c>
      <c r="IO79" s="4">
        <f t="shared" si="301"/>
        <v>0.8</v>
      </c>
      <c r="IP79" s="4">
        <f t="shared" si="302"/>
        <v>-0.03</v>
      </c>
      <c r="IQ79" s="4">
        <f t="shared" si="303"/>
        <v>7.0000000000000007E-2</v>
      </c>
      <c r="IR79" s="4">
        <f t="shared" si="304"/>
        <v>4.83</v>
      </c>
      <c r="IS79" s="4">
        <f t="shared" si="305"/>
        <v>5.36</v>
      </c>
      <c r="IT79" s="4">
        <f t="shared" si="306"/>
        <v>531</v>
      </c>
      <c r="IU79" s="4">
        <f t="shared" si="307"/>
        <v>530</v>
      </c>
      <c r="IV79" s="4">
        <f t="shared" si="308"/>
        <v>648</v>
      </c>
      <c r="IW79" s="4">
        <f t="shared" si="309"/>
        <v>628</v>
      </c>
      <c r="IX79" s="4">
        <f t="shared" si="310"/>
        <v>623</v>
      </c>
      <c r="IY79" s="4">
        <f t="shared" si="311"/>
        <v>616</v>
      </c>
      <c r="IZ79" s="4">
        <f t="shared" si="312"/>
        <v>528</v>
      </c>
      <c r="JA79" s="4">
        <f t="shared" si="313"/>
        <v>-0.55000000000000004</v>
      </c>
      <c r="JB79" s="4">
        <f t="shared" si="314"/>
        <v>-0.35</v>
      </c>
      <c r="JC79" s="4">
        <f t="shared" si="315"/>
        <v>8.1300000000000008</v>
      </c>
      <c r="JD79" s="4">
        <f t="shared" si="316"/>
        <v>8.0500000000000007</v>
      </c>
      <c r="JE79" s="4">
        <f t="shared" si="317"/>
        <v>7.98</v>
      </c>
      <c r="JF79" s="4">
        <f t="shared" si="318"/>
        <v>8.02</v>
      </c>
      <c r="JG79" s="4">
        <f t="shared" si="319"/>
        <v>8.27</v>
      </c>
      <c r="JH79" s="4">
        <f t="shared" si="320"/>
        <v>8.5399999999999991</v>
      </c>
      <c r="JI79" s="4">
        <f t="shared" si="321"/>
        <v>0</v>
      </c>
      <c r="JJ79" s="4">
        <f t="shared" si="322"/>
        <v>1.4</v>
      </c>
      <c r="JK79" s="4">
        <f t="shared" si="323"/>
        <v>6.51</v>
      </c>
      <c r="JL79" s="4">
        <f t="shared" si="324"/>
        <v>6.4</v>
      </c>
      <c r="JM79" s="4">
        <f t="shared" si="325"/>
        <v>6.48</v>
      </c>
      <c r="JN79" s="4">
        <f t="shared" si="326"/>
        <v>6.72</v>
      </c>
      <c r="JO79" s="4">
        <f t="shared" si="327"/>
        <v>6.94</v>
      </c>
      <c r="JP79" s="4">
        <f t="shared" si="328"/>
        <v>7.32</v>
      </c>
      <c r="JQ79" s="117">
        <f t="shared" si="329"/>
        <v>0</v>
      </c>
      <c r="JR79" s="110">
        <f t="shared" si="330"/>
        <v>1.4</v>
      </c>
      <c r="JS79" s="110">
        <f t="shared" si="331"/>
        <v>41.2</v>
      </c>
      <c r="JT79" s="110">
        <f t="shared" si="332"/>
        <v>42.1</v>
      </c>
      <c r="JU79" s="110">
        <f t="shared" si="333"/>
        <v>41.7</v>
      </c>
      <c r="JV79" s="110">
        <f t="shared" si="334"/>
        <v>117.4</v>
      </c>
      <c r="JW79" s="110">
        <f t="shared" si="335"/>
        <v>0.8</v>
      </c>
      <c r="JX79" s="110">
        <f t="shared" si="336"/>
        <v>-6.1</v>
      </c>
      <c r="JY79" s="110">
        <f t="shared" si="337"/>
        <v>-6.3</v>
      </c>
      <c r="JZ79" s="110">
        <f t="shared" si="338"/>
        <v>-6.2</v>
      </c>
      <c r="KA79" s="110">
        <f t="shared" si="339"/>
        <v>23.1</v>
      </c>
      <c r="KB79" s="110">
        <f t="shared" si="340"/>
        <v>0.2</v>
      </c>
      <c r="KC79" s="110">
        <f t="shared" si="341"/>
        <v>3.9</v>
      </c>
      <c r="KD79" s="110">
        <f t="shared" si="342"/>
        <v>11.4</v>
      </c>
      <c r="KE79" s="110">
        <f t="shared" si="343"/>
        <v>24.6</v>
      </c>
      <c r="KF79" s="110">
        <f t="shared" si="344"/>
        <v>60.2</v>
      </c>
      <c r="KG79" s="121">
        <f t="shared" si="345"/>
        <v>17</v>
      </c>
      <c r="KH79" s="83">
        <f t="shared" si="346"/>
        <v>0.14999999999999947</v>
      </c>
      <c r="KI79" s="4">
        <f t="shared" si="347"/>
        <v>0.1899999999999995</v>
      </c>
      <c r="KJ79" s="4">
        <f t="shared" si="348"/>
        <v>8.3000000000000114</v>
      </c>
      <c r="KK79" s="4">
        <f t="shared" si="349"/>
        <v>0.10000000000000009</v>
      </c>
      <c r="KL79" s="4">
        <f t="shared" si="350"/>
        <v>-0.16</v>
      </c>
      <c r="KM79" s="4">
        <f t="shared" si="351"/>
        <v>-0.35</v>
      </c>
      <c r="KN79" s="4">
        <f t="shared" si="352"/>
        <v>1.65</v>
      </c>
      <c r="KO79" s="4">
        <f t="shared" si="353"/>
        <v>1.5000000000000004</v>
      </c>
      <c r="KP79" s="4">
        <f t="shared" si="354"/>
        <v>-150</v>
      </c>
      <c r="KQ79" s="4">
        <f t="shared" si="355"/>
        <v>-153</v>
      </c>
      <c r="KR79" s="4">
        <f t="shared" si="356"/>
        <v>-20</v>
      </c>
      <c r="KS79" s="4">
        <f t="shared" si="357"/>
        <v>-72</v>
      </c>
      <c r="KT79" s="4">
        <f t="shared" si="358"/>
        <v>-42</v>
      </c>
      <c r="KU79" s="4">
        <f t="shared" si="359"/>
        <v>-53</v>
      </c>
      <c r="KV79" s="4">
        <f t="shared" si="360"/>
        <v>-110</v>
      </c>
      <c r="KW79" s="4">
        <f t="shared" si="361"/>
        <v>0.42999999999999994</v>
      </c>
      <c r="KX79" s="4">
        <f t="shared" si="362"/>
        <v>-2.17</v>
      </c>
      <c r="KY79" s="4">
        <f t="shared" si="363"/>
        <v>0.1800000000000006</v>
      </c>
      <c r="KZ79" s="4">
        <f t="shared" si="364"/>
        <v>0.14000000000000057</v>
      </c>
      <c r="LA79" s="4">
        <f t="shared" si="365"/>
        <v>8.0000000000000071E-2</v>
      </c>
      <c r="LB79" s="4">
        <f t="shared" si="366"/>
        <v>1.9999999999999574E-2</v>
      </c>
      <c r="LC79" s="4">
        <f t="shared" si="367"/>
        <v>-0.12000000000000099</v>
      </c>
      <c r="LD79" s="4">
        <f t="shared" si="368"/>
        <v>-0.21000000000000085</v>
      </c>
      <c r="LE79" s="4">
        <f t="shared" si="369"/>
        <v>0</v>
      </c>
      <c r="LF79" s="4">
        <f t="shared" si="370"/>
        <v>1.2</v>
      </c>
      <c r="LG79" s="4">
        <f t="shared" si="371"/>
        <v>-1.5999999999999996</v>
      </c>
      <c r="LH79" s="4">
        <f t="shared" si="372"/>
        <v>-0.89999999999999947</v>
      </c>
      <c r="LI79" s="4">
        <f t="shared" si="373"/>
        <v>-0.33999999999999986</v>
      </c>
      <c r="LJ79" s="4">
        <f t="shared" si="374"/>
        <v>-0.11000000000000032</v>
      </c>
      <c r="LK79" s="4">
        <f t="shared" si="375"/>
        <v>-0.23999999999999932</v>
      </c>
      <c r="LL79" s="4">
        <f t="shared" si="376"/>
        <v>-2.9999999999999361E-2</v>
      </c>
      <c r="LM79" s="4">
        <f t="shared" si="377"/>
        <v>0</v>
      </c>
      <c r="LN79" s="4">
        <f t="shared" si="378"/>
        <v>1.2</v>
      </c>
      <c r="LO79" s="4">
        <f t="shared" si="379"/>
        <v>-1</v>
      </c>
      <c r="LP79" s="4">
        <f t="shared" si="380"/>
        <v>-0.79999999999999716</v>
      </c>
      <c r="LQ79" s="4">
        <f t="shared" si="381"/>
        <v>-0.89999999999999858</v>
      </c>
      <c r="LR79" s="4">
        <f t="shared" si="382"/>
        <v>8.3000000000000114</v>
      </c>
      <c r="LS79" s="4">
        <f t="shared" si="383"/>
        <v>0.10000000000000009</v>
      </c>
      <c r="LT79" s="4">
        <f t="shared" si="384"/>
        <v>-1.0999999999999996</v>
      </c>
      <c r="LU79" s="4">
        <f t="shared" si="385"/>
        <v>-1.0999999999999996</v>
      </c>
      <c r="LV79" s="4">
        <f t="shared" si="386"/>
        <v>-1.1000000000000005</v>
      </c>
      <c r="LW79" s="4">
        <f t="shared" si="387"/>
        <v>-124.6</v>
      </c>
      <c r="LX79" s="4">
        <f t="shared" si="388"/>
        <v>0</v>
      </c>
      <c r="LY79" s="4">
        <f t="shared" si="389"/>
        <v>-0.89999999999999991</v>
      </c>
      <c r="LZ79" s="4">
        <f t="shared" si="390"/>
        <v>-2</v>
      </c>
      <c r="MA79" s="4">
        <f t="shared" si="391"/>
        <v>-2.7999999999999972</v>
      </c>
      <c r="MB79" s="4">
        <f t="shared" si="392"/>
        <v>-3.2999999999999972</v>
      </c>
      <c r="MC79" s="4">
        <f t="shared" si="393"/>
        <v>6</v>
      </c>
      <c r="MD79" s="4" t="str">
        <f t="shared" si="394"/>
        <v/>
      </c>
      <c r="ME79" s="4" t="str">
        <f t="shared" si="395"/>
        <v/>
      </c>
      <c r="MF79" s="4" t="str">
        <f t="shared" si="396"/>
        <v/>
      </c>
      <c r="MG79" s="4">
        <f t="shared" si="397"/>
        <v>6.3</v>
      </c>
    </row>
    <row r="80" spans="1:345" ht="26.25" customHeight="1" thickBot="1" x14ac:dyDescent="0.25">
      <c r="A80" s="35">
        <v>41423</v>
      </c>
      <c r="B80" s="36" t="s">
        <v>162</v>
      </c>
      <c r="C80" s="36" t="s">
        <v>57</v>
      </c>
      <c r="D80" s="31" t="s">
        <v>110</v>
      </c>
      <c r="E80" s="4">
        <v>65</v>
      </c>
      <c r="F80" s="3">
        <v>17568</v>
      </c>
      <c r="G80" s="4" t="s">
        <v>87</v>
      </c>
      <c r="H80" s="4" t="s">
        <v>108</v>
      </c>
      <c r="I80" s="4">
        <v>1836549</v>
      </c>
      <c r="J80" s="4" t="s">
        <v>309</v>
      </c>
      <c r="K80" s="227"/>
      <c r="L80" s="228"/>
      <c r="M80" s="228"/>
      <c r="N80" s="228"/>
      <c r="O80" s="258"/>
      <c r="P80" s="228"/>
      <c r="Q80" s="228"/>
      <c r="R80" s="4">
        <v>-0.5</v>
      </c>
      <c r="S80" s="4">
        <v>-0.59</v>
      </c>
      <c r="T80" s="51" t="s">
        <v>251</v>
      </c>
      <c r="U80" s="67">
        <v>12</v>
      </c>
      <c r="V80" s="124">
        <v>41361</v>
      </c>
      <c r="W80" s="67">
        <v>-7.25</v>
      </c>
      <c r="X80" s="67">
        <v>3.25</v>
      </c>
      <c r="Y80" s="4">
        <v>89</v>
      </c>
      <c r="Z80" s="4">
        <v>50</v>
      </c>
      <c r="AA80" s="4">
        <v>15</v>
      </c>
      <c r="AB80" s="4">
        <v>619</v>
      </c>
      <c r="AC80" s="4">
        <v>26.17</v>
      </c>
      <c r="AD80" s="4">
        <v>12.2</v>
      </c>
      <c r="AE80" s="4">
        <v>4.46</v>
      </c>
      <c r="AF80" s="4">
        <v>2.4</v>
      </c>
      <c r="AG80" s="4">
        <v>46.17</v>
      </c>
      <c r="AH80" s="4">
        <v>179</v>
      </c>
      <c r="AI80" s="4">
        <v>46.17</v>
      </c>
      <c r="AJ80" s="4">
        <v>89</v>
      </c>
      <c r="AK80" s="4">
        <v>1</v>
      </c>
      <c r="AL80" s="4" t="b">
        <f t="shared" si="268"/>
        <v>1</v>
      </c>
      <c r="AM80" s="54" t="s">
        <v>497</v>
      </c>
      <c r="AN80" s="42">
        <v>41562</v>
      </c>
      <c r="AO80" s="62"/>
      <c r="AP80" s="67">
        <v>-1</v>
      </c>
      <c r="AQ80" s="67">
        <v>1.25</v>
      </c>
      <c r="AR80" s="4">
        <v>60</v>
      </c>
      <c r="AS80" s="4">
        <v>30</v>
      </c>
      <c r="AT80" s="4">
        <v>17</v>
      </c>
      <c r="AU80" s="4">
        <v>547</v>
      </c>
      <c r="AV80" s="4">
        <v>2427</v>
      </c>
      <c r="AW80" s="4">
        <v>25.97</v>
      </c>
      <c r="AX80" s="4">
        <v>2.73</v>
      </c>
      <c r="AY80" s="4">
        <v>42.78</v>
      </c>
      <c r="AZ80" s="4">
        <v>3</v>
      </c>
      <c r="BA80" s="4">
        <v>45.42</v>
      </c>
      <c r="BB80" s="4">
        <v>93</v>
      </c>
      <c r="BC80" s="4">
        <f t="shared" si="269"/>
        <v>-0.375</v>
      </c>
      <c r="BD80" s="4">
        <f t="shared" si="267"/>
        <v>0.21499999999999997</v>
      </c>
      <c r="BE80" s="4">
        <f t="shared" si="270"/>
        <v>-72</v>
      </c>
      <c r="BF80" s="137">
        <v>41745</v>
      </c>
      <c r="BV80" s="4" t="str">
        <f t="shared" si="271"/>
        <v/>
      </c>
      <c r="BW80" s="4" t="str">
        <f t="shared" si="272"/>
        <v/>
      </c>
      <c r="BX80" s="4">
        <f t="shared" si="273"/>
        <v>1</v>
      </c>
      <c r="BY80" s="4">
        <f t="shared" si="274"/>
        <v>0</v>
      </c>
      <c r="BZ80" s="4" t="str">
        <f t="shared" si="275"/>
        <v/>
      </c>
      <c r="CA80" s="4" t="str">
        <f t="shared" si="276"/>
        <v/>
      </c>
      <c r="CB80" s="4" t="str">
        <f t="shared" si="277"/>
        <v/>
      </c>
      <c r="CC80" s="53">
        <f t="shared" si="278"/>
        <v>139</v>
      </c>
      <c r="CD80" s="55">
        <f t="shared" si="279"/>
        <v>4.6333333333333337</v>
      </c>
      <c r="CE80" s="4" t="str">
        <f t="shared" si="280"/>
        <v/>
      </c>
      <c r="CF80" s="4">
        <f t="shared" si="281"/>
        <v>-2.0700000000000003</v>
      </c>
      <c r="CG80" s="4" t="str">
        <f t="shared" si="282"/>
        <v/>
      </c>
      <c r="CH80" s="4">
        <f t="shared" si="283"/>
        <v>-2.0700000000000003</v>
      </c>
      <c r="CI80" s="4">
        <f t="shared" si="284"/>
        <v>-5.625</v>
      </c>
      <c r="CJ80" s="4">
        <f t="shared" si="285"/>
        <v>-0.375</v>
      </c>
      <c r="CK80" s="93">
        <f t="shared" si="286"/>
        <v>0.21499999999999997</v>
      </c>
      <c r="CL80" s="83">
        <f t="shared" si="287"/>
        <v>-72</v>
      </c>
      <c r="CM80" s="4">
        <f t="shared" si="288"/>
        <v>-0.20000000000000284</v>
      </c>
      <c r="CN80" s="96">
        <f t="shared" si="289"/>
        <v>-0.59</v>
      </c>
      <c r="CO80" s="96">
        <f t="shared" si="265"/>
        <v>0.22184874961635634</v>
      </c>
      <c r="CP80" s="127">
        <f t="shared" si="290"/>
        <v>1.25</v>
      </c>
      <c r="CQ80" s="127">
        <f t="shared" si="291"/>
        <v>-2</v>
      </c>
      <c r="CR80" s="136">
        <f t="shared" si="292"/>
        <v>30</v>
      </c>
      <c r="CS80" s="136">
        <f t="shared" si="293"/>
        <v>50</v>
      </c>
      <c r="CT80" s="135" t="str">
        <f t="shared" si="294"/>
        <v/>
      </c>
      <c r="CU80" s="139" t="str">
        <f t="shared" si="295"/>
        <v/>
      </c>
      <c r="CV80" s="96" t="str">
        <f t="shared" si="296"/>
        <v/>
      </c>
      <c r="CW80" s="141" t="str">
        <f t="shared" si="297"/>
        <v/>
      </c>
      <c r="ET80" s="83">
        <v>7.88</v>
      </c>
      <c r="EU80" s="4">
        <v>7.49</v>
      </c>
      <c r="EV80" s="4">
        <v>177.5</v>
      </c>
      <c r="EW80" s="4">
        <v>-2.2000000000000002</v>
      </c>
      <c r="EX80" s="4">
        <v>0.56999999999999995</v>
      </c>
      <c r="EY80" s="4">
        <v>0.6</v>
      </c>
      <c r="EZ80" s="4">
        <v>4.7300000000000004</v>
      </c>
      <c r="FA80" s="4">
        <v>5.24</v>
      </c>
      <c r="FB80" s="4">
        <v>517</v>
      </c>
      <c r="FC80" s="4">
        <v>518</v>
      </c>
      <c r="FD80" s="4">
        <v>662</v>
      </c>
      <c r="FE80" s="4">
        <v>626</v>
      </c>
      <c r="FF80" s="4">
        <v>634</v>
      </c>
      <c r="FG80" s="4">
        <v>599</v>
      </c>
      <c r="FH80" s="4">
        <v>515</v>
      </c>
      <c r="FI80" s="4">
        <v>0.51</v>
      </c>
      <c r="FJ80" s="4">
        <v>-0.19</v>
      </c>
      <c r="FK80" s="4">
        <v>7.69</v>
      </c>
      <c r="FL80" s="4">
        <v>7.66</v>
      </c>
      <c r="FM80" s="4">
        <v>7.7</v>
      </c>
      <c r="FN80" s="4">
        <v>7.92</v>
      </c>
      <c r="FO80" s="4">
        <v>8.2899999999999991</v>
      </c>
      <c r="FP80" s="4">
        <v>8.5</v>
      </c>
      <c r="FQ80" s="4">
        <v>0</v>
      </c>
      <c r="FR80" s="4">
        <v>1.4</v>
      </c>
      <c r="FS80" s="4">
        <v>6.16</v>
      </c>
      <c r="FT80" s="4">
        <v>6.02</v>
      </c>
      <c r="FU80" s="4">
        <v>6.12</v>
      </c>
      <c r="FV80" s="4">
        <v>6.5</v>
      </c>
      <c r="FW80" s="4">
        <v>6.68</v>
      </c>
      <c r="FX80" s="4">
        <v>0</v>
      </c>
      <c r="FY80" s="4">
        <v>0</v>
      </c>
      <c r="FZ80" s="86">
        <v>1.4</v>
      </c>
      <c r="IL80" s="83">
        <f t="shared" si="298"/>
        <v>7.88</v>
      </c>
      <c r="IM80" s="4">
        <f t="shared" si="299"/>
        <v>7.49</v>
      </c>
      <c r="IN80" s="4">
        <f t="shared" si="300"/>
        <v>177.5</v>
      </c>
      <c r="IO80" s="4">
        <f t="shared" si="301"/>
        <v>-2.2000000000000002</v>
      </c>
      <c r="IP80" s="4">
        <f t="shared" si="302"/>
        <v>0.56999999999999995</v>
      </c>
      <c r="IQ80" s="4">
        <f t="shared" si="303"/>
        <v>0.6</v>
      </c>
      <c r="IR80" s="4">
        <f t="shared" si="304"/>
        <v>4.7300000000000004</v>
      </c>
      <c r="IS80" s="4">
        <f t="shared" si="305"/>
        <v>5.24</v>
      </c>
      <c r="IT80" s="4">
        <f t="shared" si="306"/>
        <v>517</v>
      </c>
      <c r="IU80" s="4">
        <f t="shared" si="307"/>
        <v>518</v>
      </c>
      <c r="IV80" s="4">
        <f t="shared" si="308"/>
        <v>662</v>
      </c>
      <c r="IW80" s="4">
        <f t="shared" si="309"/>
        <v>626</v>
      </c>
      <c r="IX80" s="4">
        <f t="shared" si="310"/>
        <v>634</v>
      </c>
      <c r="IY80" s="4">
        <f t="shared" si="311"/>
        <v>599</v>
      </c>
      <c r="IZ80" s="4">
        <f t="shared" si="312"/>
        <v>515</v>
      </c>
      <c r="JA80" s="4">
        <f t="shared" si="313"/>
        <v>0.51</v>
      </c>
      <c r="JB80" s="4">
        <f t="shared" si="314"/>
        <v>-0.19</v>
      </c>
      <c r="JC80" s="4">
        <f t="shared" si="315"/>
        <v>7.69</v>
      </c>
      <c r="JD80" s="4">
        <f t="shared" si="316"/>
        <v>7.66</v>
      </c>
      <c r="JE80" s="4">
        <f t="shared" si="317"/>
        <v>7.7</v>
      </c>
      <c r="JF80" s="4">
        <f t="shared" si="318"/>
        <v>7.92</v>
      </c>
      <c r="JG80" s="4">
        <f t="shared" si="319"/>
        <v>8.2899999999999991</v>
      </c>
      <c r="JH80" s="4">
        <f t="shared" si="320"/>
        <v>8.5</v>
      </c>
      <c r="JI80" s="4">
        <f t="shared" si="321"/>
        <v>0</v>
      </c>
      <c r="JJ80" s="4">
        <f t="shared" si="322"/>
        <v>1.4</v>
      </c>
      <c r="JK80" s="4">
        <f t="shared" si="323"/>
        <v>6.16</v>
      </c>
      <c r="JL80" s="4">
        <f t="shared" si="324"/>
        <v>6.02</v>
      </c>
      <c r="JM80" s="4">
        <f t="shared" si="325"/>
        <v>6.12</v>
      </c>
      <c r="JN80" s="4">
        <f t="shared" si="326"/>
        <v>6.5</v>
      </c>
      <c r="JO80" s="4">
        <f t="shared" si="327"/>
        <v>6.68</v>
      </c>
      <c r="JP80" s="4">
        <f t="shared" si="328"/>
        <v>0</v>
      </c>
      <c r="JQ80" s="117">
        <f t="shared" si="329"/>
        <v>0</v>
      </c>
      <c r="JR80" s="110">
        <f t="shared" si="330"/>
        <v>1.4</v>
      </c>
      <c r="JS80" s="110" t="str">
        <f t="shared" si="331"/>
        <v/>
      </c>
      <c r="JT80" s="110" t="str">
        <f t="shared" si="332"/>
        <v/>
      </c>
      <c r="JU80" s="110" t="str">
        <f t="shared" si="333"/>
        <v/>
      </c>
      <c r="JV80" s="110" t="str">
        <f t="shared" si="334"/>
        <v/>
      </c>
      <c r="JW80" s="110" t="str">
        <f t="shared" si="335"/>
        <v/>
      </c>
      <c r="JX80" s="110" t="str">
        <f t="shared" si="336"/>
        <v/>
      </c>
      <c r="JY80" s="110" t="str">
        <f t="shared" si="337"/>
        <v/>
      </c>
      <c r="JZ80" s="110" t="str">
        <f t="shared" si="338"/>
        <v/>
      </c>
      <c r="KA80" s="110" t="str">
        <f t="shared" si="339"/>
        <v/>
      </c>
      <c r="KB80" s="110" t="str">
        <f t="shared" si="340"/>
        <v/>
      </c>
      <c r="KC80" s="110" t="str">
        <f t="shared" si="341"/>
        <v/>
      </c>
      <c r="KD80" s="110" t="str">
        <f t="shared" si="342"/>
        <v/>
      </c>
      <c r="KE80" s="110" t="str">
        <f t="shared" si="343"/>
        <v/>
      </c>
      <c r="KF80" s="110" t="str">
        <f t="shared" si="344"/>
        <v/>
      </c>
      <c r="KG80" s="121" t="str">
        <f t="shared" si="345"/>
        <v/>
      </c>
      <c r="KH80" s="83" t="str">
        <f t="shared" si="346"/>
        <v/>
      </c>
      <c r="KI80" s="4" t="str">
        <f t="shared" si="347"/>
        <v/>
      </c>
      <c r="KJ80" s="4" t="str">
        <f t="shared" si="348"/>
        <v/>
      </c>
      <c r="KK80" s="4" t="str">
        <f t="shared" si="349"/>
        <v/>
      </c>
      <c r="KL80" s="4" t="str">
        <f t="shared" si="350"/>
        <v/>
      </c>
      <c r="KM80" s="4" t="str">
        <f t="shared" si="351"/>
        <v/>
      </c>
      <c r="KN80" s="4" t="str">
        <f t="shared" si="352"/>
        <v/>
      </c>
      <c r="KO80" s="4" t="str">
        <f t="shared" si="353"/>
        <v/>
      </c>
      <c r="KP80" s="4" t="str">
        <f t="shared" si="354"/>
        <v/>
      </c>
      <c r="KQ80" s="4" t="str">
        <f t="shared" si="355"/>
        <v/>
      </c>
      <c r="KR80" s="4" t="str">
        <f t="shared" si="356"/>
        <v/>
      </c>
      <c r="KS80" s="4" t="str">
        <f t="shared" si="357"/>
        <v/>
      </c>
      <c r="KT80" s="4" t="str">
        <f t="shared" si="358"/>
        <v/>
      </c>
      <c r="KU80" s="4" t="str">
        <f t="shared" si="359"/>
        <v/>
      </c>
      <c r="KV80" s="4" t="str">
        <f t="shared" si="360"/>
        <v/>
      </c>
      <c r="KW80" s="4" t="str">
        <f t="shared" si="361"/>
        <v/>
      </c>
      <c r="KX80" s="4" t="str">
        <f t="shared" si="362"/>
        <v/>
      </c>
      <c r="KY80" s="4" t="str">
        <f t="shared" si="363"/>
        <v/>
      </c>
      <c r="KZ80" s="4" t="str">
        <f t="shared" si="364"/>
        <v/>
      </c>
      <c r="LA80" s="4" t="str">
        <f t="shared" si="365"/>
        <v/>
      </c>
      <c r="LB80" s="4" t="str">
        <f t="shared" si="366"/>
        <v/>
      </c>
      <c r="LC80" s="4" t="str">
        <f t="shared" si="367"/>
        <v/>
      </c>
      <c r="LD80" s="4" t="str">
        <f t="shared" si="368"/>
        <v/>
      </c>
      <c r="LE80" s="4" t="str">
        <f t="shared" si="369"/>
        <v/>
      </c>
      <c r="LF80" s="4" t="str">
        <f t="shared" si="370"/>
        <v/>
      </c>
      <c r="LG80" s="4" t="str">
        <f t="shared" si="371"/>
        <v/>
      </c>
      <c r="LH80" s="4" t="str">
        <f t="shared" si="372"/>
        <v/>
      </c>
      <c r="LI80" s="4" t="str">
        <f t="shared" si="373"/>
        <v/>
      </c>
      <c r="LJ80" s="4" t="str">
        <f t="shared" si="374"/>
        <v/>
      </c>
      <c r="LK80" s="4" t="str">
        <f t="shared" si="375"/>
        <v/>
      </c>
      <c r="LL80" s="4" t="str">
        <f t="shared" si="376"/>
        <v/>
      </c>
      <c r="LM80" s="4" t="str">
        <f t="shared" si="377"/>
        <v/>
      </c>
      <c r="LN80" s="4" t="str">
        <f t="shared" si="378"/>
        <v/>
      </c>
      <c r="LO80" s="4" t="str">
        <f t="shared" si="379"/>
        <v/>
      </c>
      <c r="LP80" s="4" t="str">
        <f t="shared" si="380"/>
        <v/>
      </c>
      <c r="LQ80" s="4" t="str">
        <f t="shared" si="381"/>
        <v/>
      </c>
      <c r="LR80" s="4" t="str">
        <f t="shared" si="382"/>
        <v/>
      </c>
      <c r="LS80" s="4" t="str">
        <f t="shared" si="383"/>
        <v/>
      </c>
      <c r="LT80" s="4" t="str">
        <f t="shared" si="384"/>
        <v/>
      </c>
      <c r="LU80" s="4" t="str">
        <f t="shared" si="385"/>
        <v/>
      </c>
      <c r="LV80" s="4" t="str">
        <f t="shared" si="386"/>
        <v/>
      </c>
      <c r="LW80" s="4" t="str">
        <f t="shared" si="387"/>
        <v/>
      </c>
      <c r="LX80" s="4" t="str">
        <f t="shared" si="388"/>
        <v/>
      </c>
      <c r="LY80" s="4" t="str">
        <f t="shared" si="389"/>
        <v/>
      </c>
      <c r="LZ80" s="4" t="str">
        <f t="shared" si="390"/>
        <v/>
      </c>
      <c r="MA80" s="4" t="str">
        <f t="shared" si="391"/>
        <v/>
      </c>
      <c r="MB80" s="4" t="str">
        <f t="shared" si="392"/>
        <v/>
      </c>
      <c r="MC80" s="4" t="str">
        <f t="shared" si="393"/>
        <v/>
      </c>
      <c r="MD80" s="4" t="str">
        <f t="shared" si="394"/>
        <v/>
      </c>
      <c r="ME80" s="4" t="str">
        <f t="shared" si="395"/>
        <v/>
      </c>
      <c r="MF80" s="4" t="str">
        <f t="shared" si="396"/>
        <v/>
      </c>
      <c r="MG80" s="4">
        <f t="shared" si="397"/>
        <v>0</v>
      </c>
    </row>
    <row r="81" spans="1:345" ht="26.25" customHeight="1" thickBot="1" x14ac:dyDescent="0.25">
      <c r="A81" s="194">
        <v>41409</v>
      </c>
      <c r="B81" s="195" t="s">
        <v>152</v>
      </c>
      <c r="C81" s="195" t="s">
        <v>54</v>
      </c>
      <c r="D81" s="196" t="s">
        <v>111</v>
      </c>
      <c r="E81" s="195">
        <v>59</v>
      </c>
      <c r="F81" s="194">
        <v>19742</v>
      </c>
      <c r="G81" s="195" t="s">
        <v>87</v>
      </c>
      <c r="H81" s="195" t="s">
        <v>112</v>
      </c>
      <c r="I81" s="195">
        <v>1836590</v>
      </c>
      <c r="J81" s="195"/>
      <c r="K81" s="237"/>
      <c r="L81" s="238"/>
      <c r="M81" s="238"/>
      <c r="N81" s="238"/>
      <c r="O81" s="265"/>
      <c r="P81" s="238"/>
      <c r="Q81" s="238"/>
      <c r="R81" s="197">
        <v>-0.5</v>
      </c>
      <c r="S81" s="197">
        <v>-0.55000000000000004</v>
      </c>
      <c r="T81" s="197" t="s">
        <v>249</v>
      </c>
      <c r="U81" s="198">
        <v>21.25</v>
      </c>
      <c r="V81" s="194">
        <v>41396</v>
      </c>
      <c r="W81" s="198">
        <v>1.5</v>
      </c>
      <c r="X81" s="198">
        <v>1</v>
      </c>
      <c r="Y81" s="195">
        <v>30</v>
      </c>
      <c r="Z81" s="195">
        <v>60</v>
      </c>
      <c r="AA81" s="195">
        <v>13</v>
      </c>
      <c r="AB81" s="195">
        <v>762</v>
      </c>
      <c r="AC81" s="195">
        <v>23.97</v>
      </c>
      <c r="AD81" s="195">
        <v>11.7</v>
      </c>
      <c r="AE81" s="195">
        <v>5.23</v>
      </c>
      <c r="AF81" s="195">
        <v>3.42</v>
      </c>
      <c r="AG81" s="195">
        <v>42.4</v>
      </c>
      <c r="AH81" s="195">
        <v>105</v>
      </c>
      <c r="AI81" s="195">
        <v>43.16</v>
      </c>
      <c r="AJ81" s="195">
        <v>15</v>
      </c>
      <c r="AK81" s="195">
        <v>2</v>
      </c>
      <c r="AL81" s="195" t="b">
        <f t="shared" si="268"/>
        <v>1</v>
      </c>
      <c r="AM81" s="199"/>
      <c r="AN81" s="224">
        <v>41589</v>
      </c>
      <c r="AO81" s="203"/>
      <c r="AP81" s="198">
        <v>0.25</v>
      </c>
      <c r="AQ81" s="198">
        <v>0.5</v>
      </c>
      <c r="AR81" s="195">
        <v>180</v>
      </c>
      <c r="AS81" s="195">
        <v>80</v>
      </c>
      <c r="AT81" s="195">
        <v>12</v>
      </c>
      <c r="AU81" s="195">
        <v>591</v>
      </c>
      <c r="AV81" s="195">
        <v>1486</v>
      </c>
      <c r="AW81" s="195">
        <v>24.05</v>
      </c>
      <c r="AX81" s="195">
        <v>4.5199999999999996</v>
      </c>
      <c r="AY81" s="195">
        <v>42.56</v>
      </c>
      <c r="AZ81" s="195">
        <v>50</v>
      </c>
      <c r="BA81" s="195">
        <v>43.16</v>
      </c>
      <c r="BB81" s="195">
        <v>140</v>
      </c>
      <c r="BC81" s="195">
        <f t="shared" si="269"/>
        <v>0.5</v>
      </c>
      <c r="BD81" s="195">
        <f t="shared" si="267"/>
        <v>1.05</v>
      </c>
      <c r="BE81" s="195">
        <f t="shared" si="270"/>
        <v>-171</v>
      </c>
      <c r="BF81" s="202">
        <v>41771</v>
      </c>
      <c r="BG81" s="223"/>
      <c r="BH81" s="198"/>
      <c r="BI81" s="198"/>
      <c r="BJ81" s="195"/>
      <c r="BK81" s="195"/>
      <c r="BL81" s="195"/>
      <c r="BM81" s="195"/>
      <c r="BN81" s="195"/>
      <c r="BO81" s="195"/>
      <c r="BP81" s="195"/>
      <c r="BQ81" s="195"/>
      <c r="BR81" s="195"/>
      <c r="BS81" s="195"/>
      <c r="BT81" s="195"/>
      <c r="BU81" s="195"/>
      <c r="BV81" s="195" t="str">
        <f t="shared" si="271"/>
        <v/>
      </c>
      <c r="BW81" s="195" t="str">
        <f t="shared" si="272"/>
        <v/>
      </c>
      <c r="BX81" s="195">
        <f t="shared" si="273"/>
        <v>1</v>
      </c>
      <c r="BY81" s="195">
        <f t="shared" si="274"/>
        <v>0</v>
      </c>
      <c r="BZ81" s="195" t="str">
        <f t="shared" si="275"/>
        <v/>
      </c>
      <c r="CA81" s="195" t="str">
        <f t="shared" si="276"/>
        <v/>
      </c>
      <c r="CB81" s="195" t="str">
        <f t="shared" si="277"/>
        <v/>
      </c>
      <c r="CC81" s="204">
        <f t="shared" si="278"/>
        <v>180</v>
      </c>
      <c r="CD81" s="205">
        <f t="shared" si="279"/>
        <v>6</v>
      </c>
      <c r="CE81" s="195" t="str">
        <f t="shared" si="280"/>
        <v/>
      </c>
      <c r="CF81" s="195">
        <f t="shared" si="281"/>
        <v>7.9999999999998295E-2</v>
      </c>
      <c r="CG81" s="195" t="str">
        <f t="shared" si="282"/>
        <v/>
      </c>
      <c r="CH81" s="195">
        <f t="shared" si="283"/>
        <v>7.9999999999998295E-2</v>
      </c>
      <c r="CI81" s="195">
        <f t="shared" si="284"/>
        <v>2</v>
      </c>
      <c r="CJ81" s="195">
        <f t="shared" si="285"/>
        <v>0.5</v>
      </c>
      <c r="CK81" s="206">
        <f t="shared" si="286"/>
        <v>1.05</v>
      </c>
      <c r="CL81" s="207">
        <f t="shared" si="287"/>
        <v>-171</v>
      </c>
      <c r="CM81" s="195">
        <f t="shared" si="288"/>
        <v>8.0000000000001847E-2</v>
      </c>
      <c r="CN81" s="208">
        <f t="shared" si="289"/>
        <v>-0.55000000000000004</v>
      </c>
      <c r="CO81" s="208">
        <f>IF(AND(OR(ISNUMBER(BCVA_12),ISNUMBER(BCVA_6)),ISNUMBER(BCVA_PREOP)),-LOG(20/BCVA_PREOP)-(-LOG(20/IF(ISNUMBER(BCVA_12),BCVA_12,BCVA_6))),"")</f>
        <v>-0.12493873660829996</v>
      </c>
      <c r="CP81" s="209">
        <f t="shared" si="290"/>
        <v>0.5</v>
      </c>
      <c r="CQ81" s="209">
        <f t="shared" si="291"/>
        <v>-0.5</v>
      </c>
      <c r="CR81" s="210">
        <f t="shared" si="292"/>
        <v>80</v>
      </c>
      <c r="CS81" s="210">
        <f t="shared" si="293"/>
        <v>60</v>
      </c>
      <c r="CT81" s="211" t="str">
        <f t="shared" si="294"/>
        <v/>
      </c>
      <c r="CU81" s="212">
        <f t="shared" si="295"/>
        <v>0</v>
      </c>
      <c r="CV81" s="208" t="str">
        <f t="shared" si="296"/>
        <v/>
      </c>
      <c r="CW81" s="213" t="b">
        <f t="shared" si="297"/>
        <v>0</v>
      </c>
      <c r="CX81" s="214">
        <v>7.96</v>
      </c>
      <c r="CY81" s="195">
        <v>7.91</v>
      </c>
      <c r="CZ81" s="195">
        <v>149.4</v>
      </c>
      <c r="DA81" s="195">
        <v>-0.3</v>
      </c>
      <c r="DB81" s="195">
        <v>0.42</v>
      </c>
      <c r="DC81" s="195">
        <v>0.4</v>
      </c>
      <c r="DD81" s="195">
        <v>2.48</v>
      </c>
      <c r="DE81" s="195">
        <v>3.23</v>
      </c>
      <c r="DF81" s="195">
        <v>740</v>
      </c>
      <c r="DG81" s="195">
        <v>741</v>
      </c>
      <c r="DH81" s="195">
        <v>826</v>
      </c>
      <c r="DI81" s="195">
        <v>772</v>
      </c>
      <c r="DJ81" s="195">
        <v>785</v>
      </c>
      <c r="DK81" s="195">
        <v>770</v>
      </c>
      <c r="DL81" s="195">
        <v>730</v>
      </c>
      <c r="DM81" s="195">
        <v>1.27</v>
      </c>
      <c r="DN81" s="195">
        <v>0.25</v>
      </c>
      <c r="DO81" s="195">
        <v>7.98</v>
      </c>
      <c r="DP81" s="195">
        <v>7.89</v>
      </c>
      <c r="DQ81" s="195">
        <v>7.91</v>
      </c>
      <c r="DR81" s="195">
        <v>8.02</v>
      </c>
      <c r="DS81" s="195">
        <v>8.19</v>
      </c>
      <c r="DT81" s="195">
        <v>8.32</v>
      </c>
      <c r="DU81" s="195">
        <v>0</v>
      </c>
      <c r="DV81" s="195">
        <v>0.8</v>
      </c>
      <c r="DW81" s="195">
        <v>7</v>
      </c>
      <c r="DX81" s="195">
        <v>6.61</v>
      </c>
      <c r="DY81" s="195">
        <v>6.52</v>
      </c>
      <c r="DZ81" s="195">
        <v>6.83</v>
      </c>
      <c r="EA81" s="195">
        <v>6.98</v>
      </c>
      <c r="EB81" s="195">
        <v>0</v>
      </c>
      <c r="EC81" s="195">
        <v>0</v>
      </c>
      <c r="ED81" s="215">
        <v>0.8</v>
      </c>
      <c r="EE81" s="208">
        <v>42.4</v>
      </c>
      <c r="EF81" s="208">
        <v>42.7</v>
      </c>
      <c r="EG81" s="216">
        <v>42.5</v>
      </c>
      <c r="EH81" s="216">
        <v>149.4</v>
      </c>
      <c r="EI81" s="216">
        <v>0.3</v>
      </c>
      <c r="EJ81" s="216">
        <v>-5.6</v>
      </c>
      <c r="EK81" s="216">
        <v>-6.1</v>
      </c>
      <c r="EL81" s="216">
        <v>-5.8</v>
      </c>
      <c r="EM81" s="216">
        <v>174.6</v>
      </c>
      <c r="EN81" s="216">
        <v>0.4</v>
      </c>
      <c r="EO81" s="216">
        <v>5.3</v>
      </c>
      <c r="EP81" s="216">
        <v>15.1</v>
      </c>
      <c r="EQ81" s="216">
        <v>31.7</v>
      </c>
      <c r="ER81" s="216">
        <v>73.900000000000006</v>
      </c>
      <c r="ES81" s="217">
        <v>8</v>
      </c>
      <c r="ET81" s="207">
        <v>8.0500000000000007</v>
      </c>
      <c r="EU81" s="195">
        <v>8.1300000000000008</v>
      </c>
      <c r="EV81" s="195">
        <v>57.1</v>
      </c>
      <c r="EW81" s="195">
        <v>0.4</v>
      </c>
      <c r="EX81" s="195">
        <v>0.52</v>
      </c>
      <c r="EY81" s="195">
        <v>0.47</v>
      </c>
      <c r="EZ81" s="195">
        <v>5.05</v>
      </c>
      <c r="FA81" s="195">
        <v>5.64</v>
      </c>
      <c r="FB81" s="195">
        <v>583</v>
      </c>
      <c r="FC81" s="195">
        <v>583</v>
      </c>
      <c r="FD81" s="195">
        <v>739</v>
      </c>
      <c r="FE81" s="195">
        <v>672</v>
      </c>
      <c r="FF81" s="195">
        <v>711</v>
      </c>
      <c r="FG81" s="195">
        <v>667</v>
      </c>
      <c r="FH81" s="195">
        <v>583</v>
      </c>
      <c r="FI81" s="195">
        <v>0</v>
      </c>
      <c r="FJ81" s="195">
        <v>-0.13</v>
      </c>
      <c r="FK81" s="195">
        <v>8.2100000000000009</v>
      </c>
      <c r="FL81" s="195">
        <v>7.89</v>
      </c>
      <c r="FM81" s="195">
        <v>7.87</v>
      </c>
      <c r="FN81" s="195">
        <v>8.1300000000000008</v>
      </c>
      <c r="FO81" s="195">
        <v>8.4</v>
      </c>
      <c r="FP81" s="195">
        <v>8.5500000000000007</v>
      </c>
      <c r="FQ81" s="195">
        <v>0</v>
      </c>
      <c r="FR81" s="195">
        <v>2</v>
      </c>
      <c r="FS81" s="195">
        <v>6.09</v>
      </c>
      <c r="FT81" s="195">
        <v>6.12</v>
      </c>
      <c r="FU81" s="195">
        <v>6.31</v>
      </c>
      <c r="FV81" s="195">
        <v>6.67</v>
      </c>
      <c r="FW81" s="195">
        <v>6.89</v>
      </c>
      <c r="FX81" s="195">
        <v>0</v>
      </c>
      <c r="FY81" s="195">
        <v>0</v>
      </c>
      <c r="FZ81" s="218">
        <v>2</v>
      </c>
      <c r="GA81" s="216">
        <v>41.5</v>
      </c>
      <c r="GB81" s="216">
        <v>41.9</v>
      </c>
      <c r="GC81" s="216">
        <v>41.7</v>
      </c>
      <c r="GD81" s="216">
        <v>57.1</v>
      </c>
      <c r="GE81" s="216">
        <v>0.4</v>
      </c>
      <c r="GF81" s="216">
        <v>-6.4</v>
      </c>
      <c r="GG81" s="216">
        <v>-6.7</v>
      </c>
      <c r="GH81" s="216">
        <v>-6.6</v>
      </c>
      <c r="GI81" s="216">
        <v>0.1</v>
      </c>
      <c r="GJ81" s="216">
        <v>0.3</v>
      </c>
      <c r="GK81" s="216">
        <v>4.3</v>
      </c>
      <c r="GL81" s="216">
        <v>12.7</v>
      </c>
      <c r="GM81" s="216">
        <v>27.5</v>
      </c>
      <c r="GN81" s="216">
        <v>67.2</v>
      </c>
      <c r="GO81" s="219">
        <v>27</v>
      </c>
      <c r="GP81" s="207"/>
      <c r="GQ81" s="195"/>
      <c r="GR81" s="195"/>
      <c r="GS81" s="195"/>
      <c r="GT81" s="195"/>
      <c r="GU81" s="195"/>
      <c r="GV81" s="195"/>
      <c r="GW81" s="195"/>
      <c r="GX81" s="195"/>
      <c r="GY81" s="195"/>
      <c r="GZ81" s="195"/>
      <c r="HA81" s="195"/>
      <c r="HB81" s="195"/>
      <c r="HC81" s="195"/>
      <c r="HD81" s="195"/>
      <c r="HE81" s="195"/>
      <c r="HF81" s="195"/>
      <c r="HG81" s="195"/>
      <c r="HH81" s="195"/>
      <c r="HI81" s="195"/>
      <c r="HJ81" s="195"/>
      <c r="HK81" s="195"/>
      <c r="HL81" s="195"/>
      <c r="HM81" s="195"/>
      <c r="HN81" s="195"/>
      <c r="HO81" s="195"/>
      <c r="HP81" s="195"/>
      <c r="HQ81" s="195"/>
      <c r="HR81" s="195"/>
      <c r="HS81" s="195"/>
      <c r="HT81" s="195"/>
      <c r="HU81" s="195"/>
      <c r="HV81" s="206"/>
      <c r="HW81" s="216"/>
      <c r="HX81" s="216"/>
      <c r="HY81" s="216"/>
      <c r="HZ81" s="216"/>
      <c r="IA81" s="216"/>
      <c r="IB81" s="216"/>
      <c r="IC81" s="216"/>
      <c r="ID81" s="216"/>
      <c r="IE81" s="216"/>
      <c r="IF81" s="216"/>
      <c r="IG81" s="216"/>
      <c r="IH81" s="216"/>
      <c r="II81" s="216"/>
      <c r="IJ81" s="216"/>
      <c r="IK81" s="220"/>
      <c r="IL81" s="207">
        <f t="shared" si="298"/>
        <v>8.0500000000000007</v>
      </c>
      <c r="IM81" s="195">
        <f t="shared" si="299"/>
        <v>8.1300000000000008</v>
      </c>
      <c r="IN81" s="195">
        <f t="shared" si="300"/>
        <v>57.1</v>
      </c>
      <c r="IO81" s="195">
        <f t="shared" si="301"/>
        <v>0.4</v>
      </c>
      <c r="IP81" s="195">
        <f t="shared" si="302"/>
        <v>0.52</v>
      </c>
      <c r="IQ81" s="195">
        <f t="shared" si="303"/>
        <v>0.47</v>
      </c>
      <c r="IR81" s="195">
        <f t="shared" si="304"/>
        <v>5.05</v>
      </c>
      <c r="IS81" s="195">
        <f t="shared" si="305"/>
        <v>5.64</v>
      </c>
      <c r="IT81" s="195">
        <f t="shared" si="306"/>
        <v>583</v>
      </c>
      <c r="IU81" s="195">
        <f t="shared" si="307"/>
        <v>583</v>
      </c>
      <c r="IV81" s="195">
        <f t="shared" si="308"/>
        <v>739</v>
      </c>
      <c r="IW81" s="195">
        <f t="shared" si="309"/>
        <v>672</v>
      </c>
      <c r="IX81" s="195">
        <f t="shared" si="310"/>
        <v>711</v>
      </c>
      <c r="IY81" s="195">
        <f t="shared" si="311"/>
        <v>667</v>
      </c>
      <c r="IZ81" s="195">
        <f t="shared" si="312"/>
        <v>583</v>
      </c>
      <c r="JA81" s="195">
        <f t="shared" si="313"/>
        <v>0</v>
      </c>
      <c r="JB81" s="195">
        <f t="shared" si="314"/>
        <v>-0.13</v>
      </c>
      <c r="JC81" s="195">
        <f t="shared" si="315"/>
        <v>8.2100000000000009</v>
      </c>
      <c r="JD81" s="195">
        <f t="shared" si="316"/>
        <v>7.89</v>
      </c>
      <c r="JE81" s="195">
        <f t="shared" si="317"/>
        <v>7.87</v>
      </c>
      <c r="JF81" s="195">
        <f t="shared" si="318"/>
        <v>8.1300000000000008</v>
      </c>
      <c r="JG81" s="195">
        <f t="shared" si="319"/>
        <v>8.4</v>
      </c>
      <c r="JH81" s="195">
        <f t="shared" si="320"/>
        <v>8.5500000000000007</v>
      </c>
      <c r="JI81" s="195">
        <f t="shared" si="321"/>
        <v>0</v>
      </c>
      <c r="JJ81" s="195">
        <f t="shared" si="322"/>
        <v>2</v>
      </c>
      <c r="JK81" s="195">
        <f t="shared" si="323"/>
        <v>6.09</v>
      </c>
      <c r="JL81" s="195">
        <f t="shared" si="324"/>
        <v>6.12</v>
      </c>
      <c r="JM81" s="195">
        <f t="shared" si="325"/>
        <v>6.31</v>
      </c>
      <c r="JN81" s="195">
        <f t="shared" si="326"/>
        <v>6.67</v>
      </c>
      <c r="JO81" s="195">
        <f t="shared" si="327"/>
        <v>6.89</v>
      </c>
      <c r="JP81" s="195">
        <f t="shared" si="328"/>
        <v>0</v>
      </c>
      <c r="JQ81" s="221">
        <f t="shared" si="329"/>
        <v>0</v>
      </c>
      <c r="JR81" s="216">
        <f t="shared" si="330"/>
        <v>2</v>
      </c>
      <c r="JS81" s="216">
        <f t="shared" si="331"/>
        <v>41.5</v>
      </c>
      <c r="JT81" s="216">
        <f t="shared" si="332"/>
        <v>41.9</v>
      </c>
      <c r="JU81" s="216">
        <f t="shared" si="333"/>
        <v>41.7</v>
      </c>
      <c r="JV81" s="216">
        <f t="shared" si="334"/>
        <v>57.1</v>
      </c>
      <c r="JW81" s="216">
        <f t="shared" si="335"/>
        <v>0.4</v>
      </c>
      <c r="JX81" s="216">
        <f t="shared" si="336"/>
        <v>-6.4</v>
      </c>
      <c r="JY81" s="216">
        <f t="shared" si="337"/>
        <v>-6.7</v>
      </c>
      <c r="JZ81" s="216">
        <f t="shared" si="338"/>
        <v>-6.6</v>
      </c>
      <c r="KA81" s="216">
        <f t="shared" si="339"/>
        <v>0.1</v>
      </c>
      <c r="KB81" s="216">
        <f t="shared" si="340"/>
        <v>0.3</v>
      </c>
      <c r="KC81" s="216">
        <f t="shared" si="341"/>
        <v>4.3</v>
      </c>
      <c r="KD81" s="216">
        <f t="shared" si="342"/>
        <v>12.7</v>
      </c>
      <c r="KE81" s="216">
        <f t="shared" si="343"/>
        <v>27.5</v>
      </c>
      <c r="KF81" s="216">
        <f t="shared" si="344"/>
        <v>67.2</v>
      </c>
      <c r="KG81" s="220">
        <f t="shared" si="345"/>
        <v>27</v>
      </c>
      <c r="KH81" s="207">
        <f t="shared" si="346"/>
        <v>9.0000000000000746E-2</v>
      </c>
      <c r="KI81" s="195">
        <f t="shared" si="347"/>
        <v>0.22000000000000064</v>
      </c>
      <c r="KJ81" s="195">
        <f t="shared" si="348"/>
        <v>-92.300000000000011</v>
      </c>
      <c r="KK81" s="195">
        <f t="shared" si="349"/>
        <v>0.7</v>
      </c>
      <c r="KL81" s="195">
        <f t="shared" si="350"/>
        <v>0.10000000000000003</v>
      </c>
      <c r="KM81" s="195">
        <f t="shared" si="351"/>
        <v>6.9999999999999951E-2</v>
      </c>
      <c r="KN81" s="195">
        <f t="shared" si="352"/>
        <v>2.57</v>
      </c>
      <c r="KO81" s="195">
        <f t="shared" si="353"/>
        <v>2.4099999999999997</v>
      </c>
      <c r="KP81" s="195">
        <f t="shared" si="354"/>
        <v>-157</v>
      </c>
      <c r="KQ81" s="195">
        <f t="shared" si="355"/>
        <v>-158</v>
      </c>
      <c r="KR81" s="195">
        <f t="shared" si="356"/>
        <v>-87</v>
      </c>
      <c r="KS81" s="195">
        <f t="shared" si="357"/>
        <v>-100</v>
      </c>
      <c r="KT81" s="195">
        <f t="shared" si="358"/>
        <v>-74</v>
      </c>
      <c r="KU81" s="195">
        <f t="shared" si="359"/>
        <v>-103</v>
      </c>
      <c r="KV81" s="195">
        <f t="shared" si="360"/>
        <v>-147</v>
      </c>
      <c r="KW81" s="195">
        <f t="shared" si="361"/>
        <v>-1.27</v>
      </c>
      <c r="KX81" s="195">
        <f t="shared" si="362"/>
        <v>-0.38</v>
      </c>
      <c r="KY81" s="195">
        <f t="shared" si="363"/>
        <v>0.23000000000000043</v>
      </c>
      <c r="KZ81" s="195">
        <f t="shared" si="364"/>
        <v>0</v>
      </c>
      <c r="LA81" s="195">
        <f t="shared" si="365"/>
        <v>-4.0000000000000036E-2</v>
      </c>
      <c r="LB81" s="195">
        <f t="shared" si="366"/>
        <v>0.11000000000000121</v>
      </c>
      <c r="LC81" s="195">
        <f t="shared" si="367"/>
        <v>0.21000000000000085</v>
      </c>
      <c r="LD81" s="195">
        <f t="shared" si="368"/>
        <v>0.23000000000000043</v>
      </c>
      <c r="LE81" s="195">
        <f t="shared" si="369"/>
        <v>0</v>
      </c>
      <c r="LF81" s="195">
        <f t="shared" si="370"/>
        <v>1.2</v>
      </c>
      <c r="LG81" s="195">
        <f t="shared" si="371"/>
        <v>-0.91000000000000014</v>
      </c>
      <c r="LH81" s="195">
        <f t="shared" si="372"/>
        <v>-0.49000000000000021</v>
      </c>
      <c r="LI81" s="195">
        <f t="shared" si="373"/>
        <v>-0.20999999999999996</v>
      </c>
      <c r="LJ81" s="195">
        <f t="shared" si="374"/>
        <v>-0.16000000000000014</v>
      </c>
      <c r="LK81" s="195">
        <f t="shared" si="375"/>
        <v>-9.0000000000000746E-2</v>
      </c>
      <c r="LL81" s="195">
        <f t="shared" si="376"/>
        <v>0</v>
      </c>
      <c r="LM81" s="195">
        <f t="shared" si="377"/>
        <v>0</v>
      </c>
      <c r="LN81" s="195">
        <f t="shared" si="378"/>
        <v>1.2</v>
      </c>
      <c r="LO81" s="195">
        <f t="shared" si="379"/>
        <v>-0.89999999999999858</v>
      </c>
      <c r="LP81" s="195">
        <f t="shared" si="380"/>
        <v>-0.80000000000000426</v>
      </c>
      <c r="LQ81" s="195">
        <f t="shared" si="381"/>
        <v>-0.79999999999999716</v>
      </c>
      <c r="LR81" s="195">
        <f t="shared" si="382"/>
        <v>-92.300000000000011</v>
      </c>
      <c r="LS81" s="195">
        <f t="shared" si="383"/>
        <v>0.10000000000000003</v>
      </c>
      <c r="LT81" s="195">
        <f t="shared" si="384"/>
        <v>-0.80000000000000071</v>
      </c>
      <c r="LU81" s="195">
        <f t="shared" si="385"/>
        <v>-0.60000000000000053</v>
      </c>
      <c r="LV81" s="195">
        <f t="shared" si="386"/>
        <v>-0.79999999999999982</v>
      </c>
      <c r="LW81" s="195">
        <f t="shared" si="387"/>
        <v>-174.5</v>
      </c>
      <c r="LX81" s="195">
        <f t="shared" si="388"/>
        <v>-0.10000000000000003</v>
      </c>
      <c r="LY81" s="195">
        <f t="shared" si="389"/>
        <v>-1</v>
      </c>
      <c r="LZ81" s="195">
        <f t="shared" si="390"/>
        <v>-2.4000000000000004</v>
      </c>
      <c r="MA81" s="195">
        <f t="shared" si="391"/>
        <v>-4.1999999999999993</v>
      </c>
      <c r="MB81" s="195">
        <f t="shared" si="392"/>
        <v>-6.7000000000000028</v>
      </c>
      <c r="MC81" s="195">
        <f t="shared" si="393"/>
        <v>19</v>
      </c>
      <c r="MD81" s="195" t="str">
        <f t="shared" si="394"/>
        <v/>
      </c>
      <c r="ME81" s="195" t="str">
        <f t="shared" si="395"/>
        <v/>
      </c>
      <c r="MF81" s="195" t="str">
        <f t="shared" si="396"/>
        <v/>
      </c>
      <c r="MG81" s="195">
        <f t="shared" si="397"/>
        <v>6.7</v>
      </c>
    </row>
    <row r="82" spans="1:345" s="195" customFormat="1" ht="26.25" customHeight="1" thickBot="1" x14ac:dyDescent="0.25">
      <c r="A82" s="44">
        <v>41430</v>
      </c>
      <c r="B82" s="36" t="s">
        <v>162</v>
      </c>
      <c r="C82" s="36" t="s">
        <v>63</v>
      </c>
      <c r="D82" s="31" t="s">
        <v>110</v>
      </c>
      <c r="E82" s="4">
        <v>70</v>
      </c>
      <c r="F82" s="3">
        <v>15813</v>
      </c>
      <c r="G82" s="38" t="s">
        <v>87</v>
      </c>
      <c r="H82" s="38" t="s">
        <v>108</v>
      </c>
      <c r="I82" s="45">
        <v>1836592</v>
      </c>
      <c r="J82" s="45"/>
      <c r="K82" s="271"/>
      <c r="L82" s="273"/>
      <c r="M82" s="273"/>
      <c r="N82" s="273"/>
      <c r="O82" s="277"/>
      <c r="P82" s="273"/>
      <c r="Q82" s="273"/>
      <c r="R82" s="33">
        <v>-0.5</v>
      </c>
      <c r="S82" s="33">
        <v>-0.44</v>
      </c>
      <c r="T82" s="33" t="s">
        <v>249</v>
      </c>
      <c r="U82" s="67">
        <v>22.25</v>
      </c>
      <c r="V82" s="125">
        <v>41361</v>
      </c>
      <c r="W82" s="67">
        <v>3.25</v>
      </c>
      <c r="X82" s="67">
        <v>0</v>
      </c>
      <c r="Y82" s="4">
        <v>0</v>
      </c>
      <c r="Z82" s="4">
        <v>40</v>
      </c>
      <c r="AA82" s="4">
        <v>19</v>
      </c>
      <c r="AB82" s="4">
        <v>629</v>
      </c>
      <c r="AC82" s="4">
        <v>23.25</v>
      </c>
      <c r="AD82" s="4">
        <v>12.2</v>
      </c>
      <c r="AE82" s="4">
        <v>4.41</v>
      </c>
      <c r="AF82" s="4">
        <v>2.9</v>
      </c>
      <c r="AG82" s="4">
        <v>43.72</v>
      </c>
      <c r="AH82" s="4">
        <v>176</v>
      </c>
      <c r="AI82" s="4">
        <v>44.64</v>
      </c>
      <c r="AJ82" s="4">
        <v>86</v>
      </c>
      <c r="AK82" s="4">
        <v>0</v>
      </c>
      <c r="AL82" s="4" t="b">
        <f t="shared" si="268"/>
        <v>0</v>
      </c>
      <c r="AM82" s="43"/>
      <c r="AN82" s="37">
        <v>41655</v>
      </c>
      <c r="AO82" s="56">
        <v>30</v>
      </c>
      <c r="AP82" s="67">
        <v>0.5</v>
      </c>
      <c r="AQ82" s="67">
        <v>0.5</v>
      </c>
      <c r="AR82" s="4">
        <v>73</v>
      </c>
      <c r="AS82" s="4">
        <v>20</v>
      </c>
      <c r="AT82" s="4">
        <v>13</v>
      </c>
      <c r="AU82" s="4">
        <v>531</v>
      </c>
      <c r="AV82" s="4">
        <v>2188</v>
      </c>
      <c r="AW82" s="4"/>
      <c r="AX82" s="4"/>
      <c r="AY82" s="4"/>
      <c r="AZ82" s="4"/>
      <c r="BA82" s="4"/>
      <c r="BB82" s="4"/>
      <c r="BC82" s="4">
        <f t="shared" si="269"/>
        <v>0.75</v>
      </c>
      <c r="BD82" s="4">
        <f t="shared" si="267"/>
        <v>1.19</v>
      </c>
      <c r="BE82" s="4">
        <f t="shared" si="270"/>
        <v>-98</v>
      </c>
      <c r="BF82" s="51" t="s">
        <v>501</v>
      </c>
      <c r="BG82" s="56"/>
      <c r="BH82" s="67"/>
      <c r="BI82" s="67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tr">
        <f t="shared" si="271"/>
        <v/>
      </c>
      <c r="BW82" s="4" t="str">
        <f t="shared" si="272"/>
        <v/>
      </c>
      <c r="BX82" s="4">
        <f t="shared" si="273"/>
        <v>1</v>
      </c>
      <c r="BY82" s="4">
        <f t="shared" si="274"/>
        <v>0</v>
      </c>
      <c r="BZ82" s="4" t="str">
        <f t="shared" si="275"/>
        <v/>
      </c>
      <c r="CA82" s="4" t="str">
        <f t="shared" si="276"/>
        <v/>
      </c>
      <c r="CB82" s="4" t="str">
        <f t="shared" si="277"/>
        <v/>
      </c>
      <c r="CC82" s="53">
        <f t="shared" si="278"/>
        <v>225</v>
      </c>
      <c r="CD82" s="55">
        <f t="shared" si="279"/>
        <v>7.5</v>
      </c>
      <c r="CE82" s="4" t="str">
        <f t="shared" si="280"/>
        <v/>
      </c>
      <c r="CF82" s="4" t="str">
        <f t="shared" si="281"/>
        <v/>
      </c>
      <c r="CG82" s="4" t="str">
        <f t="shared" si="282"/>
        <v/>
      </c>
      <c r="CH82" s="4" t="str">
        <f t="shared" si="283"/>
        <v/>
      </c>
      <c r="CI82" s="4">
        <f t="shared" si="284"/>
        <v>3.25</v>
      </c>
      <c r="CJ82" s="4">
        <f t="shared" si="285"/>
        <v>0.75</v>
      </c>
      <c r="CK82" s="93">
        <f t="shared" si="286"/>
        <v>1.19</v>
      </c>
      <c r="CL82" s="83">
        <f t="shared" si="287"/>
        <v>-98</v>
      </c>
      <c r="CM82" s="4" t="str">
        <f t="shared" si="288"/>
        <v/>
      </c>
      <c r="CN82" s="96">
        <f t="shared" si="289"/>
        <v>-0.44</v>
      </c>
      <c r="CO82" s="96">
        <f t="shared" ref="CO82:CO124" si="398">IF(AND(OR(ISNUMBER(BK82),ISNUMBER(AS82)),ISNUMBER(Z82)),-LOG(20/Z82)--LOG(20/IF(ISNUMBER(BK82),BK82,AS82)),"")</f>
        <v>0.3010299956639812</v>
      </c>
      <c r="CP82" s="127">
        <f t="shared" si="290"/>
        <v>0.5</v>
      </c>
      <c r="CQ82" s="127">
        <f t="shared" si="291"/>
        <v>0.5</v>
      </c>
      <c r="CR82" s="136">
        <f t="shared" si="292"/>
        <v>20</v>
      </c>
      <c r="CS82" s="136">
        <f t="shared" si="293"/>
        <v>40</v>
      </c>
      <c r="CT82" s="135">
        <f t="shared" si="294"/>
        <v>30</v>
      </c>
      <c r="CU82" s="139">
        <f t="shared" si="295"/>
        <v>0</v>
      </c>
      <c r="CV82" s="96" t="str">
        <f t="shared" si="296"/>
        <v/>
      </c>
      <c r="CW82" s="141" t="b">
        <f t="shared" si="297"/>
        <v>0</v>
      </c>
      <c r="CX82">
        <v>7.83</v>
      </c>
      <c r="CY82" s="4">
        <v>7.64</v>
      </c>
      <c r="CZ82" s="4">
        <v>4</v>
      </c>
      <c r="DA82" s="4">
        <v>-1.1000000000000001</v>
      </c>
      <c r="DB82" s="4">
        <v>-0.14000000000000001</v>
      </c>
      <c r="DC82" s="4">
        <v>0.09</v>
      </c>
      <c r="DD82" s="4">
        <v>2.71</v>
      </c>
      <c r="DE82" s="4">
        <v>3.34</v>
      </c>
      <c r="DF82" s="4">
        <v>625</v>
      </c>
      <c r="DG82" s="4">
        <v>625</v>
      </c>
      <c r="DH82" s="4">
        <v>672</v>
      </c>
      <c r="DI82" s="4">
        <v>646</v>
      </c>
      <c r="DJ82" s="4">
        <v>680</v>
      </c>
      <c r="DK82" s="4">
        <v>674</v>
      </c>
      <c r="DL82" s="4">
        <v>618</v>
      </c>
      <c r="DM82" s="4">
        <v>0.34</v>
      </c>
      <c r="DN82" s="4">
        <v>-1.54</v>
      </c>
      <c r="DO82" s="4">
        <v>7.77</v>
      </c>
      <c r="DP82" s="4">
        <v>7.65</v>
      </c>
      <c r="DQ82" s="4">
        <v>7.6</v>
      </c>
      <c r="DR82" s="4">
        <v>7.65</v>
      </c>
      <c r="DS82" s="4">
        <v>7.75</v>
      </c>
      <c r="DT82" s="4">
        <v>7.97</v>
      </c>
      <c r="DU82" s="4">
        <v>0</v>
      </c>
      <c r="DV82" s="4">
        <v>0.6</v>
      </c>
      <c r="DW82" s="4">
        <v>6.98</v>
      </c>
      <c r="DX82" s="4">
        <v>6.57</v>
      </c>
      <c r="DY82" s="4">
        <v>6.42</v>
      </c>
      <c r="DZ82" s="4">
        <v>6.4</v>
      </c>
      <c r="EA82" s="4">
        <v>6.48</v>
      </c>
      <c r="EB82" s="4">
        <v>0</v>
      </c>
      <c r="EC82" s="4">
        <v>0</v>
      </c>
      <c r="ED82" s="89">
        <v>0.6</v>
      </c>
      <c r="EE82" s="110">
        <v>43.1</v>
      </c>
      <c r="EF82" s="110">
        <v>44.2</v>
      </c>
      <c r="EG82" s="110">
        <v>43.6</v>
      </c>
      <c r="EH82" s="110">
        <v>4</v>
      </c>
      <c r="EI82" s="110">
        <v>1.1000000000000001</v>
      </c>
      <c r="EJ82" s="110">
        <v>-5.8</v>
      </c>
      <c r="EK82" s="110">
        <v>-5.9</v>
      </c>
      <c r="EL82" s="110">
        <v>-5.9</v>
      </c>
      <c r="EM82" s="110">
        <v>102.2</v>
      </c>
      <c r="EN82" s="110">
        <v>0.1</v>
      </c>
      <c r="EO82" s="110">
        <v>4.4000000000000004</v>
      </c>
      <c r="EP82" s="110">
        <v>12.8</v>
      </c>
      <c r="EQ82" s="110">
        <v>26.8</v>
      </c>
      <c r="ER82" s="110">
        <v>64.2</v>
      </c>
      <c r="ES82" s="114">
        <v>22</v>
      </c>
      <c r="ET82" s="83">
        <v>7.87</v>
      </c>
      <c r="EU82" s="4">
        <v>7.72</v>
      </c>
      <c r="EV82" s="4">
        <v>20.399999999999999</v>
      </c>
      <c r="EW82" s="4">
        <v>-0.8</v>
      </c>
      <c r="EX82" s="4">
        <v>-0.05</v>
      </c>
      <c r="EY82" s="4">
        <v>0.31</v>
      </c>
      <c r="EZ82" s="4">
        <v>4.1100000000000003</v>
      </c>
      <c r="FA82" s="4">
        <v>4.6399999999999997</v>
      </c>
      <c r="FB82" s="4">
        <v>533</v>
      </c>
      <c r="FC82" s="4">
        <v>529</v>
      </c>
      <c r="FD82" s="4">
        <v>654</v>
      </c>
      <c r="FE82" s="4">
        <v>635</v>
      </c>
      <c r="FF82" s="4">
        <v>650</v>
      </c>
      <c r="FG82" s="4">
        <v>620</v>
      </c>
      <c r="FH82" s="4">
        <v>516</v>
      </c>
      <c r="FI82" s="4">
        <v>0.87</v>
      </c>
      <c r="FJ82" s="4">
        <v>-0.6</v>
      </c>
      <c r="FK82" s="4">
        <v>7.84</v>
      </c>
      <c r="FL82" s="4">
        <v>7.72</v>
      </c>
      <c r="FM82" s="4">
        <v>7.69</v>
      </c>
      <c r="FN82" s="4">
        <v>7.8</v>
      </c>
      <c r="FO82" s="4">
        <v>8.01</v>
      </c>
      <c r="FP82" s="4">
        <v>8.1199999999999992</v>
      </c>
      <c r="FQ82" s="4">
        <v>0</v>
      </c>
      <c r="FR82" s="4">
        <v>1.6</v>
      </c>
      <c r="FS82" s="4">
        <v>6.16</v>
      </c>
      <c r="FT82" s="4">
        <v>6.12</v>
      </c>
      <c r="FU82" s="4">
        <v>6.23</v>
      </c>
      <c r="FV82" s="4">
        <v>6.38</v>
      </c>
      <c r="FW82" s="4">
        <v>6.49</v>
      </c>
      <c r="FX82" s="4">
        <v>0</v>
      </c>
      <c r="FY82" s="4">
        <v>0</v>
      </c>
      <c r="FZ82" s="86">
        <v>1.6</v>
      </c>
      <c r="GA82" s="110">
        <v>42.9</v>
      </c>
      <c r="GB82" s="110">
        <v>43.7</v>
      </c>
      <c r="GC82" s="110">
        <v>43.3</v>
      </c>
      <c r="GD82" s="110">
        <v>20.399999999999999</v>
      </c>
      <c r="GE82" s="110">
        <v>0.8</v>
      </c>
      <c r="GF82" s="110">
        <v>-6.3</v>
      </c>
      <c r="GG82" s="110">
        <v>-6.8</v>
      </c>
      <c r="GH82" s="110">
        <v>-6.5</v>
      </c>
      <c r="GI82" s="110">
        <v>161.1</v>
      </c>
      <c r="GJ82" s="110">
        <v>0.5</v>
      </c>
      <c r="GK82" s="110">
        <v>3.9</v>
      </c>
      <c r="GL82" s="110">
        <v>11.5</v>
      </c>
      <c r="GM82" s="110">
        <v>25.1</v>
      </c>
      <c r="GN82" s="110">
        <v>62.9</v>
      </c>
      <c r="GO82" s="119">
        <v>24</v>
      </c>
      <c r="GP82" s="83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93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21"/>
      <c r="IL82" s="83">
        <f t="shared" si="298"/>
        <v>7.87</v>
      </c>
      <c r="IM82" s="4">
        <f t="shared" si="299"/>
        <v>7.72</v>
      </c>
      <c r="IN82" s="4">
        <f t="shared" si="300"/>
        <v>20.399999999999999</v>
      </c>
      <c r="IO82" s="4">
        <f t="shared" si="301"/>
        <v>-0.8</v>
      </c>
      <c r="IP82" s="4">
        <f t="shared" si="302"/>
        <v>-0.05</v>
      </c>
      <c r="IQ82" s="4">
        <f t="shared" si="303"/>
        <v>0.31</v>
      </c>
      <c r="IR82" s="4">
        <f t="shared" si="304"/>
        <v>4.1100000000000003</v>
      </c>
      <c r="IS82" s="4">
        <f t="shared" si="305"/>
        <v>4.6399999999999997</v>
      </c>
      <c r="IT82" s="4">
        <f t="shared" si="306"/>
        <v>533</v>
      </c>
      <c r="IU82" s="4">
        <f t="shared" si="307"/>
        <v>529</v>
      </c>
      <c r="IV82" s="4">
        <f t="shared" si="308"/>
        <v>654</v>
      </c>
      <c r="IW82" s="4">
        <f t="shared" si="309"/>
        <v>635</v>
      </c>
      <c r="IX82" s="4">
        <f t="shared" si="310"/>
        <v>650</v>
      </c>
      <c r="IY82" s="4">
        <f t="shared" si="311"/>
        <v>620</v>
      </c>
      <c r="IZ82" s="4">
        <f t="shared" si="312"/>
        <v>516</v>
      </c>
      <c r="JA82" s="4">
        <f t="shared" si="313"/>
        <v>0.87</v>
      </c>
      <c r="JB82" s="4">
        <f t="shared" si="314"/>
        <v>-0.6</v>
      </c>
      <c r="JC82" s="4">
        <f t="shared" si="315"/>
        <v>7.84</v>
      </c>
      <c r="JD82" s="4">
        <f t="shared" si="316"/>
        <v>7.72</v>
      </c>
      <c r="JE82" s="4">
        <f t="shared" si="317"/>
        <v>7.69</v>
      </c>
      <c r="JF82" s="4">
        <f t="shared" si="318"/>
        <v>7.8</v>
      </c>
      <c r="JG82" s="4">
        <f t="shared" si="319"/>
        <v>8.01</v>
      </c>
      <c r="JH82" s="4">
        <f t="shared" si="320"/>
        <v>8.1199999999999992</v>
      </c>
      <c r="JI82" s="4">
        <f t="shared" si="321"/>
        <v>0</v>
      </c>
      <c r="JJ82" s="4">
        <f t="shared" si="322"/>
        <v>1.6</v>
      </c>
      <c r="JK82" s="4">
        <f t="shared" si="323"/>
        <v>6.16</v>
      </c>
      <c r="JL82" s="4">
        <f t="shared" si="324"/>
        <v>6.12</v>
      </c>
      <c r="JM82" s="4">
        <f t="shared" si="325"/>
        <v>6.23</v>
      </c>
      <c r="JN82" s="4">
        <f t="shared" si="326"/>
        <v>6.38</v>
      </c>
      <c r="JO82" s="4">
        <f t="shared" si="327"/>
        <v>6.49</v>
      </c>
      <c r="JP82" s="4">
        <f t="shared" si="328"/>
        <v>0</v>
      </c>
      <c r="JQ82" s="117">
        <f t="shared" si="329"/>
        <v>0</v>
      </c>
      <c r="JR82" s="110">
        <f t="shared" si="330"/>
        <v>1.6</v>
      </c>
      <c r="JS82" s="110">
        <f t="shared" si="331"/>
        <v>42.9</v>
      </c>
      <c r="JT82" s="110">
        <f t="shared" si="332"/>
        <v>43.7</v>
      </c>
      <c r="JU82" s="110">
        <f t="shared" si="333"/>
        <v>43.3</v>
      </c>
      <c r="JV82" s="110">
        <f t="shared" si="334"/>
        <v>20.399999999999999</v>
      </c>
      <c r="JW82" s="110">
        <f t="shared" si="335"/>
        <v>0.8</v>
      </c>
      <c r="JX82" s="110">
        <f t="shared" si="336"/>
        <v>-6.3</v>
      </c>
      <c r="JY82" s="110">
        <f t="shared" si="337"/>
        <v>-6.8</v>
      </c>
      <c r="JZ82" s="110">
        <f t="shared" si="338"/>
        <v>-6.5</v>
      </c>
      <c r="KA82" s="110">
        <f t="shared" si="339"/>
        <v>161.1</v>
      </c>
      <c r="KB82" s="110">
        <f t="shared" si="340"/>
        <v>0.5</v>
      </c>
      <c r="KC82" s="110">
        <f t="shared" si="341"/>
        <v>3.9</v>
      </c>
      <c r="KD82" s="110">
        <f t="shared" si="342"/>
        <v>11.5</v>
      </c>
      <c r="KE82" s="110">
        <f t="shared" si="343"/>
        <v>25.1</v>
      </c>
      <c r="KF82" s="110">
        <f t="shared" si="344"/>
        <v>62.9</v>
      </c>
      <c r="KG82" s="121">
        <f t="shared" si="345"/>
        <v>24</v>
      </c>
      <c r="KH82" s="83">
        <f t="shared" si="346"/>
        <v>4.0000000000000036E-2</v>
      </c>
      <c r="KI82" s="4">
        <f t="shared" si="347"/>
        <v>8.0000000000000071E-2</v>
      </c>
      <c r="KJ82" s="4">
        <f t="shared" si="348"/>
        <v>16.399999999999999</v>
      </c>
      <c r="KK82" s="4">
        <f t="shared" si="349"/>
        <v>0.30000000000000004</v>
      </c>
      <c r="KL82" s="4">
        <f t="shared" si="350"/>
        <v>9.0000000000000011E-2</v>
      </c>
      <c r="KM82" s="4">
        <f t="shared" si="351"/>
        <v>0.22</v>
      </c>
      <c r="KN82" s="4">
        <f t="shared" si="352"/>
        <v>1.4000000000000004</v>
      </c>
      <c r="KO82" s="4">
        <f t="shared" si="353"/>
        <v>1.2999999999999998</v>
      </c>
      <c r="KP82" s="4">
        <f t="shared" si="354"/>
        <v>-92</v>
      </c>
      <c r="KQ82" s="4">
        <f t="shared" si="355"/>
        <v>-96</v>
      </c>
      <c r="KR82" s="4">
        <f t="shared" si="356"/>
        <v>-18</v>
      </c>
      <c r="KS82" s="4">
        <f t="shared" si="357"/>
        <v>-11</v>
      </c>
      <c r="KT82" s="4">
        <f t="shared" si="358"/>
        <v>-30</v>
      </c>
      <c r="KU82" s="4">
        <f t="shared" si="359"/>
        <v>-54</v>
      </c>
      <c r="KV82" s="4">
        <f t="shared" si="360"/>
        <v>-102</v>
      </c>
      <c r="KW82" s="4">
        <f t="shared" si="361"/>
        <v>0.53</v>
      </c>
      <c r="KX82" s="4">
        <f t="shared" si="362"/>
        <v>0.94000000000000006</v>
      </c>
      <c r="KY82" s="4">
        <f t="shared" si="363"/>
        <v>7.0000000000000284E-2</v>
      </c>
      <c r="KZ82" s="4">
        <f t="shared" si="364"/>
        <v>6.9999999999999396E-2</v>
      </c>
      <c r="LA82" s="4">
        <f t="shared" si="365"/>
        <v>9.0000000000000746E-2</v>
      </c>
      <c r="LB82" s="4">
        <f t="shared" si="366"/>
        <v>0.14999999999999947</v>
      </c>
      <c r="LC82" s="4">
        <f t="shared" si="367"/>
        <v>0.25999999999999979</v>
      </c>
      <c r="LD82" s="4">
        <f t="shared" si="368"/>
        <v>0.14999999999999947</v>
      </c>
      <c r="LE82" s="4">
        <f t="shared" si="369"/>
        <v>0</v>
      </c>
      <c r="LF82" s="4">
        <f t="shared" si="370"/>
        <v>1</v>
      </c>
      <c r="LG82" s="4">
        <f t="shared" si="371"/>
        <v>-0.82000000000000028</v>
      </c>
      <c r="LH82" s="4">
        <f t="shared" si="372"/>
        <v>-0.45000000000000018</v>
      </c>
      <c r="LI82" s="4">
        <f t="shared" si="373"/>
        <v>-0.1899999999999995</v>
      </c>
      <c r="LJ82" s="4">
        <f t="shared" si="374"/>
        <v>-2.0000000000000462E-2</v>
      </c>
      <c r="LK82" s="4">
        <f t="shared" si="375"/>
        <v>9.9999999999997868E-3</v>
      </c>
      <c r="LL82" s="4">
        <f t="shared" si="376"/>
        <v>0</v>
      </c>
      <c r="LM82" s="4">
        <f t="shared" si="377"/>
        <v>0</v>
      </c>
      <c r="LN82" s="4">
        <f t="shared" si="378"/>
        <v>1</v>
      </c>
      <c r="LO82" s="4">
        <f t="shared" si="379"/>
        <v>-0.20000000000000284</v>
      </c>
      <c r="LP82" s="4">
        <f t="shared" si="380"/>
        <v>-0.5</v>
      </c>
      <c r="LQ82" s="4">
        <f t="shared" si="381"/>
        <v>-0.30000000000000426</v>
      </c>
      <c r="LR82" s="4">
        <f t="shared" si="382"/>
        <v>16.399999999999999</v>
      </c>
      <c r="LS82" s="4">
        <f t="shared" si="383"/>
        <v>-0.30000000000000004</v>
      </c>
      <c r="LT82" s="4">
        <f t="shared" si="384"/>
        <v>-0.5</v>
      </c>
      <c r="LU82" s="4">
        <f t="shared" si="385"/>
        <v>-0.89999999999999947</v>
      </c>
      <c r="LV82" s="4">
        <f t="shared" si="386"/>
        <v>-0.59999999999999964</v>
      </c>
      <c r="LW82" s="4">
        <f t="shared" si="387"/>
        <v>58.899999999999991</v>
      </c>
      <c r="LX82" s="4">
        <f t="shared" si="388"/>
        <v>0.4</v>
      </c>
      <c r="LY82" s="4">
        <f t="shared" si="389"/>
        <v>-0.50000000000000044</v>
      </c>
      <c r="LZ82" s="4">
        <f t="shared" si="390"/>
        <v>-1.3000000000000007</v>
      </c>
      <c r="MA82" s="4">
        <f t="shared" si="391"/>
        <v>-1.6999999999999993</v>
      </c>
      <c r="MB82" s="4">
        <f t="shared" si="392"/>
        <v>-1.3000000000000043</v>
      </c>
      <c r="MC82" s="4">
        <f t="shared" si="393"/>
        <v>2</v>
      </c>
      <c r="MD82" s="4" t="str">
        <f t="shared" si="394"/>
        <v/>
      </c>
      <c r="ME82" s="4" t="str">
        <f t="shared" si="395"/>
        <v/>
      </c>
      <c r="MF82" s="4" t="str">
        <f t="shared" si="396"/>
        <v/>
      </c>
      <c r="MG82" s="4">
        <f t="shared" si="397"/>
        <v>6.8</v>
      </c>
    </row>
    <row r="83" spans="1:345" ht="26.25" customHeight="1" x14ac:dyDescent="0.2">
      <c r="A83" s="35">
        <v>41416</v>
      </c>
      <c r="B83" s="36" t="s">
        <v>237</v>
      </c>
      <c r="C83" s="36" t="s">
        <v>55</v>
      </c>
      <c r="D83" s="31" t="s">
        <v>111</v>
      </c>
      <c r="E83" s="4">
        <v>75</v>
      </c>
      <c r="F83" s="3">
        <v>13713</v>
      </c>
      <c r="G83" s="4" t="s">
        <v>87</v>
      </c>
      <c r="H83" s="4" t="s">
        <v>108</v>
      </c>
      <c r="I83" s="4">
        <v>1836623</v>
      </c>
      <c r="K83" s="54" t="s">
        <v>670</v>
      </c>
      <c r="R83" s="33">
        <v>-0.5</v>
      </c>
      <c r="S83" s="33">
        <v>-0.59</v>
      </c>
      <c r="T83" s="51" t="s">
        <v>249</v>
      </c>
      <c r="U83" s="67">
        <v>23</v>
      </c>
      <c r="V83" s="124">
        <v>41379</v>
      </c>
      <c r="W83" s="67">
        <v>1</v>
      </c>
      <c r="X83" s="67">
        <v>1.5</v>
      </c>
      <c r="Y83" s="4">
        <v>30</v>
      </c>
      <c r="Z83" s="4">
        <v>50</v>
      </c>
      <c r="AA83" s="4">
        <v>13</v>
      </c>
      <c r="AB83" s="4">
        <v>607</v>
      </c>
      <c r="AC83" s="4">
        <v>21.98</v>
      </c>
      <c r="AD83" s="4">
        <v>11.2</v>
      </c>
      <c r="AE83" s="4">
        <v>5.08</v>
      </c>
      <c r="AF83" s="4">
        <v>3.18</v>
      </c>
      <c r="AG83" s="4">
        <v>46.3</v>
      </c>
      <c r="AH83" s="4">
        <v>133</v>
      </c>
      <c r="AI83" s="4">
        <v>48.15</v>
      </c>
      <c r="AJ83" s="4">
        <v>43</v>
      </c>
      <c r="AK83" s="4">
        <v>2</v>
      </c>
      <c r="AL83" s="4" t="b">
        <f t="shared" si="268"/>
        <v>1</v>
      </c>
      <c r="AM83" s="54"/>
      <c r="AN83" s="37">
        <v>41586</v>
      </c>
      <c r="AO83" s="59">
        <v>40</v>
      </c>
      <c r="AP83" s="67">
        <v>-0.75</v>
      </c>
      <c r="AQ83" s="67">
        <v>-2</v>
      </c>
      <c r="AR83" s="4">
        <v>120</v>
      </c>
      <c r="AS83" s="4">
        <v>25</v>
      </c>
      <c r="AT83" s="4">
        <v>17</v>
      </c>
      <c r="AU83" s="4">
        <v>465</v>
      </c>
      <c r="AV83" s="4">
        <v>2179</v>
      </c>
      <c r="AW83" s="4">
        <v>21.95</v>
      </c>
      <c r="AX83" s="4">
        <v>3.7</v>
      </c>
      <c r="AY83" s="4">
        <v>46.11</v>
      </c>
      <c r="AZ83" s="4">
        <v>157</v>
      </c>
      <c r="BA83" s="4">
        <v>47.94</v>
      </c>
      <c r="BB83" s="4">
        <v>67</v>
      </c>
      <c r="BC83" s="4">
        <f t="shared" si="269"/>
        <v>-1.75</v>
      </c>
      <c r="BD83" s="4">
        <f t="shared" si="267"/>
        <v>-1.1600000000000001</v>
      </c>
      <c r="BE83" s="4">
        <f t="shared" si="270"/>
        <v>-142</v>
      </c>
      <c r="BF83" s="137">
        <v>41718</v>
      </c>
      <c r="BV83" s="4" t="str">
        <f t="shared" si="271"/>
        <v/>
      </c>
      <c r="BW83" s="4" t="str">
        <f t="shared" si="272"/>
        <v/>
      </c>
      <c r="BX83" s="4">
        <f t="shared" si="273"/>
        <v>1</v>
      </c>
      <c r="BY83" s="4">
        <f t="shared" si="274"/>
        <v>0</v>
      </c>
      <c r="BZ83" s="4" t="str">
        <f t="shared" si="275"/>
        <v/>
      </c>
      <c r="CA83" s="4" t="str">
        <f t="shared" si="276"/>
        <v/>
      </c>
      <c r="CB83" s="4" t="str">
        <f t="shared" si="277"/>
        <v/>
      </c>
      <c r="CC83" s="53">
        <f t="shared" si="278"/>
        <v>170</v>
      </c>
      <c r="CD83" s="55">
        <f t="shared" si="279"/>
        <v>5.666666666666667</v>
      </c>
      <c r="CE83" s="4" t="str">
        <f t="shared" si="280"/>
        <v/>
      </c>
      <c r="CF83" s="4">
        <f t="shared" si="281"/>
        <v>-0.19999999999999574</v>
      </c>
      <c r="CG83" s="4" t="str">
        <f t="shared" si="282"/>
        <v/>
      </c>
      <c r="CH83" s="4">
        <f t="shared" si="283"/>
        <v>-0.19999999999999574</v>
      </c>
      <c r="CI83" s="4">
        <f t="shared" si="284"/>
        <v>1.75</v>
      </c>
      <c r="CJ83" s="4">
        <f t="shared" si="285"/>
        <v>-1.75</v>
      </c>
      <c r="CK83" s="93">
        <f t="shared" si="286"/>
        <v>-1.1600000000000001</v>
      </c>
      <c r="CL83" s="83">
        <f t="shared" si="287"/>
        <v>-142</v>
      </c>
      <c r="CM83" s="4">
        <f t="shared" si="288"/>
        <v>-3.0000000000001137E-2</v>
      </c>
      <c r="CN83" s="96">
        <f t="shared" si="289"/>
        <v>-0.59</v>
      </c>
      <c r="CO83" s="96">
        <f t="shared" si="398"/>
        <v>0.3010299956639812</v>
      </c>
      <c r="CP83" s="127">
        <f t="shared" si="290"/>
        <v>-2</v>
      </c>
      <c r="CQ83" s="127">
        <f t="shared" si="291"/>
        <v>-3.5</v>
      </c>
      <c r="CR83" s="136">
        <f t="shared" si="292"/>
        <v>25</v>
      </c>
      <c r="CS83" s="136">
        <f t="shared" si="293"/>
        <v>50</v>
      </c>
      <c r="CT83" s="135">
        <f t="shared" si="294"/>
        <v>40</v>
      </c>
      <c r="CU83" s="139">
        <f t="shared" si="295"/>
        <v>0</v>
      </c>
      <c r="CV83" s="96" t="str">
        <f t="shared" si="296"/>
        <v/>
      </c>
      <c r="CW83" s="141" t="b">
        <f t="shared" si="297"/>
        <v>0</v>
      </c>
      <c r="CX83">
        <v>7.29</v>
      </c>
      <c r="CY83" s="4">
        <v>7.06</v>
      </c>
      <c r="CZ83" s="4">
        <v>137.6</v>
      </c>
      <c r="DA83" s="4">
        <v>-1.5</v>
      </c>
      <c r="DB83" s="4">
        <v>0.3</v>
      </c>
      <c r="DC83" s="4">
        <v>0.55000000000000004</v>
      </c>
      <c r="DD83" s="4">
        <v>2.35</v>
      </c>
      <c r="DE83" s="4">
        <v>2.97</v>
      </c>
      <c r="DF83" s="4">
        <v>619</v>
      </c>
      <c r="DG83" s="4">
        <v>627</v>
      </c>
      <c r="DH83" s="4">
        <v>705</v>
      </c>
      <c r="DI83" s="4">
        <v>609</v>
      </c>
      <c r="DJ83" s="4">
        <v>661</v>
      </c>
      <c r="DK83" s="4">
        <v>683</v>
      </c>
      <c r="DL83" s="4">
        <v>607</v>
      </c>
      <c r="DM83" s="4">
        <v>-0.4</v>
      </c>
      <c r="DN83" s="4">
        <v>-2.92</v>
      </c>
      <c r="DO83" s="4">
        <v>7.15</v>
      </c>
      <c r="DP83" s="4">
        <v>7.24</v>
      </c>
      <c r="DQ83" s="4">
        <v>7.27</v>
      </c>
      <c r="DR83" s="4">
        <v>7.42</v>
      </c>
      <c r="DS83" s="4">
        <v>7.61</v>
      </c>
      <c r="DT83" s="4">
        <v>7.71</v>
      </c>
      <c r="DU83" s="4">
        <v>0</v>
      </c>
      <c r="DV83" s="4">
        <v>1.3</v>
      </c>
      <c r="DW83" s="4">
        <v>6.05</v>
      </c>
      <c r="DX83" s="4">
        <v>6.18</v>
      </c>
      <c r="DY83" s="4">
        <v>6.21</v>
      </c>
      <c r="DZ83" s="4">
        <v>6.28</v>
      </c>
      <c r="EA83" s="4">
        <v>6.47</v>
      </c>
      <c r="EB83" s="4">
        <v>0</v>
      </c>
      <c r="EC83" s="4">
        <v>0</v>
      </c>
      <c r="ED83" s="89">
        <v>1.3</v>
      </c>
      <c r="EE83" s="110">
        <v>46.3</v>
      </c>
      <c r="EF83" s="110">
        <v>47.8</v>
      </c>
      <c r="EG83" s="110">
        <v>47</v>
      </c>
      <c r="EH83" s="110">
        <v>137.6</v>
      </c>
      <c r="EI83" s="110">
        <v>1.5</v>
      </c>
      <c r="EJ83" s="110">
        <v>-6.4</v>
      </c>
      <c r="EK83" s="110">
        <v>-6.7</v>
      </c>
      <c r="EL83" s="110">
        <v>-6.6</v>
      </c>
      <c r="EM83" s="110">
        <v>137.80000000000001</v>
      </c>
      <c r="EN83" s="110">
        <v>0.2</v>
      </c>
      <c r="EO83" s="110">
        <v>4.5</v>
      </c>
      <c r="EP83" s="110">
        <v>13</v>
      </c>
      <c r="EQ83" s="110">
        <v>27.5</v>
      </c>
      <c r="ER83" s="110">
        <v>66.099999999999994</v>
      </c>
      <c r="ES83" s="114">
        <v>36</v>
      </c>
      <c r="ET83" s="83">
        <v>7.25</v>
      </c>
      <c r="EU83" s="4">
        <v>7.02</v>
      </c>
      <c r="EV83" s="4">
        <v>140.9</v>
      </c>
      <c r="EW83" s="4">
        <v>-1.6</v>
      </c>
      <c r="EX83" s="4">
        <v>0.57999999999999996</v>
      </c>
      <c r="EY83" s="4">
        <v>0.72</v>
      </c>
      <c r="EZ83" s="4">
        <v>4.3499999999999996</v>
      </c>
      <c r="FA83" s="4">
        <v>4.83</v>
      </c>
      <c r="FB83" s="4">
        <v>482</v>
      </c>
      <c r="FC83" s="4">
        <v>476</v>
      </c>
      <c r="FD83" s="4">
        <v>648</v>
      </c>
      <c r="FE83" s="4">
        <v>545</v>
      </c>
      <c r="FF83" s="4">
        <v>603</v>
      </c>
      <c r="FG83" s="4">
        <v>550</v>
      </c>
      <c r="FH83" s="4">
        <v>452</v>
      </c>
      <c r="FI83" s="4">
        <v>-1.27</v>
      </c>
      <c r="FJ83" s="4">
        <v>-0.7</v>
      </c>
      <c r="FK83" s="4">
        <v>7.12</v>
      </c>
      <c r="FL83" s="4">
        <v>7.19</v>
      </c>
      <c r="FM83" s="4">
        <v>7.28</v>
      </c>
      <c r="FN83" s="4">
        <v>7.51</v>
      </c>
      <c r="FO83" s="4">
        <v>7.72</v>
      </c>
      <c r="FP83" s="4">
        <v>7.65</v>
      </c>
      <c r="FQ83" s="4">
        <v>0</v>
      </c>
      <c r="FR83" s="4">
        <v>1.6</v>
      </c>
      <c r="FS83" s="4">
        <v>5.7</v>
      </c>
      <c r="FT83" s="4">
        <v>5.76</v>
      </c>
      <c r="FU83" s="4">
        <v>5.9</v>
      </c>
      <c r="FV83" s="4">
        <v>6.05</v>
      </c>
      <c r="FW83" s="4">
        <v>6.18</v>
      </c>
      <c r="FX83" s="4">
        <v>0</v>
      </c>
      <c r="FY83" s="4">
        <v>0</v>
      </c>
      <c r="FZ83" s="86">
        <v>1.6</v>
      </c>
      <c r="GA83" s="110">
        <v>46.5</v>
      </c>
      <c r="GB83" s="110">
        <v>48.1</v>
      </c>
      <c r="GC83" s="110">
        <v>47.3</v>
      </c>
      <c r="GD83" s="110">
        <v>140.9</v>
      </c>
      <c r="GE83" s="110">
        <v>1.6</v>
      </c>
      <c r="GF83" s="110">
        <v>-6.8</v>
      </c>
      <c r="GG83" s="110">
        <v>-7.2</v>
      </c>
      <c r="GH83" s="110">
        <v>-7</v>
      </c>
      <c r="GI83" s="110">
        <v>10.3</v>
      </c>
      <c r="GJ83" s="110">
        <v>0.5</v>
      </c>
      <c r="GK83" s="110">
        <v>3.5</v>
      </c>
      <c r="GL83" s="110">
        <v>10.6</v>
      </c>
      <c r="GM83" s="110">
        <v>23.3</v>
      </c>
      <c r="GN83" s="110">
        <v>60.4</v>
      </c>
      <c r="GO83" s="119">
        <v>32</v>
      </c>
      <c r="IL83" s="83">
        <f t="shared" si="298"/>
        <v>7.25</v>
      </c>
      <c r="IM83" s="4">
        <f t="shared" si="299"/>
        <v>7.02</v>
      </c>
      <c r="IN83" s="4">
        <f t="shared" si="300"/>
        <v>140.9</v>
      </c>
      <c r="IO83" s="4">
        <f t="shared" si="301"/>
        <v>-1.6</v>
      </c>
      <c r="IP83" s="4">
        <f t="shared" si="302"/>
        <v>0.57999999999999996</v>
      </c>
      <c r="IQ83" s="4">
        <f t="shared" si="303"/>
        <v>0.72</v>
      </c>
      <c r="IR83" s="4">
        <f t="shared" si="304"/>
        <v>4.3499999999999996</v>
      </c>
      <c r="IS83" s="4">
        <f t="shared" si="305"/>
        <v>4.83</v>
      </c>
      <c r="IT83" s="4">
        <f t="shared" si="306"/>
        <v>482</v>
      </c>
      <c r="IU83" s="4">
        <f t="shared" si="307"/>
        <v>476</v>
      </c>
      <c r="IV83" s="4">
        <f t="shared" si="308"/>
        <v>648</v>
      </c>
      <c r="IW83" s="4">
        <f t="shared" si="309"/>
        <v>545</v>
      </c>
      <c r="IX83" s="4">
        <f t="shared" si="310"/>
        <v>603</v>
      </c>
      <c r="IY83" s="4">
        <f t="shared" si="311"/>
        <v>550</v>
      </c>
      <c r="IZ83" s="4">
        <f t="shared" si="312"/>
        <v>452</v>
      </c>
      <c r="JA83" s="4">
        <f t="shared" si="313"/>
        <v>-1.27</v>
      </c>
      <c r="JB83" s="4">
        <f t="shared" si="314"/>
        <v>-0.7</v>
      </c>
      <c r="JC83" s="4">
        <f t="shared" si="315"/>
        <v>7.12</v>
      </c>
      <c r="JD83" s="4">
        <f t="shared" si="316"/>
        <v>7.19</v>
      </c>
      <c r="JE83" s="4">
        <f t="shared" si="317"/>
        <v>7.28</v>
      </c>
      <c r="JF83" s="4">
        <f t="shared" si="318"/>
        <v>7.51</v>
      </c>
      <c r="JG83" s="4">
        <f t="shared" si="319"/>
        <v>7.72</v>
      </c>
      <c r="JH83" s="4">
        <f t="shared" si="320"/>
        <v>7.65</v>
      </c>
      <c r="JI83" s="4">
        <f t="shared" si="321"/>
        <v>0</v>
      </c>
      <c r="JJ83" s="4">
        <f t="shared" si="322"/>
        <v>1.6</v>
      </c>
      <c r="JK83" s="4">
        <f t="shared" si="323"/>
        <v>5.7</v>
      </c>
      <c r="JL83" s="4">
        <f t="shared" si="324"/>
        <v>5.76</v>
      </c>
      <c r="JM83" s="4">
        <f t="shared" si="325"/>
        <v>5.9</v>
      </c>
      <c r="JN83" s="4">
        <f t="shared" si="326"/>
        <v>6.05</v>
      </c>
      <c r="JO83" s="4">
        <f t="shared" si="327"/>
        <v>6.18</v>
      </c>
      <c r="JP83" s="4">
        <f t="shared" si="328"/>
        <v>0</v>
      </c>
      <c r="JQ83" s="117">
        <f t="shared" si="329"/>
        <v>0</v>
      </c>
      <c r="JR83" s="110">
        <f t="shared" si="330"/>
        <v>1.6</v>
      </c>
      <c r="JS83" s="110">
        <f t="shared" si="331"/>
        <v>46.5</v>
      </c>
      <c r="JT83" s="110">
        <f t="shared" si="332"/>
        <v>48.1</v>
      </c>
      <c r="JU83" s="110">
        <f t="shared" si="333"/>
        <v>47.3</v>
      </c>
      <c r="JV83" s="110">
        <f t="shared" si="334"/>
        <v>140.9</v>
      </c>
      <c r="JW83" s="110">
        <f t="shared" si="335"/>
        <v>1.6</v>
      </c>
      <c r="JX83" s="110">
        <f t="shared" si="336"/>
        <v>-6.8</v>
      </c>
      <c r="JY83" s="110">
        <f t="shared" si="337"/>
        <v>-7.2</v>
      </c>
      <c r="JZ83" s="110">
        <f t="shared" si="338"/>
        <v>-7</v>
      </c>
      <c r="KA83" s="110">
        <f t="shared" si="339"/>
        <v>10.3</v>
      </c>
      <c r="KB83" s="110">
        <f t="shared" si="340"/>
        <v>0.5</v>
      </c>
      <c r="KC83" s="110">
        <f t="shared" si="341"/>
        <v>3.5</v>
      </c>
      <c r="KD83" s="110">
        <f t="shared" si="342"/>
        <v>10.6</v>
      </c>
      <c r="KE83" s="110">
        <f t="shared" si="343"/>
        <v>23.3</v>
      </c>
      <c r="KF83" s="110">
        <f t="shared" si="344"/>
        <v>60.4</v>
      </c>
      <c r="KG83" s="121">
        <f t="shared" si="345"/>
        <v>32</v>
      </c>
      <c r="KH83" s="83">
        <f t="shared" si="346"/>
        <v>-4.0000000000000036E-2</v>
      </c>
      <c r="KI83" s="4">
        <f t="shared" si="347"/>
        <v>-4.0000000000000036E-2</v>
      </c>
      <c r="KJ83" s="4">
        <f t="shared" si="348"/>
        <v>3.3000000000000114</v>
      </c>
      <c r="KK83" s="4">
        <f t="shared" si="349"/>
        <v>-0.10000000000000009</v>
      </c>
      <c r="KL83" s="4">
        <f t="shared" si="350"/>
        <v>0.27999999999999997</v>
      </c>
      <c r="KM83" s="4">
        <f t="shared" si="351"/>
        <v>0.16999999999999993</v>
      </c>
      <c r="KN83" s="4">
        <f t="shared" si="352"/>
        <v>1.9999999999999996</v>
      </c>
      <c r="KO83" s="4">
        <f t="shared" si="353"/>
        <v>1.8599999999999999</v>
      </c>
      <c r="KP83" s="4">
        <f t="shared" si="354"/>
        <v>-137</v>
      </c>
      <c r="KQ83" s="4">
        <f t="shared" si="355"/>
        <v>-151</v>
      </c>
      <c r="KR83" s="4">
        <f t="shared" si="356"/>
        <v>-57</v>
      </c>
      <c r="KS83" s="4">
        <f t="shared" si="357"/>
        <v>-64</v>
      </c>
      <c r="KT83" s="4">
        <f t="shared" si="358"/>
        <v>-58</v>
      </c>
      <c r="KU83" s="4">
        <f t="shared" si="359"/>
        <v>-133</v>
      </c>
      <c r="KV83" s="4">
        <f t="shared" si="360"/>
        <v>-155</v>
      </c>
      <c r="KW83" s="4">
        <f t="shared" si="361"/>
        <v>-0.87</v>
      </c>
      <c r="KX83" s="4">
        <f t="shared" si="362"/>
        <v>2.2199999999999998</v>
      </c>
      <c r="KY83" s="4">
        <f t="shared" si="363"/>
        <v>-3.0000000000000249E-2</v>
      </c>
      <c r="KZ83" s="4">
        <f t="shared" si="364"/>
        <v>-4.9999999999999822E-2</v>
      </c>
      <c r="LA83" s="4">
        <f t="shared" si="365"/>
        <v>1.0000000000000675E-2</v>
      </c>
      <c r="LB83" s="4">
        <f t="shared" si="366"/>
        <v>8.9999999999999858E-2</v>
      </c>
      <c r="LC83" s="4">
        <f t="shared" si="367"/>
        <v>0.10999999999999943</v>
      </c>
      <c r="LD83" s="4">
        <f t="shared" si="368"/>
        <v>-5.9999999999999609E-2</v>
      </c>
      <c r="LE83" s="4">
        <f t="shared" si="369"/>
        <v>0</v>
      </c>
      <c r="LF83" s="4">
        <f t="shared" si="370"/>
        <v>0.30000000000000004</v>
      </c>
      <c r="LG83" s="4">
        <f t="shared" si="371"/>
        <v>-0.34999999999999964</v>
      </c>
      <c r="LH83" s="4">
        <f t="shared" si="372"/>
        <v>-0.41999999999999993</v>
      </c>
      <c r="LI83" s="4">
        <f t="shared" si="373"/>
        <v>-0.30999999999999961</v>
      </c>
      <c r="LJ83" s="4">
        <f t="shared" si="374"/>
        <v>-0.23000000000000043</v>
      </c>
      <c r="LK83" s="4">
        <f t="shared" si="375"/>
        <v>-0.29000000000000004</v>
      </c>
      <c r="LL83" s="4">
        <f t="shared" si="376"/>
        <v>0</v>
      </c>
      <c r="LM83" s="4">
        <f t="shared" si="377"/>
        <v>0</v>
      </c>
      <c r="LN83" s="4">
        <f t="shared" si="378"/>
        <v>0.30000000000000004</v>
      </c>
      <c r="LO83" s="4">
        <f t="shared" si="379"/>
        <v>0.20000000000000284</v>
      </c>
      <c r="LP83" s="4">
        <f t="shared" si="380"/>
        <v>0.30000000000000426</v>
      </c>
      <c r="LQ83" s="4">
        <f t="shared" si="381"/>
        <v>0.29999999999999716</v>
      </c>
      <c r="LR83" s="4">
        <f t="shared" si="382"/>
        <v>3.3000000000000114</v>
      </c>
      <c r="LS83" s="4">
        <f t="shared" si="383"/>
        <v>0.10000000000000009</v>
      </c>
      <c r="LT83" s="4">
        <f t="shared" si="384"/>
        <v>-0.39999999999999947</v>
      </c>
      <c r="LU83" s="4">
        <f t="shared" si="385"/>
        <v>-0.5</v>
      </c>
      <c r="LV83" s="4">
        <f t="shared" si="386"/>
        <v>-0.40000000000000036</v>
      </c>
      <c r="LW83" s="4">
        <f t="shared" si="387"/>
        <v>-127.50000000000001</v>
      </c>
      <c r="LX83" s="4">
        <f t="shared" si="388"/>
        <v>0.3</v>
      </c>
      <c r="LY83" s="4">
        <f t="shared" si="389"/>
        <v>-1</v>
      </c>
      <c r="LZ83" s="4">
        <f t="shared" si="390"/>
        <v>-2.4000000000000004</v>
      </c>
      <c r="MA83" s="4">
        <f t="shared" si="391"/>
        <v>-4.1999999999999993</v>
      </c>
      <c r="MB83" s="4">
        <f t="shared" si="392"/>
        <v>-5.6999999999999957</v>
      </c>
      <c r="MC83" s="4">
        <f t="shared" si="393"/>
        <v>-4</v>
      </c>
      <c r="MD83" s="4" t="str">
        <f t="shared" si="394"/>
        <v/>
      </c>
      <c r="ME83" s="4" t="str">
        <f t="shared" si="395"/>
        <v/>
      </c>
      <c r="MF83" s="4" t="str">
        <f t="shared" si="396"/>
        <v/>
      </c>
      <c r="MG83" s="4">
        <f t="shared" si="397"/>
        <v>7.2</v>
      </c>
    </row>
    <row r="84" spans="1:345" ht="26.25" customHeight="1" thickBot="1" x14ac:dyDescent="0.25">
      <c r="A84" s="44">
        <v>41437</v>
      </c>
      <c r="B84" s="36" t="s">
        <v>146</v>
      </c>
      <c r="C84" s="36" t="s">
        <v>264</v>
      </c>
      <c r="D84" s="31" t="s">
        <v>111</v>
      </c>
      <c r="E84" s="4">
        <v>65</v>
      </c>
      <c r="F84" s="3">
        <v>17341</v>
      </c>
      <c r="G84" s="4" t="s">
        <v>87</v>
      </c>
      <c r="H84" s="4" t="s">
        <v>108</v>
      </c>
      <c r="I84" s="45">
        <v>1836982</v>
      </c>
      <c r="J84" s="45"/>
      <c r="K84" s="250"/>
      <c r="L84" s="251"/>
      <c r="M84" s="251"/>
      <c r="N84" s="251"/>
      <c r="O84" s="250"/>
      <c r="P84" s="251"/>
      <c r="Q84" s="251"/>
      <c r="R84" s="33">
        <v>-0.5</v>
      </c>
      <c r="S84" s="33">
        <v>-0.49</v>
      </c>
      <c r="T84" s="4" t="s">
        <v>249</v>
      </c>
      <c r="U84" s="67">
        <v>15.25</v>
      </c>
      <c r="V84" s="125">
        <v>41435</v>
      </c>
      <c r="W84" s="67">
        <v>-3.75</v>
      </c>
      <c r="X84" s="67">
        <v>0.5</v>
      </c>
      <c r="Y84" s="4">
        <v>1</v>
      </c>
      <c r="Z84" s="4">
        <v>60</v>
      </c>
      <c r="AA84" s="4">
        <v>15</v>
      </c>
      <c r="AB84" s="4">
        <v>648</v>
      </c>
      <c r="AC84" s="4">
        <v>25.03</v>
      </c>
      <c r="AD84" s="4">
        <v>11.7</v>
      </c>
      <c r="AE84" s="4">
        <v>4.38</v>
      </c>
      <c r="AF84" s="4">
        <v>3.54</v>
      </c>
      <c r="AG84" s="4">
        <v>44.18</v>
      </c>
      <c r="AH84" s="4">
        <v>106</v>
      </c>
      <c r="AI84" s="4">
        <v>44.88</v>
      </c>
      <c r="AJ84" s="4">
        <v>16</v>
      </c>
      <c r="AK84" s="4">
        <v>2</v>
      </c>
      <c r="AL84" s="4" t="b">
        <f t="shared" si="268"/>
        <v>1</v>
      </c>
      <c r="AN84" s="51" t="s">
        <v>78</v>
      </c>
      <c r="BE84" s="4" t="str">
        <f t="shared" si="270"/>
        <v/>
      </c>
      <c r="BF84" s="278">
        <v>41701</v>
      </c>
      <c r="BG84" s="56">
        <v>50</v>
      </c>
      <c r="BH84" s="67">
        <v>-1.25</v>
      </c>
      <c r="BI84" s="67">
        <v>-1</v>
      </c>
      <c r="BJ84" s="4">
        <v>150</v>
      </c>
      <c r="BK84" s="4">
        <v>30</v>
      </c>
      <c r="BL84" s="4">
        <v>24</v>
      </c>
      <c r="BM84" s="4">
        <v>617</v>
      </c>
      <c r="BN84" s="4">
        <v>2206</v>
      </c>
      <c r="BU84" s="4">
        <f>IF(ISNUMBER(BH84),BH84+0.5*BI84,"")</f>
        <v>-1.75</v>
      </c>
      <c r="BV84" s="4">
        <f t="shared" si="271"/>
        <v>-1.26</v>
      </c>
      <c r="BW84" s="4">
        <f t="shared" si="272"/>
        <v>-31</v>
      </c>
      <c r="BX84" s="4">
        <f t="shared" si="273"/>
        <v>1</v>
      </c>
      <c r="BY84" s="4">
        <f t="shared" si="274"/>
        <v>0</v>
      </c>
      <c r="BZ84" s="4" t="str">
        <f t="shared" si="275"/>
        <v/>
      </c>
      <c r="CA84" s="4" t="str">
        <f t="shared" si="276"/>
        <v/>
      </c>
      <c r="CB84" s="4" t="str">
        <f t="shared" si="277"/>
        <v/>
      </c>
      <c r="CC84" s="53">
        <f t="shared" si="278"/>
        <v>264</v>
      </c>
      <c r="CD84" s="55">
        <f t="shared" si="279"/>
        <v>8.8000000000000007</v>
      </c>
      <c r="CE84" s="4" t="str">
        <f t="shared" si="280"/>
        <v/>
      </c>
      <c r="CF84" s="4" t="str">
        <f t="shared" si="281"/>
        <v/>
      </c>
      <c r="CG84" s="4" t="str">
        <f t="shared" si="282"/>
        <v/>
      </c>
      <c r="CH84" s="4" t="str">
        <f t="shared" si="283"/>
        <v/>
      </c>
      <c r="CI84" s="4">
        <f t="shared" si="284"/>
        <v>-3.5</v>
      </c>
      <c r="CJ84" s="4">
        <f t="shared" si="285"/>
        <v>-1.75</v>
      </c>
      <c r="CK84" s="93">
        <f t="shared" si="286"/>
        <v>-1.26</v>
      </c>
      <c r="CL84" s="83">
        <f t="shared" si="287"/>
        <v>-31</v>
      </c>
      <c r="CM84" s="4" t="str">
        <f t="shared" si="288"/>
        <v/>
      </c>
      <c r="CN84" s="96">
        <f t="shared" si="289"/>
        <v>-0.49</v>
      </c>
      <c r="CO84" s="96">
        <f t="shared" si="398"/>
        <v>0.30102999566398114</v>
      </c>
      <c r="CP84" s="127">
        <f t="shared" si="290"/>
        <v>-1</v>
      </c>
      <c r="CQ84" s="127">
        <f t="shared" si="291"/>
        <v>-1.5</v>
      </c>
      <c r="CR84" s="136">
        <f t="shared" si="292"/>
        <v>30</v>
      </c>
      <c r="CS84" s="136">
        <f t="shared" si="293"/>
        <v>60</v>
      </c>
      <c r="CT84" s="135">
        <f t="shared" si="294"/>
        <v>50</v>
      </c>
      <c r="CU84" s="139" t="str">
        <f t="shared" si="295"/>
        <v/>
      </c>
      <c r="CV84" s="96">
        <f t="shared" si="296"/>
        <v>1</v>
      </c>
      <c r="CW84" s="141" t="b">
        <f t="shared" si="297"/>
        <v>1</v>
      </c>
      <c r="CX84">
        <v>7.53</v>
      </c>
      <c r="CY84" s="4">
        <v>7.62</v>
      </c>
      <c r="CZ84" s="4">
        <v>132.6</v>
      </c>
      <c r="DA84" s="4">
        <v>0.5</v>
      </c>
      <c r="DB84" s="4">
        <v>0.65</v>
      </c>
      <c r="DC84" s="4">
        <v>0.75</v>
      </c>
      <c r="DD84" s="4">
        <v>2.71</v>
      </c>
      <c r="DE84" s="4">
        <v>3.34</v>
      </c>
      <c r="DF84" s="4">
        <v>631</v>
      </c>
      <c r="DG84" s="4">
        <v>634</v>
      </c>
      <c r="DH84" s="4">
        <v>709</v>
      </c>
      <c r="DI84" s="4">
        <v>671</v>
      </c>
      <c r="DJ84" s="4">
        <v>649</v>
      </c>
      <c r="DK84" s="4">
        <v>685</v>
      </c>
      <c r="DL84" s="4">
        <v>622</v>
      </c>
      <c r="DM84" s="4">
        <v>1.24</v>
      </c>
      <c r="DN84" s="4">
        <v>0</v>
      </c>
      <c r="DO84" s="4">
        <v>7.56</v>
      </c>
      <c r="DP84" s="4">
        <v>7.6</v>
      </c>
      <c r="DQ84" s="4">
        <v>7.69</v>
      </c>
      <c r="DR84" s="4">
        <v>7.98</v>
      </c>
      <c r="DS84" s="4">
        <v>8.3000000000000007</v>
      </c>
      <c r="DT84" s="4">
        <v>8.5399999999999991</v>
      </c>
      <c r="DU84" s="4">
        <v>0</v>
      </c>
      <c r="DV84" s="4">
        <v>1</v>
      </c>
      <c r="DW84" s="4">
        <v>6.5</v>
      </c>
      <c r="DX84" s="4">
        <v>6.46</v>
      </c>
      <c r="DY84" s="4">
        <v>6.51</v>
      </c>
      <c r="DZ84" s="4">
        <v>6.66</v>
      </c>
      <c r="EA84" s="4">
        <v>6.92</v>
      </c>
      <c r="EB84" s="4">
        <v>0</v>
      </c>
      <c r="EC84" s="4">
        <v>0</v>
      </c>
      <c r="ED84" s="89">
        <v>1</v>
      </c>
      <c r="IL84" s="83" t="str">
        <f t="shared" si="298"/>
        <v/>
      </c>
      <c r="IM84" s="4" t="str">
        <f t="shared" si="299"/>
        <v/>
      </c>
      <c r="IN84" s="4" t="str">
        <f t="shared" si="300"/>
        <v/>
      </c>
      <c r="IO84" s="4" t="str">
        <f t="shared" si="301"/>
        <v/>
      </c>
      <c r="IP84" s="4" t="str">
        <f t="shared" si="302"/>
        <v/>
      </c>
      <c r="IQ84" s="4" t="str">
        <f t="shared" si="303"/>
        <v/>
      </c>
      <c r="IR84" s="4" t="str">
        <f t="shared" si="304"/>
        <v/>
      </c>
      <c r="IS84" s="4" t="str">
        <f t="shared" si="305"/>
        <v/>
      </c>
      <c r="IT84" s="4" t="str">
        <f t="shared" si="306"/>
        <v/>
      </c>
      <c r="IU84" s="4" t="str">
        <f t="shared" si="307"/>
        <v/>
      </c>
      <c r="IV84" s="4" t="str">
        <f t="shared" si="308"/>
        <v/>
      </c>
      <c r="IW84" s="4" t="str">
        <f t="shared" si="309"/>
        <v/>
      </c>
      <c r="IX84" s="4" t="str">
        <f t="shared" si="310"/>
        <v/>
      </c>
      <c r="IY84" s="4" t="str">
        <f t="shared" si="311"/>
        <v/>
      </c>
      <c r="IZ84" s="4" t="str">
        <f t="shared" si="312"/>
        <v/>
      </c>
      <c r="JA84" s="4" t="str">
        <f t="shared" si="313"/>
        <v/>
      </c>
      <c r="JB84" s="4" t="str">
        <f t="shared" si="314"/>
        <v/>
      </c>
      <c r="JC84" s="4" t="str">
        <f t="shared" si="315"/>
        <v/>
      </c>
      <c r="JD84" s="4" t="str">
        <f t="shared" si="316"/>
        <v/>
      </c>
      <c r="JE84" s="4" t="str">
        <f t="shared" si="317"/>
        <v/>
      </c>
      <c r="JF84" s="4" t="str">
        <f t="shared" si="318"/>
        <v/>
      </c>
      <c r="JG84" s="4" t="str">
        <f t="shared" si="319"/>
        <v/>
      </c>
      <c r="JH84" s="4" t="str">
        <f t="shared" si="320"/>
        <v/>
      </c>
      <c r="JI84" s="4" t="str">
        <f t="shared" si="321"/>
        <v/>
      </c>
      <c r="JJ84" s="4" t="str">
        <f t="shared" si="322"/>
        <v/>
      </c>
      <c r="JK84" s="4" t="str">
        <f t="shared" si="323"/>
        <v/>
      </c>
      <c r="JL84" s="4" t="str">
        <f t="shared" si="324"/>
        <v/>
      </c>
      <c r="JM84" s="4" t="str">
        <f t="shared" si="325"/>
        <v/>
      </c>
      <c r="JN84" s="4" t="str">
        <f t="shared" si="326"/>
        <v/>
      </c>
      <c r="JO84" s="4" t="str">
        <f t="shared" si="327"/>
        <v/>
      </c>
      <c r="JP84" s="4" t="str">
        <f t="shared" si="328"/>
        <v/>
      </c>
      <c r="JQ84" s="117" t="str">
        <f t="shared" si="329"/>
        <v/>
      </c>
      <c r="JR84" s="110" t="str">
        <f t="shared" si="330"/>
        <v/>
      </c>
      <c r="JS84" s="110" t="str">
        <f t="shared" si="331"/>
        <v/>
      </c>
      <c r="JT84" s="110" t="str">
        <f t="shared" si="332"/>
        <v/>
      </c>
      <c r="JU84" s="110" t="str">
        <f t="shared" si="333"/>
        <v/>
      </c>
      <c r="JV84" s="110" t="str">
        <f t="shared" si="334"/>
        <v/>
      </c>
      <c r="JW84" s="110" t="str">
        <f t="shared" si="335"/>
        <v/>
      </c>
      <c r="JX84" s="110" t="str">
        <f t="shared" si="336"/>
        <v/>
      </c>
      <c r="JY84" s="110" t="str">
        <f t="shared" si="337"/>
        <v/>
      </c>
      <c r="JZ84" s="110" t="str">
        <f t="shared" si="338"/>
        <v/>
      </c>
      <c r="KA84" s="110" t="str">
        <f t="shared" si="339"/>
        <v/>
      </c>
      <c r="KB84" s="110" t="str">
        <f t="shared" si="340"/>
        <v/>
      </c>
      <c r="KC84" s="110" t="str">
        <f t="shared" si="341"/>
        <v/>
      </c>
      <c r="KD84" s="110" t="str">
        <f t="shared" si="342"/>
        <v/>
      </c>
      <c r="KE84" s="110" t="str">
        <f t="shared" si="343"/>
        <v/>
      </c>
      <c r="KF84" s="110" t="str">
        <f t="shared" si="344"/>
        <v/>
      </c>
      <c r="KG84" s="121" t="str">
        <f t="shared" si="345"/>
        <v/>
      </c>
      <c r="KH84" s="83" t="str">
        <f t="shared" si="346"/>
        <v/>
      </c>
      <c r="KI84" s="4" t="str">
        <f t="shared" si="347"/>
        <v/>
      </c>
      <c r="KJ84" s="4" t="str">
        <f t="shared" si="348"/>
        <v/>
      </c>
      <c r="KK84" s="4" t="str">
        <f t="shared" si="349"/>
        <v/>
      </c>
      <c r="KL84" s="4" t="str">
        <f t="shared" si="350"/>
        <v/>
      </c>
      <c r="KM84" s="4" t="str">
        <f t="shared" si="351"/>
        <v/>
      </c>
      <c r="KN84" s="4" t="str">
        <f t="shared" si="352"/>
        <v/>
      </c>
      <c r="KO84" s="4" t="str">
        <f t="shared" si="353"/>
        <v/>
      </c>
      <c r="KP84" s="4" t="str">
        <f t="shared" si="354"/>
        <v/>
      </c>
      <c r="KQ84" s="4" t="str">
        <f t="shared" si="355"/>
        <v/>
      </c>
      <c r="KR84" s="4" t="str">
        <f t="shared" si="356"/>
        <v/>
      </c>
      <c r="KS84" s="4" t="str">
        <f t="shared" si="357"/>
        <v/>
      </c>
      <c r="KT84" s="4" t="str">
        <f t="shared" si="358"/>
        <v/>
      </c>
      <c r="KU84" s="4" t="str">
        <f t="shared" si="359"/>
        <v/>
      </c>
      <c r="KV84" s="4" t="str">
        <f t="shared" si="360"/>
        <v/>
      </c>
      <c r="KW84" s="4" t="str">
        <f t="shared" si="361"/>
        <v/>
      </c>
      <c r="KX84" s="4" t="str">
        <f t="shared" si="362"/>
        <v/>
      </c>
      <c r="KY84" s="4" t="str">
        <f t="shared" si="363"/>
        <v/>
      </c>
      <c r="KZ84" s="4" t="str">
        <f t="shared" si="364"/>
        <v/>
      </c>
      <c r="LA84" s="4" t="str">
        <f t="shared" si="365"/>
        <v/>
      </c>
      <c r="LB84" s="4" t="str">
        <f t="shared" si="366"/>
        <v/>
      </c>
      <c r="LC84" s="4" t="str">
        <f t="shared" si="367"/>
        <v/>
      </c>
      <c r="LD84" s="4" t="str">
        <f t="shared" si="368"/>
        <v/>
      </c>
      <c r="LE84" s="4" t="str">
        <f t="shared" si="369"/>
        <v/>
      </c>
      <c r="LF84" s="4" t="str">
        <f t="shared" si="370"/>
        <v/>
      </c>
      <c r="LG84" s="4" t="str">
        <f t="shared" si="371"/>
        <v/>
      </c>
      <c r="LH84" s="4" t="str">
        <f t="shared" si="372"/>
        <v/>
      </c>
      <c r="LI84" s="4" t="str">
        <f t="shared" si="373"/>
        <v/>
      </c>
      <c r="LJ84" s="4" t="str">
        <f t="shared" si="374"/>
        <v/>
      </c>
      <c r="LK84" s="4" t="str">
        <f t="shared" si="375"/>
        <v/>
      </c>
      <c r="LL84" s="4" t="str">
        <f t="shared" si="376"/>
        <v/>
      </c>
      <c r="LM84" s="4" t="str">
        <f t="shared" si="377"/>
        <v/>
      </c>
      <c r="LN84" s="4" t="str">
        <f t="shared" si="378"/>
        <v/>
      </c>
      <c r="LO84" s="4" t="str">
        <f t="shared" si="379"/>
        <v/>
      </c>
      <c r="LP84" s="4" t="str">
        <f t="shared" si="380"/>
        <v/>
      </c>
      <c r="LQ84" s="4" t="str">
        <f t="shared" si="381"/>
        <v/>
      </c>
      <c r="LR84" s="4" t="str">
        <f t="shared" si="382"/>
        <v/>
      </c>
      <c r="LS84" s="4" t="str">
        <f t="shared" si="383"/>
        <v/>
      </c>
      <c r="LT84" s="4" t="str">
        <f t="shared" si="384"/>
        <v/>
      </c>
      <c r="LU84" s="4" t="str">
        <f t="shared" si="385"/>
        <v/>
      </c>
      <c r="LV84" s="4" t="str">
        <f t="shared" si="386"/>
        <v/>
      </c>
      <c r="LW84" s="4" t="str">
        <f t="shared" si="387"/>
        <v/>
      </c>
      <c r="LX84" s="4" t="str">
        <f t="shared" si="388"/>
        <v/>
      </c>
      <c r="LY84" s="4" t="str">
        <f t="shared" si="389"/>
        <v/>
      </c>
      <c r="LZ84" s="4" t="str">
        <f t="shared" si="390"/>
        <v/>
      </c>
      <c r="MA84" s="4" t="str">
        <f t="shared" si="391"/>
        <v/>
      </c>
      <c r="MB84" s="4" t="str">
        <f t="shared" si="392"/>
        <v/>
      </c>
      <c r="MC84" s="4" t="str">
        <f t="shared" si="393"/>
        <v/>
      </c>
      <c r="MD84" s="4" t="str">
        <f t="shared" si="394"/>
        <v/>
      </c>
      <c r="ME84" s="4" t="str">
        <f t="shared" si="395"/>
        <v/>
      </c>
      <c r="MF84" s="4" t="str">
        <f t="shared" si="396"/>
        <v/>
      </c>
      <c r="MG84" s="4">
        <f t="shared" si="397"/>
        <v>0</v>
      </c>
    </row>
    <row r="85" spans="1:345" s="169" customFormat="1" ht="26.25" customHeight="1" thickBot="1" x14ac:dyDescent="0.25">
      <c r="A85" s="166">
        <v>41416</v>
      </c>
      <c r="B85" s="167" t="s">
        <v>132</v>
      </c>
      <c r="C85" s="167" t="s">
        <v>145</v>
      </c>
      <c r="D85" s="168" t="s">
        <v>110</v>
      </c>
      <c r="E85" s="169">
        <v>55</v>
      </c>
      <c r="F85" s="170">
        <v>21064</v>
      </c>
      <c r="G85" s="169" t="s">
        <v>87</v>
      </c>
      <c r="H85" s="169" t="s">
        <v>108</v>
      </c>
      <c r="I85" s="169">
        <v>1837142</v>
      </c>
      <c r="K85" s="252"/>
      <c r="L85" s="253"/>
      <c r="M85" s="253"/>
      <c r="N85" s="253"/>
      <c r="O85" s="266"/>
      <c r="P85" s="253"/>
      <c r="Q85" s="253"/>
      <c r="R85" s="279">
        <v>-0.5</v>
      </c>
      <c r="S85" s="279">
        <v>-0.57999999999999996</v>
      </c>
      <c r="T85" s="279" t="s">
        <v>249</v>
      </c>
      <c r="U85" s="171">
        <v>20.25</v>
      </c>
      <c r="V85" s="172">
        <v>41414</v>
      </c>
      <c r="W85" s="171">
        <v>-3.25</v>
      </c>
      <c r="X85" s="171">
        <v>0.5</v>
      </c>
      <c r="Y85" s="169">
        <v>150</v>
      </c>
      <c r="Z85" s="169">
        <v>40</v>
      </c>
      <c r="AA85" s="169">
        <v>14</v>
      </c>
      <c r="AB85" s="169">
        <v>543</v>
      </c>
      <c r="AC85" s="169">
        <v>22.91</v>
      </c>
      <c r="AD85" s="169">
        <v>11.8</v>
      </c>
      <c r="AE85" s="169">
        <v>3.49</v>
      </c>
      <c r="AF85" s="169">
        <v>2.41</v>
      </c>
      <c r="AG85" s="169">
        <v>45.3</v>
      </c>
      <c r="AH85" s="169">
        <v>16</v>
      </c>
      <c r="AI85" s="169">
        <v>46.17</v>
      </c>
      <c r="AJ85" s="169">
        <v>106</v>
      </c>
      <c r="AK85" s="169">
        <v>0</v>
      </c>
      <c r="AL85" s="169" t="b">
        <f t="shared" si="268"/>
        <v>0</v>
      </c>
      <c r="AM85" s="173"/>
      <c r="AN85" s="280">
        <v>41611</v>
      </c>
      <c r="AO85" s="174">
        <v>30</v>
      </c>
      <c r="AP85" s="171">
        <v>0</v>
      </c>
      <c r="AQ85" s="171">
        <v>1</v>
      </c>
      <c r="AR85" s="169">
        <v>133</v>
      </c>
      <c r="AS85" s="169">
        <v>20</v>
      </c>
      <c r="AT85" s="169">
        <v>11</v>
      </c>
      <c r="AU85" s="169">
        <v>561</v>
      </c>
      <c r="AV85" s="169">
        <v>1208</v>
      </c>
      <c r="AW85" s="169">
        <v>22.96</v>
      </c>
      <c r="AX85" s="169">
        <v>4.46</v>
      </c>
      <c r="AY85" s="169">
        <v>44.76</v>
      </c>
      <c r="AZ85" s="169">
        <v>12</v>
      </c>
      <c r="BA85" s="169">
        <v>46.36</v>
      </c>
      <c r="BB85" s="169">
        <v>102</v>
      </c>
      <c r="BC85" s="169">
        <f t="shared" ref="BC85:BC92" si="399">IF(ISNUMBER(AP85),AP85+0.5*AQ85,"")</f>
        <v>0.5</v>
      </c>
      <c r="BD85" s="169">
        <f t="shared" ref="BD85:BD92" si="400">IF(ISNUMBER(BC85),IF(ISNUMBER(S85),BC85-S85,"MISSING"),"")</f>
        <v>1.08</v>
      </c>
      <c r="BE85" s="169">
        <f t="shared" si="270"/>
        <v>18</v>
      </c>
      <c r="BF85" s="282">
        <v>41794</v>
      </c>
      <c r="BG85" s="175"/>
      <c r="BH85" s="171"/>
      <c r="BI85" s="171"/>
      <c r="BV85" s="169" t="str">
        <f t="shared" si="271"/>
        <v/>
      </c>
      <c r="BW85" s="169" t="str">
        <f t="shared" si="272"/>
        <v/>
      </c>
      <c r="BX85" s="169">
        <f t="shared" si="273"/>
        <v>1</v>
      </c>
      <c r="BY85" s="169">
        <f t="shared" si="274"/>
        <v>0</v>
      </c>
      <c r="BZ85" s="169" t="str">
        <f t="shared" si="275"/>
        <v/>
      </c>
      <c r="CA85" s="169" t="str">
        <f t="shared" si="276"/>
        <v/>
      </c>
      <c r="CB85" s="169" t="str">
        <f t="shared" si="277"/>
        <v/>
      </c>
      <c r="CC85" s="176">
        <f t="shared" si="278"/>
        <v>195</v>
      </c>
      <c r="CD85" s="177">
        <f t="shared" si="279"/>
        <v>6.5</v>
      </c>
      <c r="CE85" s="169" t="str">
        <f t="shared" si="280"/>
        <v/>
      </c>
      <c r="CF85" s="169">
        <f t="shared" si="281"/>
        <v>-0.17499999999999716</v>
      </c>
      <c r="CG85" s="169" t="str">
        <f t="shared" si="282"/>
        <v/>
      </c>
      <c r="CH85" s="169">
        <f t="shared" si="283"/>
        <v>-0.17499999999999716</v>
      </c>
      <c r="CI85" s="169">
        <f t="shared" si="284"/>
        <v>-3</v>
      </c>
      <c r="CJ85" s="169">
        <f t="shared" si="285"/>
        <v>0.5</v>
      </c>
      <c r="CK85" s="178">
        <f t="shared" si="286"/>
        <v>1.08</v>
      </c>
      <c r="CL85" s="179">
        <f t="shared" si="287"/>
        <v>18</v>
      </c>
      <c r="CM85" s="169">
        <f t="shared" si="288"/>
        <v>5.0000000000000711E-2</v>
      </c>
      <c r="CN85" s="180">
        <f t="shared" si="289"/>
        <v>-0.57999999999999996</v>
      </c>
      <c r="CO85" s="180">
        <f t="shared" si="398"/>
        <v>0.3010299956639812</v>
      </c>
      <c r="CP85" s="181">
        <f t="shared" si="290"/>
        <v>1</v>
      </c>
      <c r="CQ85" s="181">
        <f t="shared" si="291"/>
        <v>0.5</v>
      </c>
      <c r="CR85" s="182">
        <f t="shared" si="292"/>
        <v>20</v>
      </c>
      <c r="CS85" s="182">
        <f t="shared" si="293"/>
        <v>40</v>
      </c>
      <c r="CT85" s="183">
        <f t="shared" si="294"/>
        <v>30</v>
      </c>
      <c r="CU85" s="184">
        <f t="shared" si="295"/>
        <v>0</v>
      </c>
      <c r="CV85" s="180" t="str">
        <f t="shared" si="296"/>
        <v/>
      </c>
      <c r="CW85" s="185" t="b">
        <f t="shared" si="297"/>
        <v>0</v>
      </c>
      <c r="CX85" s="186">
        <v>7.54</v>
      </c>
      <c r="CY85" s="169">
        <v>7.35</v>
      </c>
      <c r="CZ85" s="169">
        <v>21.2</v>
      </c>
      <c r="DA85" s="169">
        <v>-1.2</v>
      </c>
      <c r="DB85" s="169">
        <v>0.47</v>
      </c>
      <c r="DC85" s="169">
        <v>0.48</v>
      </c>
      <c r="DD85" s="169">
        <v>3.28</v>
      </c>
      <c r="DE85" s="169">
        <v>3.83</v>
      </c>
      <c r="DF85" s="169">
        <v>548</v>
      </c>
      <c r="DG85" s="169">
        <v>548</v>
      </c>
      <c r="DH85" s="169">
        <v>659</v>
      </c>
      <c r="DI85" s="169">
        <v>629</v>
      </c>
      <c r="DJ85" s="169">
        <v>634</v>
      </c>
      <c r="DK85" s="169">
        <v>609</v>
      </c>
      <c r="DL85" s="169">
        <v>546</v>
      </c>
      <c r="DM85" s="169">
        <v>0.43</v>
      </c>
      <c r="DN85" s="169">
        <v>-0.31</v>
      </c>
      <c r="DO85" s="169">
        <v>7.44</v>
      </c>
      <c r="DP85" s="169">
        <v>7.45</v>
      </c>
      <c r="DQ85" s="169">
        <v>7.52</v>
      </c>
      <c r="DR85" s="169">
        <v>7.62</v>
      </c>
      <c r="DS85" s="169">
        <v>7.83</v>
      </c>
      <c r="DT85" s="169">
        <v>7.85</v>
      </c>
      <c r="DU85" s="169">
        <v>0</v>
      </c>
      <c r="DV85" s="169">
        <v>1.3</v>
      </c>
      <c r="DW85" s="169">
        <v>6.15</v>
      </c>
      <c r="DX85" s="169">
        <v>6.09</v>
      </c>
      <c r="DY85" s="169">
        <v>6.24</v>
      </c>
      <c r="DZ85" s="169">
        <v>6.43</v>
      </c>
      <c r="EA85" s="169">
        <v>6.54</v>
      </c>
      <c r="EB85" s="169">
        <v>0</v>
      </c>
      <c r="EC85" s="169">
        <v>0</v>
      </c>
      <c r="ED85" s="187">
        <v>1.3</v>
      </c>
      <c r="EE85" s="188">
        <v>44.7</v>
      </c>
      <c r="EF85" s="188">
        <v>45.9</v>
      </c>
      <c r="EG85" s="188">
        <v>45.3</v>
      </c>
      <c r="EH85" s="188">
        <v>21.2</v>
      </c>
      <c r="EI85" s="188">
        <v>1.2</v>
      </c>
      <c r="EJ85" s="188">
        <v>-6.4</v>
      </c>
      <c r="EK85" s="188">
        <v>-6.8</v>
      </c>
      <c r="EL85" s="188">
        <v>-6.6</v>
      </c>
      <c r="EM85" s="188">
        <v>12.1</v>
      </c>
      <c r="EN85" s="188">
        <v>0.4</v>
      </c>
      <c r="EO85" s="188">
        <v>4</v>
      </c>
      <c r="EP85" s="188">
        <v>11.6</v>
      </c>
      <c r="EQ85" s="188">
        <v>25</v>
      </c>
      <c r="ER85" s="188">
        <v>61.2</v>
      </c>
      <c r="ES85" s="189">
        <v>16</v>
      </c>
      <c r="ET85" s="179">
        <v>7.58</v>
      </c>
      <c r="EU85" s="169">
        <v>7.34</v>
      </c>
      <c r="EV85" s="169">
        <v>14.7</v>
      </c>
      <c r="EW85" s="169">
        <v>-1.4</v>
      </c>
      <c r="EX85" s="169">
        <v>0.51</v>
      </c>
      <c r="EY85" s="169">
        <v>0.53</v>
      </c>
      <c r="EZ85" s="169">
        <v>4.9000000000000004</v>
      </c>
      <c r="FA85" s="169">
        <v>5.44</v>
      </c>
      <c r="FB85" s="169">
        <v>535</v>
      </c>
      <c r="FC85" s="169">
        <v>537</v>
      </c>
      <c r="FD85" s="169">
        <v>666</v>
      </c>
      <c r="FE85" s="169">
        <v>607</v>
      </c>
      <c r="FF85" s="169">
        <v>652</v>
      </c>
      <c r="FG85" s="169">
        <v>583</v>
      </c>
      <c r="FH85" s="169">
        <v>528</v>
      </c>
      <c r="FI85" s="169">
        <v>0.79</v>
      </c>
      <c r="FJ85" s="169">
        <v>-0.53</v>
      </c>
      <c r="FK85" s="169">
        <v>7.43</v>
      </c>
      <c r="FL85" s="169">
        <v>7.46</v>
      </c>
      <c r="FM85" s="169">
        <v>7.52</v>
      </c>
      <c r="FN85" s="169">
        <v>7.68</v>
      </c>
      <c r="FO85" s="169">
        <v>7.91</v>
      </c>
      <c r="FP85" s="169">
        <v>8</v>
      </c>
      <c r="FQ85" s="169">
        <v>0</v>
      </c>
      <c r="FR85" s="169">
        <v>1.2</v>
      </c>
      <c r="FS85" s="169">
        <v>6.13</v>
      </c>
      <c r="FT85" s="169">
        <v>5.98</v>
      </c>
      <c r="FU85" s="169">
        <v>6.11</v>
      </c>
      <c r="FV85" s="169">
        <v>6.49</v>
      </c>
      <c r="FW85" s="169">
        <v>6.78</v>
      </c>
      <c r="FX85" s="169">
        <v>0</v>
      </c>
      <c r="FY85" s="169">
        <v>0</v>
      </c>
      <c r="FZ85" s="190">
        <v>1.2</v>
      </c>
      <c r="GA85" s="188">
        <v>44.5</v>
      </c>
      <c r="GB85" s="188">
        <v>46</v>
      </c>
      <c r="GC85" s="188">
        <v>45.3</v>
      </c>
      <c r="GD85" s="188">
        <v>14.7</v>
      </c>
      <c r="GE85" s="188">
        <v>1.4</v>
      </c>
      <c r="GF85" s="188">
        <v>-6.3</v>
      </c>
      <c r="GG85" s="188">
        <v>-6.8</v>
      </c>
      <c r="GH85" s="188">
        <v>-6.6</v>
      </c>
      <c r="GI85" s="188">
        <v>14.1</v>
      </c>
      <c r="GJ85" s="188">
        <v>0.5</v>
      </c>
      <c r="GK85" s="188">
        <v>3.9</v>
      </c>
      <c r="GL85" s="188">
        <v>11.4</v>
      </c>
      <c r="GM85" s="188">
        <v>24.9</v>
      </c>
      <c r="GN85" s="188">
        <v>61.5</v>
      </c>
      <c r="GO85" s="191">
        <v>15</v>
      </c>
      <c r="GP85" s="179"/>
      <c r="HV85" s="178"/>
      <c r="HW85" s="188"/>
      <c r="HX85" s="188"/>
      <c r="HY85" s="188"/>
      <c r="HZ85" s="188"/>
      <c r="IA85" s="188"/>
      <c r="IB85" s="188"/>
      <c r="IC85" s="188"/>
      <c r="ID85" s="188"/>
      <c r="IE85" s="188"/>
      <c r="IF85" s="188"/>
      <c r="IG85" s="188"/>
      <c r="IH85" s="188"/>
      <c r="II85" s="188"/>
      <c r="IJ85" s="188"/>
      <c r="IK85" s="192"/>
      <c r="IL85" s="179">
        <f t="shared" si="298"/>
        <v>7.58</v>
      </c>
      <c r="IM85" s="169">
        <f t="shared" si="299"/>
        <v>7.34</v>
      </c>
      <c r="IN85" s="169">
        <f t="shared" si="300"/>
        <v>14.7</v>
      </c>
      <c r="IO85" s="169">
        <f t="shared" si="301"/>
        <v>-1.4</v>
      </c>
      <c r="IP85" s="169">
        <f t="shared" si="302"/>
        <v>0.51</v>
      </c>
      <c r="IQ85" s="169">
        <f t="shared" si="303"/>
        <v>0.53</v>
      </c>
      <c r="IR85" s="169">
        <f t="shared" si="304"/>
        <v>4.9000000000000004</v>
      </c>
      <c r="IS85" s="169">
        <f t="shared" si="305"/>
        <v>5.44</v>
      </c>
      <c r="IT85" s="169">
        <f t="shared" si="306"/>
        <v>535</v>
      </c>
      <c r="IU85" s="169">
        <f t="shared" si="307"/>
        <v>537</v>
      </c>
      <c r="IV85" s="169">
        <f t="shared" si="308"/>
        <v>666</v>
      </c>
      <c r="IW85" s="169">
        <f t="shared" si="309"/>
        <v>607</v>
      </c>
      <c r="IX85" s="169">
        <f t="shared" si="310"/>
        <v>652</v>
      </c>
      <c r="IY85" s="169">
        <f t="shared" si="311"/>
        <v>583</v>
      </c>
      <c r="IZ85" s="169">
        <f t="shared" si="312"/>
        <v>528</v>
      </c>
      <c r="JA85" s="169">
        <f t="shared" si="313"/>
        <v>0.79</v>
      </c>
      <c r="JB85" s="169">
        <f t="shared" si="314"/>
        <v>-0.53</v>
      </c>
      <c r="JC85" s="169">
        <f t="shared" si="315"/>
        <v>7.43</v>
      </c>
      <c r="JD85" s="169">
        <f t="shared" si="316"/>
        <v>7.46</v>
      </c>
      <c r="JE85" s="169">
        <f t="shared" si="317"/>
        <v>7.52</v>
      </c>
      <c r="JF85" s="169">
        <f t="shared" si="318"/>
        <v>7.68</v>
      </c>
      <c r="JG85" s="169">
        <f t="shared" si="319"/>
        <v>7.91</v>
      </c>
      <c r="JH85" s="169">
        <f t="shared" si="320"/>
        <v>8</v>
      </c>
      <c r="JI85" s="169">
        <f t="shared" si="321"/>
        <v>0</v>
      </c>
      <c r="JJ85" s="169">
        <f t="shared" si="322"/>
        <v>1.2</v>
      </c>
      <c r="JK85" s="169">
        <f t="shared" si="323"/>
        <v>6.13</v>
      </c>
      <c r="JL85" s="169">
        <f t="shared" si="324"/>
        <v>5.98</v>
      </c>
      <c r="JM85" s="169">
        <f t="shared" si="325"/>
        <v>6.11</v>
      </c>
      <c r="JN85" s="169">
        <f t="shared" si="326"/>
        <v>6.49</v>
      </c>
      <c r="JO85" s="169">
        <f t="shared" si="327"/>
        <v>6.78</v>
      </c>
      <c r="JP85" s="169">
        <f t="shared" si="328"/>
        <v>0</v>
      </c>
      <c r="JQ85" s="193">
        <f t="shared" si="329"/>
        <v>0</v>
      </c>
      <c r="JR85" s="188">
        <f t="shared" si="330"/>
        <v>1.2</v>
      </c>
      <c r="JS85" s="188">
        <f t="shared" si="331"/>
        <v>44.5</v>
      </c>
      <c r="JT85" s="188">
        <f t="shared" si="332"/>
        <v>46</v>
      </c>
      <c r="JU85" s="188">
        <f t="shared" si="333"/>
        <v>45.3</v>
      </c>
      <c r="JV85" s="188">
        <f t="shared" si="334"/>
        <v>14.7</v>
      </c>
      <c r="JW85" s="188">
        <f t="shared" si="335"/>
        <v>1.4</v>
      </c>
      <c r="JX85" s="188">
        <f t="shared" si="336"/>
        <v>-6.3</v>
      </c>
      <c r="JY85" s="188">
        <f t="shared" si="337"/>
        <v>-6.8</v>
      </c>
      <c r="JZ85" s="188">
        <f t="shared" si="338"/>
        <v>-6.6</v>
      </c>
      <c r="KA85" s="188">
        <f t="shared" si="339"/>
        <v>14.1</v>
      </c>
      <c r="KB85" s="188">
        <f t="shared" si="340"/>
        <v>0.5</v>
      </c>
      <c r="KC85" s="188">
        <f t="shared" si="341"/>
        <v>3.9</v>
      </c>
      <c r="KD85" s="188">
        <f t="shared" si="342"/>
        <v>11.4</v>
      </c>
      <c r="KE85" s="188">
        <f t="shared" si="343"/>
        <v>24.9</v>
      </c>
      <c r="KF85" s="188">
        <f t="shared" si="344"/>
        <v>61.5</v>
      </c>
      <c r="KG85" s="192">
        <f t="shared" si="345"/>
        <v>15</v>
      </c>
      <c r="KH85" s="179">
        <f t="shared" si="346"/>
        <v>4.0000000000000036E-2</v>
      </c>
      <c r="KI85" s="169">
        <f t="shared" si="347"/>
        <v>-9.9999999999997868E-3</v>
      </c>
      <c r="KJ85" s="169">
        <f t="shared" si="348"/>
        <v>-6.5</v>
      </c>
      <c r="KK85" s="169">
        <f t="shared" si="349"/>
        <v>-0.19999999999999996</v>
      </c>
      <c r="KL85" s="169">
        <f t="shared" si="350"/>
        <v>4.0000000000000036E-2</v>
      </c>
      <c r="KM85" s="169">
        <f t="shared" si="351"/>
        <v>5.0000000000000044E-2</v>
      </c>
      <c r="KN85" s="169">
        <f t="shared" si="352"/>
        <v>1.6200000000000006</v>
      </c>
      <c r="KO85" s="169">
        <f t="shared" si="353"/>
        <v>1.6100000000000003</v>
      </c>
      <c r="KP85" s="169">
        <f t="shared" si="354"/>
        <v>-13</v>
      </c>
      <c r="KQ85" s="169">
        <f t="shared" si="355"/>
        <v>-11</v>
      </c>
      <c r="KR85" s="169">
        <f t="shared" si="356"/>
        <v>7</v>
      </c>
      <c r="KS85" s="169">
        <f t="shared" si="357"/>
        <v>-22</v>
      </c>
      <c r="KT85" s="169">
        <f t="shared" si="358"/>
        <v>18</v>
      </c>
      <c r="KU85" s="169">
        <f t="shared" si="359"/>
        <v>-26</v>
      </c>
      <c r="KV85" s="169">
        <f t="shared" si="360"/>
        <v>-18</v>
      </c>
      <c r="KW85" s="169">
        <f t="shared" si="361"/>
        <v>0.36000000000000004</v>
      </c>
      <c r="KX85" s="169">
        <f t="shared" si="362"/>
        <v>-0.22000000000000003</v>
      </c>
      <c r="KY85" s="169">
        <f t="shared" si="363"/>
        <v>-1.0000000000000675E-2</v>
      </c>
      <c r="KZ85" s="169">
        <f t="shared" si="364"/>
        <v>9.9999999999997868E-3</v>
      </c>
      <c r="LA85" s="169">
        <f t="shared" si="365"/>
        <v>0</v>
      </c>
      <c r="LB85" s="169">
        <f t="shared" si="366"/>
        <v>5.9999999999999609E-2</v>
      </c>
      <c r="LC85" s="169">
        <f t="shared" si="367"/>
        <v>8.0000000000000071E-2</v>
      </c>
      <c r="LD85" s="169">
        <f t="shared" si="368"/>
        <v>0.15000000000000036</v>
      </c>
      <c r="LE85" s="169">
        <f t="shared" si="369"/>
        <v>0</v>
      </c>
      <c r="LF85" s="169">
        <f t="shared" si="370"/>
        <v>-0.10000000000000009</v>
      </c>
      <c r="LG85" s="169">
        <f t="shared" si="371"/>
        <v>-2.0000000000000462E-2</v>
      </c>
      <c r="LH85" s="169">
        <f t="shared" si="372"/>
        <v>-0.10999999999999943</v>
      </c>
      <c r="LI85" s="169">
        <f t="shared" si="373"/>
        <v>-0.12999999999999989</v>
      </c>
      <c r="LJ85" s="169">
        <f t="shared" si="374"/>
        <v>6.0000000000000497E-2</v>
      </c>
      <c r="LK85" s="169">
        <f t="shared" si="375"/>
        <v>0.24000000000000021</v>
      </c>
      <c r="LL85" s="169">
        <f t="shared" si="376"/>
        <v>0</v>
      </c>
      <c r="LM85" s="169">
        <f t="shared" si="377"/>
        <v>0</v>
      </c>
      <c r="LN85" s="169">
        <f t="shared" si="378"/>
        <v>-0.10000000000000009</v>
      </c>
      <c r="LO85" s="169">
        <f t="shared" si="379"/>
        <v>-0.20000000000000284</v>
      </c>
      <c r="LP85" s="169">
        <f t="shared" si="380"/>
        <v>0.10000000000000142</v>
      </c>
      <c r="LQ85" s="169">
        <f t="shared" si="381"/>
        <v>0</v>
      </c>
      <c r="LR85" s="169">
        <f t="shared" si="382"/>
        <v>-6.5</v>
      </c>
      <c r="LS85" s="169">
        <f t="shared" si="383"/>
        <v>0.19999999999999996</v>
      </c>
      <c r="LT85" s="169">
        <f t="shared" si="384"/>
        <v>0.10000000000000053</v>
      </c>
      <c r="LU85" s="169">
        <f t="shared" si="385"/>
        <v>0</v>
      </c>
      <c r="LV85" s="169">
        <f t="shared" si="386"/>
        <v>0</v>
      </c>
      <c r="LW85" s="169">
        <f t="shared" si="387"/>
        <v>2</v>
      </c>
      <c r="LX85" s="169">
        <f t="shared" si="388"/>
        <v>9.9999999999999978E-2</v>
      </c>
      <c r="LY85" s="169">
        <f t="shared" si="389"/>
        <v>-0.10000000000000009</v>
      </c>
      <c r="LZ85" s="169">
        <f t="shared" si="390"/>
        <v>-0.19999999999999929</v>
      </c>
      <c r="MA85" s="169">
        <f t="shared" si="391"/>
        <v>-0.10000000000000142</v>
      </c>
      <c r="MB85" s="169">
        <f t="shared" si="392"/>
        <v>0.29999999999999716</v>
      </c>
      <c r="MC85" s="169">
        <f t="shared" si="393"/>
        <v>-1</v>
      </c>
      <c r="MD85" s="169" t="str">
        <f t="shared" si="394"/>
        <v/>
      </c>
      <c r="ME85" s="169" t="str">
        <f t="shared" si="395"/>
        <v/>
      </c>
      <c r="MF85" s="169" t="str">
        <f t="shared" si="396"/>
        <v/>
      </c>
      <c r="MG85" s="169">
        <f t="shared" si="397"/>
        <v>6.8</v>
      </c>
    </row>
    <row r="86" spans="1:345" s="148" customFormat="1" ht="26.25" customHeight="1" thickBot="1" x14ac:dyDescent="0.25">
      <c r="A86" s="145">
        <v>41150</v>
      </c>
      <c r="B86" s="146" t="s">
        <v>157</v>
      </c>
      <c r="C86" s="146" t="s">
        <v>4</v>
      </c>
      <c r="D86" s="147" t="s">
        <v>111</v>
      </c>
      <c r="E86" s="148">
        <v>90</v>
      </c>
      <c r="F86" s="149">
        <v>8164</v>
      </c>
      <c r="G86" s="148" t="s">
        <v>87</v>
      </c>
      <c r="H86" s="148" t="s">
        <v>108</v>
      </c>
      <c r="I86" s="148">
        <v>1823726</v>
      </c>
      <c r="J86" s="148" t="s">
        <v>309</v>
      </c>
      <c r="K86" s="254"/>
      <c r="L86" s="255"/>
      <c r="M86" s="255"/>
      <c r="N86" s="255"/>
      <c r="O86" s="267"/>
      <c r="P86" s="255"/>
      <c r="Q86" s="255"/>
      <c r="R86" s="148">
        <v>-2</v>
      </c>
      <c r="S86" s="148">
        <v>-2.0699999999999998</v>
      </c>
      <c r="T86" s="148" t="s">
        <v>249</v>
      </c>
      <c r="U86" s="150">
        <v>22.25</v>
      </c>
      <c r="V86" s="151">
        <v>41148</v>
      </c>
      <c r="W86" s="150">
        <v>1.75</v>
      </c>
      <c r="X86" s="150">
        <v>0.5</v>
      </c>
      <c r="Y86" s="148">
        <v>172</v>
      </c>
      <c r="Z86" s="148">
        <v>40</v>
      </c>
      <c r="AA86" s="148">
        <v>17</v>
      </c>
      <c r="AB86" s="148">
        <v>630</v>
      </c>
      <c r="AC86" s="148">
        <v>22.5</v>
      </c>
      <c r="AD86" s="148">
        <v>12</v>
      </c>
      <c r="AE86" s="148">
        <v>4.92</v>
      </c>
      <c r="AF86" s="148">
        <v>3.22</v>
      </c>
      <c r="AG86" s="148">
        <v>44</v>
      </c>
      <c r="AH86" s="148">
        <v>78</v>
      </c>
      <c r="AI86" s="148">
        <v>45</v>
      </c>
      <c r="AJ86" s="148">
        <v>168</v>
      </c>
      <c r="AK86" s="148">
        <v>0</v>
      </c>
      <c r="AL86" s="148" t="b">
        <f t="shared" si="268"/>
        <v>0</v>
      </c>
      <c r="AM86" s="152"/>
      <c r="AN86" s="148" t="s">
        <v>78</v>
      </c>
      <c r="AO86" s="153"/>
      <c r="AP86" s="150"/>
      <c r="AQ86" s="150"/>
      <c r="BC86" s="148" t="str">
        <f t="shared" si="399"/>
        <v/>
      </c>
      <c r="BD86" s="148" t="str">
        <f t="shared" si="400"/>
        <v/>
      </c>
      <c r="BE86" s="148" t="str">
        <f t="shared" si="270"/>
        <v/>
      </c>
      <c r="BF86" s="281" t="s">
        <v>501</v>
      </c>
      <c r="BG86" s="154"/>
      <c r="BH86" s="150"/>
      <c r="BI86" s="150"/>
      <c r="BU86" s="148" t="str">
        <f t="shared" ref="BU86:BU92" si="401">IF(ISNUMBER(BH86),BH86+0.5*BI86,"")</f>
        <v/>
      </c>
      <c r="BV86" s="148" t="str">
        <f t="shared" si="271"/>
        <v/>
      </c>
      <c r="BW86" s="148" t="str">
        <f t="shared" si="272"/>
        <v/>
      </c>
      <c r="BX86" s="148">
        <f t="shared" ref="BX86:BX91" si="402">IF(AND(ISBLANK($AP86),ISBLANK($BH86)),0,1)</f>
        <v>0</v>
      </c>
      <c r="BY86" s="148">
        <f t="shared" si="274"/>
        <v>0</v>
      </c>
      <c r="BZ86" s="148" t="str">
        <f t="shared" si="275"/>
        <v/>
      </c>
      <c r="CA86" s="148" t="str">
        <f t="shared" si="276"/>
        <v/>
      </c>
      <c r="CB86" s="148" t="str">
        <f t="shared" si="277"/>
        <v/>
      </c>
      <c r="CC86" s="155">
        <f t="shared" si="278"/>
        <v>0</v>
      </c>
      <c r="CD86" s="156" t="str">
        <f t="shared" si="279"/>
        <v/>
      </c>
      <c r="CE86" s="148" t="str">
        <f t="shared" si="280"/>
        <v/>
      </c>
      <c r="CF86" s="148" t="str">
        <f t="shared" si="281"/>
        <v/>
      </c>
      <c r="CG86" s="148" t="str">
        <f t="shared" si="282"/>
        <v/>
      </c>
      <c r="CH86" s="148" t="str">
        <f t="shared" si="283"/>
        <v/>
      </c>
      <c r="CI86" s="148" t="str">
        <f t="shared" si="284"/>
        <v/>
      </c>
      <c r="CJ86" s="148" t="str">
        <f t="shared" si="285"/>
        <v/>
      </c>
      <c r="CK86" s="157" t="str">
        <f t="shared" si="286"/>
        <v/>
      </c>
      <c r="CL86" s="158" t="str">
        <f t="shared" si="287"/>
        <v/>
      </c>
      <c r="CM86" s="148" t="str">
        <f t="shared" si="288"/>
        <v/>
      </c>
      <c r="CN86" s="96" t="str">
        <f t="shared" si="289"/>
        <v/>
      </c>
      <c r="CO86" s="96" t="str">
        <f t="shared" si="398"/>
        <v/>
      </c>
      <c r="CP86" s="127" t="str">
        <f t="shared" si="290"/>
        <v/>
      </c>
      <c r="CQ86" s="127" t="str">
        <f t="shared" si="291"/>
        <v/>
      </c>
      <c r="CR86" s="136" t="str">
        <f t="shared" si="292"/>
        <v/>
      </c>
      <c r="CS86" s="136" t="str">
        <f t="shared" si="293"/>
        <v/>
      </c>
      <c r="CT86" s="135" t="str">
        <f t="shared" si="294"/>
        <v/>
      </c>
      <c r="CU86" s="139" t="str">
        <f t="shared" si="295"/>
        <v/>
      </c>
      <c r="CV86" s="96" t="str">
        <f t="shared" si="296"/>
        <v/>
      </c>
      <c r="CW86" s="141" t="str">
        <f t="shared" si="297"/>
        <v/>
      </c>
      <c r="CX86" s="108"/>
      <c r="ED86" s="159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1"/>
      <c r="ET86" s="158"/>
      <c r="FZ86" s="162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3"/>
      <c r="GP86" s="158"/>
      <c r="HV86" s="157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4"/>
      <c r="IL86" s="158" t="str">
        <f t="shared" si="298"/>
        <v/>
      </c>
      <c r="IM86" s="148" t="str">
        <f t="shared" si="299"/>
        <v/>
      </c>
      <c r="IN86" s="148" t="str">
        <f t="shared" si="300"/>
        <v/>
      </c>
      <c r="IO86" s="148" t="str">
        <f t="shared" si="301"/>
        <v/>
      </c>
      <c r="IP86" s="148" t="str">
        <f t="shared" si="302"/>
        <v/>
      </c>
      <c r="IQ86" s="148" t="str">
        <f t="shared" si="303"/>
        <v/>
      </c>
      <c r="IR86" s="148" t="str">
        <f t="shared" si="304"/>
        <v/>
      </c>
      <c r="IS86" s="148" t="str">
        <f t="shared" si="305"/>
        <v/>
      </c>
      <c r="IT86" s="148" t="str">
        <f t="shared" si="306"/>
        <v/>
      </c>
      <c r="IU86" s="148" t="str">
        <f t="shared" si="307"/>
        <v/>
      </c>
      <c r="IV86" s="148" t="str">
        <f t="shared" si="308"/>
        <v/>
      </c>
      <c r="IW86" s="148" t="str">
        <f t="shared" si="309"/>
        <v/>
      </c>
      <c r="IX86" s="148" t="str">
        <f t="shared" si="310"/>
        <v/>
      </c>
      <c r="IY86" s="148" t="str">
        <f t="shared" si="311"/>
        <v/>
      </c>
      <c r="IZ86" s="148" t="str">
        <f t="shared" si="312"/>
        <v/>
      </c>
      <c r="JA86" s="148" t="str">
        <f t="shared" si="313"/>
        <v/>
      </c>
      <c r="JB86" s="148" t="str">
        <f t="shared" si="314"/>
        <v/>
      </c>
      <c r="JC86" s="148" t="str">
        <f t="shared" si="315"/>
        <v/>
      </c>
      <c r="JD86" s="148" t="str">
        <f t="shared" si="316"/>
        <v/>
      </c>
      <c r="JE86" s="148" t="str">
        <f t="shared" si="317"/>
        <v/>
      </c>
      <c r="JF86" s="148" t="str">
        <f t="shared" si="318"/>
        <v/>
      </c>
      <c r="JG86" s="148" t="str">
        <f t="shared" si="319"/>
        <v/>
      </c>
      <c r="JH86" s="148" t="str">
        <f t="shared" si="320"/>
        <v/>
      </c>
      <c r="JI86" s="148" t="str">
        <f t="shared" si="321"/>
        <v/>
      </c>
      <c r="JJ86" s="148" t="str">
        <f t="shared" si="322"/>
        <v/>
      </c>
      <c r="JK86" s="148" t="str">
        <f t="shared" si="323"/>
        <v/>
      </c>
      <c r="JL86" s="148" t="str">
        <f t="shared" si="324"/>
        <v/>
      </c>
      <c r="JM86" s="148" t="str">
        <f t="shared" si="325"/>
        <v/>
      </c>
      <c r="JN86" s="148" t="str">
        <f t="shared" si="326"/>
        <v/>
      </c>
      <c r="JO86" s="148" t="str">
        <f t="shared" si="327"/>
        <v/>
      </c>
      <c r="JP86" s="148" t="str">
        <f t="shared" si="328"/>
        <v/>
      </c>
      <c r="JQ86" s="165" t="str">
        <f t="shared" si="329"/>
        <v/>
      </c>
      <c r="JR86" s="160" t="str">
        <f t="shared" si="330"/>
        <v/>
      </c>
      <c r="JS86" s="160" t="str">
        <f t="shared" si="331"/>
        <v/>
      </c>
      <c r="JT86" s="160" t="str">
        <f t="shared" si="332"/>
        <v/>
      </c>
      <c r="JU86" s="160" t="str">
        <f t="shared" si="333"/>
        <v/>
      </c>
      <c r="JV86" s="160" t="str">
        <f t="shared" si="334"/>
        <v/>
      </c>
      <c r="JW86" s="160" t="str">
        <f t="shared" si="335"/>
        <v/>
      </c>
      <c r="JX86" s="160" t="str">
        <f t="shared" si="336"/>
        <v/>
      </c>
      <c r="JY86" s="160" t="str">
        <f t="shared" si="337"/>
        <v/>
      </c>
      <c r="JZ86" s="160" t="str">
        <f t="shared" si="338"/>
        <v/>
      </c>
      <c r="KA86" s="160" t="str">
        <f t="shared" si="339"/>
        <v/>
      </c>
      <c r="KB86" s="160" t="str">
        <f t="shared" si="340"/>
        <v/>
      </c>
      <c r="KC86" s="160" t="str">
        <f t="shared" si="341"/>
        <v/>
      </c>
      <c r="KD86" s="160" t="str">
        <f t="shared" si="342"/>
        <v/>
      </c>
      <c r="KE86" s="160" t="str">
        <f t="shared" si="343"/>
        <v/>
      </c>
      <c r="KF86" s="160" t="str">
        <f t="shared" si="344"/>
        <v/>
      </c>
      <c r="KG86" s="164" t="str">
        <f t="shared" si="345"/>
        <v/>
      </c>
      <c r="KH86" s="158" t="str">
        <f t="shared" si="346"/>
        <v/>
      </c>
      <c r="KI86" s="148" t="str">
        <f t="shared" si="347"/>
        <v/>
      </c>
      <c r="KJ86" s="148" t="str">
        <f t="shared" si="348"/>
        <v/>
      </c>
      <c r="KK86" s="148" t="str">
        <f t="shared" si="349"/>
        <v/>
      </c>
      <c r="KL86" s="148" t="str">
        <f t="shared" si="350"/>
        <v/>
      </c>
      <c r="KM86" s="148" t="str">
        <f t="shared" si="351"/>
        <v/>
      </c>
      <c r="KN86" s="148" t="str">
        <f t="shared" si="352"/>
        <v/>
      </c>
      <c r="KO86" s="148" t="str">
        <f t="shared" si="353"/>
        <v/>
      </c>
      <c r="KP86" s="148" t="str">
        <f t="shared" si="354"/>
        <v/>
      </c>
      <c r="KQ86" s="148" t="str">
        <f t="shared" si="355"/>
        <v/>
      </c>
      <c r="KR86" s="148" t="str">
        <f t="shared" si="356"/>
        <v/>
      </c>
      <c r="KS86" s="148" t="str">
        <f t="shared" si="357"/>
        <v/>
      </c>
      <c r="KT86" s="148" t="str">
        <f t="shared" si="358"/>
        <v/>
      </c>
      <c r="KU86" s="148" t="str">
        <f t="shared" si="359"/>
        <v/>
      </c>
      <c r="KV86" s="148" t="str">
        <f t="shared" si="360"/>
        <v/>
      </c>
      <c r="KW86" s="148" t="str">
        <f t="shared" si="361"/>
        <v/>
      </c>
      <c r="KX86" s="148" t="str">
        <f t="shared" si="362"/>
        <v/>
      </c>
      <c r="KY86" s="148" t="str">
        <f t="shared" si="363"/>
        <v/>
      </c>
      <c r="KZ86" s="148" t="str">
        <f t="shared" si="364"/>
        <v/>
      </c>
      <c r="LA86" s="148" t="str">
        <f t="shared" si="365"/>
        <v/>
      </c>
      <c r="LB86" s="148" t="str">
        <f t="shared" si="366"/>
        <v/>
      </c>
      <c r="LC86" s="148" t="str">
        <f t="shared" si="367"/>
        <v/>
      </c>
      <c r="LD86" s="148" t="str">
        <f t="shared" si="368"/>
        <v/>
      </c>
      <c r="LE86" s="148" t="str">
        <f t="shared" si="369"/>
        <v/>
      </c>
      <c r="LF86" s="148" t="str">
        <f t="shared" si="370"/>
        <v/>
      </c>
      <c r="LG86" s="148" t="str">
        <f t="shared" si="371"/>
        <v/>
      </c>
      <c r="LH86" s="148" t="str">
        <f t="shared" si="372"/>
        <v/>
      </c>
      <c r="LI86" s="148" t="str">
        <f t="shared" si="373"/>
        <v/>
      </c>
      <c r="LJ86" s="148" t="str">
        <f t="shared" si="374"/>
        <v/>
      </c>
      <c r="LK86" s="148" t="str">
        <f t="shared" si="375"/>
        <v/>
      </c>
      <c r="LL86" s="148" t="str">
        <f t="shared" si="376"/>
        <v/>
      </c>
      <c r="LM86" s="148" t="str">
        <f t="shared" si="377"/>
        <v/>
      </c>
      <c r="LN86" s="148" t="str">
        <f t="shared" si="378"/>
        <v/>
      </c>
      <c r="LO86" s="148" t="str">
        <f t="shared" si="379"/>
        <v/>
      </c>
      <c r="LP86" s="148" t="str">
        <f t="shared" si="380"/>
        <v/>
      </c>
      <c r="LQ86" s="148" t="str">
        <f t="shared" si="381"/>
        <v/>
      </c>
      <c r="LR86" s="148" t="str">
        <f t="shared" si="382"/>
        <v/>
      </c>
      <c r="LS86" s="148" t="str">
        <f t="shared" si="383"/>
        <v/>
      </c>
      <c r="LT86" s="148" t="str">
        <f t="shared" si="384"/>
        <v/>
      </c>
      <c r="LU86" s="148" t="str">
        <f t="shared" si="385"/>
        <v/>
      </c>
      <c r="LV86" s="148" t="str">
        <f t="shared" si="386"/>
        <v/>
      </c>
      <c r="LW86" s="148" t="str">
        <f t="shared" si="387"/>
        <v/>
      </c>
      <c r="LX86" s="148" t="str">
        <f t="shared" si="388"/>
        <v/>
      </c>
      <c r="LY86" s="148" t="str">
        <f t="shared" si="389"/>
        <v/>
      </c>
      <c r="LZ86" s="148" t="str">
        <f t="shared" si="390"/>
        <v/>
      </c>
      <c r="MA86" s="148" t="str">
        <f t="shared" si="391"/>
        <v/>
      </c>
      <c r="MB86" s="148" t="str">
        <f t="shared" si="392"/>
        <v/>
      </c>
      <c r="MC86" s="148" t="str">
        <f t="shared" si="393"/>
        <v/>
      </c>
      <c r="MD86" s="148" t="str">
        <f t="shared" si="394"/>
        <v/>
      </c>
      <c r="ME86" s="148" t="str">
        <f t="shared" si="395"/>
        <v/>
      </c>
      <c r="MF86" s="148" t="str">
        <f t="shared" si="396"/>
        <v/>
      </c>
      <c r="MG86" s="148">
        <f t="shared" si="397"/>
        <v>0</v>
      </c>
    </row>
    <row r="87" spans="1:345" ht="26.25" customHeight="1" x14ac:dyDescent="0.2">
      <c r="A87" s="35">
        <v>41346</v>
      </c>
      <c r="B87" s="36" t="s">
        <v>195</v>
      </c>
      <c r="C87" s="36" t="s">
        <v>96</v>
      </c>
      <c r="D87" s="31" t="s">
        <v>111</v>
      </c>
      <c r="E87" s="4">
        <v>70</v>
      </c>
      <c r="F87" s="3">
        <v>15681</v>
      </c>
      <c r="G87" s="4" t="s">
        <v>87</v>
      </c>
      <c r="H87" s="4" t="s">
        <v>108</v>
      </c>
      <c r="I87" s="4">
        <v>1830080</v>
      </c>
      <c r="J87" s="4" t="s">
        <v>309</v>
      </c>
      <c r="R87" s="4">
        <v>-0.5</v>
      </c>
      <c r="S87" s="4">
        <v>-0.59</v>
      </c>
      <c r="T87" s="4" t="s">
        <v>249</v>
      </c>
      <c r="U87" s="67">
        <v>21</v>
      </c>
      <c r="V87" s="124">
        <v>41282</v>
      </c>
      <c r="W87" s="67">
        <v>1.5</v>
      </c>
      <c r="X87" s="67">
        <v>0.75</v>
      </c>
      <c r="Y87" s="4">
        <v>29</v>
      </c>
      <c r="Z87" s="4">
        <v>50</v>
      </c>
      <c r="AA87" s="4">
        <v>10</v>
      </c>
      <c r="AB87" s="4">
        <v>617</v>
      </c>
      <c r="AC87" s="4">
        <v>23.92</v>
      </c>
      <c r="AD87" s="4">
        <v>12.3</v>
      </c>
      <c r="AE87" s="4">
        <v>5.05</v>
      </c>
      <c r="AF87" s="4">
        <v>2.89</v>
      </c>
      <c r="AG87" s="4">
        <v>42.72</v>
      </c>
      <c r="AH87" s="4">
        <v>131</v>
      </c>
      <c r="AI87" s="4">
        <v>43.21</v>
      </c>
      <c r="AJ87" s="4">
        <v>41</v>
      </c>
      <c r="AK87" s="4">
        <v>0</v>
      </c>
      <c r="AL87" s="4" t="b">
        <f t="shared" si="268"/>
        <v>0</v>
      </c>
      <c r="AN87" s="3" t="s">
        <v>78</v>
      </c>
      <c r="BC87" s="4" t="str">
        <f t="shared" si="399"/>
        <v/>
      </c>
      <c r="BD87" s="4" t="str">
        <f t="shared" si="400"/>
        <v/>
      </c>
      <c r="BE87" s="4" t="str">
        <f t="shared" si="270"/>
        <v/>
      </c>
      <c r="BF87" s="4" t="s">
        <v>78</v>
      </c>
      <c r="BG87" s="59"/>
      <c r="BU87" s="4" t="str">
        <f t="shared" si="401"/>
        <v/>
      </c>
      <c r="BV87" s="4" t="str">
        <f t="shared" si="271"/>
        <v/>
      </c>
      <c r="BW87" s="4" t="str">
        <f t="shared" si="272"/>
        <v/>
      </c>
      <c r="BX87" s="4">
        <f t="shared" si="402"/>
        <v>0</v>
      </c>
      <c r="BY87" s="4">
        <f t="shared" si="274"/>
        <v>0</v>
      </c>
      <c r="BZ87" s="4" t="str">
        <f t="shared" si="275"/>
        <v/>
      </c>
      <c r="CA87" s="4" t="str">
        <f t="shared" si="276"/>
        <v/>
      </c>
      <c r="CB87" s="4" t="str">
        <f t="shared" si="277"/>
        <v/>
      </c>
      <c r="CC87" s="53">
        <f t="shared" si="278"/>
        <v>0</v>
      </c>
      <c r="CD87" s="55" t="str">
        <f t="shared" si="279"/>
        <v/>
      </c>
      <c r="CE87" s="4" t="str">
        <f t="shared" si="280"/>
        <v/>
      </c>
      <c r="CF87" s="4" t="str">
        <f t="shared" si="281"/>
        <v/>
      </c>
      <c r="CG87" s="4" t="str">
        <f t="shared" si="282"/>
        <v/>
      </c>
      <c r="CH87" s="4" t="str">
        <f t="shared" si="283"/>
        <v/>
      </c>
      <c r="CI87" s="4" t="str">
        <f t="shared" si="284"/>
        <v/>
      </c>
      <c r="CJ87" s="4" t="str">
        <f t="shared" si="285"/>
        <v/>
      </c>
      <c r="CK87" s="93" t="str">
        <f t="shared" si="286"/>
        <v/>
      </c>
      <c r="CL87" s="83" t="str">
        <f t="shared" si="287"/>
        <v/>
      </c>
      <c r="CM87" s="4" t="str">
        <f t="shared" si="288"/>
        <v/>
      </c>
      <c r="CN87" s="96" t="str">
        <f t="shared" si="289"/>
        <v/>
      </c>
      <c r="CO87" s="96" t="str">
        <f t="shared" si="398"/>
        <v/>
      </c>
      <c r="CP87" s="127" t="str">
        <f t="shared" si="290"/>
        <v/>
      </c>
      <c r="CQ87" s="127" t="str">
        <f t="shared" si="291"/>
        <v/>
      </c>
      <c r="CR87" s="136" t="str">
        <f t="shared" si="292"/>
        <v/>
      </c>
      <c r="CS87" s="136" t="str">
        <f t="shared" si="293"/>
        <v/>
      </c>
      <c r="CT87" s="135" t="str">
        <f t="shared" si="294"/>
        <v/>
      </c>
      <c r="CU87" s="139" t="str">
        <f t="shared" si="295"/>
        <v/>
      </c>
      <c r="CV87" s="96" t="str">
        <f t="shared" si="296"/>
        <v/>
      </c>
      <c r="CW87" s="141" t="str">
        <f t="shared" si="297"/>
        <v/>
      </c>
      <c r="IL87" s="83" t="str">
        <f t="shared" si="298"/>
        <v/>
      </c>
      <c r="IM87" s="4" t="str">
        <f t="shared" si="299"/>
        <v/>
      </c>
      <c r="IN87" s="4" t="str">
        <f t="shared" si="300"/>
        <v/>
      </c>
      <c r="IO87" s="4" t="str">
        <f t="shared" si="301"/>
        <v/>
      </c>
      <c r="IP87" s="4" t="str">
        <f t="shared" si="302"/>
        <v/>
      </c>
      <c r="IQ87" s="4" t="str">
        <f t="shared" si="303"/>
        <v/>
      </c>
      <c r="IR87" s="4" t="str">
        <f t="shared" si="304"/>
        <v/>
      </c>
      <c r="IS87" s="4" t="str">
        <f t="shared" si="305"/>
        <v/>
      </c>
      <c r="IT87" s="4" t="str">
        <f t="shared" si="306"/>
        <v/>
      </c>
      <c r="IU87" s="4" t="str">
        <f t="shared" si="307"/>
        <v/>
      </c>
      <c r="IV87" s="4" t="str">
        <f t="shared" si="308"/>
        <v/>
      </c>
      <c r="IW87" s="4" t="str">
        <f t="shared" si="309"/>
        <v/>
      </c>
      <c r="IX87" s="4" t="str">
        <f t="shared" si="310"/>
        <v/>
      </c>
      <c r="IY87" s="4" t="str">
        <f t="shared" si="311"/>
        <v/>
      </c>
      <c r="IZ87" s="4" t="str">
        <f t="shared" si="312"/>
        <v/>
      </c>
      <c r="JA87" s="4" t="str">
        <f t="shared" si="313"/>
        <v/>
      </c>
      <c r="JB87" s="4" t="str">
        <f t="shared" si="314"/>
        <v/>
      </c>
      <c r="JC87" s="4" t="str">
        <f t="shared" si="315"/>
        <v/>
      </c>
      <c r="JD87" s="4" t="str">
        <f t="shared" si="316"/>
        <v/>
      </c>
      <c r="JE87" s="4" t="str">
        <f t="shared" si="317"/>
        <v/>
      </c>
      <c r="JF87" s="4" t="str">
        <f t="shared" si="318"/>
        <v/>
      </c>
      <c r="JG87" s="4" t="str">
        <f t="shared" si="319"/>
        <v/>
      </c>
      <c r="JH87" s="4" t="str">
        <f t="shared" si="320"/>
        <v/>
      </c>
      <c r="JI87" s="4" t="str">
        <f t="shared" si="321"/>
        <v/>
      </c>
      <c r="JJ87" s="4" t="str">
        <f t="shared" si="322"/>
        <v/>
      </c>
      <c r="JK87" s="4" t="str">
        <f t="shared" si="323"/>
        <v/>
      </c>
      <c r="JL87" s="4" t="str">
        <f t="shared" si="324"/>
        <v/>
      </c>
      <c r="JM87" s="4" t="str">
        <f t="shared" si="325"/>
        <v/>
      </c>
      <c r="JN87" s="4" t="str">
        <f t="shared" si="326"/>
        <v/>
      </c>
      <c r="JO87" s="4" t="str">
        <f t="shared" si="327"/>
        <v/>
      </c>
      <c r="JP87" s="4" t="str">
        <f t="shared" si="328"/>
        <v/>
      </c>
      <c r="JQ87" s="117" t="str">
        <f t="shared" si="329"/>
        <v/>
      </c>
      <c r="JR87" s="110" t="str">
        <f t="shared" si="330"/>
        <v/>
      </c>
      <c r="JS87" s="110" t="str">
        <f t="shared" si="331"/>
        <v/>
      </c>
      <c r="JT87" s="110" t="str">
        <f t="shared" si="332"/>
        <v/>
      </c>
      <c r="JU87" s="110" t="str">
        <f t="shared" si="333"/>
        <v/>
      </c>
      <c r="JV87" s="110" t="str">
        <f t="shared" si="334"/>
        <v/>
      </c>
      <c r="JW87" s="110" t="str">
        <f t="shared" si="335"/>
        <v/>
      </c>
      <c r="JX87" s="110" t="str">
        <f t="shared" si="336"/>
        <v/>
      </c>
      <c r="JY87" s="110" t="str">
        <f t="shared" si="337"/>
        <v/>
      </c>
      <c r="JZ87" s="110" t="str">
        <f t="shared" si="338"/>
        <v/>
      </c>
      <c r="KA87" s="110" t="str">
        <f t="shared" si="339"/>
        <v/>
      </c>
      <c r="KB87" s="110" t="str">
        <f t="shared" si="340"/>
        <v/>
      </c>
      <c r="KC87" s="110" t="str">
        <f t="shared" si="341"/>
        <v/>
      </c>
      <c r="KD87" s="110" t="str">
        <f t="shared" si="342"/>
        <v/>
      </c>
      <c r="KE87" s="110" t="str">
        <f t="shared" si="343"/>
        <v/>
      </c>
      <c r="KF87" s="110" t="str">
        <f t="shared" si="344"/>
        <v/>
      </c>
      <c r="KG87" s="121" t="str">
        <f t="shared" si="345"/>
        <v/>
      </c>
      <c r="KH87" s="83" t="str">
        <f t="shared" si="346"/>
        <v/>
      </c>
      <c r="KI87" s="4" t="str">
        <f t="shared" si="347"/>
        <v/>
      </c>
      <c r="KJ87" s="4" t="str">
        <f t="shared" si="348"/>
        <v/>
      </c>
      <c r="KK87" s="4" t="str">
        <f t="shared" si="349"/>
        <v/>
      </c>
      <c r="KL87" s="4" t="str">
        <f t="shared" si="350"/>
        <v/>
      </c>
      <c r="KM87" s="4" t="str">
        <f t="shared" si="351"/>
        <v/>
      </c>
      <c r="KN87" s="4" t="str">
        <f t="shared" si="352"/>
        <v/>
      </c>
      <c r="KO87" s="4" t="str">
        <f t="shared" si="353"/>
        <v/>
      </c>
      <c r="KP87" s="4" t="str">
        <f t="shared" si="354"/>
        <v/>
      </c>
      <c r="KQ87" s="4" t="str">
        <f t="shared" si="355"/>
        <v/>
      </c>
      <c r="KR87" s="4" t="str">
        <f t="shared" si="356"/>
        <v/>
      </c>
      <c r="KS87" s="4" t="str">
        <f t="shared" si="357"/>
        <v/>
      </c>
      <c r="KT87" s="4" t="str">
        <f t="shared" si="358"/>
        <v/>
      </c>
      <c r="KU87" s="4" t="str">
        <f t="shared" si="359"/>
        <v/>
      </c>
      <c r="KV87" s="4" t="str">
        <f t="shared" si="360"/>
        <v/>
      </c>
      <c r="KW87" s="4" t="str">
        <f t="shared" si="361"/>
        <v/>
      </c>
      <c r="KX87" s="4" t="str">
        <f t="shared" si="362"/>
        <v/>
      </c>
      <c r="KY87" s="4" t="str">
        <f t="shared" si="363"/>
        <v/>
      </c>
      <c r="KZ87" s="4" t="str">
        <f t="shared" si="364"/>
        <v/>
      </c>
      <c r="LA87" s="4" t="str">
        <f t="shared" si="365"/>
        <v/>
      </c>
      <c r="LB87" s="4" t="str">
        <f t="shared" si="366"/>
        <v/>
      </c>
      <c r="LC87" s="4" t="str">
        <f t="shared" si="367"/>
        <v/>
      </c>
      <c r="LD87" s="4" t="str">
        <f t="shared" si="368"/>
        <v/>
      </c>
      <c r="LE87" s="4" t="str">
        <f t="shared" si="369"/>
        <v/>
      </c>
      <c r="LF87" s="4" t="str">
        <f t="shared" si="370"/>
        <v/>
      </c>
      <c r="LG87" s="4" t="str">
        <f t="shared" si="371"/>
        <v/>
      </c>
      <c r="LH87" s="4" t="str">
        <f t="shared" si="372"/>
        <v/>
      </c>
      <c r="LI87" s="4" t="str">
        <f t="shared" si="373"/>
        <v/>
      </c>
      <c r="LJ87" s="4" t="str">
        <f t="shared" si="374"/>
        <v/>
      </c>
      <c r="LK87" s="4" t="str">
        <f t="shared" si="375"/>
        <v/>
      </c>
      <c r="LL87" s="4" t="str">
        <f t="shared" si="376"/>
        <v/>
      </c>
      <c r="LM87" s="4" t="str">
        <f t="shared" si="377"/>
        <v/>
      </c>
      <c r="LN87" s="4" t="str">
        <f t="shared" si="378"/>
        <v/>
      </c>
      <c r="LO87" s="4" t="str">
        <f t="shared" si="379"/>
        <v/>
      </c>
      <c r="LP87" s="4" t="str">
        <f t="shared" si="380"/>
        <v/>
      </c>
      <c r="LQ87" s="4" t="str">
        <f t="shared" si="381"/>
        <v/>
      </c>
      <c r="LR87" s="4" t="str">
        <f t="shared" si="382"/>
        <v/>
      </c>
      <c r="LS87" s="4" t="str">
        <f t="shared" si="383"/>
        <v/>
      </c>
      <c r="LT87" s="4" t="str">
        <f t="shared" si="384"/>
        <v/>
      </c>
      <c r="LU87" s="4" t="str">
        <f t="shared" si="385"/>
        <v/>
      </c>
      <c r="LV87" s="4" t="str">
        <f t="shared" si="386"/>
        <v/>
      </c>
      <c r="LW87" s="4" t="str">
        <f t="shared" si="387"/>
        <v/>
      </c>
      <c r="LX87" s="4" t="str">
        <f t="shared" si="388"/>
        <v/>
      </c>
      <c r="LY87" s="4" t="str">
        <f t="shared" si="389"/>
        <v/>
      </c>
      <c r="LZ87" s="4" t="str">
        <f t="shared" si="390"/>
        <v/>
      </c>
      <c r="MA87" s="4" t="str">
        <f t="shared" si="391"/>
        <v/>
      </c>
      <c r="MB87" s="4" t="str">
        <f t="shared" si="392"/>
        <v/>
      </c>
      <c r="MC87" s="4" t="str">
        <f t="shared" si="393"/>
        <v/>
      </c>
      <c r="MD87" s="4" t="str">
        <f t="shared" si="394"/>
        <v/>
      </c>
      <c r="ME87" s="4" t="str">
        <f t="shared" si="395"/>
        <v/>
      </c>
      <c r="MF87" s="4" t="str">
        <f t="shared" si="396"/>
        <v/>
      </c>
      <c r="MG87" s="4">
        <f t="shared" si="397"/>
        <v>0</v>
      </c>
    </row>
    <row r="88" spans="1:345" ht="26.25" customHeight="1" thickBot="1" x14ac:dyDescent="0.25">
      <c r="A88" s="35">
        <v>41150</v>
      </c>
      <c r="B88" s="36" t="s">
        <v>156</v>
      </c>
      <c r="C88" s="36" t="s">
        <v>2</v>
      </c>
      <c r="D88" s="31" t="s">
        <v>111</v>
      </c>
      <c r="E88" s="4">
        <v>75</v>
      </c>
      <c r="F88" s="3">
        <v>13667</v>
      </c>
      <c r="G88" s="4" t="s">
        <v>102</v>
      </c>
      <c r="H88" s="4" t="s">
        <v>108</v>
      </c>
      <c r="I88" s="4">
        <v>1833735</v>
      </c>
      <c r="J88" s="4" t="s">
        <v>309</v>
      </c>
      <c r="K88" s="235"/>
      <c r="L88" s="236"/>
      <c r="M88" s="236"/>
      <c r="N88" s="236"/>
      <c r="O88" s="235"/>
      <c r="P88" s="236"/>
      <c r="Q88" s="236"/>
      <c r="R88" s="33">
        <v>-0.5</v>
      </c>
      <c r="S88" s="4">
        <v>-0.44</v>
      </c>
      <c r="T88" s="4" t="s">
        <v>249</v>
      </c>
      <c r="U88" s="67">
        <v>16.25</v>
      </c>
      <c r="V88" s="124">
        <v>41148</v>
      </c>
      <c r="W88" s="67">
        <v>-4.5</v>
      </c>
      <c r="X88" s="67">
        <v>1.5</v>
      </c>
      <c r="Y88" s="4">
        <v>150</v>
      </c>
      <c r="Z88" s="4">
        <v>60</v>
      </c>
      <c r="AA88" s="4">
        <v>15</v>
      </c>
      <c r="AB88" s="4">
        <v>586</v>
      </c>
      <c r="AC88" s="4">
        <v>23.31</v>
      </c>
      <c r="AD88" s="4">
        <v>11.4</v>
      </c>
      <c r="AE88" s="4">
        <v>3.87</v>
      </c>
      <c r="AF88" s="4">
        <v>3.16</v>
      </c>
      <c r="AG88" s="4">
        <v>44.88</v>
      </c>
      <c r="AH88" s="4">
        <v>56</v>
      </c>
      <c r="AI88" s="4">
        <v>47.2</v>
      </c>
      <c r="AJ88" s="4">
        <v>146</v>
      </c>
      <c r="AK88" s="4">
        <v>0</v>
      </c>
      <c r="AL88" s="4" t="b">
        <f t="shared" si="268"/>
        <v>0</v>
      </c>
      <c r="AM88" s="43" t="s">
        <v>308</v>
      </c>
      <c r="AN88" s="4" t="s">
        <v>78</v>
      </c>
      <c r="AO88" s="133"/>
      <c r="BC88" s="4" t="str">
        <f t="shared" si="399"/>
        <v/>
      </c>
      <c r="BD88" s="4" t="str">
        <f t="shared" si="400"/>
        <v/>
      </c>
      <c r="BE88" s="4" t="str">
        <f t="shared" si="270"/>
        <v/>
      </c>
      <c r="BF88" s="51" t="s">
        <v>501</v>
      </c>
      <c r="BG88" s="59"/>
      <c r="BU88" s="4" t="str">
        <f t="shared" si="401"/>
        <v/>
      </c>
      <c r="BV88" s="4" t="str">
        <f t="shared" si="271"/>
        <v/>
      </c>
      <c r="BW88" s="4" t="str">
        <f t="shared" si="272"/>
        <v/>
      </c>
      <c r="BX88" s="4">
        <f t="shared" si="402"/>
        <v>0</v>
      </c>
      <c r="BY88" s="4">
        <f t="shared" si="274"/>
        <v>0</v>
      </c>
      <c r="BZ88" s="4" t="str">
        <f t="shared" si="275"/>
        <v/>
      </c>
      <c r="CA88" s="4" t="str">
        <f t="shared" si="276"/>
        <v/>
      </c>
      <c r="CB88" s="4" t="str">
        <f t="shared" si="277"/>
        <v/>
      </c>
      <c r="CC88" s="53">
        <f t="shared" si="278"/>
        <v>0</v>
      </c>
      <c r="CD88" s="55" t="str">
        <f t="shared" si="279"/>
        <v/>
      </c>
      <c r="CE88" s="4" t="str">
        <f t="shared" si="280"/>
        <v/>
      </c>
      <c r="CF88" s="4" t="str">
        <f t="shared" si="281"/>
        <v/>
      </c>
      <c r="CG88" s="4" t="str">
        <f t="shared" si="282"/>
        <v/>
      </c>
      <c r="CH88" s="4" t="str">
        <f t="shared" si="283"/>
        <v/>
      </c>
      <c r="CI88" s="4" t="str">
        <f t="shared" si="284"/>
        <v/>
      </c>
      <c r="CJ88" s="4" t="str">
        <f t="shared" si="285"/>
        <v/>
      </c>
      <c r="CK88" s="93" t="str">
        <f t="shared" si="286"/>
        <v/>
      </c>
      <c r="CL88" s="83" t="str">
        <f t="shared" si="287"/>
        <v/>
      </c>
      <c r="CM88" s="4" t="str">
        <f t="shared" si="288"/>
        <v/>
      </c>
      <c r="CN88" s="96" t="str">
        <f t="shared" si="289"/>
        <v/>
      </c>
      <c r="CO88" s="96" t="str">
        <f t="shared" si="398"/>
        <v/>
      </c>
      <c r="CP88" s="127" t="str">
        <f t="shared" si="290"/>
        <v/>
      </c>
      <c r="CQ88" s="127" t="str">
        <f t="shared" si="291"/>
        <v/>
      </c>
      <c r="CR88" s="136" t="str">
        <f t="shared" si="292"/>
        <v/>
      </c>
      <c r="CS88" s="136" t="str">
        <f t="shared" si="293"/>
        <v/>
      </c>
      <c r="CT88" s="135" t="str">
        <f t="shared" si="294"/>
        <v/>
      </c>
      <c r="CU88" s="139" t="str">
        <f t="shared" si="295"/>
        <v/>
      </c>
      <c r="CV88" s="96" t="str">
        <f t="shared" si="296"/>
        <v/>
      </c>
      <c r="CW88" s="141" t="str">
        <f t="shared" si="297"/>
        <v/>
      </c>
      <c r="IL88" s="83" t="str">
        <f t="shared" si="298"/>
        <v/>
      </c>
      <c r="IM88" s="4" t="str">
        <f t="shared" si="299"/>
        <v/>
      </c>
      <c r="IN88" s="4" t="str">
        <f t="shared" si="300"/>
        <v/>
      </c>
      <c r="IO88" s="4" t="str">
        <f t="shared" si="301"/>
        <v/>
      </c>
      <c r="IP88" s="4" t="str">
        <f t="shared" si="302"/>
        <v/>
      </c>
      <c r="IQ88" s="4" t="str">
        <f t="shared" si="303"/>
        <v/>
      </c>
      <c r="IR88" s="4" t="str">
        <f t="shared" si="304"/>
        <v/>
      </c>
      <c r="IS88" s="4" t="str">
        <f t="shared" si="305"/>
        <v/>
      </c>
      <c r="IT88" s="4" t="str">
        <f t="shared" si="306"/>
        <v/>
      </c>
      <c r="IU88" s="4" t="str">
        <f t="shared" si="307"/>
        <v/>
      </c>
      <c r="IV88" s="4" t="str">
        <f t="shared" si="308"/>
        <v/>
      </c>
      <c r="IW88" s="4" t="str">
        <f t="shared" si="309"/>
        <v/>
      </c>
      <c r="IX88" s="4" t="str">
        <f t="shared" si="310"/>
        <v/>
      </c>
      <c r="IY88" s="4" t="str">
        <f t="shared" si="311"/>
        <v/>
      </c>
      <c r="IZ88" s="4" t="str">
        <f t="shared" si="312"/>
        <v/>
      </c>
      <c r="JA88" s="4" t="str">
        <f t="shared" si="313"/>
        <v/>
      </c>
      <c r="JB88" s="4" t="str">
        <f t="shared" si="314"/>
        <v/>
      </c>
      <c r="JC88" s="4" t="str">
        <f t="shared" si="315"/>
        <v/>
      </c>
      <c r="JD88" s="4" t="str">
        <f t="shared" si="316"/>
        <v/>
      </c>
      <c r="JE88" s="4" t="str">
        <f t="shared" si="317"/>
        <v/>
      </c>
      <c r="JF88" s="4" t="str">
        <f t="shared" si="318"/>
        <v/>
      </c>
      <c r="JG88" s="4" t="str">
        <f t="shared" si="319"/>
        <v/>
      </c>
      <c r="JH88" s="4" t="str">
        <f t="shared" si="320"/>
        <v/>
      </c>
      <c r="JI88" s="4" t="str">
        <f t="shared" si="321"/>
        <v/>
      </c>
      <c r="JJ88" s="4" t="str">
        <f t="shared" si="322"/>
        <v/>
      </c>
      <c r="JK88" s="4" t="str">
        <f t="shared" si="323"/>
        <v/>
      </c>
      <c r="JL88" s="4" t="str">
        <f t="shared" si="324"/>
        <v/>
      </c>
      <c r="JM88" s="4" t="str">
        <f t="shared" si="325"/>
        <v/>
      </c>
      <c r="JN88" s="4" t="str">
        <f t="shared" si="326"/>
        <v/>
      </c>
      <c r="JO88" s="4" t="str">
        <f t="shared" si="327"/>
        <v/>
      </c>
      <c r="JP88" s="4" t="str">
        <f t="shared" si="328"/>
        <v/>
      </c>
      <c r="JQ88" s="117" t="str">
        <f t="shared" si="329"/>
        <v/>
      </c>
      <c r="JR88" s="110" t="str">
        <f t="shared" si="330"/>
        <v/>
      </c>
      <c r="JS88" s="110" t="str">
        <f t="shared" si="331"/>
        <v/>
      </c>
      <c r="JT88" s="110" t="str">
        <f t="shared" si="332"/>
        <v/>
      </c>
      <c r="JU88" s="110" t="str">
        <f t="shared" si="333"/>
        <v/>
      </c>
      <c r="JV88" s="110" t="str">
        <f t="shared" si="334"/>
        <v/>
      </c>
      <c r="JW88" s="110" t="str">
        <f t="shared" si="335"/>
        <v/>
      </c>
      <c r="JX88" s="110" t="str">
        <f t="shared" si="336"/>
        <v/>
      </c>
      <c r="JY88" s="110" t="str">
        <f t="shared" si="337"/>
        <v/>
      </c>
      <c r="JZ88" s="110" t="str">
        <f t="shared" si="338"/>
        <v/>
      </c>
      <c r="KA88" s="110" t="str">
        <f t="shared" si="339"/>
        <v/>
      </c>
      <c r="KB88" s="110" t="str">
        <f t="shared" si="340"/>
        <v/>
      </c>
      <c r="KC88" s="110" t="str">
        <f t="shared" si="341"/>
        <v/>
      </c>
      <c r="KD88" s="110" t="str">
        <f t="shared" si="342"/>
        <v/>
      </c>
      <c r="KE88" s="110" t="str">
        <f t="shared" si="343"/>
        <v/>
      </c>
      <c r="KF88" s="110" t="str">
        <f t="shared" si="344"/>
        <v/>
      </c>
      <c r="KG88" s="121" t="str">
        <f t="shared" si="345"/>
        <v/>
      </c>
      <c r="KH88" s="83" t="str">
        <f t="shared" si="346"/>
        <v/>
      </c>
      <c r="KI88" s="4" t="str">
        <f t="shared" si="347"/>
        <v/>
      </c>
      <c r="KJ88" s="4" t="str">
        <f t="shared" si="348"/>
        <v/>
      </c>
      <c r="KK88" s="4" t="str">
        <f t="shared" si="349"/>
        <v/>
      </c>
      <c r="KL88" s="4" t="str">
        <f t="shared" si="350"/>
        <v/>
      </c>
      <c r="KM88" s="4" t="str">
        <f t="shared" si="351"/>
        <v/>
      </c>
      <c r="KN88" s="4" t="str">
        <f t="shared" si="352"/>
        <v/>
      </c>
      <c r="KO88" s="4" t="str">
        <f t="shared" si="353"/>
        <v/>
      </c>
      <c r="KP88" s="4" t="str">
        <f t="shared" si="354"/>
        <v/>
      </c>
      <c r="KQ88" s="4" t="str">
        <f t="shared" si="355"/>
        <v/>
      </c>
      <c r="KR88" s="4" t="str">
        <f t="shared" si="356"/>
        <v/>
      </c>
      <c r="KS88" s="4" t="str">
        <f t="shared" si="357"/>
        <v/>
      </c>
      <c r="KT88" s="4" t="str">
        <f t="shared" si="358"/>
        <v/>
      </c>
      <c r="KU88" s="4" t="str">
        <f t="shared" si="359"/>
        <v/>
      </c>
      <c r="KV88" s="4" t="str">
        <f t="shared" si="360"/>
        <v/>
      </c>
      <c r="KW88" s="4" t="str">
        <f t="shared" si="361"/>
        <v/>
      </c>
      <c r="KX88" s="4" t="str">
        <f t="shared" si="362"/>
        <v/>
      </c>
      <c r="KY88" s="4" t="str">
        <f t="shared" si="363"/>
        <v/>
      </c>
      <c r="KZ88" s="4" t="str">
        <f t="shared" si="364"/>
        <v/>
      </c>
      <c r="LA88" s="4" t="str">
        <f t="shared" si="365"/>
        <v/>
      </c>
      <c r="LB88" s="4" t="str">
        <f t="shared" si="366"/>
        <v/>
      </c>
      <c r="LC88" s="4" t="str">
        <f t="shared" si="367"/>
        <v/>
      </c>
      <c r="LD88" s="4" t="str">
        <f t="shared" si="368"/>
        <v/>
      </c>
      <c r="LE88" s="4" t="str">
        <f t="shared" si="369"/>
        <v/>
      </c>
      <c r="LF88" s="4" t="str">
        <f t="shared" si="370"/>
        <v/>
      </c>
      <c r="LG88" s="4" t="str">
        <f t="shared" si="371"/>
        <v/>
      </c>
      <c r="LH88" s="4" t="str">
        <f t="shared" si="372"/>
        <v/>
      </c>
      <c r="LI88" s="4" t="str">
        <f t="shared" si="373"/>
        <v/>
      </c>
      <c r="LJ88" s="4" t="str">
        <f t="shared" si="374"/>
        <v/>
      </c>
      <c r="LK88" s="4" t="str">
        <f t="shared" si="375"/>
        <v/>
      </c>
      <c r="LL88" s="4" t="str">
        <f t="shared" si="376"/>
        <v/>
      </c>
      <c r="LM88" s="4" t="str">
        <f t="shared" si="377"/>
        <v/>
      </c>
      <c r="LN88" s="4" t="str">
        <f t="shared" si="378"/>
        <v/>
      </c>
      <c r="LO88" s="4" t="str">
        <f t="shared" si="379"/>
        <v/>
      </c>
      <c r="LP88" s="4" t="str">
        <f t="shared" si="380"/>
        <v/>
      </c>
      <c r="LQ88" s="4" t="str">
        <f t="shared" si="381"/>
        <v/>
      </c>
      <c r="LR88" s="4" t="str">
        <f t="shared" si="382"/>
        <v/>
      </c>
      <c r="LS88" s="4" t="str">
        <f t="shared" si="383"/>
        <v/>
      </c>
      <c r="LT88" s="4" t="str">
        <f t="shared" si="384"/>
        <v/>
      </c>
      <c r="LU88" s="4" t="str">
        <f t="shared" si="385"/>
        <v/>
      </c>
      <c r="LV88" s="4" t="str">
        <f t="shared" si="386"/>
        <v/>
      </c>
      <c r="LW88" s="4" t="str">
        <f t="shared" si="387"/>
        <v/>
      </c>
      <c r="LX88" s="4" t="str">
        <f t="shared" si="388"/>
        <v/>
      </c>
      <c r="LY88" s="4" t="str">
        <f t="shared" si="389"/>
        <v/>
      </c>
      <c r="LZ88" s="4" t="str">
        <f t="shared" si="390"/>
        <v/>
      </c>
      <c r="MA88" s="4" t="str">
        <f t="shared" si="391"/>
        <v/>
      </c>
      <c r="MB88" s="4" t="str">
        <f t="shared" si="392"/>
        <v/>
      </c>
      <c r="MC88" s="4" t="str">
        <f t="shared" si="393"/>
        <v/>
      </c>
      <c r="MD88" s="4" t="str">
        <f t="shared" si="394"/>
        <v/>
      </c>
      <c r="ME88" s="4" t="str">
        <f t="shared" si="395"/>
        <v/>
      </c>
      <c r="MF88" s="4" t="str">
        <f t="shared" si="396"/>
        <v/>
      </c>
      <c r="MG88" s="4">
        <f t="shared" si="397"/>
        <v>0</v>
      </c>
    </row>
    <row r="89" spans="1:345" ht="26.25" customHeight="1" thickBot="1" x14ac:dyDescent="0.25">
      <c r="A89" s="35">
        <v>41185</v>
      </c>
      <c r="B89" s="36" t="s">
        <v>181</v>
      </c>
      <c r="C89" s="36" t="s">
        <v>94</v>
      </c>
      <c r="D89" s="31" t="s">
        <v>110</v>
      </c>
      <c r="E89" s="4">
        <v>65</v>
      </c>
      <c r="F89" s="3">
        <v>17150</v>
      </c>
      <c r="G89" s="4" t="s">
        <v>87</v>
      </c>
      <c r="H89" s="4" t="s">
        <v>108</v>
      </c>
      <c r="I89" s="4">
        <v>1834065</v>
      </c>
      <c r="J89" s="4" t="s">
        <v>310</v>
      </c>
      <c r="K89" s="227"/>
      <c r="L89" s="228"/>
      <c r="M89" s="228"/>
      <c r="N89" s="228"/>
      <c r="O89" s="258"/>
      <c r="P89" s="228"/>
      <c r="Q89" s="228"/>
      <c r="R89" s="4">
        <v>-0.75</v>
      </c>
      <c r="S89" s="4">
        <v>-0.95</v>
      </c>
      <c r="T89" s="4" t="s">
        <v>249</v>
      </c>
      <c r="U89" s="67">
        <v>26.5</v>
      </c>
      <c r="V89" s="124">
        <v>41184</v>
      </c>
      <c r="W89" s="67">
        <v>2</v>
      </c>
      <c r="X89" s="67">
        <v>1.25</v>
      </c>
      <c r="Y89" s="4">
        <v>20</v>
      </c>
      <c r="Z89" s="4">
        <v>50</v>
      </c>
      <c r="AA89" s="4">
        <v>14</v>
      </c>
      <c r="AC89" s="4">
        <v>21.54</v>
      </c>
      <c r="AD89" s="4">
        <v>11.7</v>
      </c>
      <c r="AE89" s="4">
        <v>5.33</v>
      </c>
      <c r="AF89" s="4">
        <v>2.97</v>
      </c>
      <c r="AG89" s="4">
        <v>45.49</v>
      </c>
      <c r="AH89" s="4">
        <v>97</v>
      </c>
      <c r="AI89" s="4">
        <v>45.92</v>
      </c>
      <c r="AJ89" s="4">
        <v>7</v>
      </c>
      <c r="AK89" s="4">
        <v>2</v>
      </c>
      <c r="AL89" s="4" t="b">
        <f t="shared" si="268"/>
        <v>1</v>
      </c>
      <c r="AN89" s="4" t="s">
        <v>78</v>
      </c>
      <c r="AO89" s="59"/>
      <c r="BC89" s="4" t="str">
        <f t="shared" si="399"/>
        <v/>
      </c>
      <c r="BD89" s="4" t="str">
        <f t="shared" si="400"/>
        <v/>
      </c>
      <c r="BE89" s="4" t="str">
        <f t="shared" si="270"/>
        <v/>
      </c>
      <c r="BF89" s="51" t="s">
        <v>501</v>
      </c>
      <c r="BG89" s="59"/>
      <c r="BU89" s="4" t="str">
        <f t="shared" si="401"/>
        <v/>
      </c>
      <c r="BV89" s="4" t="str">
        <f t="shared" si="271"/>
        <v/>
      </c>
      <c r="BW89" s="4" t="str">
        <f t="shared" si="272"/>
        <v/>
      </c>
      <c r="BX89" s="4">
        <f t="shared" si="402"/>
        <v>0</v>
      </c>
      <c r="BY89" s="4">
        <f t="shared" si="274"/>
        <v>0</v>
      </c>
      <c r="BZ89" s="4" t="str">
        <f t="shared" si="275"/>
        <v/>
      </c>
      <c r="CA89" s="4" t="str">
        <f t="shared" si="276"/>
        <v/>
      </c>
      <c r="CB89" s="4" t="str">
        <f t="shared" si="277"/>
        <v/>
      </c>
      <c r="CC89" s="53">
        <f t="shared" si="278"/>
        <v>0</v>
      </c>
      <c r="CD89" s="55" t="str">
        <f t="shared" si="279"/>
        <v/>
      </c>
      <c r="CE89" s="4" t="str">
        <f t="shared" si="280"/>
        <v/>
      </c>
      <c r="CF89" s="4" t="str">
        <f t="shared" si="281"/>
        <v/>
      </c>
      <c r="CG89" s="4" t="str">
        <f t="shared" si="282"/>
        <v/>
      </c>
      <c r="CH89" s="4" t="str">
        <f t="shared" si="283"/>
        <v/>
      </c>
      <c r="CI89" s="4" t="str">
        <f t="shared" si="284"/>
        <v/>
      </c>
      <c r="CJ89" s="4" t="str">
        <f t="shared" si="285"/>
        <v/>
      </c>
      <c r="CK89" s="93" t="str">
        <f t="shared" si="286"/>
        <v/>
      </c>
      <c r="CL89" s="83" t="str">
        <f t="shared" si="287"/>
        <v/>
      </c>
      <c r="CM89" s="4" t="str">
        <f t="shared" si="288"/>
        <v/>
      </c>
      <c r="CN89" s="96" t="str">
        <f t="shared" si="289"/>
        <v/>
      </c>
      <c r="CO89" s="96" t="str">
        <f t="shared" si="398"/>
        <v/>
      </c>
      <c r="CP89" s="127" t="str">
        <f t="shared" si="290"/>
        <v/>
      </c>
      <c r="CQ89" s="127" t="str">
        <f t="shared" si="291"/>
        <v/>
      </c>
      <c r="CR89" s="136" t="str">
        <f t="shared" si="292"/>
        <v/>
      </c>
      <c r="CS89" s="136" t="str">
        <f t="shared" si="293"/>
        <v/>
      </c>
      <c r="CT89" s="135" t="str">
        <f t="shared" si="294"/>
        <v/>
      </c>
      <c r="CU89" s="139" t="str">
        <f t="shared" si="295"/>
        <v/>
      </c>
      <c r="CV89" s="96" t="str">
        <f t="shared" si="296"/>
        <v/>
      </c>
      <c r="CW89" s="141" t="str">
        <f t="shared" si="297"/>
        <v/>
      </c>
      <c r="IL89" s="83" t="str">
        <f t="shared" si="298"/>
        <v/>
      </c>
      <c r="IM89" s="4" t="str">
        <f t="shared" si="299"/>
        <v/>
      </c>
      <c r="IN89" s="4" t="str">
        <f t="shared" si="300"/>
        <v/>
      </c>
      <c r="IO89" s="4" t="str">
        <f t="shared" si="301"/>
        <v/>
      </c>
      <c r="IP89" s="4" t="str">
        <f t="shared" si="302"/>
        <v/>
      </c>
      <c r="IQ89" s="4" t="str">
        <f t="shared" si="303"/>
        <v/>
      </c>
      <c r="IR89" s="4" t="str">
        <f t="shared" si="304"/>
        <v/>
      </c>
      <c r="IS89" s="4" t="str">
        <f t="shared" si="305"/>
        <v/>
      </c>
      <c r="IT89" s="4" t="str">
        <f t="shared" si="306"/>
        <v/>
      </c>
      <c r="IU89" s="4" t="str">
        <f t="shared" si="307"/>
        <v/>
      </c>
      <c r="IV89" s="4" t="str">
        <f t="shared" si="308"/>
        <v/>
      </c>
      <c r="IW89" s="4" t="str">
        <f t="shared" si="309"/>
        <v/>
      </c>
      <c r="IX89" s="4" t="str">
        <f t="shared" si="310"/>
        <v/>
      </c>
      <c r="IY89" s="4" t="str">
        <f t="shared" si="311"/>
        <v/>
      </c>
      <c r="IZ89" s="4" t="str">
        <f t="shared" si="312"/>
        <v/>
      </c>
      <c r="JA89" s="4" t="str">
        <f t="shared" si="313"/>
        <v/>
      </c>
      <c r="JB89" s="4" t="str">
        <f t="shared" si="314"/>
        <v/>
      </c>
      <c r="JC89" s="4" t="str">
        <f t="shared" si="315"/>
        <v/>
      </c>
      <c r="JD89" s="4" t="str">
        <f t="shared" si="316"/>
        <v/>
      </c>
      <c r="JE89" s="4" t="str">
        <f t="shared" si="317"/>
        <v/>
      </c>
      <c r="JF89" s="4" t="str">
        <f t="shared" si="318"/>
        <v/>
      </c>
      <c r="JG89" s="4" t="str">
        <f t="shared" si="319"/>
        <v/>
      </c>
      <c r="JH89" s="4" t="str">
        <f t="shared" si="320"/>
        <v/>
      </c>
      <c r="JI89" s="4" t="str">
        <f t="shared" si="321"/>
        <v/>
      </c>
      <c r="JJ89" s="4" t="str">
        <f t="shared" si="322"/>
        <v/>
      </c>
      <c r="JK89" s="4" t="str">
        <f t="shared" si="323"/>
        <v/>
      </c>
      <c r="JL89" s="4" t="str">
        <f t="shared" si="324"/>
        <v/>
      </c>
      <c r="JM89" s="4" t="str">
        <f t="shared" si="325"/>
        <v/>
      </c>
      <c r="JN89" s="4" t="str">
        <f t="shared" si="326"/>
        <v/>
      </c>
      <c r="JO89" s="4" t="str">
        <f t="shared" si="327"/>
        <v/>
      </c>
      <c r="JP89" s="4" t="str">
        <f t="shared" si="328"/>
        <v/>
      </c>
      <c r="JQ89" s="117" t="str">
        <f t="shared" si="329"/>
        <v/>
      </c>
      <c r="JR89" s="110" t="str">
        <f t="shared" si="330"/>
        <v/>
      </c>
      <c r="JS89" s="110" t="str">
        <f t="shared" si="331"/>
        <v/>
      </c>
      <c r="JT89" s="110" t="str">
        <f t="shared" si="332"/>
        <v/>
      </c>
      <c r="JU89" s="110" t="str">
        <f t="shared" si="333"/>
        <v/>
      </c>
      <c r="JV89" s="110" t="str">
        <f t="shared" si="334"/>
        <v/>
      </c>
      <c r="JW89" s="110" t="str">
        <f t="shared" si="335"/>
        <v/>
      </c>
      <c r="JX89" s="110" t="str">
        <f t="shared" si="336"/>
        <v/>
      </c>
      <c r="JY89" s="110" t="str">
        <f t="shared" si="337"/>
        <v/>
      </c>
      <c r="JZ89" s="110" t="str">
        <f t="shared" si="338"/>
        <v/>
      </c>
      <c r="KA89" s="110" t="str">
        <f t="shared" si="339"/>
        <v/>
      </c>
      <c r="KB89" s="110" t="str">
        <f t="shared" si="340"/>
        <v/>
      </c>
      <c r="KC89" s="110" t="str">
        <f t="shared" si="341"/>
        <v/>
      </c>
      <c r="KD89" s="110" t="str">
        <f t="shared" si="342"/>
        <v/>
      </c>
      <c r="KE89" s="110" t="str">
        <f t="shared" si="343"/>
        <v/>
      </c>
      <c r="KF89" s="110" t="str">
        <f t="shared" si="344"/>
        <v/>
      </c>
      <c r="KG89" s="121" t="str">
        <f t="shared" si="345"/>
        <v/>
      </c>
      <c r="KH89" s="83" t="str">
        <f t="shared" si="346"/>
        <v/>
      </c>
      <c r="KI89" s="4" t="str">
        <f t="shared" si="347"/>
        <v/>
      </c>
      <c r="KJ89" s="4" t="str">
        <f t="shared" si="348"/>
        <v/>
      </c>
      <c r="KK89" s="4" t="str">
        <f t="shared" si="349"/>
        <v/>
      </c>
      <c r="KL89" s="4" t="str">
        <f t="shared" si="350"/>
        <v/>
      </c>
      <c r="KM89" s="4" t="str">
        <f t="shared" si="351"/>
        <v/>
      </c>
      <c r="KN89" s="4" t="str">
        <f t="shared" si="352"/>
        <v/>
      </c>
      <c r="KO89" s="4" t="str">
        <f t="shared" si="353"/>
        <v/>
      </c>
      <c r="KP89" s="4" t="str">
        <f t="shared" si="354"/>
        <v/>
      </c>
      <c r="KQ89" s="4" t="str">
        <f t="shared" si="355"/>
        <v/>
      </c>
      <c r="KR89" s="4" t="str">
        <f t="shared" si="356"/>
        <v/>
      </c>
      <c r="KS89" s="4" t="str">
        <f t="shared" si="357"/>
        <v/>
      </c>
      <c r="KT89" s="4" t="str">
        <f t="shared" si="358"/>
        <v/>
      </c>
      <c r="KU89" s="4" t="str">
        <f t="shared" si="359"/>
        <v/>
      </c>
      <c r="KV89" s="4" t="str">
        <f t="shared" si="360"/>
        <v/>
      </c>
      <c r="KW89" s="4" t="str">
        <f t="shared" si="361"/>
        <v/>
      </c>
      <c r="KX89" s="4" t="str">
        <f t="shared" si="362"/>
        <v/>
      </c>
      <c r="KY89" s="4" t="str">
        <f t="shared" si="363"/>
        <v/>
      </c>
      <c r="KZ89" s="4" t="str">
        <f t="shared" si="364"/>
        <v/>
      </c>
      <c r="LA89" s="4" t="str">
        <f t="shared" si="365"/>
        <v/>
      </c>
      <c r="LB89" s="4" t="str">
        <f t="shared" si="366"/>
        <v/>
      </c>
      <c r="LC89" s="4" t="str">
        <f t="shared" si="367"/>
        <v/>
      </c>
      <c r="LD89" s="4" t="str">
        <f t="shared" si="368"/>
        <v/>
      </c>
      <c r="LE89" s="4" t="str">
        <f t="shared" si="369"/>
        <v/>
      </c>
      <c r="LF89" s="4" t="str">
        <f t="shared" si="370"/>
        <v/>
      </c>
      <c r="LG89" s="4" t="str">
        <f t="shared" si="371"/>
        <v/>
      </c>
      <c r="LH89" s="4" t="str">
        <f t="shared" si="372"/>
        <v/>
      </c>
      <c r="LI89" s="4" t="str">
        <f t="shared" si="373"/>
        <v/>
      </c>
      <c r="LJ89" s="4" t="str">
        <f t="shared" si="374"/>
        <v/>
      </c>
      <c r="LK89" s="4" t="str">
        <f t="shared" si="375"/>
        <v/>
      </c>
      <c r="LL89" s="4" t="str">
        <f t="shared" si="376"/>
        <v/>
      </c>
      <c r="LM89" s="4" t="str">
        <f t="shared" si="377"/>
        <v/>
      </c>
      <c r="LN89" s="4" t="str">
        <f t="shared" si="378"/>
        <v/>
      </c>
      <c r="LO89" s="4" t="str">
        <f t="shared" si="379"/>
        <v/>
      </c>
      <c r="LP89" s="4" t="str">
        <f t="shared" si="380"/>
        <v/>
      </c>
      <c r="LQ89" s="4" t="str">
        <f t="shared" si="381"/>
        <v/>
      </c>
      <c r="LR89" s="4" t="str">
        <f t="shared" si="382"/>
        <v/>
      </c>
      <c r="LS89" s="4" t="str">
        <f t="shared" si="383"/>
        <v/>
      </c>
      <c r="LT89" s="4" t="str">
        <f t="shared" si="384"/>
        <v/>
      </c>
      <c r="LU89" s="4" t="str">
        <f t="shared" si="385"/>
        <v/>
      </c>
      <c r="LV89" s="4" t="str">
        <f t="shared" si="386"/>
        <v/>
      </c>
      <c r="LW89" s="4" t="str">
        <f t="shared" si="387"/>
        <v/>
      </c>
      <c r="LX89" s="4" t="str">
        <f t="shared" si="388"/>
        <v/>
      </c>
      <c r="LY89" s="4" t="str">
        <f t="shared" si="389"/>
        <v/>
      </c>
      <c r="LZ89" s="4" t="str">
        <f t="shared" si="390"/>
        <v/>
      </c>
      <c r="MA89" s="4" t="str">
        <f t="shared" si="391"/>
        <v/>
      </c>
      <c r="MB89" s="4" t="str">
        <f t="shared" si="392"/>
        <v/>
      </c>
      <c r="MC89" s="4" t="str">
        <f t="shared" si="393"/>
        <v/>
      </c>
      <c r="MD89" s="4" t="str">
        <f t="shared" si="394"/>
        <v/>
      </c>
      <c r="ME89" s="4" t="str">
        <f t="shared" si="395"/>
        <v/>
      </c>
      <c r="MF89" s="4" t="str">
        <f t="shared" si="396"/>
        <v/>
      </c>
      <c r="MG89" s="4">
        <f t="shared" si="397"/>
        <v>0</v>
      </c>
    </row>
    <row r="90" spans="1:345" ht="26.25" customHeight="1" thickBot="1" x14ac:dyDescent="0.25">
      <c r="A90" s="35">
        <v>41192</v>
      </c>
      <c r="B90" s="36" t="s">
        <v>224</v>
      </c>
      <c r="C90" s="36" t="s">
        <v>113</v>
      </c>
      <c r="D90" s="31" t="s">
        <v>111</v>
      </c>
      <c r="E90" s="4">
        <v>56</v>
      </c>
      <c r="F90" s="3">
        <v>20406</v>
      </c>
      <c r="G90" s="4" t="s">
        <v>87</v>
      </c>
      <c r="H90" s="4" t="s">
        <v>112</v>
      </c>
      <c r="I90" s="4">
        <v>1834930</v>
      </c>
      <c r="K90" s="227"/>
      <c r="L90" s="228"/>
      <c r="M90" s="228"/>
      <c r="N90" s="228"/>
      <c r="O90" s="258"/>
      <c r="P90" s="228"/>
      <c r="Q90" s="228"/>
      <c r="R90" s="33">
        <v>-0.5</v>
      </c>
      <c r="S90" s="4">
        <v>-0.55000000000000004</v>
      </c>
      <c r="T90" s="33" t="s">
        <v>249</v>
      </c>
      <c r="U90" s="67">
        <v>15.5</v>
      </c>
      <c r="V90" s="124">
        <v>41120</v>
      </c>
      <c r="W90" s="67">
        <v>-4</v>
      </c>
      <c r="X90" s="67">
        <v>1</v>
      </c>
      <c r="Y90" s="4">
        <v>15</v>
      </c>
      <c r="Z90" s="4">
        <v>60</v>
      </c>
      <c r="AA90" s="4">
        <v>13</v>
      </c>
      <c r="AB90" s="4">
        <v>603</v>
      </c>
      <c r="AC90" s="4">
        <v>25.19</v>
      </c>
      <c r="AD90" s="4">
        <v>12</v>
      </c>
      <c r="AE90" s="4">
        <v>4.05</v>
      </c>
      <c r="AF90" s="4">
        <v>4.24</v>
      </c>
      <c r="AG90" s="4">
        <v>45.06</v>
      </c>
      <c r="AH90" s="4">
        <v>158</v>
      </c>
      <c r="AI90" s="4">
        <v>46.04</v>
      </c>
      <c r="AJ90" s="4">
        <v>68</v>
      </c>
      <c r="AK90" s="4">
        <v>0</v>
      </c>
      <c r="AL90" s="4" t="b">
        <f t="shared" si="268"/>
        <v>0</v>
      </c>
      <c r="AN90" s="4" t="s">
        <v>78</v>
      </c>
      <c r="BC90" s="4" t="str">
        <f t="shared" si="399"/>
        <v/>
      </c>
      <c r="BD90" s="4" t="str">
        <f t="shared" si="400"/>
        <v/>
      </c>
      <c r="BE90" s="4" t="str">
        <f t="shared" si="270"/>
        <v/>
      </c>
      <c r="BF90" s="51" t="s">
        <v>501</v>
      </c>
      <c r="BG90" s="59"/>
      <c r="BU90" s="4" t="str">
        <f t="shared" si="401"/>
        <v/>
      </c>
      <c r="BV90" s="4" t="str">
        <f t="shared" si="271"/>
        <v/>
      </c>
      <c r="BW90" s="4" t="str">
        <f t="shared" si="272"/>
        <v/>
      </c>
      <c r="BX90" s="4">
        <f t="shared" si="402"/>
        <v>0</v>
      </c>
      <c r="BY90" s="4">
        <f t="shared" si="274"/>
        <v>0</v>
      </c>
      <c r="BZ90" s="4" t="str">
        <f t="shared" si="275"/>
        <v/>
      </c>
      <c r="CA90" s="4" t="str">
        <f t="shared" si="276"/>
        <v/>
      </c>
      <c r="CB90" s="4" t="str">
        <f t="shared" si="277"/>
        <v/>
      </c>
      <c r="CC90" s="53">
        <f t="shared" si="278"/>
        <v>0</v>
      </c>
      <c r="CD90" s="55" t="str">
        <f t="shared" si="279"/>
        <v/>
      </c>
      <c r="CE90" s="4" t="str">
        <f t="shared" si="280"/>
        <v/>
      </c>
      <c r="CF90" s="4" t="str">
        <f t="shared" si="281"/>
        <v/>
      </c>
      <c r="CG90" s="4" t="str">
        <f t="shared" si="282"/>
        <v/>
      </c>
      <c r="CH90" s="4" t="str">
        <f t="shared" si="283"/>
        <v/>
      </c>
      <c r="CI90" s="4" t="str">
        <f t="shared" si="284"/>
        <v/>
      </c>
      <c r="CJ90" s="4" t="str">
        <f t="shared" si="285"/>
        <v/>
      </c>
      <c r="CK90" s="93" t="str">
        <f t="shared" si="286"/>
        <v/>
      </c>
      <c r="CL90" s="83" t="str">
        <f t="shared" si="287"/>
        <v/>
      </c>
      <c r="CM90" s="4" t="str">
        <f t="shared" si="288"/>
        <v/>
      </c>
      <c r="CN90" s="96" t="str">
        <f t="shared" si="289"/>
        <v/>
      </c>
      <c r="CO90" s="96" t="str">
        <f t="shared" si="398"/>
        <v/>
      </c>
      <c r="CP90" s="127" t="str">
        <f t="shared" si="290"/>
        <v/>
      </c>
      <c r="CQ90" s="127" t="str">
        <f t="shared" si="291"/>
        <v/>
      </c>
      <c r="CR90" s="136" t="str">
        <f t="shared" si="292"/>
        <v/>
      </c>
      <c r="CS90" s="136" t="str">
        <f t="shared" si="293"/>
        <v/>
      </c>
      <c r="CT90" s="135" t="str">
        <f t="shared" si="294"/>
        <v/>
      </c>
      <c r="CU90" s="139" t="str">
        <f t="shared" si="295"/>
        <v/>
      </c>
      <c r="CV90" s="96" t="str">
        <f t="shared" si="296"/>
        <v/>
      </c>
      <c r="CW90" s="141" t="str">
        <f t="shared" si="297"/>
        <v/>
      </c>
      <c r="IL90" s="83" t="str">
        <f t="shared" si="298"/>
        <v/>
      </c>
      <c r="IM90" s="4" t="str">
        <f t="shared" si="299"/>
        <v/>
      </c>
      <c r="IN90" s="4" t="str">
        <f t="shared" si="300"/>
        <v/>
      </c>
      <c r="IO90" s="4" t="str">
        <f t="shared" si="301"/>
        <v/>
      </c>
      <c r="IP90" s="4" t="str">
        <f t="shared" si="302"/>
        <v/>
      </c>
      <c r="IQ90" s="4" t="str">
        <f t="shared" si="303"/>
        <v/>
      </c>
      <c r="IR90" s="4" t="str">
        <f t="shared" si="304"/>
        <v/>
      </c>
      <c r="IS90" s="4" t="str">
        <f t="shared" si="305"/>
        <v/>
      </c>
      <c r="IT90" s="4" t="str">
        <f t="shared" si="306"/>
        <v/>
      </c>
      <c r="IU90" s="4" t="str">
        <f t="shared" si="307"/>
        <v/>
      </c>
      <c r="IV90" s="4" t="str">
        <f t="shared" si="308"/>
        <v/>
      </c>
      <c r="IW90" s="4" t="str">
        <f t="shared" si="309"/>
        <v/>
      </c>
      <c r="IX90" s="4" t="str">
        <f t="shared" si="310"/>
        <v/>
      </c>
      <c r="IY90" s="4" t="str">
        <f t="shared" si="311"/>
        <v/>
      </c>
      <c r="IZ90" s="4" t="str">
        <f t="shared" si="312"/>
        <v/>
      </c>
      <c r="JA90" s="4" t="str">
        <f t="shared" si="313"/>
        <v/>
      </c>
      <c r="JB90" s="4" t="str">
        <f t="shared" si="314"/>
        <v/>
      </c>
      <c r="JC90" s="4" t="str">
        <f t="shared" si="315"/>
        <v/>
      </c>
      <c r="JD90" s="4" t="str">
        <f t="shared" si="316"/>
        <v/>
      </c>
      <c r="JE90" s="4" t="str">
        <f t="shared" si="317"/>
        <v/>
      </c>
      <c r="JF90" s="4" t="str">
        <f t="shared" si="318"/>
        <v/>
      </c>
      <c r="JG90" s="4" t="str">
        <f t="shared" si="319"/>
        <v/>
      </c>
      <c r="JH90" s="4" t="str">
        <f t="shared" si="320"/>
        <v/>
      </c>
      <c r="JI90" s="4" t="str">
        <f t="shared" si="321"/>
        <v/>
      </c>
      <c r="JJ90" s="4" t="str">
        <f t="shared" si="322"/>
        <v/>
      </c>
      <c r="JK90" s="4" t="str">
        <f t="shared" si="323"/>
        <v/>
      </c>
      <c r="JL90" s="4" t="str">
        <f t="shared" si="324"/>
        <v/>
      </c>
      <c r="JM90" s="4" t="str">
        <f t="shared" si="325"/>
        <v/>
      </c>
      <c r="JN90" s="4" t="str">
        <f t="shared" si="326"/>
        <v/>
      </c>
      <c r="JO90" s="4" t="str">
        <f t="shared" si="327"/>
        <v/>
      </c>
      <c r="JP90" s="4" t="str">
        <f t="shared" si="328"/>
        <v/>
      </c>
      <c r="JQ90" s="117" t="str">
        <f t="shared" si="329"/>
        <v/>
      </c>
      <c r="JR90" s="110" t="str">
        <f t="shared" si="330"/>
        <v/>
      </c>
      <c r="JS90" s="110" t="str">
        <f t="shared" si="331"/>
        <v/>
      </c>
      <c r="JT90" s="110" t="str">
        <f t="shared" si="332"/>
        <v/>
      </c>
      <c r="JU90" s="110" t="str">
        <f t="shared" si="333"/>
        <v/>
      </c>
      <c r="JV90" s="110" t="str">
        <f t="shared" si="334"/>
        <v/>
      </c>
      <c r="JW90" s="110" t="str">
        <f t="shared" si="335"/>
        <v/>
      </c>
      <c r="JX90" s="110" t="str">
        <f t="shared" si="336"/>
        <v/>
      </c>
      <c r="JY90" s="110" t="str">
        <f t="shared" si="337"/>
        <v/>
      </c>
      <c r="JZ90" s="110" t="str">
        <f t="shared" si="338"/>
        <v/>
      </c>
      <c r="KA90" s="110" t="str">
        <f t="shared" si="339"/>
        <v/>
      </c>
      <c r="KB90" s="110" t="str">
        <f t="shared" si="340"/>
        <v/>
      </c>
      <c r="KC90" s="110" t="str">
        <f t="shared" si="341"/>
        <v/>
      </c>
      <c r="KD90" s="110" t="str">
        <f t="shared" si="342"/>
        <v/>
      </c>
      <c r="KE90" s="110" t="str">
        <f t="shared" si="343"/>
        <v/>
      </c>
      <c r="KF90" s="110" t="str">
        <f t="shared" si="344"/>
        <v/>
      </c>
      <c r="KG90" s="121" t="str">
        <f t="shared" si="345"/>
        <v/>
      </c>
      <c r="KH90" s="83" t="str">
        <f t="shared" si="346"/>
        <v/>
      </c>
      <c r="KI90" s="4" t="str">
        <f t="shared" si="347"/>
        <v/>
      </c>
      <c r="KJ90" s="4" t="str">
        <f t="shared" si="348"/>
        <v/>
      </c>
      <c r="KK90" s="4" t="str">
        <f t="shared" si="349"/>
        <v/>
      </c>
      <c r="KL90" s="4" t="str">
        <f t="shared" si="350"/>
        <v/>
      </c>
      <c r="KM90" s="4" t="str">
        <f t="shared" si="351"/>
        <v/>
      </c>
      <c r="KN90" s="4" t="str">
        <f t="shared" si="352"/>
        <v/>
      </c>
      <c r="KO90" s="4" t="str">
        <f t="shared" si="353"/>
        <v/>
      </c>
      <c r="KP90" s="4" t="str">
        <f t="shared" si="354"/>
        <v/>
      </c>
      <c r="KQ90" s="4" t="str">
        <f t="shared" si="355"/>
        <v/>
      </c>
      <c r="KR90" s="4" t="str">
        <f t="shared" si="356"/>
        <v/>
      </c>
      <c r="KS90" s="4" t="str">
        <f t="shared" si="357"/>
        <v/>
      </c>
      <c r="KT90" s="4" t="str">
        <f t="shared" si="358"/>
        <v/>
      </c>
      <c r="KU90" s="4" t="str">
        <f t="shared" si="359"/>
        <v/>
      </c>
      <c r="KV90" s="4" t="str">
        <f t="shared" si="360"/>
        <v/>
      </c>
      <c r="KW90" s="4" t="str">
        <f t="shared" si="361"/>
        <v/>
      </c>
      <c r="KX90" s="4" t="str">
        <f t="shared" si="362"/>
        <v/>
      </c>
      <c r="KY90" s="4" t="str">
        <f t="shared" si="363"/>
        <v/>
      </c>
      <c r="KZ90" s="4" t="str">
        <f t="shared" si="364"/>
        <v/>
      </c>
      <c r="LA90" s="4" t="str">
        <f t="shared" si="365"/>
        <v/>
      </c>
      <c r="LB90" s="4" t="str">
        <f t="shared" si="366"/>
        <v/>
      </c>
      <c r="LC90" s="4" t="str">
        <f t="shared" si="367"/>
        <v/>
      </c>
      <c r="LD90" s="4" t="str">
        <f t="shared" si="368"/>
        <v/>
      </c>
      <c r="LE90" s="4" t="str">
        <f t="shared" si="369"/>
        <v/>
      </c>
      <c r="LF90" s="4" t="str">
        <f t="shared" si="370"/>
        <v/>
      </c>
      <c r="LG90" s="4" t="str">
        <f t="shared" si="371"/>
        <v/>
      </c>
      <c r="LH90" s="4" t="str">
        <f t="shared" si="372"/>
        <v/>
      </c>
      <c r="LI90" s="4" t="str">
        <f t="shared" si="373"/>
        <v/>
      </c>
      <c r="LJ90" s="4" t="str">
        <f t="shared" si="374"/>
        <v/>
      </c>
      <c r="LK90" s="4" t="str">
        <f t="shared" si="375"/>
        <v/>
      </c>
      <c r="LL90" s="4" t="str">
        <f t="shared" si="376"/>
        <v/>
      </c>
      <c r="LM90" s="4" t="str">
        <f t="shared" si="377"/>
        <v/>
      </c>
      <c r="LN90" s="4" t="str">
        <f t="shared" si="378"/>
        <v/>
      </c>
      <c r="LO90" s="4" t="str">
        <f t="shared" si="379"/>
        <v/>
      </c>
      <c r="LP90" s="4" t="str">
        <f t="shared" si="380"/>
        <v/>
      </c>
      <c r="LQ90" s="4" t="str">
        <f t="shared" si="381"/>
        <v/>
      </c>
      <c r="LR90" s="4" t="str">
        <f t="shared" si="382"/>
        <v/>
      </c>
      <c r="LS90" s="4" t="str">
        <f t="shared" si="383"/>
        <v/>
      </c>
      <c r="LT90" s="4" t="str">
        <f t="shared" si="384"/>
        <v/>
      </c>
      <c r="LU90" s="4" t="str">
        <f t="shared" si="385"/>
        <v/>
      </c>
      <c r="LV90" s="4" t="str">
        <f t="shared" si="386"/>
        <v/>
      </c>
      <c r="LW90" s="4" t="str">
        <f t="shared" si="387"/>
        <v/>
      </c>
      <c r="LX90" s="4" t="str">
        <f t="shared" si="388"/>
        <v/>
      </c>
      <c r="LY90" s="4" t="str">
        <f t="shared" si="389"/>
        <v/>
      </c>
      <c r="LZ90" s="4" t="str">
        <f t="shared" si="390"/>
        <v/>
      </c>
      <c r="MA90" s="4" t="str">
        <f t="shared" si="391"/>
        <v/>
      </c>
      <c r="MB90" s="4" t="str">
        <f t="shared" si="392"/>
        <v/>
      </c>
      <c r="MC90" s="4" t="str">
        <f t="shared" si="393"/>
        <v/>
      </c>
      <c r="MD90" s="4" t="str">
        <f t="shared" si="394"/>
        <v/>
      </c>
      <c r="ME90" s="4" t="str">
        <f t="shared" si="395"/>
        <v/>
      </c>
      <c r="MF90" s="4" t="str">
        <f t="shared" si="396"/>
        <v/>
      </c>
      <c r="MG90" s="4">
        <f t="shared" si="397"/>
        <v>0</v>
      </c>
    </row>
    <row r="91" spans="1:345" ht="26.25" customHeight="1" x14ac:dyDescent="0.2">
      <c r="A91" s="35">
        <v>41262</v>
      </c>
      <c r="B91" s="36" t="s">
        <v>214</v>
      </c>
      <c r="C91" s="36" t="s">
        <v>211</v>
      </c>
      <c r="D91" s="31" t="s">
        <v>111</v>
      </c>
      <c r="E91" s="4">
        <v>65</v>
      </c>
      <c r="F91" s="3">
        <v>17213</v>
      </c>
      <c r="G91" s="4" t="s">
        <v>87</v>
      </c>
      <c r="H91" s="4" t="s">
        <v>112</v>
      </c>
      <c r="I91" s="4">
        <v>1834953</v>
      </c>
      <c r="R91" s="33">
        <v>-0.5</v>
      </c>
      <c r="S91" s="33">
        <v>-0.51</v>
      </c>
      <c r="T91" s="33" t="s">
        <v>249</v>
      </c>
      <c r="U91" s="67">
        <v>15</v>
      </c>
      <c r="V91" s="124">
        <v>41239</v>
      </c>
      <c r="W91" s="67">
        <v>-1.75</v>
      </c>
      <c r="X91" s="67">
        <v>1</v>
      </c>
      <c r="Y91" s="4">
        <v>85</v>
      </c>
      <c r="Z91" s="4">
        <v>40</v>
      </c>
      <c r="AA91" s="4">
        <v>15</v>
      </c>
      <c r="AB91" s="4">
        <v>587</v>
      </c>
      <c r="AC91" s="4">
        <v>25.02</v>
      </c>
      <c r="AD91" s="4">
        <v>11.9</v>
      </c>
      <c r="AE91" s="4">
        <v>4.72</v>
      </c>
      <c r="AF91" s="4">
        <v>3.59</v>
      </c>
      <c r="AG91" s="4">
        <v>44.47</v>
      </c>
      <c r="AH91" s="4">
        <v>179</v>
      </c>
      <c r="AI91" s="4">
        <v>45.73</v>
      </c>
      <c r="AJ91" s="4">
        <v>89</v>
      </c>
      <c r="AK91" s="4">
        <v>0</v>
      </c>
      <c r="AL91" s="4" t="b">
        <f t="shared" si="268"/>
        <v>0</v>
      </c>
      <c r="AN91" s="4" t="s">
        <v>78</v>
      </c>
      <c r="BC91" s="4" t="str">
        <f t="shared" si="399"/>
        <v/>
      </c>
      <c r="BD91" s="4" t="str">
        <f t="shared" si="400"/>
        <v/>
      </c>
      <c r="BE91" s="4" t="str">
        <f t="shared" si="270"/>
        <v/>
      </c>
      <c r="BF91" s="51" t="s">
        <v>501</v>
      </c>
      <c r="BG91" s="59"/>
      <c r="BU91" s="4" t="str">
        <f t="shared" si="401"/>
        <v/>
      </c>
      <c r="BV91" s="4" t="str">
        <f t="shared" si="271"/>
        <v/>
      </c>
      <c r="BW91" s="4" t="str">
        <f t="shared" si="272"/>
        <v/>
      </c>
      <c r="BX91" s="4">
        <f t="shared" si="402"/>
        <v>0</v>
      </c>
      <c r="BY91" s="4">
        <f t="shared" si="274"/>
        <v>0</v>
      </c>
      <c r="BZ91" s="4" t="str">
        <f t="shared" si="275"/>
        <v/>
      </c>
      <c r="CA91" s="4" t="str">
        <f t="shared" si="276"/>
        <v/>
      </c>
      <c r="CB91" s="4" t="str">
        <f t="shared" si="277"/>
        <v/>
      </c>
      <c r="CC91" s="53">
        <f t="shared" si="278"/>
        <v>0</v>
      </c>
      <c r="CD91" s="55" t="str">
        <f t="shared" si="279"/>
        <v/>
      </c>
      <c r="CE91" s="4" t="str">
        <f t="shared" si="280"/>
        <v/>
      </c>
      <c r="CF91" s="4" t="str">
        <f t="shared" si="281"/>
        <v/>
      </c>
      <c r="CG91" s="4" t="str">
        <f t="shared" si="282"/>
        <v/>
      </c>
      <c r="CH91" s="4" t="str">
        <f t="shared" si="283"/>
        <v/>
      </c>
      <c r="CI91" s="4" t="str">
        <f t="shared" si="284"/>
        <v/>
      </c>
      <c r="CJ91" s="4" t="str">
        <f t="shared" si="285"/>
        <v/>
      </c>
      <c r="CK91" s="93" t="str">
        <f t="shared" si="286"/>
        <v/>
      </c>
      <c r="CL91" s="83" t="str">
        <f t="shared" si="287"/>
        <v/>
      </c>
      <c r="CM91" s="4" t="str">
        <f t="shared" si="288"/>
        <v/>
      </c>
      <c r="CN91" s="96" t="str">
        <f t="shared" si="289"/>
        <v/>
      </c>
      <c r="CO91" s="96" t="str">
        <f t="shared" si="398"/>
        <v/>
      </c>
      <c r="CP91" s="127" t="str">
        <f t="shared" si="290"/>
        <v/>
      </c>
      <c r="CQ91" s="127" t="str">
        <f t="shared" si="291"/>
        <v/>
      </c>
      <c r="CR91" s="136" t="str">
        <f t="shared" si="292"/>
        <v/>
      </c>
      <c r="CS91" s="136" t="str">
        <f t="shared" si="293"/>
        <v/>
      </c>
      <c r="CT91" s="135" t="str">
        <f t="shared" si="294"/>
        <v/>
      </c>
      <c r="CU91" s="139" t="str">
        <f t="shared" si="295"/>
        <v/>
      </c>
      <c r="CV91" s="96" t="str">
        <f t="shared" si="296"/>
        <v/>
      </c>
      <c r="CW91" s="141" t="str">
        <f t="shared" si="297"/>
        <v/>
      </c>
      <c r="IL91" s="83" t="str">
        <f t="shared" si="298"/>
        <v/>
      </c>
      <c r="IM91" s="4" t="str">
        <f t="shared" si="299"/>
        <v/>
      </c>
      <c r="IN91" s="4" t="str">
        <f t="shared" si="300"/>
        <v/>
      </c>
      <c r="IO91" s="4" t="str">
        <f t="shared" si="301"/>
        <v/>
      </c>
      <c r="IP91" s="4" t="str">
        <f t="shared" si="302"/>
        <v/>
      </c>
      <c r="IQ91" s="4" t="str">
        <f t="shared" si="303"/>
        <v/>
      </c>
      <c r="IR91" s="4" t="str">
        <f t="shared" si="304"/>
        <v/>
      </c>
      <c r="IS91" s="4" t="str">
        <f t="shared" si="305"/>
        <v/>
      </c>
      <c r="IT91" s="4" t="str">
        <f t="shared" si="306"/>
        <v/>
      </c>
      <c r="IU91" s="4" t="str">
        <f t="shared" si="307"/>
        <v/>
      </c>
      <c r="IV91" s="4" t="str">
        <f t="shared" si="308"/>
        <v/>
      </c>
      <c r="IW91" s="4" t="str">
        <f t="shared" si="309"/>
        <v/>
      </c>
      <c r="IX91" s="4" t="str">
        <f t="shared" si="310"/>
        <v/>
      </c>
      <c r="IY91" s="4" t="str">
        <f t="shared" si="311"/>
        <v/>
      </c>
      <c r="IZ91" s="4" t="str">
        <f t="shared" si="312"/>
        <v/>
      </c>
      <c r="JA91" s="4" t="str">
        <f t="shared" si="313"/>
        <v/>
      </c>
      <c r="JB91" s="4" t="str">
        <f t="shared" si="314"/>
        <v/>
      </c>
      <c r="JC91" s="4" t="str">
        <f t="shared" si="315"/>
        <v/>
      </c>
      <c r="JD91" s="4" t="str">
        <f t="shared" si="316"/>
        <v/>
      </c>
      <c r="JE91" s="4" t="str">
        <f t="shared" si="317"/>
        <v/>
      </c>
      <c r="JF91" s="4" t="str">
        <f t="shared" si="318"/>
        <v/>
      </c>
      <c r="JG91" s="4" t="str">
        <f t="shared" si="319"/>
        <v/>
      </c>
      <c r="JH91" s="4" t="str">
        <f t="shared" si="320"/>
        <v/>
      </c>
      <c r="JI91" s="4" t="str">
        <f t="shared" si="321"/>
        <v/>
      </c>
      <c r="JJ91" s="4" t="str">
        <f t="shared" si="322"/>
        <v/>
      </c>
      <c r="JK91" s="4" t="str">
        <f t="shared" si="323"/>
        <v/>
      </c>
      <c r="JL91" s="4" t="str">
        <f t="shared" si="324"/>
        <v/>
      </c>
      <c r="JM91" s="4" t="str">
        <f t="shared" si="325"/>
        <v/>
      </c>
      <c r="JN91" s="4" t="str">
        <f t="shared" si="326"/>
        <v/>
      </c>
      <c r="JO91" s="4" t="str">
        <f t="shared" si="327"/>
        <v/>
      </c>
      <c r="JP91" s="4" t="str">
        <f t="shared" si="328"/>
        <v/>
      </c>
      <c r="JQ91" s="117" t="str">
        <f t="shared" si="329"/>
        <v/>
      </c>
      <c r="JR91" s="110" t="str">
        <f t="shared" si="330"/>
        <v/>
      </c>
      <c r="JS91" s="110" t="str">
        <f t="shared" si="331"/>
        <v/>
      </c>
      <c r="JT91" s="110" t="str">
        <f t="shared" si="332"/>
        <v/>
      </c>
      <c r="JU91" s="110" t="str">
        <f t="shared" si="333"/>
        <v/>
      </c>
      <c r="JV91" s="110" t="str">
        <f t="shared" si="334"/>
        <v/>
      </c>
      <c r="JW91" s="110" t="str">
        <f t="shared" si="335"/>
        <v/>
      </c>
      <c r="JX91" s="110" t="str">
        <f t="shared" si="336"/>
        <v/>
      </c>
      <c r="JY91" s="110" t="str">
        <f t="shared" si="337"/>
        <v/>
      </c>
      <c r="JZ91" s="110" t="str">
        <f t="shared" si="338"/>
        <v/>
      </c>
      <c r="KA91" s="110" t="str">
        <f t="shared" si="339"/>
        <v/>
      </c>
      <c r="KB91" s="110" t="str">
        <f t="shared" si="340"/>
        <v/>
      </c>
      <c r="KC91" s="110" t="str">
        <f t="shared" si="341"/>
        <v/>
      </c>
      <c r="KD91" s="110" t="str">
        <f t="shared" si="342"/>
        <v/>
      </c>
      <c r="KE91" s="110" t="str">
        <f t="shared" si="343"/>
        <v/>
      </c>
      <c r="KF91" s="110" t="str">
        <f t="shared" si="344"/>
        <v/>
      </c>
      <c r="KG91" s="121" t="str">
        <f t="shared" si="345"/>
        <v/>
      </c>
      <c r="KH91" s="83" t="str">
        <f t="shared" si="346"/>
        <v/>
      </c>
      <c r="KI91" s="4" t="str">
        <f t="shared" si="347"/>
        <v/>
      </c>
      <c r="KJ91" s="4" t="str">
        <f t="shared" si="348"/>
        <v/>
      </c>
      <c r="KK91" s="4" t="str">
        <f t="shared" si="349"/>
        <v/>
      </c>
      <c r="KL91" s="4" t="str">
        <f t="shared" si="350"/>
        <v/>
      </c>
      <c r="KM91" s="4" t="str">
        <f t="shared" si="351"/>
        <v/>
      </c>
      <c r="KN91" s="4" t="str">
        <f t="shared" si="352"/>
        <v/>
      </c>
      <c r="KO91" s="4" t="str">
        <f t="shared" si="353"/>
        <v/>
      </c>
      <c r="KP91" s="4" t="str">
        <f t="shared" si="354"/>
        <v/>
      </c>
      <c r="KQ91" s="4" t="str">
        <f t="shared" si="355"/>
        <v/>
      </c>
      <c r="KR91" s="4" t="str">
        <f t="shared" si="356"/>
        <v/>
      </c>
      <c r="KS91" s="4" t="str">
        <f t="shared" si="357"/>
        <v/>
      </c>
      <c r="KT91" s="4" t="str">
        <f t="shared" si="358"/>
        <v/>
      </c>
      <c r="KU91" s="4" t="str">
        <f t="shared" si="359"/>
        <v/>
      </c>
      <c r="KV91" s="4" t="str">
        <f t="shared" si="360"/>
        <v/>
      </c>
      <c r="KW91" s="4" t="str">
        <f t="shared" si="361"/>
        <v/>
      </c>
      <c r="KX91" s="4" t="str">
        <f t="shared" si="362"/>
        <v/>
      </c>
      <c r="KY91" s="4" t="str">
        <f t="shared" si="363"/>
        <v/>
      </c>
      <c r="KZ91" s="4" t="str">
        <f t="shared" si="364"/>
        <v/>
      </c>
      <c r="LA91" s="4" t="str">
        <f t="shared" si="365"/>
        <v/>
      </c>
      <c r="LB91" s="4" t="str">
        <f t="shared" si="366"/>
        <v/>
      </c>
      <c r="LC91" s="4" t="str">
        <f t="shared" si="367"/>
        <v/>
      </c>
      <c r="LD91" s="4" t="str">
        <f t="shared" si="368"/>
        <v/>
      </c>
      <c r="LE91" s="4" t="str">
        <f t="shared" si="369"/>
        <v/>
      </c>
      <c r="LF91" s="4" t="str">
        <f t="shared" si="370"/>
        <v/>
      </c>
      <c r="LG91" s="4" t="str">
        <f t="shared" si="371"/>
        <v/>
      </c>
      <c r="LH91" s="4" t="str">
        <f t="shared" si="372"/>
        <v/>
      </c>
      <c r="LI91" s="4" t="str">
        <f t="shared" si="373"/>
        <v/>
      </c>
      <c r="LJ91" s="4" t="str">
        <f t="shared" si="374"/>
        <v/>
      </c>
      <c r="LK91" s="4" t="str">
        <f t="shared" si="375"/>
        <v/>
      </c>
      <c r="LL91" s="4" t="str">
        <f t="shared" si="376"/>
        <v/>
      </c>
      <c r="LM91" s="4" t="str">
        <f t="shared" si="377"/>
        <v/>
      </c>
      <c r="LN91" s="4" t="str">
        <f t="shared" si="378"/>
        <v/>
      </c>
      <c r="LO91" s="4" t="str">
        <f t="shared" si="379"/>
        <v/>
      </c>
      <c r="LP91" s="4" t="str">
        <f t="shared" si="380"/>
        <v/>
      </c>
      <c r="LQ91" s="4" t="str">
        <f t="shared" si="381"/>
        <v/>
      </c>
      <c r="LR91" s="4" t="str">
        <f t="shared" si="382"/>
        <v/>
      </c>
      <c r="LS91" s="4" t="str">
        <f t="shared" si="383"/>
        <v/>
      </c>
      <c r="LT91" s="4" t="str">
        <f t="shared" si="384"/>
        <v/>
      </c>
      <c r="LU91" s="4" t="str">
        <f t="shared" si="385"/>
        <v/>
      </c>
      <c r="LV91" s="4" t="str">
        <f t="shared" si="386"/>
        <v/>
      </c>
      <c r="LW91" s="4" t="str">
        <f t="shared" si="387"/>
        <v/>
      </c>
      <c r="LX91" s="4" t="str">
        <f t="shared" si="388"/>
        <v/>
      </c>
      <c r="LY91" s="4" t="str">
        <f t="shared" si="389"/>
        <v/>
      </c>
      <c r="LZ91" s="4" t="str">
        <f t="shared" si="390"/>
        <v/>
      </c>
      <c r="MA91" s="4" t="str">
        <f t="shared" si="391"/>
        <v/>
      </c>
      <c r="MB91" s="4" t="str">
        <f t="shared" si="392"/>
        <v/>
      </c>
      <c r="MC91" s="4" t="str">
        <f t="shared" si="393"/>
        <v/>
      </c>
      <c r="MD91" s="4" t="str">
        <f t="shared" si="394"/>
        <v/>
      </c>
      <c r="ME91" s="4" t="str">
        <f t="shared" si="395"/>
        <v/>
      </c>
      <c r="MF91" s="4" t="str">
        <f t="shared" si="396"/>
        <v/>
      </c>
      <c r="MG91" s="4">
        <f t="shared" si="397"/>
        <v>0</v>
      </c>
    </row>
    <row r="92" spans="1:345" ht="26.25" customHeight="1" x14ac:dyDescent="0.2">
      <c r="A92" s="35">
        <v>41395</v>
      </c>
      <c r="B92" s="36" t="s">
        <v>189</v>
      </c>
      <c r="C92" s="36" t="s">
        <v>52</v>
      </c>
      <c r="D92" s="31" t="s">
        <v>111</v>
      </c>
      <c r="E92" s="4">
        <v>76</v>
      </c>
      <c r="F92" s="3">
        <v>13373</v>
      </c>
      <c r="G92" s="4" t="s">
        <v>87</v>
      </c>
      <c r="H92" s="4" t="s">
        <v>108</v>
      </c>
      <c r="I92" s="4">
        <v>1835010</v>
      </c>
      <c r="K92" s="235"/>
      <c r="L92" s="236"/>
      <c r="M92" s="236"/>
      <c r="N92" s="236"/>
      <c r="O92" s="235"/>
      <c r="P92" s="236"/>
      <c r="Q92" s="236"/>
      <c r="R92" s="4">
        <v>-0.5</v>
      </c>
      <c r="S92" s="4">
        <v>-0.67</v>
      </c>
      <c r="T92" s="4" t="s">
        <v>249</v>
      </c>
      <c r="U92" s="67">
        <v>23</v>
      </c>
      <c r="V92" s="124">
        <v>41375</v>
      </c>
      <c r="W92" s="67">
        <v>-1.25</v>
      </c>
      <c r="X92" s="67">
        <v>0.5</v>
      </c>
      <c r="Y92" s="4">
        <v>30</v>
      </c>
      <c r="Z92" s="4">
        <v>70</v>
      </c>
      <c r="AA92" s="4">
        <v>13</v>
      </c>
      <c r="AB92" s="4">
        <v>615</v>
      </c>
      <c r="AC92" s="4">
        <v>23.6</v>
      </c>
      <c r="AD92" s="4">
        <v>11.7</v>
      </c>
      <c r="AE92" s="4">
        <v>4.67</v>
      </c>
      <c r="AF92" s="4">
        <v>2.6</v>
      </c>
      <c r="AG92" s="4">
        <v>41.51</v>
      </c>
      <c r="AH92" s="4">
        <v>152</v>
      </c>
      <c r="AI92" s="4">
        <v>42.54</v>
      </c>
      <c r="AJ92" s="4">
        <v>62</v>
      </c>
      <c r="AK92" s="4">
        <v>0</v>
      </c>
      <c r="AL92" s="4" t="b">
        <f t="shared" si="268"/>
        <v>0</v>
      </c>
      <c r="AN92" s="32" t="s">
        <v>78</v>
      </c>
      <c r="AO92" s="60"/>
      <c r="BC92" s="4" t="str">
        <f t="shared" si="399"/>
        <v/>
      </c>
      <c r="BD92" s="4" t="str">
        <f t="shared" si="400"/>
        <v/>
      </c>
      <c r="BE92" s="4" t="str">
        <f t="shared" si="270"/>
        <v/>
      </c>
      <c r="BF92" s="51" t="s">
        <v>501</v>
      </c>
      <c r="BG92" s="59"/>
      <c r="BU92" s="4" t="str">
        <f t="shared" si="401"/>
        <v/>
      </c>
      <c r="BV92" s="4" t="str">
        <f t="shared" si="271"/>
        <v/>
      </c>
      <c r="BW92" s="4" t="str">
        <f t="shared" si="272"/>
        <v/>
      </c>
      <c r="BX92" s="4">
        <f t="shared" ref="BX92:BX125" si="403">IF(AND(ISBLANK(SPH_6),ISBLANK(SPH_12)),0,1)</f>
        <v>0</v>
      </c>
      <c r="BY92" s="4">
        <f t="shared" si="274"/>
        <v>0</v>
      </c>
      <c r="BZ92" s="4" t="str">
        <f t="shared" si="275"/>
        <v/>
      </c>
      <c r="CA92" s="4" t="str">
        <f t="shared" si="276"/>
        <v/>
      </c>
      <c r="CB92" s="4" t="str">
        <f t="shared" si="277"/>
        <v/>
      </c>
      <c r="CC92" s="53">
        <f t="shared" si="278"/>
        <v>0</v>
      </c>
      <c r="CD92" s="55" t="str">
        <f t="shared" si="279"/>
        <v/>
      </c>
      <c r="CE92" s="4" t="str">
        <f t="shared" si="280"/>
        <v/>
      </c>
      <c r="CF92" s="4" t="str">
        <f t="shared" si="281"/>
        <v/>
      </c>
      <c r="CG92" s="4" t="str">
        <f t="shared" si="282"/>
        <v/>
      </c>
      <c r="CH92" s="4" t="str">
        <f t="shared" si="283"/>
        <v/>
      </c>
      <c r="CI92" s="4" t="str">
        <f t="shared" si="284"/>
        <v/>
      </c>
      <c r="CJ92" s="4" t="str">
        <f t="shared" si="285"/>
        <v/>
      </c>
      <c r="CK92" s="93" t="str">
        <f t="shared" si="286"/>
        <v/>
      </c>
      <c r="CL92" s="83" t="str">
        <f t="shared" si="287"/>
        <v/>
      </c>
      <c r="CM92" s="4" t="str">
        <f t="shared" si="288"/>
        <v/>
      </c>
      <c r="CN92" s="96" t="str">
        <f t="shared" si="289"/>
        <v/>
      </c>
      <c r="CO92" s="96" t="str">
        <f t="shared" si="398"/>
        <v/>
      </c>
      <c r="CP92" s="127" t="str">
        <f t="shared" si="290"/>
        <v/>
      </c>
      <c r="CQ92" s="127" t="str">
        <f t="shared" si="291"/>
        <v/>
      </c>
      <c r="CR92" s="136" t="str">
        <f t="shared" si="292"/>
        <v/>
      </c>
      <c r="CS92" s="136" t="str">
        <f t="shared" si="293"/>
        <v/>
      </c>
      <c r="CT92" s="135" t="str">
        <f t="shared" si="294"/>
        <v/>
      </c>
      <c r="CU92" s="139" t="str">
        <f t="shared" si="295"/>
        <v/>
      </c>
      <c r="CV92" s="96" t="str">
        <f t="shared" si="296"/>
        <v/>
      </c>
      <c r="CW92" s="141" t="str">
        <f t="shared" si="297"/>
        <v/>
      </c>
      <c r="IL92" s="83" t="str">
        <f t="shared" si="298"/>
        <v/>
      </c>
      <c r="IM92" s="4" t="str">
        <f t="shared" si="299"/>
        <v/>
      </c>
      <c r="IN92" s="4" t="str">
        <f t="shared" si="300"/>
        <v/>
      </c>
      <c r="IO92" s="4" t="str">
        <f t="shared" si="301"/>
        <v/>
      </c>
      <c r="IP92" s="4" t="str">
        <f t="shared" si="302"/>
        <v/>
      </c>
      <c r="IQ92" s="4" t="str">
        <f t="shared" si="303"/>
        <v/>
      </c>
      <c r="IR92" s="4" t="str">
        <f t="shared" si="304"/>
        <v/>
      </c>
      <c r="IS92" s="4" t="str">
        <f t="shared" si="305"/>
        <v/>
      </c>
      <c r="IT92" s="4" t="str">
        <f t="shared" si="306"/>
        <v/>
      </c>
      <c r="IU92" s="4" t="str">
        <f t="shared" si="307"/>
        <v/>
      </c>
      <c r="IV92" s="4" t="str">
        <f t="shared" si="308"/>
        <v/>
      </c>
      <c r="IW92" s="4" t="str">
        <f t="shared" si="309"/>
        <v/>
      </c>
      <c r="IX92" s="4" t="str">
        <f t="shared" si="310"/>
        <v/>
      </c>
      <c r="IY92" s="4" t="str">
        <f t="shared" si="311"/>
        <v/>
      </c>
      <c r="IZ92" s="4" t="str">
        <f t="shared" si="312"/>
        <v/>
      </c>
      <c r="JA92" s="4" t="str">
        <f t="shared" si="313"/>
        <v/>
      </c>
      <c r="JB92" s="4" t="str">
        <f t="shared" si="314"/>
        <v/>
      </c>
      <c r="JC92" s="4" t="str">
        <f t="shared" si="315"/>
        <v/>
      </c>
      <c r="JD92" s="4" t="str">
        <f t="shared" si="316"/>
        <v/>
      </c>
      <c r="JE92" s="4" t="str">
        <f t="shared" si="317"/>
        <v/>
      </c>
      <c r="JF92" s="4" t="str">
        <f t="shared" si="318"/>
        <v/>
      </c>
      <c r="JG92" s="4" t="str">
        <f t="shared" si="319"/>
        <v/>
      </c>
      <c r="JH92" s="4" t="str">
        <f t="shared" si="320"/>
        <v/>
      </c>
      <c r="JI92" s="4" t="str">
        <f t="shared" si="321"/>
        <v/>
      </c>
      <c r="JJ92" s="4" t="str">
        <f t="shared" si="322"/>
        <v/>
      </c>
      <c r="JK92" s="4" t="str">
        <f t="shared" si="323"/>
        <v/>
      </c>
      <c r="JL92" s="4" t="str">
        <f t="shared" si="324"/>
        <v/>
      </c>
      <c r="JM92" s="4" t="str">
        <f t="shared" si="325"/>
        <v/>
      </c>
      <c r="JN92" s="4" t="str">
        <f t="shared" si="326"/>
        <v/>
      </c>
      <c r="JO92" s="4" t="str">
        <f t="shared" si="327"/>
        <v/>
      </c>
      <c r="JP92" s="4" t="str">
        <f t="shared" si="328"/>
        <v/>
      </c>
      <c r="JQ92" s="117" t="str">
        <f t="shared" si="329"/>
        <v/>
      </c>
      <c r="JR92" s="110" t="str">
        <f t="shared" si="330"/>
        <v/>
      </c>
      <c r="JS92" s="110" t="str">
        <f t="shared" si="331"/>
        <v/>
      </c>
      <c r="JT92" s="110" t="str">
        <f t="shared" si="332"/>
        <v/>
      </c>
      <c r="JU92" s="110" t="str">
        <f t="shared" si="333"/>
        <v/>
      </c>
      <c r="JV92" s="110" t="str">
        <f t="shared" si="334"/>
        <v/>
      </c>
      <c r="JW92" s="110" t="str">
        <f t="shared" si="335"/>
        <v/>
      </c>
      <c r="JX92" s="110" t="str">
        <f t="shared" si="336"/>
        <v/>
      </c>
      <c r="JY92" s="110" t="str">
        <f t="shared" si="337"/>
        <v/>
      </c>
      <c r="JZ92" s="110" t="str">
        <f t="shared" si="338"/>
        <v/>
      </c>
      <c r="KA92" s="110" t="str">
        <f t="shared" si="339"/>
        <v/>
      </c>
      <c r="KB92" s="110" t="str">
        <f t="shared" si="340"/>
        <v/>
      </c>
      <c r="KC92" s="110" t="str">
        <f t="shared" si="341"/>
        <v/>
      </c>
      <c r="KD92" s="110" t="str">
        <f t="shared" si="342"/>
        <v/>
      </c>
      <c r="KE92" s="110" t="str">
        <f t="shared" si="343"/>
        <v/>
      </c>
      <c r="KF92" s="110" t="str">
        <f t="shared" si="344"/>
        <v/>
      </c>
      <c r="KG92" s="121" t="str">
        <f t="shared" si="345"/>
        <v/>
      </c>
      <c r="KH92" s="83" t="str">
        <f t="shared" si="346"/>
        <v/>
      </c>
      <c r="KI92" s="4" t="str">
        <f t="shared" si="347"/>
        <v/>
      </c>
      <c r="KJ92" s="4" t="str">
        <f t="shared" si="348"/>
        <v/>
      </c>
      <c r="KK92" s="4" t="str">
        <f t="shared" si="349"/>
        <v/>
      </c>
      <c r="KL92" s="4" t="str">
        <f t="shared" si="350"/>
        <v/>
      </c>
      <c r="KM92" s="4" t="str">
        <f t="shared" si="351"/>
        <v/>
      </c>
      <c r="KN92" s="4" t="str">
        <f t="shared" si="352"/>
        <v/>
      </c>
      <c r="KO92" s="4" t="str">
        <f t="shared" si="353"/>
        <v/>
      </c>
      <c r="KP92" s="4" t="str">
        <f t="shared" si="354"/>
        <v/>
      </c>
      <c r="KQ92" s="4" t="str">
        <f t="shared" si="355"/>
        <v/>
      </c>
      <c r="KR92" s="4" t="str">
        <f t="shared" si="356"/>
        <v/>
      </c>
      <c r="KS92" s="4" t="str">
        <f t="shared" si="357"/>
        <v/>
      </c>
      <c r="KT92" s="4" t="str">
        <f t="shared" si="358"/>
        <v/>
      </c>
      <c r="KU92" s="4" t="str">
        <f t="shared" si="359"/>
        <v/>
      </c>
      <c r="KV92" s="4" t="str">
        <f t="shared" si="360"/>
        <v/>
      </c>
      <c r="KW92" s="4" t="str">
        <f t="shared" si="361"/>
        <v/>
      </c>
      <c r="KX92" s="4" t="str">
        <f t="shared" si="362"/>
        <v/>
      </c>
      <c r="KY92" s="4" t="str">
        <f t="shared" si="363"/>
        <v/>
      </c>
      <c r="KZ92" s="4" t="str">
        <f t="shared" si="364"/>
        <v/>
      </c>
      <c r="LA92" s="4" t="str">
        <f t="shared" si="365"/>
        <v/>
      </c>
      <c r="LB92" s="4" t="str">
        <f t="shared" si="366"/>
        <v/>
      </c>
      <c r="LC92" s="4" t="str">
        <f t="shared" si="367"/>
        <v/>
      </c>
      <c r="LD92" s="4" t="str">
        <f t="shared" si="368"/>
        <v/>
      </c>
      <c r="LE92" s="4" t="str">
        <f t="shared" si="369"/>
        <v/>
      </c>
      <c r="LF92" s="4" t="str">
        <f t="shared" si="370"/>
        <v/>
      </c>
      <c r="LG92" s="4" t="str">
        <f t="shared" si="371"/>
        <v/>
      </c>
      <c r="LH92" s="4" t="str">
        <f t="shared" si="372"/>
        <v/>
      </c>
      <c r="LI92" s="4" t="str">
        <f t="shared" si="373"/>
        <v/>
      </c>
      <c r="LJ92" s="4" t="str">
        <f t="shared" si="374"/>
        <v/>
      </c>
      <c r="LK92" s="4" t="str">
        <f t="shared" si="375"/>
        <v/>
      </c>
      <c r="LL92" s="4" t="str">
        <f t="shared" si="376"/>
        <v/>
      </c>
      <c r="LM92" s="4" t="str">
        <f t="shared" si="377"/>
        <v/>
      </c>
      <c r="LN92" s="4" t="str">
        <f t="shared" si="378"/>
        <v/>
      </c>
      <c r="LO92" s="4" t="str">
        <f t="shared" si="379"/>
        <v/>
      </c>
      <c r="LP92" s="4" t="str">
        <f t="shared" si="380"/>
        <v/>
      </c>
      <c r="LQ92" s="4" t="str">
        <f t="shared" si="381"/>
        <v/>
      </c>
      <c r="LR92" s="4" t="str">
        <f t="shared" si="382"/>
        <v/>
      </c>
      <c r="LS92" s="4" t="str">
        <f t="shared" si="383"/>
        <v/>
      </c>
      <c r="LT92" s="4" t="str">
        <f t="shared" si="384"/>
        <v/>
      </c>
      <c r="LU92" s="4" t="str">
        <f t="shared" si="385"/>
        <v/>
      </c>
      <c r="LV92" s="4" t="str">
        <f t="shared" si="386"/>
        <v/>
      </c>
      <c r="LW92" s="4" t="str">
        <f t="shared" si="387"/>
        <v/>
      </c>
      <c r="LX92" s="4" t="str">
        <f t="shared" si="388"/>
        <v/>
      </c>
      <c r="LY92" s="4" t="str">
        <f t="shared" si="389"/>
        <v/>
      </c>
      <c r="LZ92" s="4" t="str">
        <f t="shared" si="390"/>
        <v/>
      </c>
      <c r="MA92" s="4" t="str">
        <f t="shared" si="391"/>
        <v/>
      </c>
      <c r="MB92" s="4" t="str">
        <f t="shared" si="392"/>
        <v/>
      </c>
      <c r="MC92" s="4" t="str">
        <f t="shared" si="393"/>
        <v/>
      </c>
      <c r="MD92" s="4" t="str">
        <f t="shared" si="394"/>
        <v/>
      </c>
      <c r="ME92" s="4" t="str">
        <f t="shared" si="395"/>
        <v/>
      </c>
      <c r="MF92" s="4" t="str">
        <f t="shared" si="396"/>
        <v/>
      </c>
      <c r="MG92" s="4">
        <f t="shared" si="397"/>
        <v>0</v>
      </c>
    </row>
    <row r="93" spans="1:345" ht="26.25" customHeight="1" thickBot="1" x14ac:dyDescent="0.25">
      <c r="A93" s="44">
        <v>41430</v>
      </c>
      <c r="B93" s="36" t="s">
        <v>256</v>
      </c>
      <c r="C93" s="36" t="s">
        <v>257</v>
      </c>
      <c r="D93" s="31" t="s">
        <v>111</v>
      </c>
      <c r="E93" s="4">
        <v>71</v>
      </c>
      <c r="F93" s="3">
        <v>15196</v>
      </c>
      <c r="G93" s="38" t="s">
        <v>87</v>
      </c>
      <c r="H93" s="38" t="s">
        <v>108</v>
      </c>
      <c r="I93" s="45">
        <v>1835182</v>
      </c>
      <c r="N93" s="236"/>
      <c r="O93" s="235"/>
      <c r="P93" s="236"/>
      <c r="Q93" s="236"/>
      <c r="R93" s="33">
        <v>-0.5</v>
      </c>
      <c r="S93" s="33">
        <v>-0.54</v>
      </c>
      <c r="T93" s="33" t="s">
        <v>249</v>
      </c>
      <c r="U93" s="67">
        <v>21.5</v>
      </c>
      <c r="V93" s="125">
        <v>41428</v>
      </c>
      <c r="W93" s="67">
        <v>-0.5</v>
      </c>
      <c r="X93" s="67">
        <v>3</v>
      </c>
      <c r="Y93" s="4">
        <v>5</v>
      </c>
      <c r="Z93" s="4">
        <v>20</v>
      </c>
      <c r="AA93" s="4">
        <v>14</v>
      </c>
      <c r="AB93" s="4">
        <v>594</v>
      </c>
      <c r="AC93" s="4">
        <v>23.73</v>
      </c>
      <c r="AD93" s="4">
        <v>11.8</v>
      </c>
      <c r="AE93" s="4">
        <v>4.95</v>
      </c>
      <c r="AF93" s="4">
        <v>3.45</v>
      </c>
      <c r="AG93" s="4">
        <v>45.24</v>
      </c>
      <c r="AH93" s="4">
        <v>97</v>
      </c>
      <c r="AI93" s="4">
        <v>46.87</v>
      </c>
      <c r="AJ93" s="4">
        <v>7</v>
      </c>
      <c r="AK93" s="4">
        <v>0</v>
      </c>
      <c r="AL93" s="4" t="b">
        <f t="shared" si="268"/>
        <v>0</v>
      </c>
      <c r="AM93" s="43" t="s">
        <v>307</v>
      </c>
      <c r="AN93" s="51" t="s">
        <v>78</v>
      </c>
      <c r="BE93" s="4" t="str">
        <f t="shared" si="270"/>
        <v/>
      </c>
      <c r="BF93" s="51" t="s">
        <v>501</v>
      </c>
      <c r="BV93" s="4" t="str">
        <f t="shared" si="271"/>
        <v/>
      </c>
      <c r="BW93" s="4" t="str">
        <f t="shared" si="272"/>
        <v/>
      </c>
      <c r="BX93" s="4">
        <f t="shared" si="403"/>
        <v>0</v>
      </c>
      <c r="BY93" s="4">
        <f t="shared" si="274"/>
        <v>0</v>
      </c>
      <c r="BZ93" s="4" t="str">
        <f t="shared" si="275"/>
        <v/>
      </c>
      <c r="CA93" s="4" t="str">
        <f t="shared" si="276"/>
        <v/>
      </c>
      <c r="CB93" s="4" t="str">
        <f t="shared" si="277"/>
        <v/>
      </c>
      <c r="CC93" s="53">
        <f t="shared" si="278"/>
        <v>0</v>
      </c>
      <c r="CD93" s="55" t="str">
        <f t="shared" si="279"/>
        <v/>
      </c>
      <c r="CE93" s="4" t="str">
        <f t="shared" si="280"/>
        <v/>
      </c>
      <c r="CF93" s="4" t="str">
        <f t="shared" si="281"/>
        <v/>
      </c>
      <c r="CG93" s="4" t="str">
        <f t="shared" si="282"/>
        <v/>
      </c>
      <c r="CH93" s="4" t="str">
        <f t="shared" si="283"/>
        <v/>
      </c>
      <c r="CI93" s="4" t="str">
        <f t="shared" si="284"/>
        <v/>
      </c>
      <c r="CJ93" s="4" t="str">
        <f t="shared" si="285"/>
        <v/>
      </c>
      <c r="CK93" s="93" t="str">
        <f t="shared" si="286"/>
        <v/>
      </c>
      <c r="CL93" s="83" t="str">
        <f t="shared" si="287"/>
        <v/>
      </c>
      <c r="CM93" s="4" t="str">
        <f t="shared" si="288"/>
        <v/>
      </c>
      <c r="CN93" s="96" t="str">
        <f t="shared" si="289"/>
        <v/>
      </c>
      <c r="CO93" s="96" t="str">
        <f t="shared" si="398"/>
        <v/>
      </c>
      <c r="CP93" s="127" t="str">
        <f t="shared" si="290"/>
        <v/>
      </c>
      <c r="CQ93" s="127" t="str">
        <f t="shared" si="291"/>
        <v/>
      </c>
      <c r="CR93" s="136" t="str">
        <f t="shared" si="292"/>
        <v/>
      </c>
      <c r="CS93" s="136" t="str">
        <f t="shared" si="293"/>
        <v/>
      </c>
      <c r="CT93" s="135" t="str">
        <f t="shared" si="294"/>
        <v/>
      </c>
      <c r="CU93" s="139" t="str">
        <f t="shared" si="295"/>
        <v/>
      </c>
      <c r="CV93" s="96" t="str">
        <f t="shared" si="296"/>
        <v/>
      </c>
      <c r="CW93" s="141" t="str">
        <f t="shared" si="297"/>
        <v/>
      </c>
      <c r="CX93">
        <v>7.26</v>
      </c>
      <c r="CY93" s="4">
        <v>7.55</v>
      </c>
      <c r="CZ93" s="4">
        <v>107.1</v>
      </c>
      <c r="DA93" s="4">
        <v>1.8</v>
      </c>
      <c r="DB93" s="4">
        <v>0.38</v>
      </c>
      <c r="DC93" s="4">
        <v>0.56999999999999995</v>
      </c>
      <c r="DD93" s="4">
        <v>2.54</v>
      </c>
      <c r="DE93" s="4">
        <v>3.14</v>
      </c>
      <c r="DF93" s="4">
        <v>595</v>
      </c>
      <c r="DG93" s="4">
        <v>596</v>
      </c>
      <c r="DH93" s="4">
        <v>648</v>
      </c>
      <c r="DI93" s="4">
        <v>655</v>
      </c>
      <c r="DJ93" s="4">
        <v>641</v>
      </c>
      <c r="DK93" s="4">
        <v>672</v>
      </c>
      <c r="DL93" s="4">
        <v>593</v>
      </c>
      <c r="DM93" s="4">
        <v>0.61</v>
      </c>
      <c r="DN93" s="4">
        <v>0.2</v>
      </c>
      <c r="DO93" s="4">
        <v>7.38</v>
      </c>
      <c r="DP93" s="4">
        <v>7.41</v>
      </c>
      <c r="DQ93" s="4">
        <v>7.45</v>
      </c>
      <c r="DR93" s="4">
        <v>7.64</v>
      </c>
      <c r="DS93" s="4">
        <v>7.83</v>
      </c>
      <c r="DT93" s="4">
        <v>7.91</v>
      </c>
      <c r="DU93" s="4">
        <v>0</v>
      </c>
      <c r="DV93" s="4">
        <v>1.1000000000000001</v>
      </c>
      <c r="DW93" s="4">
        <v>6.28</v>
      </c>
      <c r="DX93" s="4">
        <v>6.2</v>
      </c>
      <c r="DY93" s="4">
        <v>6.31</v>
      </c>
      <c r="DZ93" s="4">
        <v>6.57</v>
      </c>
      <c r="EA93" s="4">
        <v>6.71</v>
      </c>
      <c r="EB93" s="4">
        <v>0</v>
      </c>
      <c r="EC93" s="4">
        <v>0</v>
      </c>
      <c r="ED93" s="89">
        <v>1.1000000000000001</v>
      </c>
      <c r="EE93" s="110">
        <v>44.7</v>
      </c>
      <c r="EF93" s="110">
        <v>46.5</v>
      </c>
      <c r="EG93" s="110">
        <v>45.6</v>
      </c>
      <c r="EH93" s="110">
        <v>107.1</v>
      </c>
      <c r="EI93" s="110">
        <v>1.8</v>
      </c>
      <c r="EJ93" s="110">
        <v>-6.3</v>
      </c>
      <c r="EK93" s="110">
        <v>-6.4</v>
      </c>
      <c r="EL93" s="110">
        <v>-6.4</v>
      </c>
      <c r="EM93" s="110">
        <v>37.1</v>
      </c>
      <c r="EN93" s="110">
        <v>0.1</v>
      </c>
      <c r="EO93" s="110">
        <v>4.3</v>
      </c>
      <c r="EP93" s="110">
        <v>12.4</v>
      </c>
      <c r="EQ93" s="110">
        <v>26.3</v>
      </c>
      <c r="ER93" s="110">
        <v>62.6</v>
      </c>
      <c r="ES93" s="114">
        <v>19</v>
      </c>
      <c r="IL93" s="83" t="str">
        <f t="shared" si="298"/>
        <v/>
      </c>
      <c r="IM93" s="4" t="str">
        <f t="shared" si="299"/>
        <v/>
      </c>
      <c r="IN93" s="4" t="str">
        <f t="shared" si="300"/>
        <v/>
      </c>
      <c r="IO93" s="4" t="str">
        <f t="shared" si="301"/>
        <v/>
      </c>
      <c r="IP93" s="4" t="str">
        <f t="shared" si="302"/>
        <v/>
      </c>
      <c r="IQ93" s="4" t="str">
        <f t="shared" si="303"/>
        <v/>
      </c>
      <c r="IR93" s="4" t="str">
        <f t="shared" si="304"/>
        <v/>
      </c>
      <c r="IS93" s="4" t="str">
        <f t="shared" si="305"/>
        <v/>
      </c>
      <c r="IT93" s="4" t="str">
        <f t="shared" si="306"/>
        <v/>
      </c>
      <c r="IU93" s="4" t="str">
        <f t="shared" si="307"/>
        <v/>
      </c>
      <c r="IV93" s="4" t="str">
        <f t="shared" si="308"/>
        <v/>
      </c>
      <c r="IW93" s="4" t="str">
        <f t="shared" si="309"/>
        <v/>
      </c>
      <c r="IX93" s="4" t="str">
        <f t="shared" si="310"/>
        <v/>
      </c>
      <c r="IY93" s="4" t="str">
        <f t="shared" si="311"/>
        <v/>
      </c>
      <c r="IZ93" s="4" t="str">
        <f t="shared" si="312"/>
        <v/>
      </c>
      <c r="JA93" s="4" t="str">
        <f t="shared" si="313"/>
        <v/>
      </c>
      <c r="JB93" s="4" t="str">
        <f t="shared" si="314"/>
        <v/>
      </c>
      <c r="JC93" s="4" t="str">
        <f t="shared" si="315"/>
        <v/>
      </c>
      <c r="JD93" s="4" t="str">
        <f t="shared" si="316"/>
        <v/>
      </c>
      <c r="JE93" s="4" t="str">
        <f t="shared" si="317"/>
        <v/>
      </c>
      <c r="JF93" s="4" t="str">
        <f t="shared" si="318"/>
        <v/>
      </c>
      <c r="JG93" s="4" t="str">
        <f t="shared" si="319"/>
        <v/>
      </c>
      <c r="JH93" s="4" t="str">
        <f t="shared" si="320"/>
        <v/>
      </c>
      <c r="JI93" s="4" t="str">
        <f t="shared" si="321"/>
        <v/>
      </c>
      <c r="JJ93" s="4" t="str">
        <f t="shared" si="322"/>
        <v/>
      </c>
      <c r="JK93" s="4" t="str">
        <f t="shared" si="323"/>
        <v/>
      </c>
      <c r="JL93" s="4" t="str">
        <f t="shared" si="324"/>
        <v/>
      </c>
      <c r="JM93" s="4" t="str">
        <f t="shared" si="325"/>
        <v/>
      </c>
      <c r="JN93" s="4" t="str">
        <f t="shared" si="326"/>
        <v/>
      </c>
      <c r="JO93" s="4" t="str">
        <f t="shared" si="327"/>
        <v/>
      </c>
      <c r="JP93" s="4" t="str">
        <f t="shared" si="328"/>
        <v/>
      </c>
      <c r="JQ93" s="117" t="str">
        <f t="shared" si="329"/>
        <v/>
      </c>
      <c r="JR93" s="110" t="str">
        <f t="shared" si="330"/>
        <v/>
      </c>
      <c r="JS93" s="110" t="str">
        <f t="shared" si="331"/>
        <v/>
      </c>
      <c r="JT93" s="110" t="str">
        <f t="shared" si="332"/>
        <v/>
      </c>
      <c r="JU93" s="110" t="str">
        <f t="shared" si="333"/>
        <v/>
      </c>
      <c r="JV93" s="110" t="str">
        <f t="shared" si="334"/>
        <v/>
      </c>
      <c r="JW93" s="110" t="str">
        <f t="shared" si="335"/>
        <v/>
      </c>
      <c r="JX93" s="110" t="str">
        <f t="shared" si="336"/>
        <v/>
      </c>
      <c r="JY93" s="110" t="str">
        <f t="shared" si="337"/>
        <v/>
      </c>
      <c r="JZ93" s="110" t="str">
        <f t="shared" si="338"/>
        <v/>
      </c>
      <c r="KA93" s="110" t="str">
        <f t="shared" si="339"/>
        <v/>
      </c>
      <c r="KB93" s="110" t="str">
        <f t="shared" si="340"/>
        <v/>
      </c>
      <c r="KC93" s="110" t="str">
        <f t="shared" si="341"/>
        <v/>
      </c>
      <c r="KD93" s="110" t="str">
        <f t="shared" si="342"/>
        <v/>
      </c>
      <c r="KE93" s="110" t="str">
        <f t="shared" si="343"/>
        <v/>
      </c>
      <c r="KF93" s="110" t="str">
        <f t="shared" si="344"/>
        <v/>
      </c>
      <c r="KG93" s="121" t="str">
        <f t="shared" si="345"/>
        <v/>
      </c>
      <c r="KH93" s="83" t="str">
        <f t="shared" si="346"/>
        <v/>
      </c>
      <c r="KI93" s="4" t="str">
        <f t="shared" si="347"/>
        <v/>
      </c>
      <c r="KJ93" s="4" t="str">
        <f t="shared" si="348"/>
        <v/>
      </c>
      <c r="KK93" s="4" t="str">
        <f t="shared" si="349"/>
        <v/>
      </c>
      <c r="KL93" s="4" t="str">
        <f t="shared" si="350"/>
        <v/>
      </c>
      <c r="KM93" s="4" t="str">
        <f t="shared" si="351"/>
        <v/>
      </c>
      <c r="KN93" s="4" t="str">
        <f t="shared" si="352"/>
        <v/>
      </c>
      <c r="KO93" s="4" t="str">
        <f t="shared" si="353"/>
        <v/>
      </c>
      <c r="KP93" s="4" t="str">
        <f t="shared" si="354"/>
        <v/>
      </c>
      <c r="KQ93" s="4" t="str">
        <f t="shared" si="355"/>
        <v/>
      </c>
      <c r="KR93" s="4" t="str">
        <f t="shared" si="356"/>
        <v/>
      </c>
      <c r="KS93" s="4" t="str">
        <f t="shared" si="357"/>
        <v/>
      </c>
      <c r="KT93" s="4" t="str">
        <f t="shared" si="358"/>
        <v/>
      </c>
      <c r="KU93" s="4" t="str">
        <f t="shared" si="359"/>
        <v/>
      </c>
      <c r="KV93" s="4" t="str">
        <f t="shared" si="360"/>
        <v/>
      </c>
      <c r="KW93" s="4" t="str">
        <f t="shared" si="361"/>
        <v/>
      </c>
      <c r="KX93" s="4" t="str">
        <f t="shared" si="362"/>
        <v/>
      </c>
      <c r="KY93" s="4" t="str">
        <f t="shared" si="363"/>
        <v/>
      </c>
      <c r="KZ93" s="4" t="str">
        <f t="shared" si="364"/>
        <v/>
      </c>
      <c r="LA93" s="4" t="str">
        <f t="shared" si="365"/>
        <v/>
      </c>
      <c r="LB93" s="4" t="str">
        <f t="shared" si="366"/>
        <v/>
      </c>
      <c r="LC93" s="4" t="str">
        <f t="shared" si="367"/>
        <v/>
      </c>
      <c r="LD93" s="4" t="str">
        <f t="shared" si="368"/>
        <v/>
      </c>
      <c r="LE93" s="4" t="str">
        <f t="shared" si="369"/>
        <v/>
      </c>
      <c r="LF93" s="4" t="str">
        <f t="shared" si="370"/>
        <v/>
      </c>
      <c r="LG93" s="4" t="str">
        <f t="shared" si="371"/>
        <v/>
      </c>
      <c r="LH93" s="4" t="str">
        <f t="shared" si="372"/>
        <v/>
      </c>
      <c r="LI93" s="4" t="str">
        <f t="shared" si="373"/>
        <v/>
      </c>
      <c r="LJ93" s="4" t="str">
        <f t="shared" si="374"/>
        <v/>
      </c>
      <c r="LK93" s="4" t="str">
        <f t="shared" si="375"/>
        <v/>
      </c>
      <c r="LL93" s="4" t="str">
        <f t="shared" si="376"/>
        <v/>
      </c>
      <c r="LM93" s="4" t="str">
        <f t="shared" si="377"/>
        <v/>
      </c>
      <c r="LN93" s="4" t="str">
        <f t="shared" si="378"/>
        <v/>
      </c>
      <c r="LO93" s="4" t="str">
        <f t="shared" si="379"/>
        <v/>
      </c>
      <c r="LP93" s="4" t="str">
        <f t="shared" si="380"/>
        <v/>
      </c>
      <c r="LQ93" s="4" t="str">
        <f t="shared" si="381"/>
        <v/>
      </c>
      <c r="LR93" s="4" t="str">
        <f t="shared" si="382"/>
        <v/>
      </c>
      <c r="LS93" s="4" t="str">
        <f t="shared" si="383"/>
        <v/>
      </c>
      <c r="LT93" s="4" t="str">
        <f t="shared" si="384"/>
        <v/>
      </c>
      <c r="LU93" s="4" t="str">
        <f t="shared" si="385"/>
        <v/>
      </c>
      <c r="LV93" s="4" t="str">
        <f t="shared" si="386"/>
        <v/>
      </c>
      <c r="LW93" s="4" t="str">
        <f t="shared" si="387"/>
        <v/>
      </c>
      <c r="LX93" s="4" t="str">
        <f t="shared" si="388"/>
        <v/>
      </c>
      <c r="LY93" s="4" t="str">
        <f t="shared" si="389"/>
        <v/>
      </c>
      <c r="LZ93" s="4" t="str">
        <f t="shared" si="390"/>
        <v/>
      </c>
      <c r="MA93" s="4" t="str">
        <f t="shared" si="391"/>
        <v/>
      </c>
      <c r="MB93" s="4" t="str">
        <f t="shared" si="392"/>
        <v/>
      </c>
      <c r="MC93" s="4" t="str">
        <f t="shared" si="393"/>
        <v/>
      </c>
      <c r="MD93" s="4" t="str">
        <f t="shared" si="394"/>
        <v/>
      </c>
      <c r="ME93" s="4" t="str">
        <f t="shared" si="395"/>
        <v/>
      </c>
      <c r="MF93" s="4" t="str">
        <f t="shared" si="396"/>
        <v/>
      </c>
      <c r="MG93" s="4">
        <f t="shared" si="397"/>
        <v>0</v>
      </c>
    </row>
    <row r="94" spans="1:345" ht="26.25" customHeight="1" thickBot="1" x14ac:dyDescent="0.25">
      <c r="A94" s="35">
        <v>41227</v>
      </c>
      <c r="B94" s="36" t="s">
        <v>219</v>
      </c>
      <c r="C94" s="36" t="s">
        <v>17</v>
      </c>
      <c r="D94" s="31" t="s">
        <v>111</v>
      </c>
      <c r="E94" s="4">
        <v>77</v>
      </c>
      <c r="F94" s="3">
        <v>12744</v>
      </c>
      <c r="G94" s="4" t="s">
        <v>87</v>
      </c>
      <c r="H94" s="4" t="s">
        <v>108</v>
      </c>
      <c r="I94" s="4">
        <v>1835423</v>
      </c>
      <c r="K94" s="227"/>
      <c r="L94" s="228"/>
      <c r="M94" s="228"/>
      <c r="N94" s="228"/>
      <c r="O94" s="258"/>
      <c r="P94" s="228"/>
      <c r="Q94" s="228"/>
      <c r="R94" s="33">
        <v>-0.5</v>
      </c>
      <c r="S94" s="4">
        <v>-0.62</v>
      </c>
      <c r="T94" s="4" t="s">
        <v>249</v>
      </c>
      <c r="U94" s="67">
        <v>20.25</v>
      </c>
      <c r="V94" s="124">
        <v>41226</v>
      </c>
      <c r="W94" s="67">
        <v>-1.5</v>
      </c>
      <c r="X94" s="67">
        <v>2</v>
      </c>
      <c r="Y94" s="4">
        <v>85</v>
      </c>
      <c r="Z94" s="4">
        <v>50</v>
      </c>
      <c r="AA94" s="4">
        <v>12</v>
      </c>
      <c r="AB94" s="4">
        <v>617</v>
      </c>
      <c r="AC94" s="4">
        <v>24.27</v>
      </c>
      <c r="AD94" s="4">
        <v>11.8</v>
      </c>
      <c r="AE94" s="4">
        <v>4.6399999999999997</v>
      </c>
      <c r="AF94" s="4">
        <v>3.08</v>
      </c>
      <c r="AG94" s="4">
        <v>41.46</v>
      </c>
      <c r="AH94" s="4">
        <v>155</v>
      </c>
      <c r="AI94" s="4">
        <v>43.77</v>
      </c>
      <c r="AJ94" s="4">
        <v>65</v>
      </c>
      <c r="AK94" s="4">
        <v>0</v>
      </c>
      <c r="AL94" s="4" t="b">
        <f t="shared" si="268"/>
        <v>0</v>
      </c>
      <c r="AN94" s="4" t="s">
        <v>78</v>
      </c>
      <c r="BC94" s="4" t="str">
        <f t="shared" ref="BC94:BC119" si="404">IF(ISNUMBER(AP94),AP94+0.5*AQ94,"")</f>
        <v/>
      </c>
      <c r="BD94" s="4" t="str">
        <f t="shared" ref="BD94:BD119" si="405">IF(ISNUMBER(BC94),IF(ISNUMBER(S94),BC94-S94,"MISSING"),"")</f>
        <v/>
      </c>
      <c r="BE94" s="4" t="str">
        <f t="shared" si="270"/>
        <v/>
      </c>
      <c r="BF94" s="51" t="s">
        <v>501</v>
      </c>
      <c r="BG94" s="59"/>
      <c r="BU94" s="4" t="str">
        <f>IF(ISNUMBER(BH94),BH94+0.5*BI94,"")</f>
        <v/>
      </c>
      <c r="BV94" s="4" t="str">
        <f t="shared" si="271"/>
        <v/>
      </c>
      <c r="BW94" s="4" t="str">
        <f t="shared" si="272"/>
        <v/>
      </c>
      <c r="BX94" s="4">
        <f t="shared" si="403"/>
        <v>0</v>
      </c>
      <c r="BY94" s="4">
        <f t="shared" si="274"/>
        <v>0</v>
      </c>
      <c r="BZ94" s="4" t="str">
        <f t="shared" si="275"/>
        <v/>
      </c>
      <c r="CA94" s="4" t="str">
        <f t="shared" si="276"/>
        <v/>
      </c>
      <c r="CB94" s="4" t="str">
        <f t="shared" si="277"/>
        <v/>
      </c>
      <c r="CC94" s="53">
        <f t="shared" si="278"/>
        <v>0</v>
      </c>
      <c r="CD94" s="55" t="str">
        <f t="shared" si="279"/>
        <v/>
      </c>
      <c r="CE94" s="4" t="str">
        <f t="shared" si="280"/>
        <v/>
      </c>
      <c r="CF94" s="4" t="str">
        <f t="shared" si="281"/>
        <v/>
      </c>
      <c r="CG94" s="4" t="str">
        <f t="shared" si="282"/>
        <v/>
      </c>
      <c r="CH94" s="4" t="str">
        <f t="shared" si="283"/>
        <v/>
      </c>
      <c r="CI94" s="4" t="str">
        <f t="shared" si="284"/>
        <v/>
      </c>
      <c r="CJ94" s="4" t="str">
        <f t="shared" si="285"/>
        <v/>
      </c>
      <c r="CK94" s="93" t="str">
        <f t="shared" si="286"/>
        <v/>
      </c>
      <c r="CL94" s="83" t="str">
        <f t="shared" si="287"/>
        <v/>
      </c>
      <c r="CM94" s="4" t="str">
        <f t="shared" si="288"/>
        <v/>
      </c>
      <c r="CN94" s="96" t="str">
        <f t="shared" si="289"/>
        <v/>
      </c>
      <c r="CO94" s="96" t="str">
        <f t="shared" si="398"/>
        <v/>
      </c>
      <c r="CP94" s="127" t="str">
        <f t="shared" si="290"/>
        <v/>
      </c>
      <c r="CQ94" s="127" t="str">
        <f t="shared" si="291"/>
        <v/>
      </c>
      <c r="CR94" s="136" t="str">
        <f t="shared" si="292"/>
        <v/>
      </c>
      <c r="CS94" s="136" t="str">
        <f t="shared" si="293"/>
        <v/>
      </c>
      <c r="CT94" s="135" t="str">
        <f t="shared" si="294"/>
        <v/>
      </c>
      <c r="CU94" s="139" t="str">
        <f t="shared" si="295"/>
        <v/>
      </c>
      <c r="CV94" s="96" t="str">
        <f t="shared" si="296"/>
        <v/>
      </c>
      <c r="CW94" s="141" t="str">
        <f t="shared" si="297"/>
        <v/>
      </c>
      <c r="CX94" s="108">
        <v>8.2200000000000006</v>
      </c>
      <c r="CY94" s="4">
        <v>7.95</v>
      </c>
      <c r="CZ94" s="4">
        <v>168</v>
      </c>
      <c r="DA94" s="4">
        <v>-1.4</v>
      </c>
      <c r="DB94" s="4">
        <v>0</v>
      </c>
      <c r="DC94" s="4">
        <v>0.48</v>
      </c>
      <c r="DD94" s="4">
        <v>2.5099999999999998</v>
      </c>
      <c r="DE94" s="4">
        <v>3.13</v>
      </c>
      <c r="DF94" s="4">
        <v>624</v>
      </c>
      <c r="DG94" s="4">
        <v>626</v>
      </c>
      <c r="DH94" s="4">
        <v>655</v>
      </c>
      <c r="DI94" s="4">
        <v>613</v>
      </c>
      <c r="DJ94" s="4">
        <v>626</v>
      </c>
      <c r="DK94" s="4">
        <v>662</v>
      </c>
      <c r="DL94" s="4">
        <v>609</v>
      </c>
      <c r="DM94" s="4">
        <v>0.14000000000000001</v>
      </c>
      <c r="DN94" s="4">
        <v>-3.37</v>
      </c>
      <c r="DO94" s="4">
        <v>8.11</v>
      </c>
      <c r="DP94" s="4">
        <v>7.99</v>
      </c>
      <c r="DQ94" s="4">
        <v>7.91</v>
      </c>
      <c r="DR94" s="4">
        <v>8.1</v>
      </c>
      <c r="DS94" s="4">
        <v>8.4600000000000009</v>
      </c>
      <c r="DT94" s="4">
        <v>8.67</v>
      </c>
      <c r="DU94" s="4">
        <v>0</v>
      </c>
      <c r="DV94" s="4">
        <v>0.9</v>
      </c>
      <c r="DW94" s="4">
        <v>7.18</v>
      </c>
      <c r="DX94" s="4">
        <v>7.24</v>
      </c>
      <c r="DY94" s="4">
        <v>7.14</v>
      </c>
      <c r="DZ94" s="4">
        <v>7.11</v>
      </c>
      <c r="EA94" s="4">
        <v>7.25</v>
      </c>
      <c r="EB94" s="4">
        <v>7.53</v>
      </c>
      <c r="EC94" s="4">
        <v>0</v>
      </c>
      <c r="ED94" s="89">
        <v>0.9</v>
      </c>
      <c r="EE94" s="110">
        <v>41</v>
      </c>
      <c r="EF94" s="110">
        <v>42.5</v>
      </c>
      <c r="EG94" s="110">
        <v>41.8</v>
      </c>
      <c r="EH94" s="110">
        <v>163.30000000000001</v>
      </c>
      <c r="EI94" s="110">
        <v>1.5</v>
      </c>
      <c r="EJ94" s="110">
        <v>-5.3</v>
      </c>
      <c r="EK94" s="110">
        <v>-5.5</v>
      </c>
      <c r="EL94" s="110">
        <v>-5.4</v>
      </c>
      <c r="EM94" s="110">
        <v>14.4</v>
      </c>
      <c r="EN94" s="110">
        <v>0.2</v>
      </c>
      <c r="EO94" s="110">
        <v>4.5999999999999996</v>
      </c>
      <c r="EP94" s="110">
        <v>13.1</v>
      </c>
      <c r="EQ94" s="110">
        <v>26.6</v>
      </c>
      <c r="ER94" s="110">
        <v>59.6</v>
      </c>
      <c r="ES94" s="114">
        <v>17</v>
      </c>
      <c r="IL94" s="83" t="str">
        <f t="shared" si="298"/>
        <v/>
      </c>
      <c r="IM94" s="4" t="str">
        <f t="shared" si="299"/>
        <v/>
      </c>
      <c r="IN94" s="4" t="str">
        <f t="shared" si="300"/>
        <v/>
      </c>
      <c r="IO94" s="4" t="str">
        <f t="shared" si="301"/>
        <v/>
      </c>
      <c r="IP94" s="4" t="str">
        <f t="shared" si="302"/>
        <v/>
      </c>
      <c r="IQ94" s="4" t="str">
        <f t="shared" si="303"/>
        <v/>
      </c>
      <c r="IR94" s="4" t="str">
        <f t="shared" si="304"/>
        <v/>
      </c>
      <c r="IS94" s="4" t="str">
        <f t="shared" si="305"/>
        <v/>
      </c>
      <c r="IT94" s="4" t="str">
        <f t="shared" si="306"/>
        <v/>
      </c>
      <c r="IU94" s="4" t="str">
        <f t="shared" si="307"/>
        <v/>
      </c>
      <c r="IV94" s="4" t="str">
        <f t="shared" si="308"/>
        <v/>
      </c>
      <c r="IW94" s="4" t="str">
        <f t="shared" si="309"/>
        <v/>
      </c>
      <c r="IX94" s="4" t="str">
        <f t="shared" si="310"/>
        <v/>
      </c>
      <c r="IY94" s="4" t="str">
        <f t="shared" si="311"/>
        <v/>
      </c>
      <c r="IZ94" s="4" t="str">
        <f t="shared" si="312"/>
        <v/>
      </c>
      <c r="JA94" s="4" t="str">
        <f t="shared" si="313"/>
        <v/>
      </c>
      <c r="JB94" s="4" t="str">
        <f t="shared" si="314"/>
        <v/>
      </c>
      <c r="JC94" s="4" t="str">
        <f t="shared" si="315"/>
        <v/>
      </c>
      <c r="JD94" s="4" t="str">
        <f t="shared" si="316"/>
        <v/>
      </c>
      <c r="JE94" s="4" t="str">
        <f t="shared" si="317"/>
        <v/>
      </c>
      <c r="JF94" s="4" t="str">
        <f t="shared" si="318"/>
        <v/>
      </c>
      <c r="JG94" s="4" t="str">
        <f t="shared" si="319"/>
        <v/>
      </c>
      <c r="JH94" s="4" t="str">
        <f t="shared" si="320"/>
        <v/>
      </c>
      <c r="JI94" s="4" t="str">
        <f t="shared" si="321"/>
        <v/>
      </c>
      <c r="JJ94" s="4" t="str">
        <f t="shared" si="322"/>
        <v/>
      </c>
      <c r="JK94" s="4" t="str">
        <f t="shared" si="323"/>
        <v/>
      </c>
      <c r="JL94" s="4" t="str">
        <f t="shared" si="324"/>
        <v/>
      </c>
      <c r="JM94" s="4" t="str">
        <f t="shared" si="325"/>
        <v/>
      </c>
      <c r="JN94" s="4" t="str">
        <f t="shared" si="326"/>
        <v/>
      </c>
      <c r="JO94" s="4" t="str">
        <f t="shared" si="327"/>
        <v/>
      </c>
      <c r="JP94" s="4" t="str">
        <f t="shared" si="328"/>
        <v/>
      </c>
      <c r="JQ94" s="117" t="str">
        <f t="shared" si="329"/>
        <v/>
      </c>
      <c r="JR94" s="110" t="str">
        <f t="shared" si="330"/>
        <v/>
      </c>
      <c r="JS94" s="110" t="str">
        <f t="shared" si="331"/>
        <v/>
      </c>
      <c r="JT94" s="110" t="str">
        <f t="shared" si="332"/>
        <v/>
      </c>
      <c r="JU94" s="110" t="str">
        <f t="shared" si="333"/>
        <v/>
      </c>
      <c r="JV94" s="110" t="str">
        <f t="shared" si="334"/>
        <v/>
      </c>
      <c r="JW94" s="110" t="str">
        <f t="shared" si="335"/>
        <v/>
      </c>
      <c r="JX94" s="110" t="str">
        <f t="shared" si="336"/>
        <v/>
      </c>
      <c r="JY94" s="110" t="str">
        <f t="shared" si="337"/>
        <v/>
      </c>
      <c r="JZ94" s="110" t="str">
        <f t="shared" si="338"/>
        <v/>
      </c>
      <c r="KA94" s="110" t="str">
        <f t="shared" si="339"/>
        <v/>
      </c>
      <c r="KB94" s="110" t="str">
        <f t="shared" si="340"/>
        <v/>
      </c>
      <c r="KC94" s="110" t="str">
        <f t="shared" si="341"/>
        <v/>
      </c>
      <c r="KD94" s="110" t="str">
        <f t="shared" si="342"/>
        <v/>
      </c>
      <c r="KE94" s="110" t="str">
        <f t="shared" si="343"/>
        <v/>
      </c>
      <c r="KF94" s="110" t="str">
        <f t="shared" si="344"/>
        <v/>
      </c>
      <c r="KG94" s="121" t="str">
        <f t="shared" si="345"/>
        <v/>
      </c>
      <c r="KH94" s="83" t="str">
        <f t="shared" si="346"/>
        <v/>
      </c>
      <c r="KI94" s="4" t="str">
        <f t="shared" si="347"/>
        <v/>
      </c>
      <c r="KJ94" s="4" t="str">
        <f t="shared" si="348"/>
        <v/>
      </c>
      <c r="KK94" s="4" t="str">
        <f t="shared" si="349"/>
        <v/>
      </c>
      <c r="KL94" s="4" t="str">
        <f t="shared" si="350"/>
        <v/>
      </c>
      <c r="KM94" s="4" t="str">
        <f t="shared" si="351"/>
        <v/>
      </c>
      <c r="KN94" s="4" t="str">
        <f t="shared" si="352"/>
        <v/>
      </c>
      <c r="KO94" s="4" t="str">
        <f t="shared" si="353"/>
        <v/>
      </c>
      <c r="KP94" s="4" t="str">
        <f t="shared" si="354"/>
        <v/>
      </c>
      <c r="KQ94" s="4" t="str">
        <f t="shared" si="355"/>
        <v/>
      </c>
      <c r="KR94" s="4" t="str">
        <f t="shared" si="356"/>
        <v/>
      </c>
      <c r="KS94" s="4" t="str">
        <f t="shared" si="357"/>
        <v/>
      </c>
      <c r="KT94" s="4" t="str">
        <f t="shared" si="358"/>
        <v/>
      </c>
      <c r="KU94" s="4" t="str">
        <f t="shared" si="359"/>
        <v/>
      </c>
      <c r="KV94" s="4" t="str">
        <f t="shared" si="360"/>
        <v/>
      </c>
      <c r="KW94" s="4" t="str">
        <f t="shared" si="361"/>
        <v/>
      </c>
      <c r="KX94" s="4" t="str">
        <f t="shared" si="362"/>
        <v/>
      </c>
      <c r="KY94" s="4" t="str">
        <f t="shared" si="363"/>
        <v/>
      </c>
      <c r="KZ94" s="4" t="str">
        <f t="shared" si="364"/>
        <v/>
      </c>
      <c r="LA94" s="4" t="str">
        <f t="shared" si="365"/>
        <v/>
      </c>
      <c r="LB94" s="4" t="str">
        <f t="shared" si="366"/>
        <v/>
      </c>
      <c r="LC94" s="4" t="str">
        <f t="shared" si="367"/>
        <v/>
      </c>
      <c r="LD94" s="4" t="str">
        <f t="shared" si="368"/>
        <v/>
      </c>
      <c r="LE94" s="4" t="str">
        <f t="shared" si="369"/>
        <v/>
      </c>
      <c r="LF94" s="4" t="str">
        <f t="shared" si="370"/>
        <v/>
      </c>
      <c r="LG94" s="4" t="str">
        <f t="shared" si="371"/>
        <v/>
      </c>
      <c r="LH94" s="4" t="str">
        <f t="shared" si="372"/>
        <v/>
      </c>
      <c r="LI94" s="4" t="str">
        <f t="shared" si="373"/>
        <v/>
      </c>
      <c r="LJ94" s="4" t="str">
        <f t="shared" si="374"/>
        <v/>
      </c>
      <c r="LK94" s="4" t="str">
        <f t="shared" si="375"/>
        <v/>
      </c>
      <c r="LL94" s="4" t="str">
        <f t="shared" si="376"/>
        <v/>
      </c>
      <c r="LM94" s="4" t="str">
        <f t="shared" si="377"/>
        <v/>
      </c>
      <c r="LN94" s="4" t="str">
        <f t="shared" si="378"/>
        <v/>
      </c>
      <c r="LO94" s="4" t="str">
        <f t="shared" si="379"/>
        <v/>
      </c>
      <c r="LP94" s="4" t="str">
        <f t="shared" si="380"/>
        <v/>
      </c>
      <c r="LQ94" s="4" t="str">
        <f t="shared" si="381"/>
        <v/>
      </c>
      <c r="LR94" s="4" t="str">
        <f t="shared" si="382"/>
        <v/>
      </c>
      <c r="LS94" s="4" t="str">
        <f t="shared" si="383"/>
        <v/>
      </c>
      <c r="LT94" s="4" t="str">
        <f t="shared" si="384"/>
        <v/>
      </c>
      <c r="LU94" s="4" t="str">
        <f t="shared" si="385"/>
        <v/>
      </c>
      <c r="LV94" s="4" t="str">
        <f t="shared" si="386"/>
        <v/>
      </c>
      <c r="LW94" s="4" t="str">
        <f t="shared" si="387"/>
        <v/>
      </c>
      <c r="LX94" s="4" t="str">
        <f t="shared" si="388"/>
        <v/>
      </c>
      <c r="LY94" s="4" t="str">
        <f t="shared" si="389"/>
        <v/>
      </c>
      <c r="LZ94" s="4" t="str">
        <f t="shared" si="390"/>
        <v/>
      </c>
      <c r="MA94" s="4" t="str">
        <f t="shared" si="391"/>
        <v/>
      </c>
      <c r="MB94" s="4" t="str">
        <f t="shared" si="392"/>
        <v/>
      </c>
      <c r="MC94" s="4" t="str">
        <f t="shared" si="393"/>
        <v/>
      </c>
      <c r="MD94" s="4" t="str">
        <f t="shared" si="394"/>
        <v/>
      </c>
      <c r="ME94" s="4" t="str">
        <f t="shared" si="395"/>
        <v/>
      </c>
      <c r="MF94" s="4" t="str">
        <f t="shared" si="396"/>
        <v/>
      </c>
      <c r="MG94" s="4">
        <f t="shared" si="397"/>
        <v>0</v>
      </c>
    </row>
    <row r="95" spans="1:345" ht="26.25" customHeight="1" x14ac:dyDescent="0.2">
      <c r="A95" s="35">
        <v>41206</v>
      </c>
      <c r="B95" s="36" t="s">
        <v>159</v>
      </c>
      <c r="C95" s="36" t="s">
        <v>216</v>
      </c>
      <c r="D95" s="31" t="s">
        <v>111</v>
      </c>
      <c r="E95" s="4">
        <v>61</v>
      </c>
      <c r="F95" s="3">
        <v>18808</v>
      </c>
      <c r="G95" s="4" t="s">
        <v>87</v>
      </c>
      <c r="H95" s="4" t="s">
        <v>108</v>
      </c>
      <c r="I95" s="4">
        <v>1835472</v>
      </c>
      <c r="K95" s="235"/>
      <c r="L95" s="236"/>
      <c r="M95" s="236"/>
      <c r="N95" s="236"/>
      <c r="O95" s="235"/>
      <c r="P95" s="236"/>
      <c r="Q95" s="236"/>
      <c r="R95" s="4">
        <v>-0.5</v>
      </c>
      <c r="S95" s="4">
        <v>-0.45</v>
      </c>
      <c r="T95" s="39" t="s">
        <v>249</v>
      </c>
      <c r="U95" s="70">
        <v>10</v>
      </c>
      <c r="V95" s="124">
        <v>41134</v>
      </c>
      <c r="W95" s="67">
        <v>-9.5</v>
      </c>
      <c r="X95" s="67">
        <v>0.75</v>
      </c>
      <c r="Y95" s="4">
        <v>15</v>
      </c>
      <c r="Z95" s="4">
        <v>80</v>
      </c>
      <c r="AA95" s="4">
        <v>13</v>
      </c>
      <c r="AB95" s="4">
        <v>741</v>
      </c>
      <c r="AC95" s="4">
        <v>27.6</v>
      </c>
      <c r="AD95" s="4">
        <v>11.8</v>
      </c>
      <c r="AE95" s="4">
        <v>4.38</v>
      </c>
      <c r="AF95" s="4">
        <v>4.1399999999999997</v>
      </c>
      <c r="AG95" s="4">
        <v>42.99</v>
      </c>
      <c r="AH95" s="4">
        <v>176</v>
      </c>
      <c r="AI95" s="4">
        <v>43.44</v>
      </c>
      <c r="AJ95" s="4">
        <v>86</v>
      </c>
      <c r="AK95" s="4">
        <v>0</v>
      </c>
      <c r="AL95" s="4" t="b">
        <f t="shared" si="268"/>
        <v>0</v>
      </c>
      <c r="AN95" s="4" t="s">
        <v>78</v>
      </c>
      <c r="BC95" s="4" t="str">
        <f t="shared" si="404"/>
        <v/>
      </c>
      <c r="BD95" s="4" t="str">
        <f t="shared" si="405"/>
        <v/>
      </c>
      <c r="BE95" s="4" t="str">
        <f t="shared" si="270"/>
        <v/>
      </c>
      <c r="BF95" s="51" t="s">
        <v>501</v>
      </c>
      <c r="BG95" s="59"/>
      <c r="BU95" s="4" t="str">
        <f>IF(ISNUMBER(BH95),BH95+0.5*BI95,"")</f>
        <v/>
      </c>
      <c r="BV95" s="4" t="str">
        <f t="shared" si="271"/>
        <v/>
      </c>
      <c r="BW95" s="4" t="str">
        <f t="shared" si="272"/>
        <v/>
      </c>
      <c r="BX95" s="4">
        <f t="shared" si="403"/>
        <v>0</v>
      </c>
      <c r="BY95" s="4">
        <f t="shared" si="274"/>
        <v>0</v>
      </c>
      <c r="BZ95" s="4" t="str">
        <f t="shared" si="275"/>
        <v/>
      </c>
      <c r="CA95" s="4" t="str">
        <f t="shared" si="276"/>
        <v/>
      </c>
      <c r="CB95" s="4" t="str">
        <f t="shared" si="277"/>
        <v/>
      </c>
      <c r="CC95" s="53">
        <f t="shared" si="278"/>
        <v>0</v>
      </c>
      <c r="CD95" s="55" t="str">
        <f t="shared" si="279"/>
        <v/>
      </c>
      <c r="CE95" s="4" t="str">
        <f t="shared" si="280"/>
        <v/>
      </c>
      <c r="CF95" s="4" t="str">
        <f t="shared" si="281"/>
        <v/>
      </c>
      <c r="CG95" s="4" t="str">
        <f t="shared" si="282"/>
        <v/>
      </c>
      <c r="CH95" s="4" t="str">
        <f t="shared" si="283"/>
        <v/>
      </c>
      <c r="CI95" s="4" t="str">
        <f t="shared" si="284"/>
        <v/>
      </c>
      <c r="CJ95" s="4" t="str">
        <f t="shared" si="285"/>
        <v/>
      </c>
      <c r="CK95" s="93" t="str">
        <f t="shared" si="286"/>
        <v/>
      </c>
      <c r="CL95" s="83" t="str">
        <f t="shared" si="287"/>
        <v/>
      </c>
      <c r="CM95" s="4" t="str">
        <f t="shared" si="288"/>
        <v/>
      </c>
      <c r="CN95" s="96" t="str">
        <f t="shared" si="289"/>
        <v/>
      </c>
      <c r="CO95" s="96" t="str">
        <f t="shared" si="398"/>
        <v/>
      </c>
      <c r="CP95" s="127" t="str">
        <f t="shared" si="290"/>
        <v/>
      </c>
      <c r="CQ95" s="127" t="str">
        <f t="shared" si="291"/>
        <v/>
      </c>
      <c r="CR95" s="136" t="str">
        <f t="shared" si="292"/>
        <v/>
      </c>
      <c r="CS95" s="136" t="str">
        <f t="shared" si="293"/>
        <v/>
      </c>
      <c r="CT95" s="135" t="str">
        <f t="shared" si="294"/>
        <v/>
      </c>
      <c r="CU95" s="139" t="str">
        <f t="shared" si="295"/>
        <v/>
      </c>
      <c r="CV95" s="96" t="str">
        <f t="shared" si="296"/>
        <v/>
      </c>
      <c r="CW95" s="141" t="str">
        <f t="shared" si="297"/>
        <v/>
      </c>
      <c r="IL95" s="83" t="str">
        <f t="shared" si="298"/>
        <v/>
      </c>
      <c r="IM95" s="4" t="str">
        <f t="shared" si="299"/>
        <v/>
      </c>
      <c r="IN95" s="4" t="str">
        <f t="shared" si="300"/>
        <v/>
      </c>
      <c r="IO95" s="4" t="str">
        <f t="shared" si="301"/>
        <v/>
      </c>
      <c r="IP95" s="4" t="str">
        <f t="shared" si="302"/>
        <v/>
      </c>
      <c r="IQ95" s="4" t="str">
        <f t="shared" si="303"/>
        <v/>
      </c>
      <c r="IR95" s="4" t="str">
        <f t="shared" si="304"/>
        <v/>
      </c>
      <c r="IS95" s="4" t="str">
        <f t="shared" si="305"/>
        <v/>
      </c>
      <c r="IT95" s="4" t="str">
        <f t="shared" si="306"/>
        <v/>
      </c>
      <c r="IU95" s="4" t="str">
        <f t="shared" si="307"/>
        <v/>
      </c>
      <c r="IV95" s="4" t="str">
        <f t="shared" si="308"/>
        <v/>
      </c>
      <c r="IW95" s="4" t="str">
        <f t="shared" si="309"/>
        <v/>
      </c>
      <c r="IX95" s="4" t="str">
        <f t="shared" si="310"/>
        <v/>
      </c>
      <c r="IY95" s="4" t="str">
        <f t="shared" si="311"/>
        <v/>
      </c>
      <c r="IZ95" s="4" t="str">
        <f t="shared" si="312"/>
        <v/>
      </c>
      <c r="JA95" s="4" t="str">
        <f t="shared" si="313"/>
        <v/>
      </c>
      <c r="JB95" s="4" t="str">
        <f t="shared" si="314"/>
        <v/>
      </c>
      <c r="JC95" s="4" t="str">
        <f t="shared" si="315"/>
        <v/>
      </c>
      <c r="JD95" s="4" t="str">
        <f t="shared" si="316"/>
        <v/>
      </c>
      <c r="JE95" s="4" t="str">
        <f t="shared" si="317"/>
        <v/>
      </c>
      <c r="JF95" s="4" t="str">
        <f t="shared" si="318"/>
        <v/>
      </c>
      <c r="JG95" s="4" t="str">
        <f t="shared" si="319"/>
        <v/>
      </c>
      <c r="JH95" s="4" t="str">
        <f t="shared" si="320"/>
        <v/>
      </c>
      <c r="JI95" s="4" t="str">
        <f t="shared" si="321"/>
        <v/>
      </c>
      <c r="JJ95" s="4" t="str">
        <f t="shared" si="322"/>
        <v/>
      </c>
      <c r="JK95" s="4" t="str">
        <f t="shared" si="323"/>
        <v/>
      </c>
      <c r="JL95" s="4" t="str">
        <f t="shared" si="324"/>
        <v/>
      </c>
      <c r="JM95" s="4" t="str">
        <f t="shared" si="325"/>
        <v/>
      </c>
      <c r="JN95" s="4" t="str">
        <f t="shared" si="326"/>
        <v/>
      </c>
      <c r="JO95" s="4" t="str">
        <f t="shared" si="327"/>
        <v/>
      </c>
      <c r="JP95" s="4" t="str">
        <f t="shared" si="328"/>
        <v/>
      </c>
      <c r="JQ95" s="117" t="str">
        <f t="shared" si="329"/>
        <v/>
      </c>
      <c r="JR95" s="110" t="str">
        <f t="shared" si="330"/>
        <v/>
      </c>
      <c r="JS95" s="110" t="str">
        <f t="shared" si="331"/>
        <v/>
      </c>
      <c r="JT95" s="110" t="str">
        <f t="shared" si="332"/>
        <v/>
      </c>
      <c r="JU95" s="110" t="str">
        <f t="shared" si="333"/>
        <v/>
      </c>
      <c r="JV95" s="110" t="str">
        <f t="shared" si="334"/>
        <v/>
      </c>
      <c r="JW95" s="110" t="str">
        <f t="shared" si="335"/>
        <v/>
      </c>
      <c r="JX95" s="110" t="str">
        <f t="shared" si="336"/>
        <v/>
      </c>
      <c r="JY95" s="110" t="str">
        <f t="shared" si="337"/>
        <v/>
      </c>
      <c r="JZ95" s="110" t="str">
        <f t="shared" si="338"/>
        <v/>
      </c>
      <c r="KA95" s="110" t="str">
        <f t="shared" si="339"/>
        <v/>
      </c>
      <c r="KB95" s="110" t="str">
        <f t="shared" si="340"/>
        <v/>
      </c>
      <c r="KC95" s="110" t="str">
        <f t="shared" si="341"/>
        <v/>
      </c>
      <c r="KD95" s="110" t="str">
        <f t="shared" si="342"/>
        <v/>
      </c>
      <c r="KE95" s="110" t="str">
        <f t="shared" si="343"/>
        <v/>
      </c>
      <c r="KF95" s="110" t="str">
        <f t="shared" si="344"/>
        <v/>
      </c>
      <c r="KG95" s="121" t="str">
        <f t="shared" si="345"/>
        <v/>
      </c>
      <c r="KH95" s="83" t="str">
        <f t="shared" si="346"/>
        <v/>
      </c>
      <c r="KI95" s="4" t="str">
        <f t="shared" si="347"/>
        <v/>
      </c>
      <c r="KJ95" s="4" t="str">
        <f t="shared" si="348"/>
        <v/>
      </c>
      <c r="KK95" s="4" t="str">
        <f t="shared" si="349"/>
        <v/>
      </c>
      <c r="KL95" s="4" t="str">
        <f t="shared" si="350"/>
        <v/>
      </c>
      <c r="KM95" s="4" t="str">
        <f t="shared" si="351"/>
        <v/>
      </c>
      <c r="KN95" s="4" t="str">
        <f t="shared" si="352"/>
        <v/>
      </c>
      <c r="KO95" s="4" t="str">
        <f t="shared" si="353"/>
        <v/>
      </c>
      <c r="KP95" s="4" t="str">
        <f t="shared" si="354"/>
        <v/>
      </c>
      <c r="KQ95" s="4" t="str">
        <f t="shared" si="355"/>
        <v/>
      </c>
      <c r="KR95" s="4" t="str">
        <f t="shared" si="356"/>
        <v/>
      </c>
      <c r="KS95" s="4" t="str">
        <f t="shared" si="357"/>
        <v/>
      </c>
      <c r="KT95" s="4" t="str">
        <f t="shared" si="358"/>
        <v/>
      </c>
      <c r="KU95" s="4" t="str">
        <f t="shared" si="359"/>
        <v/>
      </c>
      <c r="KV95" s="4" t="str">
        <f t="shared" si="360"/>
        <v/>
      </c>
      <c r="KW95" s="4" t="str">
        <f t="shared" si="361"/>
        <v/>
      </c>
      <c r="KX95" s="4" t="str">
        <f t="shared" si="362"/>
        <v/>
      </c>
      <c r="KY95" s="4" t="str">
        <f t="shared" si="363"/>
        <v/>
      </c>
      <c r="KZ95" s="4" t="str">
        <f t="shared" si="364"/>
        <v/>
      </c>
      <c r="LA95" s="4" t="str">
        <f t="shared" si="365"/>
        <v/>
      </c>
      <c r="LB95" s="4" t="str">
        <f t="shared" si="366"/>
        <v/>
      </c>
      <c r="LC95" s="4" t="str">
        <f t="shared" si="367"/>
        <v/>
      </c>
      <c r="LD95" s="4" t="str">
        <f t="shared" si="368"/>
        <v/>
      </c>
      <c r="LE95" s="4" t="str">
        <f t="shared" si="369"/>
        <v/>
      </c>
      <c r="LF95" s="4" t="str">
        <f t="shared" si="370"/>
        <v/>
      </c>
      <c r="LG95" s="4" t="str">
        <f t="shared" si="371"/>
        <v/>
      </c>
      <c r="LH95" s="4" t="str">
        <f t="shared" si="372"/>
        <v/>
      </c>
      <c r="LI95" s="4" t="str">
        <f t="shared" si="373"/>
        <v/>
      </c>
      <c r="LJ95" s="4" t="str">
        <f t="shared" si="374"/>
        <v/>
      </c>
      <c r="LK95" s="4" t="str">
        <f t="shared" si="375"/>
        <v/>
      </c>
      <c r="LL95" s="4" t="str">
        <f t="shared" si="376"/>
        <v/>
      </c>
      <c r="LM95" s="4" t="str">
        <f t="shared" si="377"/>
        <v/>
      </c>
      <c r="LN95" s="4" t="str">
        <f t="shared" si="378"/>
        <v/>
      </c>
      <c r="LO95" s="4" t="str">
        <f t="shared" si="379"/>
        <v/>
      </c>
      <c r="LP95" s="4" t="str">
        <f t="shared" si="380"/>
        <v/>
      </c>
      <c r="LQ95" s="4" t="str">
        <f t="shared" si="381"/>
        <v/>
      </c>
      <c r="LR95" s="4" t="str">
        <f t="shared" si="382"/>
        <v/>
      </c>
      <c r="LS95" s="4" t="str">
        <f t="shared" si="383"/>
        <v/>
      </c>
      <c r="LT95" s="4" t="str">
        <f t="shared" si="384"/>
        <v/>
      </c>
      <c r="LU95" s="4" t="str">
        <f t="shared" si="385"/>
        <v/>
      </c>
      <c r="LV95" s="4" t="str">
        <f t="shared" si="386"/>
        <v/>
      </c>
      <c r="LW95" s="4" t="str">
        <f t="shared" si="387"/>
        <v/>
      </c>
      <c r="LX95" s="4" t="str">
        <f t="shared" si="388"/>
        <v/>
      </c>
      <c r="LY95" s="4" t="str">
        <f t="shared" si="389"/>
        <v/>
      </c>
      <c r="LZ95" s="4" t="str">
        <f t="shared" si="390"/>
        <v/>
      </c>
      <c r="MA95" s="4" t="str">
        <f t="shared" si="391"/>
        <v/>
      </c>
      <c r="MB95" s="4" t="str">
        <f t="shared" si="392"/>
        <v/>
      </c>
      <c r="MC95" s="4" t="str">
        <f t="shared" si="393"/>
        <v/>
      </c>
      <c r="MD95" s="4" t="str">
        <f t="shared" si="394"/>
        <v/>
      </c>
      <c r="ME95" s="4" t="str">
        <f t="shared" si="395"/>
        <v/>
      </c>
      <c r="MF95" s="4" t="str">
        <f t="shared" si="396"/>
        <v/>
      </c>
      <c r="MG95" s="4">
        <f t="shared" si="397"/>
        <v>0</v>
      </c>
    </row>
    <row r="96" spans="1:345" ht="26.25" customHeight="1" x14ac:dyDescent="0.2">
      <c r="A96" s="35">
        <v>41150</v>
      </c>
      <c r="B96" s="36" t="s">
        <v>191</v>
      </c>
      <c r="C96" s="36" t="s">
        <v>194</v>
      </c>
      <c r="D96" s="31" t="s">
        <v>110</v>
      </c>
      <c r="E96" s="4">
        <v>83</v>
      </c>
      <c r="F96" s="3">
        <v>10626</v>
      </c>
      <c r="G96" s="4" t="s">
        <v>87</v>
      </c>
      <c r="H96" s="4" t="s">
        <v>108</v>
      </c>
      <c r="I96" s="4">
        <v>1835477</v>
      </c>
      <c r="K96" s="235"/>
      <c r="L96" s="236"/>
      <c r="M96" s="236"/>
      <c r="N96" s="236"/>
      <c r="O96" s="235"/>
      <c r="P96" s="236"/>
      <c r="R96" s="4">
        <v>-0.5</v>
      </c>
      <c r="S96" s="4">
        <v>-0.56000000000000005</v>
      </c>
      <c r="T96" s="4" t="s">
        <v>249</v>
      </c>
      <c r="U96" s="67">
        <v>23.75</v>
      </c>
      <c r="V96" s="124">
        <v>41130</v>
      </c>
      <c r="W96" s="67">
        <v>0</v>
      </c>
      <c r="X96" s="67">
        <v>0.75</v>
      </c>
      <c r="Y96" s="4">
        <v>178</v>
      </c>
      <c r="Z96" s="4">
        <v>60</v>
      </c>
      <c r="AA96" s="4">
        <v>18</v>
      </c>
      <c r="AB96" s="4">
        <v>569</v>
      </c>
      <c r="AC96" s="4">
        <v>22.94</v>
      </c>
      <c r="AD96" s="4">
        <v>11.7</v>
      </c>
      <c r="AE96" s="4">
        <v>5.21</v>
      </c>
      <c r="AF96" s="4">
        <v>2.75</v>
      </c>
      <c r="AG96" s="4">
        <v>45.06</v>
      </c>
      <c r="AH96" s="4">
        <v>75</v>
      </c>
      <c r="AI96" s="4">
        <v>45.18</v>
      </c>
      <c r="AJ96" s="4">
        <v>165</v>
      </c>
      <c r="AK96" s="4">
        <v>0</v>
      </c>
      <c r="AL96" s="4" t="b">
        <f t="shared" si="268"/>
        <v>0</v>
      </c>
      <c r="AN96" s="37" t="s">
        <v>78</v>
      </c>
      <c r="BC96" s="4" t="str">
        <f t="shared" si="404"/>
        <v/>
      </c>
      <c r="BD96" s="4" t="str">
        <f t="shared" si="405"/>
        <v/>
      </c>
      <c r="BE96" s="4" t="str">
        <f t="shared" si="270"/>
        <v/>
      </c>
      <c r="BF96" s="51" t="s">
        <v>501</v>
      </c>
      <c r="BG96" s="59"/>
      <c r="BU96" s="4" t="str">
        <f>IF(ISNUMBER(BH96),BH96+0.5*BI96,"")</f>
        <v/>
      </c>
      <c r="BV96" s="4" t="str">
        <f t="shared" si="271"/>
        <v/>
      </c>
      <c r="BW96" s="4" t="str">
        <f t="shared" si="272"/>
        <v/>
      </c>
      <c r="BX96" s="4">
        <f t="shared" si="403"/>
        <v>0</v>
      </c>
      <c r="BY96" s="4">
        <f t="shared" si="274"/>
        <v>0</v>
      </c>
      <c r="BZ96" s="4" t="str">
        <f t="shared" si="275"/>
        <v/>
      </c>
      <c r="CA96" s="4" t="str">
        <f t="shared" si="276"/>
        <v/>
      </c>
      <c r="CB96" s="4" t="str">
        <f t="shared" si="277"/>
        <v/>
      </c>
      <c r="CC96" s="53">
        <f t="shared" si="278"/>
        <v>0</v>
      </c>
      <c r="CD96" s="55" t="str">
        <f t="shared" si="279"/>
        <v/>
      </c>
      <c r="CE96" s="4" t="str">
        <f t="shared" si="280"/>
        <v/>
      </c>
      <c r="CF96" s="4" t="str">
        <f t="shared" si="281"/>
        <v/>
      </c>
      <c r="CG96" s="4" t="str">
        <f t="shared" si="282"/>
        <v/>
      </c>
      <c r="CH96" s="4" t="str">
        <f t="shared" si="283"/>
        <v/>
      </c>
      <c r="CI96" s="4" t="str">
        <f t="shared" si="284"/>
        <v/>
      </c>
      <c r="CJ96" s="4" t="str">
        <f t="shared" si="285"/>
        <v/>
      </c>
      <c r="CK96" s="93" t="str">
        <f t="shared" si="286"/>
        <v/>
      </c>
      <c r="CL96" s="83" t="str">
        <f t="shared" si="287"/>
        <v/>
      </c>
      <c r="CM96" s="4" t="str">
        <f t="shared" si="288"/>
        <v/>
      </c>
      <c r="CN96" s="96" t="str">
        <f t="shared" si="289"/>
        <v/>
      </c>
      <c r="CO96" s="96" t="str">
        <f t="shared" si="398"/>
        <v/>
      </c>
      <c r="CP96" s="127" t="str">
        <f t="shared" si="290"/>
        <v/>
      </c>
      <c r="CQ96" s="127" t="str">
        <f t="shared" si="291"/>
        <v/>
      </c>
      <c r="CR96" s="136" t="str">
        <f t="shared" si="292"/>
        <v/>
      </c>
      <c r="CS96" s="136" t="str">
        <f t="shared" si="293"/>
        <v/>
      </c>
      <c r="CT96" s="135" t="str">
        <f t="shared" si="294"/>
        <v/>
      </c>
      <c r="CU96" s="139" t="str">
        <f t="shared" si="295"/>
        <v/>
      </c>
      <c r="CV96" s="96" t="str">
        <f t="shared" si="296"/>
        <v/>
      </c>
      <c r="CW96" s="141" t="str">
        <f t="shared" si="297"/>
        <v/>
      </c>
      <c r="IL96" s="83" t="str">
        <f t="shared" si="298"/>
        <v/>
      </c>
      <c r="IM96" s="4" t="str">
        <f t="shared" si="299"/>
        <v/>
      </c>
      <c r="IN96" s="4" t="str">
        <f t="shared" si="300"/>
        <v/>
      </c>
      <c r="IO96" s="4" t="str">
        <f t="shared" si="301"/>
        <v/>
      </c>
      <c r="IP96" s="4" t="str">
        <f t="shared" si="302"/>
        <v/>
      </c>
      <c r="IQ96" s="4" t="str">
        <f t="shared" si="303"/>
        <v/>
      </c>
      <c r="IR96" s="4" t="str">
        <f t="shared" si="304"/>
        <v/>
      </c>
      <c r="IS96" s="4" t="str">
        <f t="shared" si="305"/>
        <v/>
      </c>
      <c r="IT96" s="4" t="str">
        <f t="shared" si="306"/>
        <v/>
      </c>
      <c r="IU96" s="4" t="str">
        <f t="shared" si="307"/>
        <v/>
      </c>
      <c r="IV96" s="4" t="str">
        <f t="shared" si="308"/>
        <v/>
      </c>
      <c r="IW96" s="4" t="str">
        <f t="shared" si="309"/>
        <v/>
      </c>
      <c r="IX96" s="4" t="str">
        <f t="shared" si="310"/>
        <v/>
      </c>
      <c r="IY96" s="4" t="str">
        <f t="shared" si="311"/>
        <v/>
      </c>
      <c r="IZ96" s="4" t="str">
        <f t="shared" si="312"/>
        <v/>
      </c>
      <c r="JA96" s="4" t="str">
        <f t="shared" si="313"/>
        <v/>
      </c>
      <c r="JB96" s="4" t="str">
        <f t="shared" si="314"/>
        <v/>
      </c>
      <c r="JC96" s="4" t="str">
        <f t="shared" si="315"/>
        <v/>
      </c>
      <c r="JD96" s="4" t="str">
        <f t="shared" si="316"/>
        <v/>
      </c>
      <c r="JE96" s="4" t="str">
        <f t="shared" si="317"/>
        <v/>
      </c>
      <c r="JF96" s="4" t="str">
        <f t="shared" si="318"/>
        <v/>
      </c>
      <c r="JG96" s="4" t="str">
        <f t="shared" si="319"/>
        <v/>
      </c>
      <c r="JH96" s="4" t="str">
        <f t="shared" si="320"/>
        <v/>
      </c>
      <c r="JI96" s="4" t="str">
        <f t="shared" si="321"/>
        <v/>
      </c>
      <c r="JJ96" s="4" t="str">
        <f t="shared" si="322"/>
        <v/>
      </c>
      <c r="JK96" s="4" t="str">
        <f t="shared" si="323"/>
        <v/>
      </c>
      <c r="JL96" s="4" t="str">
        <f t="shared" si="324"/>
        <v/>
      </c>
      <c r="JM96" s="4" t="str">
        <f t="shared" si="325"/>
        <v/>
      </c>
      <c r="JN96" s="4" t="str">
        <f t="shared" si="326"/>
        <v/>
      </c>
      <c r="JO96" s="4" t="str">
        <f t="shared" si="327"/>
        <v/>
      </c>
      <c r="JP96" s="4" t="str">
        <f t="shared" si="328"/>
        <v/>
      </c>
      <c r="JQ96" s="117" t="str">
        <f t="shared" si="329"/>
        <v/>
      </c>
      <c r="JR96" s="110" t="str">
        <f t="shared" si="330"/>
        <v/>
      </c>
      <c r="JS96" s="110" t="str">
        <f t="shared" si="331"/>
        <v/>
      </c>
      <c r="JT96" s="110" t="str">
        <f t="shared" si="332"/>
        <v/>
      </c>
      <c r="JU96" s="110" t="str">
        <f t="shared" si="333"/>
        <v/>
      </c>
      <c r="JV96" s="110" t="str">
        <f t="shared" si="334"/>
        <v/>
      </c>
      <c r="JW96" s="110" t="str">
        <f t="shared" si="335"/>
        <v/>
      </c>
      <c r="JX96" s="110" t="str">
        <f t="shared" si="336"/>
        <v/>
      </c>
      <c r="JY96" s="110" t="str">
        <f t="shared" si="337"/>
        <v/>
      </c>
      <c r="JZ96" s="110" t="str">
        <f t="shared" si="338"/>
        <v/>
      </c>
      <c r="KA96" s="110" t="str">
        <f t="shared" si="339"/>
        <v/>
      </c>
      <c r="KB96" s="110" t="str">
        <f t="shared" si="340"/>
        <v/>
      </c>
      <c r="KC96" s="110" t="str">
        <f t="shared" si="341"/>
        <v/>
      </c>
      <c r="KD96" s="110" t="str">
        <f t="shared" si="342"/>
        <v/>
      </c>
      <c r="KE96" s="110" t="str">
        <f t="shared" si="343"/>
        <v/>
      </c>
      <c r="KF96" s="110" t="str">
        <f t="shared" si="344"/>
        <v/>
      </c>
      <c r="KG96" s="121" t="str">
        <f t="shared" si="345"/>
        <v/>
      </c>
      <c r="KH96" s="83" t="str">
        <f t="shared" si="346"/>
        <v/>
      </c>
      <c r="KI96" s="4" t="str">
        <f t="shared" si="347"/>
        <v/>
      </c>
      <c r="KJ96" s="4" t="str">
        <f t="shared" si="348"/>
        <v/>
      </c>
      <c r="KK96" s="4" t="str">
        <f t="shared" si="349"/>
        <v/>
      </c>
      <c r="KL96" s="4" t="str">
        <f t="shared" si="350"/>
        <v/>
      </c>
      <c r="KM96" s="4" t="str">
        <f t="shared" si="351"/>
        <v/>
      </c>
      <c r="KN96" s="4" t="str">
        <f t="shared" si="352"/>
        <v/>
      </c>
      <c r="KO96" s="4" t="str">
        <f t="shared" si="353"/>
        <v/>
      </c>
      <c r="KP96" s="4" t="str">
        <f t="shared" si="354"/>
        <v/>
      </c>
      <c r="KQ96" s="4" t="str">
        <f t="shared" si="355"/>
        <v/>
      </c>
      <c r="KR96" s="4" t="str">
        <f t="shared" si="356"/>
        <v/>
      </c>
      <c r="KS96" s="4" t="str">
        <f t="shared" si="357"/>
        <v/>
      </c>
      <c r="KT96" s="4" t="str">
        <f t="shared" si="358"/>
        <v/>
      </c>
      <c r="KU96" s="4" t="str">
        <f t="shared" si="359"/>
        <v/>
      </c>
      <c r="KV96" s="4" t="str">
        <f t="shared" si="360"/>
        <v/>
      </c>
      <c r="KW96" s="4" t="str">
        <f t="shared" si="361"/>
        <v/>
      </c>
      <c r="KX96" s="4" t="str">
        <f t="shared" si="362"/>
        <v/>
      </c>
      <c r="KY96" s="4" t="str">
        <f t="shared" si="363"/>
        <v/>
      </c>
      <c r="KZ96" s="4" t="str">
        <f t="shared" si="364"/>
        <v/>
      </c>
      <c r="LA96" s="4" t="str">
        <f t="shared" si="365"/>
        <v/>
      </c>
      <c r="LB96" s="4" t="str">
        <f t="shared" si="366"/>
        <v/>
      </c>
      <c r="LC96" s="4" t="str">
        <f t="shared" si="367"/>
        <v/>
      </c>
      <c r="LD96" s="4" t="str">
        <f t="shared" si="368"/>
        <v/>
      </c>
      <c r="LE96" s="4" t="str">
        <f t="shared" si="369"/>
        <v/>
      </c>
      <c r="LF96" s="4" t="str">
        <f t="shared" si="370"/>
        <v/>
      </c>
      <c r="LG96" s="4" t="str">
        <f t="shared" si="371"/>
        <v/>
      </c>
      <c r="LH96" s="4" t="str">
        <f t="shared" si="372"/>
        <v/>
      </c>
      <c r="LI96" s="4" t="str">
        <f t="shared" si="373"/>
        <v/>
      </c>
      <c r="LJ96" s="4" t="str">
        <f t="shared" si="374"/>
        <v/>
      </c>
      <c r="LK96" s="4" t="str">
        <f t="shared" si="375"/>
        <v/>
      </c>
      <c r="LL96" s="4" t="str">
        <f t="shared" si="376"/>
        <v/>
      </c>
      <c r="LM96" s="4" t="str">
        <f t="shared" si="377"/>
        <v/>
      </c>
      <c r="LN96" s="4" t="str">
        <f t="shared" si="378"/>
        <v/>
      </c>
      <c r="LO96" s="4" t="str">
        <f t="shared" si="379"/>
        <v/>
      </c>
      <c r="LP96" s="4" t="str">
        <f t="shared" si="380"/>
        <v/>
      </c>
      <c r="LQ96" s="4" t="str">
        <f t="shared" si="381"/>
        <v/>
      </c>
      <c r="LR96" s="4" t="str">
        <f t="shared" si="382"/>
        <v/>
      </c>
      <c r="LS96" s="4" t="str">
        <f t="shared" si="383"/>
        <v/>
      </c>
      <c r="LT96" s="4" t="str">
        <f t="shared" si="384"/>
        <v/>
      </c>
      <c r="LU96" s="4" t="str">
        <f t="shared" si="385"/>
        <v/>
      </c>
      <c r="LV96" s="4" t="str">
        <f t="shared" si="386"/>
        <v/>
      </c>
      <c r="LW96" s="4" t="str">
        <f t="shared" si="387"/>
        <v/>
      </c>
      <c r="LX96" s="4" t="str">
        <f t="shared" si="388"/>
        <v/>
      </c>
      <c r="LY96" s="4" t="str">
        <f t="shared" si="389"/>
        <v/>
      </c>
      <c r="LZ96" s="4" t="str">
        <f t="shared" si="390"/>
        <v/>
      </c>
      <c r="MA96" s="4" t="str">
        <f t="shared" si="391"/>
        <v/>
      </c>
      <c r="MB96" s="4" t="str">
        <f t="shared" si="392"/>
        <v/>
      </c>
      <c r="MC96" s="4" t="str">
        <f t="shared" si="393"/>
        <v/>
      </c>
      <c r="MD96" s="4" t="str">
        <f t="shared" si="394"/>
        <v/>
      </c>
      <c r="ME96" s="4" t="str">
        <f t="shared" si="395"/>
        <v/>
      </c>
      <c r="MF96" s="4" t="str">
        <f t="shared" si="396"/>
        <v/>
      </c>
      <c r="MG96" s="4">
        <f t="shared" si="397"/>
        <v>0</v>
      </c>
    </row>
    <row r="97" spans="1:345" ht="26.25" customHeight="1" x14ac:dyDescent="0.2">
      <c r="A97" s="35">
        <v>41367</v>
      </c>
      <c r="B97" s="36" t="s">
        <v>175</v>
      </c>
      <c r="C97" s="36" t="s">
        <v>45</v>
      </c>
      <c r="D97" s="31" t="s">
        <v>110</v>
      </c>
      <c r="E97" s="4">
        <v>71</v>
      </c>
      <c r="F97" s="3">
        <v>15325</v>
      </c>
      <c r="G97" s="4" t="s">
        <v>87</v>
      </c>
      <c r="H97" s="4" t="s">
        <v>112</v>
      </c>
      <c r="I97" s="4">
        <v>1835496</v>
      </c>
      <c r="R97" s="33">
        <v>-2.09</v>
      </c>
      <c r="S97" s="33">
        <v>-1.5</v>
      </c>
      <c r="T97" s="4" t="s">
        <v>249</v>
      </c>
      <c r="U97" s="67">
        <v>19.5</v>
      </c>
      <c r="V97" s="124">
        <v>41365</v>
      </c>
      <c r="W97" s="67">
        <v>-4.75</v>
      </c>
      <c r="X97" s="67">
        <v>1.75</v>
      </c>
      <c r="Y97" s="4">
        <v>10</v>
      </c>
      <c r="Z97" s="4">
        <v>30</v>
      </c>
      <c r="AA97" s="4">
        <v>14</v>
      </c>
      <c r="AB97" s="4">
        <v>557</v>
      </c>
      <c r="AC97" s="4">
        <v>25.1</v>
      </c>
      <c r="AD97" s="4">
        <v>12.8</v>
      </c>
      <c r="AE97" s="4">
        <v>4.92</v>
      </c>
      <c r="AF97" s="4">
        <v>2.71</v>
      </c>
      <c r="AG97" s="4">
        <v>41.93</v>
      </c>
      <c r="AH97" s="4">
        <v>87</v>
      </c>
      <c r="AI97" s="4">
        <v>43.05</v>
      </c>
      <c r="AJ97" s="4">
        <v>177</v>
      </c>
      <c r="AK97" s="4">
        <v>0</v>
      </c>
      <c r="AL97" s="4" t="b">
        <f t="shared" si="268"/>
        <v>0</v>
      </c>
      <c r="AN97" s="51" t="s">
        <v>78</v>
      </c>
      <c r="AO97" s="61"/>
      <c r="BC97" s="4" t="str">
        <f t="shared" si="404"/>
        <v/>
      </c>
      <c r="BD97" s="4" t="str">
        <f t="shared" si="405"/>
        <v/>
      </c>
      <c r="BE97" s="4" t="str">
        <f t="shared" si="270"/>
        <v/>
      </c>
      <c r="BF97" s="51" t="s">
        <v>501</v>
      </c>
      <c r="BU97" s="4" t="str">
        <f>IF(ISNUMBER(BH97),BH97+0.5*BI97,"")</f>
        <v/>
      </c>
      <c r="BV97" s="4" t="str">
        <f t="shared" si="271"/>
        <v/>
      </c>
      <c r="BW97" s="4" t="str">
        <f t="shared" si="272"/>
        <v/>
      </c>
      <c r="BX97" s="4">
        <f t="shared" si="403"/>
        <v>0</v>
      </c>
      <c r="BY97" s="4">
        <f t="shared" si="274"/>
        <v>0</v>
      </c>
      <c r="BZ97" s="4" t="str">
        <f t="shared" si="275"/>
        <v/>
      </c>
      <c r="CA97" s="4" t="str">
        <f t="shared" si="276"/>
        <v/>
      </c>
      <c r="CB97" s="4" t="str">
        <f t="shared" si="277"/>
        <v/>
      </c>
      <c r="CC97" s="53">
        <f t="shared" si="278"/>
        <v>0</v>
      </c>
      <c r="CD97" s="55" t="str">
        <f t="shared" si="279"/>
        <v/>
      </c>
      <c r="CE97" s="4" t="str">
        <f t="shared" si="280"/>
        <v/>
      </c>
      <c r="CF97" s="4" t="str">
        <f t="shared" si="281"/>
        <v/>
      </c>
      <c r="CG97" s="4" t="str">
        <f t="shared" si="282"/>
        <v/>
      </c>
      <c r="CH97" s="4" t="str">
        <f t="shared" si="283"/>
        <v/>
      </c>
      <c r="CI97" s="4" t="str">
        <f t="shared" si="284"/>
        <v/>
      </c>
      <c r="CJ97" s="4" t="str">
        <f t="shared" si="285"/>
        <v/>
      </c>
      <c r="CK97" s="93" t="str">
        <f t="shared" si="286"/>
        <v/>
      </c>
      <c r="CL97" s="83" t="str">
        <f t="shared" si="287"/>
        <v/>
      </c>
      <c r="CM97" s="4" t="str">
        <f t="shared" si="288"/>
        <v/>
      </c>
      <c r="CN97" s="96" t="str">
        <f t="shared" si="289"/>
        <v/>
      </c>
      <c r="CO97" s="96" t="str">
        <f t="shared" si="398"/>
        <v/>
      </c>
      <c r="CP97" s="127" t="str">
        <f t="shared" si="290"/>
        <v/>
      </c>
      <c r="CQ97" s="127" t="str">
        <f t="shared" si="291"/>
        <v/>
      </c>
      <c r="CR97" s="136" t="str">
        <f t="shared" si="292"/>
        <v/>
      </c>
      <c r="CS97" s="136" t="str">
        <f t="shared" si="293"/>
        <v/>
      </c>
      <c r="CT97" s="135" t="str">
        <f t="shared" si="294"/>
        <v/>
      </c>
      <c r="CU97" s="139" t="str">
        <f t="shared" si="295"/>
        <v/>
      </c>
      <c r="CV97" s="96" t="str">
        <f t="shared" si="296"/>
        <v/>
      </c>
      <c r="CW97" s="141" t="str">
        <f t="shared" si="297"/>
        <v/>
      </c>
      <c r="IL97" s="83" t="str">
        <f t="shared" si="298"/>
        <v/>
      </c>
      <c r="IM97" s="4" t="str">
        <f t="shared" si="299"/>
        <v/>
      </c>
      <c r="IN97" s="4" t="str">
        <f t="shared" si="300"/>
        <v/>
      </c>
      <c r="IO97" s="4" t="str">
        <f t="shared" si="301"/>
        <v/>
      </c>
      <c r="IP97" s="4" t="str">
        <f t="shared" si="302"/>
        <v/>
      </c>
      <c r="IQ97" s="4" t="str">
        <f t="shared" si="303"/>
        <v/>
      </c>
      <c r="IR97" s="4" t="str">
        <f t="shared" si="304"/>
        <v/>
      </c>
      <c r="IS97" s="4" t="str">
        <f t="shared" si="305"/>
        <v/>
      </c>
      <c r="IT97" s="4" t="str">
        <f t="shared" si="306"/>
        <v/>
      </c>
      <c r="IU97" s="4" t="str">
        <f t="shared" si="307"/>
        <v/>
      </c>
      <c r="IV97" s="4" t="str">
        <f t="shared" si="308"/>
        <v/>
      </c>
      <c r="IW97" s="4" t="str">
        <f t="shared" si="309"/>
        <v/>
      </c>
      <c r="IX97" s="4" t="str">
        <f t="shared" si="310"/>
        <v/>
      </c>
      <c r="IY97" s="4" t="str">
        <f t="shared" si="311"/>
        <v/>
      </c>
      <c r="IZ97" s="4" t="str">
        <f t="shared" si="312"/>
        <v/>
      </c>
      <c r="JA97" s="4" t="str">
        <f t="shared" si="313"/>
        <v/>
      </c>
      <c r="JB97" s="4" t="str">
        <f t="shared" si="314"/>
        <v/>
      </c>
      <c r="JC97" s="4" t="str">
        <f t="shared" si="315"/>
        <v/>
      </c>
      <c r="JD97" s="4" t="str">
        <f t="shared" si="316"/>
        <v/>
      </c>
      <c r="JE97" s="4" t="str">
        <f t="shared" si="317"/>
        <v/>
      </c>
      <c r="JF97" s="4" t="str">
        <f t="shared" si="318"/>
        <v/>
      </c>
      <c r="JG97" s="4" t="str">
        <f t="shared" si="319"/>
        <v/>
      </c>
      <c r="JH97" s="4" t="str">
        <f t="shared" si="320"/>
        <v/>
      </c>
      <c r="JI97" s="4" t="str">
        <f t="shared" si="321"/>
        <v/>
      </c>
      <c r="JJ97" s="4" t="str">
        <f t="shared" si="322"/>
        <v/>
      </c>
      <c r="JK97" s="4" t="str">
        <f t="shared" si="323"/>
        <v/>
      </c>
      <c r="JL97" s="4" t="str">
        <f t="shared" si="324"/>
        <v/>
      </c>
      <c r="JM97" s="4" t="str">
        <f t="shared" si="325"/>
        <v/>
      </c>
      <c r="JN97" s="4" t="str">
        <f t="shared" si="326"/>
        <v/>
      </c>
      <c r="JO97" s="4" t="str">
        <f t="shared" si="327"/>
        <v/>
      </c>
      <c r="JP97" s="4" t="str">
        <f t="shared" si="328"/>
        <v/>
      </c>
      <c r="JQ97" s="117" t="str">
        <f t="shared" si="329"/>
        <v/>
      </c>
      <c r="JR97" s="110" t="str">
        <f t="shared" si="330"/>
        <v/>
      </c>
      <c r="JS97" s="110" t="str">
        <f t="shared" si="331"/>
        <v/>
      </c>
      <c r="JT97" s="110" t="str">
        <f t="shared" si="332"/>
        <v/>
      </c>
      <c r="JU97" s="110" t="str">
        <f t="shared" si="333"/>
        <v/>
      </c>
      <c r="JV97" s="110" t="str">
        <f t="shared" si="334"/>
        <v/>
      </c>
      <c r="JW97" s="110" t="str">
        <f t="shared" si="335"/>
        <v/>
      </c>
      <c r="JX97" s="110" t="str">
        <f t="shared" si="336"/>
        <v/>
      </c>
      <c r="JY97" s="110" t="str">
        <f t="shared" si="337"/>
        <v/>
      </c>
      <c r="JZ97" s="110" t="str">
        <f t="shared" si="338"/>
        <v/>
      </c>
      <c r="KA97" s="110" t="str">
        <f t="shared" si="339"/>
        <v/>
      </c>
      <c r="KB97" s="110" t="str">
        <f t="shared" si="340"/>
        <v/>
      </c>
      <c r="KC97" s="110" t="str">
        <f t="shared" si="341"/>
        <v/>
      </c>
      <c r="KD97" s="110" t="str">
        <f t="shared" si="342"/>
        <v/>
      </c>
      <c r="KE97" s="110" t="str">
        <f t="shared" si="343"/>
        <v/>
      </c>
      <c r="KF97" s="110" t="str">
        <f t="shared" si="344"/>
        <v/>
      </c>
      <c r="KG97" s="121" t="str">
        <f t="shared" si="345"/>
        <v/>
      </c>
      <c r="KH97" s="83" t="str">
        <f t="shared" si="346"/>
        <v/>
      </c>
      <c r="KI97" s="4" t="str">
        <f t="shared" si="347"/>
        <v/>
      </c>
      <c r="KJ97" s="4" t="str">
        <f t="shared" si="348"/>
        <v/>
      </c>
      <c r="KK97" s="4" t="str">
        <f t="shared" si="349"/>
        <v/>
      </c>
      <c r="KL97" s="4" t="str">
        <f t="shared" si="350"/>
        <v/>
      </c>
      <c r="KM97" s="4" t="str">
        <f t="shared" si="351"/>
        <v/>
      </c>
      <c r="KN97" s="4" t="str">
        <f t="shared" si="352"/>
        <v/>
      </c>
      <c r="KO97" s="4" t="str">
        <f t="shared" si="353"/>
        <v/>
      </c>
      <c r="KP97" s="4" t="str">
        <f t="shared" si="354"/>
        <v/>
      </c>
      <c r="KQ97" s="4" t="str">
        <f t="shared" si="355"/>
        <v/>
      </c>
      <c r="KR97" s="4" t="str">
        <f t="shared" si="356"/>
        <v/>
      </c>
      <c r="KS97" s="4" t="str">
        <f t="shared" si="357"/>
        <v/>
      </c>
      <c r="KT97" s="4" t="str">
        <f t="shared" si="358"/>
        <v/>
      </c>
      <c r="KU97" s="4" t="str">
        <f t="shared" si="359"/>
        <v/>
      </c>
      <c r="KV97" s="4" t="str">
        <f t="shared" si="360"/>
        <v/>
      </c>
      <c r="KW97" s="4" t="str">
        <f t="shared" si="361"/>
        <v/>
      </c>
      <c r="KX97" s="4" t="str">
        <f t="shared" si="362"/>
        <v/>
      </c>
      <c r="KY97" s="4" t="str">
        <f t="shared" si="363"/>
        <v/>
      </c>
      <c r="KZ97" s="4" t="str">
        <f t="shared" si="364"/>
        <v/>
      </c>
      <c r="LA97" s="4" t="str">
        <f t="shared" si="365"/>
        <v/>
      </c>
      <c r="LB97" s="4" t="str">
        <f t="shared" si="366"/>
        <v/>
      </c>
      <c r="LC97" s="4" t="str">
        <f t="shared" si="367"/>
        <v/>
      </c>
      <c r="LD97" s="4" t="str">
        <f t="shared" si="368"/>
        <v/>
      </c>
      <c r="LE97" s="4" t="str">
        <f t="shared" si="369"/>
        <v/>
      </c>
      <c r="LF97" s="4" t="str">
        <f t="shared" si="370"/>
        <v/>
      </c>
      <c r="LG97" s="4" t="str">
        <f t="shared" si="371"/>
        <v/>
      </c>
      <c r="LH97" s="4" t="str">
        <f t="shared" si="372"/>
        <v/>
      </c>
      <c r="LI97" s="4" t="str">
        <f t="shared" si="373"/>
        <v/>
      </c>
      <c r="LJ97" s="4" t="str">
        <f t="shared" si="374"/>
        <v/>
      </c>
      <c r="LK97" s="4" t="str">
        <f t="shared" si="375"/>
        <v/>
      </c>
      <c r="LL97" s="4" t="str">
        <f t="shared" si="376"/>
        <v/>
      </c>
      <c r="LM97" s="4" t="str">
        <f t="shared" si="377"/>
        <v/>
      </c>
      <c r="LN97" s="4" t="str">
        <f t="shared" si="378"/>
        <v/>
      </c>
      <c r="LO97" s="4" t="str">
        <f t="shared" si="379"/>
        <v/>
      </c>
      <c r="LP97" s="4" t="str">
        <f t="shared" si="380"/>
        <v/>
      </c>
      <c r="LQ97" s="4" t="str">
        <f t="shared" si="381"/>
        <v/>
      </c>
      <c r="LR97" s="4" t="str">
        <f t="shared" si="382"/>
        <v/>
      </c>
      <c r="LS97" s="4" t="str">
        <f t="shared" si="383"/>
        <v/>
      </c>
      <c r="LT97" s="4" t="str">
        <f t="shared" si="384"/>
        <v/>
      </c>
      <c r="LU97" s="4" t="str">
        <f t="shared" si="385"/>
        <v/>
      </c>
      <c r="LV97" s="4" t="str">
        <f t="shared" si="386"/>
        <v/>
      </c>
      <c r="LW97" s="4" t="str">
        <f t="shared" si="387"/>
        <v/>
      </c>
      <c r="LX97" s="4" t="str">
        <f t="shared" si="388"/>
        <v/>
      </c>
      <c r="LY97" s="4" t="str">
        <f t="shared" si="389"/>
        <v/>
      </c>
      <c r="LZ97" s="4" t="str">
        <f t="shared" si="390"/>
        <v/>
      </c>
      <c r="MA97" s="4" t="str">
        <f t="shared" si="391"/>
        <v/>
      </c>
      <c r="MB97" s="4" t="str">
        <f t="shared" si="392"/>
        <v/>
      </c>
      <c r="MC97" s="4" t="str">
        <f t="shared" si="393"/>
        <v/>
      </c>
      <c r="MD97" s="4" t="str">
        <f t="shared" si="394"/>
        <v/>
      </c>
      <c r="ME97" s="4" t="str">
        <f t="shared" si="395"/>
        <v/>
      </c>
      <c r="MF97" s="4" t="str">
        <f t="shared" si="396"/>
        <v/>
      </c>
      <c r="MG97" s="4">
        <f t="shared" si="397"/>
        <v>0</v>
      </c>
    </row>
    <row r="98" spans="1:345" ht="26.25" customHeight="1" x14ac:dyDescent="0.2">
      <c r="A98" s="35">
        <v>41220</v>
      </c>
      <c r="B98" s="36" t="s">
        <v>201</v>
      </c>
      <c r="C98" s="36" t="s">
        <v>173</v>
      </c>
      <c r="D98" s="31" t="s">
        <v>110</v>
      </c>
      <c r="E98" s="4">
        <v>63</v>
      </c>
      <c r="F98" s="3">
        <v>18170</v>
      </c>
      <c r="G98" s="4" t="s">
        <v>87</v>
      </c>
      <c r="H98" s="4" t="s">
        <v>108</v>
      </c>
      <c r="I98" s="4">
        <v>1835552</v>
      </c>
      <c r="K98" s="235"/>
      <c r="L98" s="236"/>
      <c r="M98" s="236"/>
      <c r="N98" s="236"/>
      <c r="O98" s="235"/>
      <c r="P98" s="236"/>
      <c r="R98" s="33">
        <v>-0.75</v>
      </c>
      <c r="S98" s="33">
        <v>-0.84</v>
      </c>
      <c r="T98" s="33" t="s">
        <v>249</v>
      </c>
      <c r="U98" s="67">
        <v>16.25</v>
      </c>
      <c r="V98" s="124">
        <v>41183</v>
      </c>
      <c r="W98" s="67">
        <v>-4.5</v>
      </c>
      <c r="X98" s="67">
        <v>0.5</v>
      </c>
      <c r="Y98" s="4">
        <v>150</v>
      </c>
      <c r="Z98" s="4">
        <v>40</v>
      </c>
      <c r="AA98" s="4">
        <v>18</v>
      </c>
      <c r="AB98" s="4">
        <v>564</v>
      </c>
      <c r="AC98" s="4">
        <v>2.64</v>
      </c>
      <c r="AD98" s="4">
        <v>11.9</v>
      </c>
      <c r="AE98" s="4">
        <v>5.18</v>
      </c>
      <c r="AF98" s="4">
        <v>3.7</v>
      </c>
      <c r="AG98" s="4">
        <v>47.07</v>
      </c>
      <c r="AH98" s="4">
        <v>57</v>
      </c>
      <c r="AI98" s="4">
        <v>47.8</v>
      </c>
      <c r="AJ98" s="4">
        <v>147</v>
      </c>
      <c r="AK98" s="4">
        <v>2</v>
      </c>
      <c r="AL98" s="4" t="b">
        <f t="shared" ref="AL98:AL124" si="406">IF(AND(ISNUMBER(SK),SK&gt;0),TRUE,FALSE)</f>
        <v>1</v>
      </c>
      <c r="AN98" s="37" t="s">
        <v>78</v>
      </c>
      <c r="BC98" s="4" t="str">
        <f t="shared" si="404"/>
        <v/>
      </c>
      <c r="BD98" s="4" t="str">
        <f t="shared" si="405"/>
        <v/>
      </c>
      <c r="BE98" s="4" t="str">
        <f t="shared" ref="BE98:BE124" si="407">IF(AND(ISNUMBER(AU98),ISNUMBER(AB98)),AU98-AB98,IF(ISNUMBER(AU98),"MISSING",""))</f>
        <v/>
      </c>
      <c r="BF98" s="51" t="s">
        <v>501</v>
      </c>
      <c r="BU98" s="4" t="str">
        <f>IF(ISNUMBER(BH98),BH98+0.5*BI98,"")</f>
        <v/>
      </c>
      <c r="BV98" s="4" t="str">
        <f t="shared" ref="BV98:BV129" si="408">IF(ISNUMBER(BU98),IF(ISNUMBER($S98),BU98-$S98,"MISSING"),"")</f>
        <v/>
      </c>
      <c r="BW98" s="4" t="str">
        <f t="shared" ref="BW98:BW124" si="409">IF(AND(ISNUMBER(BM98),ISNUMBER($AB98)),BM98-$AB98,IF(ISNUMBER(BM98),"MISSING",""))</f>
        <v/>
      </c>
      <c r="BX98" s="4">
        <f t="shared" si="403"/>
        <v>0</v>
      </c>
      <c r="BY98" s="4">
        <f t="shared" ref="BY98:BY125" si="410">IF(AND(ISNUMBER($AP98),ISNUMBER($BH98)),1,0)</f>
        <v>0</v>
      </c>
      <c r="BZ98" s="4" t="str">
        <f t="shared" ref="BZ98:BZ129" si="411">IF(BY98,SE_PREOP,"")</f>
        <v/>
      </c>
      <c r="CA98" s="4" t="str">
        <f t="shared" ref="CA98:CA125" si="412">IF(FU_6_AND_12,SE_6,"")</f>
        <v/>
      </c>
      <c r="CB98" s="4" t="str">
        <f t="shared" ref="CB98:CB125" si="413">IF(FU_6_AND_12,SE_12,"")</f>
        <v/>
      </c>
      <c r="CC98" s="53">
        <f t="shared" ref="CC98:CC125" si="414">IF(AND(ISNUMBER(BF98),ISNUMBER(BH98)),BF98-A98,IF(ISNUMBER(AN98),AN98-A98,0))</f>
        <v>0</v>
      </c>
      <c r="CD98" s="55" t="str">
        <f t="shared" ref="CD98:CD129" si="415">IF(CC98&gt;0,CC98/30,"")</f>
        <v/>
      </c>
      <c r="CE98" s="4" t="str">
        <f t="shared" ref="CE98:CE125" si="416">IF(AND(ISNUMBER(BC98),ISNUMBER(BU98)),(BU98-BC98),"")</f>
        <v/>
      </c>
      <c r="CF98" s="4" t="str">
        <f t="shared" ref="CF98:CF125" si="417">IF(AND(ISNUMBER(BA98), ISNUMBER(AG98)), AVERAGE(BA98,AY98)-AVERAGE(AG98,AI98),"")</f>
        <v/>
      </c>
      <c r="CG98" s="4" t="str">
        <f t="shared" ref="CG98:CG125" si="418">IF(AND(ISNUMBER(BQ98), ISNUMBER(AG98)), AVERAGE(BQ98,BS98)-AVERAGE(AG98,AI98),"")</f>
        <v/>
      </c>
      <c r="CH98" s="4" t="str">
        <f t="shared" ref="CH98:CH129" si="419">IF(ISNUMBER(CG98),CG98,IF(ISNUMBER(CF98),CF98,""))</f>
        <v/>
      </c>
      <c r="CI98" s="4" t="str">
        <f t="shared" ref="CI98:CI125" si="420">IF(AND(ISNUMBER(SPH_PREOP),ISNUMBER(SE_LAST_)),SPH_PREOP+CYL_PREOP/2,"")</f>
        <v/>
      </c>
      <c r="CJ98" s="4" t="str">
        <f t="shared" ref="CJ98:CJ125" si="421">IF(ISNUMBER(SE_12),SE_12,IF(ISNUMBER(SE_6),SE_6,""))</f>
        <v/>
      </c>
      <c r="CK98" s="93" t="str">
        <f t="shared" ref="CK98:CK125" si="422">IF(AND(ISNUMBER(SE_LAST_),ISNUMBER(REF_TARGET)),SE_LAST_-REF_TARGET,"")</f>
        <v/>
      </c>
      <c r="CL98" s="83" t="str">
        <f t="shared" ref="CL98:CL125" si="423">IF(ISNUMBER(AB98),IF(ISNUMBER(BM98),BM98-AB98,IF(ISNUMBER(AU98),AU98-AB98,"")),"")</f>
        <v/>
      </c>
      <c r="CM98" s="4" t="str">
        <f t="shared" ref="CM98:CM125" si="424">IF(ISNUMBER(AC98),IF(ISNUMBER(AW98),AW98-AC98,IF(ISNUMBER(BO98),BO98-AC98,"")),"")</f>
        <v/>
      </c>
      <c r="CN98" s="96" t="str">
        <f t="shared" ref="CN98:CN125" si="425">IF(ISNUMBER(LAST_SE_ERROR),REF_TARGET,"")</f>
        <v/>
      </c>
      <c r="CO98" s="96" t="str">
        <f t="shared" si="398"/>
        <v/>
      </c>
      <c r="CP98" s="127" t="str">
        <f t="shared" ref="CP98:CP124" si="426">IF(ISNUMBER(BI98),BI98,IF(ISNUMBER(AQ98),AQ98,""))</f>
        <v/>
      </c>
      <c r="CQ98" s="127" t="str">
        <f t="shared" ref="CQ98:CQ129" si="427">IF(AND(ISNUMBER(CP98),ISNUMBER(X98)),CP98-X98,"")</f>
        <v/>
      </c>
      <c r="CR98" s="136" t="str">
        <f t="shared" ref="CR98:CR125" si="428">IF(ISNUMBER(BCVA_12),BCVA_12,IF(ISNUMBER(BCVA_6),BCVA_6,""))</f>
        <v/>
      </c>
      <c r="CS98" s="136" t="str">
        <f t="shared" ref="CS98:CS129" si="429">IF(ISNUMBER(CR98),PREOP_BCVA,"")</f>
        <v/>
      </c>
      <c r="CT98" s="135" t="str">
        <f t="shared" ref="CT98:CT125" si="430">IF(AND(REF_TARGET&lt;=0,REF_TARGET&gt;-1),IF(ISNUMBER(UDVA_12),UDVA_12,IF(ISNUMBER(UDVA_6),UDVA_6,"")),"")</f>
        <v/>
      </c>
      <c r="CU98" s="139" t="str">
        <f t="shared" ref="CU98:CU127" si="431">IF(ISNUMBER(PREOP_PENTACAM_RV),IF(ISNUMBER(SPH_6),IF(ISNUMBER($ET98),0,1),""),"")</f>
        <v/>
      </c>
      <c r="CV98" s="96" t="str">
        <f t="shared" ref="CV98:CV132" si="432">IF(ISNUMBER(PREOP_PENTACAM_RV),IF(ISNUMBER(SPH_12),IF(ISNUMBER($GP98),0,1),""),"")</f>
        <v/>
      </c>
      <c r="CW98" s="141" t="str">
        <f t="shared" ref="CW98:CW125" si="433">IF(OR(ISNUMBER(MISSING_PENT_6),ISNUMBER(MISSING_PENT_12)),IF(AND(ISNUMBER(MISSING_PENT_6),ISNUMBER(MISSING_PENT_12)),AND(MISSING_PENT_6,MISSING_PENT_12),IF(ISNUMBER(MISSING_PENT_6),INT(MISSING_PENT_6)&gt;0,INT(MISSING_PENT_12)&gt;0)),"")</f>
        <v/>
      </c>
      <c r="CX98">
        <v>7.23</v>
      </c>
      <c r="CY98" s="4">
        <v>7.26</v>
      </c>
      <c r="CZ98" s="4">
        <v>77.599999999999994</v>
      </c>
      <c r="DA98" s="4">
        <v>0.2</v>
      </c>
      <c r="DB98" s="4">
        <v>-0.3</v>
      </c>
      <c r="DC98" s="4">
        <v>0.4</v>
      </c>
      <c r="DD98" s="4">
        <v>3.09</v>
      </c>
      <c r="DE98" s="4">
        <v>3.65</v>
      </c>
      <c r="DF98" s="4">
        <v>559</v>
      </c>
      <c r="DG98" s="4">
        <v>560</v>
      </c>
      <c r="DH98" s="4">
        <v>567</v>
      </c>
      <c r="DI98" s="4">
        <v>574</v>
      </c>
      <c r="DJ98" s="4">
        <v>572</v>
      </c>
      <c r="DK98" s="4">
        <v>579</v>
      </c>
      <c r="DL98" s="4">
        <v>532</v>
      </c>
      <c r="DM98" s="4">
        <v>0.81</v>
      </c>
      <c r="DN98" s="4">
        <v>1.49</v>
      </c>
      <c r="DO98" s="4">
        <v>7.28</v>
      </c>
      <c r="DP98" s="4">
        <v>7.19</v>
      </c>
      <c r="DQ98" s="4">
        <v>7.17</v>
      </c>
      <c r="DR98" s="4">
        <v>7.3</v>
      </c>
      <c r="DS98" s="4">
        <v>7.65</v>
      </c>
      <c r="DT98" s="4">
        <v>7.87</v>
      </c>
      <c r="DU98" s="4">
        <v>0</v>
      </c>
      <c r="DV98" s="4">
        <v>0.4</v>
      </c>
      <c r="DW98" s="4">
        <v>7</v>
      </c>
      <c r="DX98" s="4">
        <v>6.52</v>
      </c>
      <c r="DY98" s="4">
        <v>6.37</v>
      </c>
      <c r="DZ98" s="4">
        <v>6.56</v>
      </c>
      <c r="EA98" s="4">
        <v>6.78</v>
      </c>
      <c r="EB98" s="4">
        <v>6.91</v>
      </c>
      <c r="EC98" s="4">
        <v>0</v>
      </c>
      <c r="ED98" s="89">
        <v>0.4</v>
      </c>
      <c r="EE98" s="110">
        <v>46.5</v>
      </c>
      <c r="EF98" s="110">
        <v>46.7</v>
      </c>
      <c r="EG98" s="110">
        <v>46.6</v>
      </c>
      <c r="EH98" s="110">
        <v>77.599999999999994</v>
      </c>
      <c r="EI98" s="110">
        <v>0.2</v>
      </c>
      <c r="EJ98" s="110">
        <v>-5.7</v>
      </c>
      <c r="EK98" s="110">
        <v>-6</v>
      </c>
      <c r="EL98" s="110">
        <v>-5.9</v>
      </c>
      <c r="EM98" s="110">
        <v>59.5</v>
      </c>
      <c r="EN98" s="110">
        <v>0.4</v>
      </c>
      <c r="EO98" s="110">
        <v>4</v>
      </c>
      <c r="EP98" s="110">
        <v>11.2</v>
      </c>
      <c r="EQ98" s="110">
        <v>23.3</v>
      </c>
      <c r="ER98" s="110">
        <v>54.2</v>
      </c>
      <c r="ES98" s="114">
        <v>11</v>
      </c>
      <c r="IL98" s="83" t="str">
        <f t="shared" ref="IL98:IL124" si="434">IF(ISNUMBER(GP98),GP98,IF(ISNUMBER(ET98),ET98,""))</f>
        <v/>
      </c>
      <c r="IM98" s="4" t="str">
        <f t="shared" ref="IM98:IM124" si="435">IF(ISNUMBER(GQ98),GQ98,IF(ISNUMBER(EU98),EU98,""))</f>
        <v/>
      </c>
      <c r="IN98" s="4" t="str">
        <f t="shared" ref="IN98:IN124" si="436">IF(ISNUMBER(GR98),GR98,IF(ISNUMBER(EV98),EV98,""))</f>
        <v/>
      </c>
      <c r="IO98" s="4" t="str">
        <f t="shared" ref="IO98:IO124" si="437">IF(ISNUMBER(GS98),GS98,IF(ISNUMBER(EW98),EW98,""))</f>
        <v/>
      </c>
      <c r="IP98" s="4" t="str">
        <f t="shared" ref="IP98:IP124" si="438">IF(ISNUMBER(GT98),GT98,IF(ISNUMBER(EX98),EX98,""))</f>
        <v/>
      </c>
      <c r="IQ98" s="4" t="str">
        <f t="shared" ref="IQ98:IQ124" si="439">IF(ISNUMBER(GU98),GU98,IF(ISNUMBER(EY98),EY98,""))</f>
        <v/>
      </c>
      <c r="IR98" s="4" t="str">
        <f t="shared" ref="IR98:IR124" si="440">IF(ISNUMBER(GV98),GV98,IF(ISNUMBER(EZ98),EZ98,""))</f>
        <v/>
      </c>
      <c r="IS98" s="4" t="str">
        <f t="shared" ref="IS98:IS124" si="441">IF(ISNUMBER(GW98),GW98,IF(ISNUMBER(FA98),FA98,""))</f>
        <v/>
      </c>
      <c r="IT98" s="4" t="str">
        <f t="shared" ref="IT98:IT124" si="442">IF(ISNUMBER(GX98),GX98,IF(ISNUMBER(FB98),FB98,""))</f>
        <v/>
      </c>
      <c r="IU98" s="4" t="str">
        <f t="shared" ref="IU98:IU124" si="443">IF(ISNUMBER(GY98),GY98,IF(ISNUMBER(FC98),FC98,""))</f>
        <v/>
      </c>
      <c r="IV98" s="4" t="str">
        <f t="shared" ref="IV98:IV124" si="444">IF(ISNUMBER(GZ98),GZ98,IF(ISNUMBER(FD98),FD98,""))</f>
        <v/>
      </c>
      <c r="IW98" s="4" t="str">
        <f t="shared" ref="IW98:IW124" si="445">IF(ISNUMBER(HA98),HA98,IF(ISNUMBER(FE98),FE98,""))</f>
        <v/>
      </c>
      <c r="IX98" s="4" t="str">
        <f t="shared" ref="IX98:IX124" si="446">IF(ISNUMBER(HB98),HB98,IF(ISNUMBER(FF98),FF98,""))</f>
        <v/>
      </c>
      <c r="IY98" s="4" t="str">
        <f t="shared" ref="IY98:IY124" si="447">IF(ISNUMBER(HC98),HC98,IF(ISNUMBER(FG98),FG98,""))</f>
        <v/>
      </c>
      <c r="IZ98" s="4" t="str">
        <f t="shared" ref="IZ98:IZ124" si="448">IF(ISNUMBER(HD98),HD98,IF(ISNUMBER(FH98),FH98,""))</f>
        <v/>
      </c>
      <c r="JA98" s="4" t="str">
        <f t="shared" ref="JA98:JA124" si="449">IF(ISNUMBER(HE98),HE98,IF(ISNUMBER(FI98),FI98,""))</f>
        <v/>
      </c>
      <c r="JB98" s="4" t="str">
        <f t="shared" ref="JB98:JB124" si="450">IF(ISNUMBER(HF98),HF98,IF(ISNUMBER(FJ98),FJ98,""))</f>
        <v/>
      </c>
      <c r="JC98" s="4" t="str">
        <f t="shared" ref="JC98:JC124" si="451">IF(ISNUMBER(HG98),HG98,IF(ISNUMBER(FK98),FK98,""))</f>
        <v/>
      </c>
      <c r="JD98" s="4" t="str">
        <f t="shared" ref="JD98:JD124" si="452">IF(ISNUMBER(HH98),HH98,IF(ISNUMBER(FL98),FL98,""))</f>
        <v/>
      </c>
      <c r="JE98" s="4" t="str">
        <f t="shared" ref="JE98:JE124" si="453">IF(ISNUMBER(HI98),HI98,IF(ISNUMBER(FM98),FM98,""))</f>
        <v/>
      </c>
      <c r="JF98" s="4" t="str">
        <f t="shared" ref="JF98:JF124" si="454">IF(ISNUMBER(HJ98),HJ98,IF(ISNUMBER(FN98),FN98,""))</f>
        <v/>
      </c>
      <c r="JG98" s="4" t="str">
        <f t="shared" ref="JG98:JG124" si="455">IF(ISNUMBER(HK98),HK98,IF(ISNUMBER(FO98),FO98,""))</f>
        <v/>
      </c>
      <c r="JH98" s="4" t="str">
        <f t="shared" ref="JH98:JH124" si="456">IF(ISNUMBER(HL98),HL98,IF(ISNUMBER(FP98),FP98,""))</f>
        <v/>
      </c>
      <c r="JI98" s="4" t="str">
        <f t="shared" ref="JI98:JI124" si="457">IF(ISNUMBER(HM98),HM98,IF(ISNUMBER(FQ98),FQ98,""))</f>
        <v/>
      </c>
      <c r="JJ98" s="4" t="str">
        <f t="shared" ref="JJ98:JJ124" si="458">IF(ISNUMBER(HN98),HN98,IF(ISNUMBER(FR98),FR98,""))</f>
        <v/>
      </c>
      <c r="JK98" s="4" t="str">
        <f t="shared" ref="JK98:JK124" si="459">IF(ISNUMBER(HO98),HO98,IF(ISNUMBER(FS98),FS98,""))</f>
        <v/>
      </c>
      <c r="JL98" s="4" t="str">
        <f t="shared" ref="JL98:JL124" si="460">IF(ISNUMBER(HP98),HP98,IF(ISNUMBER(FT98),FT98,""))</f>
        <v/>
      </c>
      <c r="JM98" s="4" t="str">
        <f t="shared" ref="JM98:JM124" si="461">IF(ISNUMBER(HQ98),HQ98,IF(ISNUMBER(FU98),FU98,""))</f>
        <v/>
      </c>
      <c r="JN98" s="4" t="str">
        <f t="shared" ref="JN98:JN124" si="462">IF(ISNUMBER(HR98),HR98,IF(ISNUMBER(FV98),FV98,""))</f>
        <v/>
      </c>
      <c r="JO98" s="4" t="str">
        <f t="shared" ref="JO98:JO124" si="463">IF(ISNUMBER(HS98),HS98,IF(ISNUMBER(FW98),FW98,""))</f>
        <v/>
      </c>
      <c r="JP98" s="4" t="str">
        <f t="shared" ref="JP98:JP124" si="464">IF(ISNUMBER(HT98),HT98,IF(ISNUMBER(FX98),FX98,""))</f>
        <v/>
      </c>
      <c r="JQ98" s="117" t="str">
        <f t="shared" ref="JQ98:JQ124" si="465">IF(ISNUMBER(HU98),HU98,IF(ISNUMBER(FY98),FY98,""))</f>
        <v/>
      </c>
      <c r="JR98" s="110" t="str">
        <f t="shared" ref="JR98:JR124" si="466">IF(ISNUMBER(HV98),HV98,IF(ISNUMBER(FZ98),FZ98,""))</f>
        <v/>
      </c>
      <c r="JS98" s="110" t="str">
        <f t="shared" ref="JS98:JS124" si="467">IF(ISNUMBER(HW98),HW98,IF(ISNUMBER(GA98),GA98,""))</f>
        <v/>
      </c>
      <c r="JT98" s="110" t="str">
        <f t="shared" ref="JT98:JT124" si="468">IF(ISNUMBER(HX98),HX98,IF(ISNUMBER(GB98),GB98,""))</f>
        <v/>
      </c>
      <c r="JU98" s="110" t="str">
        <f t="shared" ref="JU98:JU124" si="469">IF(ISNUMBER(HY98),HY98,IF(ISNUMBER(GC98),GC98,""))</f>
        <v/>
      </c>
      <c r="JV98" s="110" t="str">
        <f t="shared" ref="JV98:JV124" si="470">IF(ISNUMBER(HZ98),HZ98,IF(ISNUMBER(GD98),GD98,""))</f>
        <v/>
      </c>
      <c r="JW98" s="110" t="str">
        <f t="shared" ref="JW98:JW124" si="471">IF(ISNUMBER(IA98),IA98,IF(ISNUMBER(GE98),GE98,""))</f>
        <v/>
      </c>
      <c r="JX98" s="110" t="str">
        <f t="shared" ref="JX98:JX124" si="472">IF(ISNUMBER(IB98),IB98,IF(ISNUMBER(GF98),GF98,""))</f>
        <v/>
      </c>
      <c r="JY98" s="110" t="str">
        <f t="shared" ref="JY98:JY124" si="473">IF(ISNUMBER(IC98),IC98,IF(ISNUMBER(GG98),GG98,""))</f>
        <v/>
      </c>
      <c r="JZ98" s="110" t="str">
        <f t="shared" ref="JZ98:JZ124" si="474">IF(ISNUMBER(ID98),ID98,IF(ISNUMBER(GH98),GH98,""))</f>
        <v/>
      </c>
      <c r="KA98" s="110" t="str">
        <f t="shared" ref="KA98:KA124" si="475">IF(ISNUMBER(IE98),IE98,IF(ISNUMBER(GI98),GI98,""))</f>
        <v/>
      </c>
      <c r="KB98" s="110" t="str">
        <f t="shared" ref="KB98:KB124" si="476">IF(ISNUMBER(IF98),IF98,IF(ISNUMBER(GJ98),GJ98,""))</f>
        <v/>
      </c>
      <c r="KC98" s="110" t="str">
        <f t="shared" ref="KC98:KC124" si="477">IF(ISNUMBER(IG98),IG98,IF(ISNUMBER(GK98),GK98,""))</f>
        <v/>
      </c>
      <c r="KD98" s="110" t="str">
        <f t="shared" ref="KD98:KD124" si="478">IF(ISNUMBER(IH98),IH98,IF(ISNUMBER(GL98),GL98,""))</f>
        <v/>
      </c>
      <c r="KE98" s="110" t="str">
        <f t="shared" ref="KE98:KE124" si="479">IF(ISNUMBER(II98),II98,IF(ISNUMBER(GM98),GM98,""))</f>
        <v/>
      </c>
      <c r="KF98" s="110" t="str">
        <f t="shared" ref="KF98:KF124" si="480">IF(ISNUMBER(IJ98),IJ98,IF(ISNUMBER(GN98),GN98,""))</f>
        <v/>
      </c>
      <c r="KG98" s="121" t="str">
        <f t="shared" ref="KG98:KG124" si="481">IF(ISNUMBER(IK98),IK98,IF(ISNUMBER(GO98),GO98,""))</f>
        <v/>
      </c>
      <c r="KH98" s="83" t="str">
        <f t="shared" ref="KH98:KH124" si="482">IF(AND(ISNUMBER(IL98),ISNUMBER(CX98)),IL98-CX98,"")</f>
        <v/>
      </c>
      <c r="KI98" s="4" t="str">
        <f t="shared" ref="KI98:KI124" si="483">IF(AND(ISNUMBER(IM98),ISNUMBER(CY98)),IM98-CY98,"")</f>
        <v/>
      </c>
      <c r="KJ98" s="4" t="str">
        <f t="shared" ref="KJ98:KJ124" si="484">IF(AND(ISNUMBER(IN98),ISNUMBER(CZ98)),IN98-CZ98,"")</f>
        <v/>
      </c>
      <c r="KK98" s="4" t="str">
        <f t="shared" ref="KK98:KK124" si="485">IF(AND(ISNUMBER(IO98),ISNUMBER(DA98)),IO98-DA98,"")</f>
        <v/>
      </c>
      <c r="KL98" s="4" t="str">
        <f t="shared" ref="KL98:KL124" si="486">IF(AND(ISNUMBER(IP98),ISNUMBER(DB98)),IP98-DB98,"")</f>
        <v/>
      </c>
      <c r="KM98" s="4" t="str">
        <f t="shared" ref="KM98:KM124" si="487">IF(AND(ISNUMBER(IQ98),ISNUMBER(DC98)),IQ98-DC98,"")</f>
        <v/>
      </c>
      <c r="KN98" s="4" t="str">
        <f t="shared" ref="KN98:KN124" si="488">IF(AND(ISNUMBER(IR98),ISNUMBER(DD98)),IR98-DD98,"")</f>
        <v/>
      </c>
      <c r="KO98" s="4" t="str">
        <f t="shared" ref="KO98:KO124" si="489">IF(AND(ISNUMBER(IS98),ISNUMBER(DE98)),IS98-DE98,"")</f>
        <v/>
      </c>
      <c r="KP98" s="4" t="str">
        <f t="shared" ref="KP98:KP124" si="490">IF(AND(ISNUMBER(IT98),ISNUMBER(DF98)),IT98-DF98,"")</f>
        <v/>
      </c>
      <c r="KQ98" s="4" t="str">
        <f t="shared" ref="KQ98:KQ124" si="491">IF(AND(ISNUMBER(IU98),ISNUMBER(DG98)),IU98-DG98,"")</f>
        <v/>
      </c>
      <c r="KR98" s="4" t="str">
        <f t="shared" ref="KR98:KR124" si="492">IF(AND(ISNUMBER(IV98),ISNUMBER(DH98)),IV98-DH98,"")</f>
        <v/>
      </c>
      <c r="KS98" s="4" t="str">
        <f t="shared" ref="KS98:KS124" si="493">IF(AND(ISNUMBER(IW98),ISNUMBER(DI98)),IW98-DI98,"")</f>
        <v/>
      </c>
      <c r="KT98" s="4" t="str">
        <f t="shared" ref="KT98:KT124" si="494">IF(AND(ISNUMBER(IX98),ISNUMBER(DJ98)),IX98-DJ98,"")</f>
        <v/>
      </c>
      <c r="KU98" s="4" t="str">
        <f t="shared" ref="KU98:KU124" si="495">IF(AND(ISNUMBER(IY98),ISNUMBER(DK98)),IY98-DK98,"")</f>
        <v/>
      </c>
      <c r="KV98" s="4" t="str">
        <f t="shared" ref="KV98:KV124" si="496">IF(AND(ISNUMBER(IZ98),ISNUMBER(DL98)),IZ98-DL98,"")</f>
        <v/>
      </c>
      <c r="KW98" s="4" t="str">
        <f t="shared" ref="KW98:KW124" si="497">IF(AND(ISNUMBER(JA98),ISNUMBER(DM98)),JA98-DM98,"")</f>
        <v/>
      </c>
      <c r="KX98" s="4" t="str">
        <f t="shared" ref="KX98:KX124" si="498">IF(AND(ISNUMBER(JB98),ISNUMBER(DN98)),JB98-DN98,"")</f>
        <v/>
      </c>
      <c r="KY98" s="4" t="str">
        <f t="shared" ref="KY98:KY124" si="499">IF(AND(ISNUMBER(JC98),ISNUMBER(DO98)),JC98-DO98,"")</f>
        <v/>
      </c>
      <c r="KZ98" s="4" t="str">
        <f t="shared" ref="KZ98:KZ124" si="500">IF(AND(ISNUMBER(JD98),ISNUMBER(DP98)),JD98-DP98,"")</f>
        <v/>
      </c>
      <c r="LA98" s="4" t="str">
        <f t="shared" ref="LA98:LA124" si="501">IF(AND(ISNUMBER(JE98),ISNUMBER(DQ98)),JE98-DQ98,"")</f>
        <v/>
      </c>
      <c r="LB98" s="4" t="str">
        <f t="shared" ref="LB98:LB124" si="502">IF(AND(ISNUMBER(JF98),ISNUMBER(DR98)),JF98-DR98,"")</f>
        <v/>
      </c>
      <c r="LC98" s="4" t="str">
        <f t="shared" ref="LC98:LC124" si="503">IF(AND(ISNUMBER(JG98),ISNUMBER(DS98)),JG98-DS98,"")</f>
        <v/>
      </c>
      <c r="LD98" s="4" t="str">
        <f t="shared" ref="LD98:LD124" si="504">IF(AND(ISNUMBER(JH98),ISNUMBER(DT98)),JH98-DT98,"")</f>
        <v/>
      </c>
      <c r="LE98" s="4" t="str">
        <f t="shared" ref="LE98:LE124" si="505">IF(AND(ISNUMBER(JI98),ISNUMBER(DU98)),JI98-DU98,"")</f>
        <v/>
      </c>
      <c r="LF98" s="4" t="str">
        <f t="shared" ref="LF98:LF124" si="506">IF(AND(ISNUMBER(JJ98),ISNUMBER(DV98)),JJ98-DV98,"")</f>
        <v/>
      </c>
      <c r="LG98" s="4" t="str">
        <f t="shared" ref="LG98:LG124" si="507">IF(AND(ISNUMBER(JK98),ISNUMBER(DW98)),JK98-DW98,"")</f>
        <v/>
      </c>
      <c r="LH98" s="4" t="str">
        <f t="shared" ref="LH98:LH124" si="508">IF(AND(ISNUMBER(JL98),ISNUMBER(DX98)),JL98-DX98,"")</f>
        <v/>
      </c>
      <c r="LI98" s="4" t="str">
        <f t="shared" ref="LI98:LI124" si="509">IF(AND(ISNUMBER(JM98),ISNUMBER(DY98)),JM98-DY98,"")</f>
        <v/>
      </c>
      <c r="LJ98" s="4" t="str">
        <f t="shared" ref="LJ98:LJ124" si="510">IF(AND(ISNUMBER(JN98),ISNUMBER(DZ98)),JN98-DZ98,"")</f>
        <v/>
      </c>
      <c r="LK98" s="4" t="str">
        <f t="shared" ref="LK98:LK124" si="511">IF(AND(ISNUMBER(JO98),ISNUMBER(EA98)),JO98-EA98,"")</f>
        <v/>
      </c>
      <c r="LL98" s="4" t="str">
        <f t="shared" ref="LL98:LL124" si="512">IF(AND(ISNUMBER(JP98),ISNUMBER(EB98)),JP98-EB98,"")</f>
        <v/>
      </c>
      <c r="LM98" s="4" t="str">
        <f t="shared" ref="LM98:LM124" si="513">IF(AND(ISNUMBER(JQ98),ISNUMBER(EC98)),JQ98-EC98,"")</f>
        <v/>
      </c>
      <c r="LN98" s="4" t="str">
        <f t="shared" ref="LN98:LN124" si="514">IF(AND(ISNUMBER(JR98),ISNUMBER(ED98)),JR98-ED98,"")</f>
        <v/>
      </c>
      <c r="LO98" s="4" t="str">
        <f t="shared" ref="LO98:LO124" si="515">IF(AND(ISNUMBER(JS98),ISNUMBER(EE98)),JS98-EE98,"")</f>
        <v/>
      </c>
      <c r="LP98" s="4" t="str">
        <f t="shared" ref="LP98:LP124" si="516">IF(AND(ISNUMBER(JT98),ISNUMBER(EF98)),JT98-EF98,"")</f>
        <v/>
      </c>
      <c r="LQ98" s="4" t="str">
        <f t="shared" ref="LQ98:LQ124" si="517">IF(AND(ISNUMBER(JU98),ISNUMBER(EG98)),JU98-EG98,"")</f>
        <v/>
      </c>
      <c r="LR98" s="4" t="str">
        <f t="shared" ref="LR98:LR124" si="518">IF(AND(ISNUMBER(JV98),ISNUMBER(EH98)),JV98-EH98,"")</f>
        <v/>
      </c>
      <c r="LS98" s="4" t="str">
        <f t="shared" ref="LS98:LS124" si="519">IF(AND(ISNUMBER(JW98),ISNUMBER(EI98)),JW98-EI98,"")</f>
        <v/>
      </c>
      <c r="LT98" s="4" t="str">
        <f t="shared" ref="LT98:LT124" si="520">IF(AND(ISNUMBER(JX98),ISNUMBER(EJ98)),JX98-EJ98,"")</f>
        <v/>
      </c>
      <c r="LU98" s="4" t="str">
        <f t="shared" ref="LU98:LU124" si="521">IF(AND(ISNUMBER(JY98),ISNUMBER(EK98)),JY98-EK98,"")</f>
        <v/>
      </c>
      <c r="LV98" s="4" t="str">
        <f t="shared" ref="LV98:LV124" si="522">IF(AND(ISNUMBER(JZ98),ISNUMBER(EL98)),JZ98-EL98,"")</f>
        <v/>
      </c>
      <c r="LW98" s="4" t="str">
        <f t="shared" ref="LW98:LW124" si="523">IF(AND(ISNUMBER(KA98),ISNUMBER(EM98)),KA98-EM98,"")</f>
        <v/>
      </c>
      <c r="LX98" s="4" t="str">
        <f t="shared" ref="LX98:LX124" si="524">IF(AND(ISNUMBER(KB98),ISNUMBER(EN98)),KB98-EN98,"")</f>
        <v/>
      </c>
      <c r="LY98" s="4" t="str">
        <f t="shared" ref="LY98:LY124" si="525">IF(AND(ISNUMBER(KC98),ISNUMBER(EO98)),KC98-EO98,"")</f>
        <v/>
      </c>
      <c r="LZ98" s="4" t="str">
        <f t="shared" ref="LZ98:LZ124" si="526">IF(AND(ISNUMBER(KD98),ISNUMBER(EP98)),KD98-EP98,"")</f>
        <v/>
      </c>
      <c r="MA98" s="4" t="str">
        <f t="shared" ref="MA98:MA124" si="527">IF(AND(ISNUMBER(KE98),ISNUMBER(EQ98)),KE98-EQ98,"")</f>
        <v/>
      </c>
      <c r="MB98" s="4" t="str">
        <f t="shared" ref="MB98:MB124" si="528">IF(AND(ISNUMBER(KF98),ISNUMBER(ER98)),KF98-ER98,"")</f>
        <v/>
      </c>
      <c r="MC98" s="4" t="str">
        <f t="shared" ref="MC98:MC124" si="529">IF(AND(ISNUMBER(KG98),ISNUMBER(ES98)),KG98-ES98,"")</f>
        <v/>
      </c>
      <c r="MD98" s="4" t="str">
        <f t="shared" ref="MD98:MD124" si="530">IF(AND(ISNUMBER(HW98),ISNUMBER(GA98)),HW98-GA98,"")</f>
        <v/>
      </c>
      <c r="ME98" s="4" t="str">
        <f t="shared" ref="ME98:ME124" si="531">IF(AND(ISNUMBER(HX98),ISNUMBER(GB98)),HX98-GB98,"")</f>
        <v/>
      </c>
      <c r="MF98" s="4" t="str">
        <f t="shared" ref="MF98:MF124" si="532">IF(AND(ISNUMBER(IB98),ISNUMBER(GF98)),IB98-GF98,"")</f>
        <v/>
      </c>
      <c r="MG98" s="4">
        <f t="shared" ref="MG98:MG124" si="533">IC98-GG98</f>
        <v>0</v>
      </c>
    </row>
    <row r="99" spans="1:345" ht="26.25" customHeight="1" x14ac:dyDescent="0.2">
      <c r="A99" s="44">
        <v>41449</v>
      </c>
      <c r="B99" s="36" t="s">
        <v>267</v>
      </c>
      <c r="C99" s="36" t="s">
        <v>268</v>
      </c>
      <c r="D99" s="31" t="s">
        <v>111</v>
      </c>
      <c r="E99" s="4">
        <v>68</v>
      </c>
      <c r="F99" s="3">
        <v>16330</v>
      </c>
      <c r="G99" s="4" t="s">
        <v>87</v>
      </c>
      <c r="H99" s="4" t="s">
        <v>108</v>
      </c>
      <c r="I99" s="45">
        <v>1835573</v>
      </c>
      <c r="J99" s="45"/>
      <c r="K99" s="250"/>
      <c r="L99" s="251"/>
      <c r="M99" s="251"/>
      <c r="N99" s="251"/>
      <c r="O99" s="250"/>
      <c r="P99" s="251"/>
      <c r="Q99" s="251"/>
      <c r="R99" s="33">
        <v>-0.5</v>
      </c>
      <c r="S99" s="33">
        <v>-0.54</v>
      </c>
      <c r="T99" s="33" t="s">
        <v>249</v>
      </c>
      <c r="U99" s="67">
        <v>20.5</v>
      </c>
      <c r="V99" s="125">
        <v>41439</v>
      </c>
      <c r="W99" s="67">
        <v>0</v>
      </c>
      <c r="X99" s="67">
        <v>0</v>
      </c>
      <c r="Y99" s="4">
        <v>0</v>
      </c>
      <c r="Z99" s="4">
        <v>60</v>
      </c>
      <c r="AA99" s="4">
        <v>17</v>
      </c>
      <c r="AB99" s="4">
        <v>506</v>
      </c>
      <c r="AC99" s="4">
        <v>24.38</v>
      </c>
      <c r="AD99" s="4">
        <v>11.7</v>
      </c>
      <c r="AE99" s="4">
        <v>4.67</v>
      </c>
      <c r="AF99" s="4">
        <v>2.72</v>
      </c>
      <c r="AG99" s="4">
        <v>41.46</v>
      </c>
      <c r="AH99" s="4">
        <v>150</v>
      </c>
      <c r="AI99" s="4">
        <v>42.4</v>
      </c>
      <c r="AJ99" s="4">
        <v>60</v>
      </c>
      <c r="AK99" s="4">
        <v>0</v>
      </c>
      <c r="AL99" s="4" t="b">
        <f t="shared" si="406"/>
        <v>0</v>
      </c>
      <c r="AN99" s="54" t="s">
        <v>78</v>
      </c>
      <c r="BC99" s="4" t="str">
        <f t="shared" si="404"/>
        <v/>
      </c>
      <c r="BD99" s="4" t="str">
        <f t="shared" si="405"/>
        <v/>
      </c>
      <c r="BE99" s="4" t="str">
        <f t="shared" si="407"/>
        <v/>
      </c>
      <c r="BF99" s="51" t="s">
        <v>501</v>
      </c>
      <c r="BV99" s="4" t="str">
        <f t="shared" si="408"/>
        <v/>
      </c>
      <c r="BW99" s="4" t="str">
        <f t="shared" si="409"/>
        <v/>
      </c>
      <c r="BX99" s="4">
        <f t="shared" si="403"/>
        <v>0</v>
      </c>
      <c r="BY99" s="4">
        <f t="shared" si="410"/>
        <v>0</v>
      </c>
      <c r="BZ99" s="4" t="str">
        <f t="shared" si="411"/>
        <v/>
      </c>
      <c r="CA99" s="4" t="str">
        <f t="shared" si="412"/>
        <v/>
      </c>
      <c r="CB99" s="4" t="str">
        <f t="shared" si="413"/>
        <v/>
      </c>
      <c r="CC99" s="53">
        <f t="shared" si="414"/>
        <v>0</v>
      </c>
      <c r="CD99" s="55" t="str">
        <f t="shared" si="415"/>
        <v/>
      </c>
      <c r="CE99" s="4" t="str">
        <f t="shared" si="416"/>
        <v/>
      </c>
      <c r="CF99" s="4" t="str">
        <f t="shared" si="417"/>
        <v/>
      </c>
      <c r="CG99" s="4" t="str">
        <f t="shared" si="418"/>
        <v/>
      </c>
      <c r="CH99" s="4" t="str">
        <f t="shared" si="419"/>
        <v/>
      </c>
      <c r="CI99" s="4" t="str">
        <f t="shared" si="420"/>
        <v/>
      </c>
      <c r="CJ99" s="4" t="str">
        <f t="shared" si="421"/>
        <v/>
      </c>
      <c r="CK99" s="93" t="str">
        <f t="shared" si="422"/>
        <v/>
      </c>
      <c r="CL99" s="83" t="str">
        <f t="shared" si="423"/>
        <v/>
      </c>
      <c r="CM99" s="4" t="str">
        <f t="shared" si="424"/>
        <v/>
      </c>
      <c r="CN99" s="96" t="str">
        <f t="shared" si="425"/>
        <v/>
      </c>
      <c r="CO99" s="96" t="str">
        <f t="shared" si="398"/>
        <v/>
      </c>
      <c r="CP99" s="127" t="str">
        <f t="shared" si="426"/>
        <v/>
      </c>
      <c r="CQ99" s="127" t="str">
        <f t="shared" si="427"/>
        <v/>
      </c>
      <c r="CR99" s="136" t="str">
        <f t="shared" si="428"/>
        <v/>
      </c>
      <c r="CS99" s="136" t="str">
        <f t="shared" si="429"/>
        <v/>
      </c>
      <c r="CT99" s="135" t="str">
        <f t="shared" si="430"/>
        <v/>
      </c>
      <c r="CU99" s="139" t="str">
        <f t="shared" si="431"/>
        <v/>
      </c>
      <c r="CV99" s="96" t="str">
        <f t="shared" si="432"/>
        <v/>
      </c>
      <c r="CW99" s="141" t="str">
        <f t="shared" si="433"/>
        <v/>
      </c>
      <c r="CX99">
        <v>544</v>
      </c>
      <c r="CY99" s="4">
        <v>-0.33</v>
      </c>
      <c r="CZ99" s="4">
        <v>-0.79</v>
      </c>
      <c r="DA99" s="4">
        <v>8.31</v>
      </c>
      <c r="DB99" s="4">
        <v>8.16</v>
      </c>
      <c r="DC99" s="4">
        <v>8.11</v>
      </c>
      <c r="DD99" s="4">
        <v>8.26</v>
      </c>
      <c r="DE99" s="4">
        <v>8.57</v>
      </c>
      <c r="DF99" s="4">
        <v>8.74</v>
      </c>
      <c r="DG99" s="4">
        <v>0</v>
      </c>
      <c r="DH99" s="4">
        <v>1</v>
      </c>
      <c r="DI99" s="4">
        <v>7.08</v>
      </c>
      <c r="DJ99" s="4">
        <v>7.04</v>
      </c>
      <c r="DK99" s="4">
        <v>7.03</v>
      </c>
      <c r="DL99" s="4">
        <v>7.19</v>
      </c>
      <c r="DM99" s="4">
        <v>7.57</v>
      </c>
      <c r="DN99" s="4">
        <v>0</v>
      </c>
      <c r="DO99" s="4">
        <v>0</v>
      </c>
      <c r="DP99" s="4">
        <v>1</v>
      </c>
      <c r="IL99" s="83" t="str">
        <f t="shared" si="434"/>
        <v/>
      </c>
      <c r="IM99" s="4" t="str">
        <f t="shared" si="435"/>
        <v/>
      </c>
      <c r="IN99" s="4" t="str">
        <f t="shared" si="436"/>
        <v/>
      </c>
      <c r="IO99" s="4" t="str">
        <f t="shared" si="437"/>
        <v/>
      </c>
      <c r="IP99" s="4" t="str">
        <f t="shared" si="438"/>
        <v/>
      </c>
      <c r="IQ99" s="4" t="str">
        <f t="shared" si="439"/>
        <v/>
      </c>
      <c r="IR99" s="4" t="str">
        <f t="shared" si="440"/>
        <v/>
      </c>
      <c r="IS99" s="4" t="str">
        <f t="shared" si="441"/>
        <v/>
      </c>
      <c r="IT99" s="4" t="str">
        <f t="shared" si="442"/>
        <v/>
      </c>
      <c r="IU99" s="4" t="str">
        <f t="shared" si="443"/>
        <v/>
      </c>
      <c r="IV99" s="4" t="str">
        <f t="shared" si="444"/>
        <v/>
      </c>
      <c r="IW99" s="4" t="str">
        <f t="shared" si="445"/>
        <v/>
      </c>
      <c r="IX99" s="4" t="str">
        <f t="shared" si="446"/>
        <v/>
      </c>
      <c r="IY99" s="4" t="str">
        <f t="shared" si="447"/>
        <v/>
      </c>
      <c r="IZ99" s="4" t="str">
        <f t="shared" si="448"/>
        <v/>
      </c>
      <c r="JA99" s="4" t="str">
        <f t="shared" si="449"/>
        <v/>
      </c>
      <c r="JB99" s="4" t="str">
        <f t="shared" si="450"/>
        <v/>
      </c>
      <c r="JC99" s="4" t="str">
        <f t="shared" si="451"/>
        <v/>
      </c>
      <c r="JD99" s="4" t="str">
        <f t="shared" si="452"/>
        <v/>
      </c>
      <c r="JE99" s="4" t="str">
        <f t="shared" si="453"/>
        <v/>
      </c>
      <c r="JF99" s="4" t="str">
        <f t="shared" si="454"/>
        <v/>
      </c>
      <c r="JG99" s="4" t="str">
        <f t="shared" si="455"/>
        <v/>
      </c>
      <c r="JH99" s="4" t="str">
        <f t="shared" si="456"/>
        <v/>
      </c>
      <c r="JI99" s="4" t="str">
        <f t="shared" si="457"/>
        <v/>
      </c>
      <c r="JJ99" s="4" t="str">
        <f t="shared" si="458"/>
        <v/>
      </c>
      <c r="JK99" s="4" t="str">
        <f t="shared" si="459"/>
        <v/>
      </c>
      <c r="JL99" s="4" t="str">
        <f t="shared" si="460"/>
        <v/>
      </c>
      <c r="JM99" s="4" t="str">
        <f t="shared" si="461"/>
        <v/>
      </c>
      <c r="JN99" s="4" t="str">
        <f t="shared" si="462"/>
        <v/>
      </c>
      <c r="JO99" s="4" t="str">
        <f t="shared" si="463"/>
        <v/>
      </c>
      <c r="JP99" s="4" t="str">
        <f t="shared" si="464"/>
        <v/>
      </c>
      <c r="JQ99" s="117" t="str">
        <f t="shared" si="465"/>
        <v/>
      </c>
      <c r="JR99" s="110" t="str">
        <f t="shared" si="466"/>
        <v/>
      </c>
      <c r="JS99" s="110" t="str">
        <f t="shared" si="467"/>
        <v/>
      </c>
      <c r="JT99" s="110" t="str">
        <f t="shared" si="468"/>
        <v/>
      </c>
      <c r="JU99" s="110" t="str">
        <f t="shared" si="469"/>
        <v/>
      </c>
      <c r="JV99" s="110" t="str">
        <f t="shared" si="470"/>
        <v/>
      </c>
      <c r="JW99" s="110" t="str">
        <f t="shared" si="471"/>
        <v/>
      </c>
      <c r="JX99" s="110" t="str">
        <f t="shared" si="472"/>
        <v/>
      </c>
      <c r="JY99" s="110" t="str">
        <f t="shared" si="473"/>
        <v/>
      </c>
      <c r="JZ99" s="110" t="str">
        <f t="shared" si="474"/>
        <v/>
      </c>
      <c r="KA99" s="110" t="str">
        <f t="shared" si="475"/>
        <v/>
      </c>
      <c r="KB99" s="110" t="str">
        <f t="shared" si="476"/>
        <v/>
      </c>
      <c r="KC99" s="110" t="str">
        <f t="shared" si="477"/>
        <v/>
      </c>
      <c r="KD99" s="110" t="str">
        <f t="shared" si="478"/>
        <v/>
      </c>
      <c r="KE99" s="110" t="str">
        <f t="shared" si="479"/>
        <v/>
      </c>
      <c r="KF99" s="110" t="str">
        <f t="shared" si="480"/>
        <v/>
      </c>
      <c r="KG99" s="121" t="str">
        <f t="shared" si="481"/>
        <v/>
      </c>
      <c r="KH99" s="83" t="str">
        <f t="shared" si="482"/>
        <v/>
      </c>
      <c r="KI99" s="4" t="str">
        <f t="shared" si="483"/>
        <v/>
      </c>
      <c r="KJ99" s="4" t="str">
        <f t="shared" si="484"/>
        <v/>
      </c>
      <c r="KK99" s="4" t="str">
        <f t="shared" si="485"/>
        <v/>
      </c>
      <c r="KL99" s="4" t="str">
        <f t="shared" si="486"/>
        <v/>
      </c>
      <c r="KM99" s="4" t="str">
        <f t="shared" si="487"/>
        <v/>
      </c>
      <c r="KN99" s="4" t="str">
        <f t="shared" si="488"/>
        <v/>
      </c>
      <c r="KO99" s="4" t="str">
        <f t="shared" si="489"/>
        <v/>
      </c>
      <c r="KP99" s="4" t="str">
        <f t="shared" si="490"/>
        <v/>
      </c>
      <c r="KQ99" s="4" t="str">
        <f t="shared" si="491"/>
        <v/>
      </c>
      <c r="KR99" s="4" t="str">
        <f t="shared" si="492"/>
        <v/>
      </c>
      <c r="KS99" s="4" t="str">
        <f t="shared" si="493"/>
        <v/>
      </c>
      <c r="KT99" s="4" t="str">
        <f t="shared" si="494"/>
        <v/>
      </c>
      <c r="KU99" s="4" t="str">
        <f t="shared" si="495"/>
        <v/>
      </c>
      <c r="KV99" s="4" t="str">
        <f t="shared" si="496"/>
        <v/>
      </c>
      <c r="KW99" s="4" t="str">
        <f t="shared" si="497"/>
        <v/>
      </c>
      <c r="KX99" s="4" t="str">
        <f t="shared" si="498"/>
        <v/>
      </c>
      <c r="KY99" s="4" t="str">
        <f t="shared" si="499"/>
        <v/>
      </c>
      <c r="KZ99" s="4" t="str">
        <f t="shared" si="500"/>
        <v/>
      </c>
      <c r="LA99" s="4" t="str">
        <f t="shared" si="501"/>
        <v/>
      </c>
      <c r="LB99" s="4" t="str">
        <f t="shared" si="502"/>
        <v/>
      </c>
      <c r="LC99" s="4" t="str">
        <f t="shared" si="503"/>
        <v/>
      </c>
      <c r="LD99" s="4" t="str">
        <f t="shared" si="504"/>
        <v/>
      </c>
      <c r="LE99" s="4" t="str">
        <f t="shared" si="505"/>
        <v/>
      </c>
      <c r="LF99" s="4" t="str">
        <f t="shared" si="506"/>
        <v/>
      </c>
      <c r="LG99" s="4" t="str">
        <f t="shared" si="507"/>
        <v/>
      </c>
      <c r="LH99" s="4" t="str">
        <f t="shared" si="508"/>
        <v/>
      </c>
      <c r="LI99" s="4" t="str">
        <f t="shared" si="509"/>
        <v/>
      </c>
      <c r="LJ99" s="4" t="str">
        <f t="shared" si="510"/>
        <v/>
      </c>
      <c r="LK99" s="4" t="str">
        <f t="shared" si="511"/>
        <v/>
      </c>
      <c r="LL99" s="4" t="str">
        <f t="shared" si="512"/>
        <v/>
      </c>
      <c r="LM99" s="4" t="str">
        <f t="shared" si="513"/>
        <v/>
      </c>
      <c r="LN99" s="4" t="str">
        <f t="shared" si="514"/>
        <v/>
      </c>
      <c r="LO99" s="4" t="str">
        <f t="shared" si="515"/>
        <v/>
      </c>
      <c r="LP99" s="4" t="str">
        <f t="shared" si="516"/>
        <v/>
      </c>
      <c r="LQ99" s="4" t="str">
        <f t="shared" si="517"/>
        <v/>
      </c>
      <c r="LR99" s="4" t="str">
        <f t="shared" si="518"/>
        <v/>
      </c>
      <c r="LS99" s="4" t="str">
        <f t="shared" si="519"/>
        <v/>
      </c>
      <c r="LT99" s="4" t="str">
        <f t="shared" si="520"/>
        <v/>
      </c>
      <c r="LU99" s="4" t="str">
        <f t="shared" si="521"/>
        <v/>
      </c>
      <c r="LV99" s="4" t="str">
        <f t="shared" si="522"/>
        <v/>
      </c>
      <c r="LW99" s="4" t="str">
        <f t="shared" si="523"/>
        <v/>
      </c>
      <c r="LX99" s="4" t="str">
        <f t="shared" si="524"/>
        <v/>
      </c>
      <c r="LY99" s="4" t="str">
        <f t="shared" si="525"/>
        <v/>
      </c>
      <c r="LZ99" s="4" t="str">
        <f t="shared" si="526"/>
        <v/>
      </c>
      <c r="MA99" s="4" t="str">
        <f t="shared" si="527"/>
        <v/>
      </c>
      <c r="MB99" s="4" t="str">
        <f t="shared" si="528"/>
        <v/>
      </c>
      <c r="MC99" s="4" t="str">
        <f t="shared" si="529"/>
        <v/>
      </c>
      <c r="MD99" s="4" t="str">
        <f t="shared" si="530"/>
        <v/>
      </c>
      <c r="ME99" s="4" t="str">
        <f t="shared" si="531"/>
        <v/>
      </c>
      <c r="MF99" s="4" t="str">
        <f t="shared" si="532"/>
        <v/>
      </c>
      <c r="MG99" s="4">
        <f t="shared" si="533"/>
        <v>0</v>
      </c>
    </row>
    <row r="100" spans="1:345" ht="26.25" customHeight="1" thickBot="1" x14ac:dyDescent="0.25">
      <c r="A100" s="35">
        <v>41204</v>
      </c>
      <c r="B100" s="36" t="s">
        <v>142</v>
      </c>
      <c r="C100" s="36" t="s">
        <v>7</v>
      </c>
      <c r="D100" s="31" t="s">
        <v>110</v>
      </c>
      <c r="E100" s="36">
        <v>51</v>
      </c>
      <c r="F100" s="35">
        <v>22555</v>
      </c>
      <c r="G100" s="36" t="s">
        <v>87</v>
      </c>
      <c r="H100" s="36" t="s">
        <v>108</v>
      </c>
      <c r="I100" s="36">
        <v>1835596</v>
      </c>
      <c r="J100" s="2" t="s">
        <v>309</v>
      </c>
      <c r="N100" s="51" t="s">
        <v>653</v>
      </c>
      <c r="R100" s="33">
        <v>-0.5</v>
      </c>
      <c r="S100" s="4">
        <v>-0.48</v>
      </c>
      <c r="T100" s="33" t="s">
        <v>249</v>
      </c>
      <c r="U100" s="67">
        <v>15</v>
      </c>
      <c r="V100" s="124">
        <v>41159</v>
      </c>
      <c r="W100" s="70">
        <v>-3.5</v>
      </c>
      <c r="X100" s="70">
        <v>0.5</v>
      </c>
      <c r="Y100" s="36">
        <v>122</v>
      </c>
      <c r="Z100" s="36">
        <v>25</v>
      </c>
      <c r="AA100" s="36">
        <v>11</v>
      </c>
      <c r="AB100" s="36">
        <v>606</v>
      </c>
      <c r="AC100" s="4">
        <v>24.02</v>
      </c>
      <c r="AD100" s="4">
        <v>11.5</v>
      </c>
      <c r="AE100" s="4">
        <v>4.13</v>
      </c>
      <c r="AF100" s="4">
        <v>3.9</v>
      </c>
      <c r="AG100" s="4">
        <v>46.87</v>
      </c>
      <c r="AH100" s="4">
        <v>1</v>
      </c>
      <c r="AI100" s="4">
        <v>47.67</v>
      </c>
      <c r="AJ100" s="4">
        <v>91</v>
      </c>
      <c r="AK100" s="4">
        <v>1</v>
      </c>
      <c r="AL100" s="4" t="b">
        <f t="shared" si="406"/>
        <v>1</v>
      </c>
      <c r="AM100" s="54"/>
      <c r="AN100" s="32" t="s">
        <v>78</v>
      </c>
      <c r="AO100" s="60"/>
      <c r="AP100" s="69"/>
      <c r="AQ100" s="69"/>
      <c r="AR100" s="64"/>
      <c r="AS100" s="64"/>
      <c r="AT100" s="64"/>
      <c r="AU100" s="64"/>
      <c r="AV100" s="64"/>
      <c r="BC100" s="4" t="str">
        <f t="shared" si="404"/>
        <v/>
      </c>
      <c r="BD100" s="4" t="str">
        <f t="shared" si="405"/>
        <v/>
      </c>
      <c r="BE100" s="4" t="str">
        <f t="shared" si="407"/>
        <v/>
      </c>
      <c r="BF100" s="3" t="s">
        <v>78</v>
      </c>
      <c r="BU100" s="4" t="str">
        <f t="shared" ref="BU100:BU119" si="534">IF(ISNUMBER(BH100),BH100+0.5*BI100,"")</f>
        <v/>
      </c>
      <c r="BV100" s="4" t="str">
        <f t="shared" si="408"/>
        <v/>
      </c>
      <c r="BW100" s="4" t="str">
        <f t="shared" si="409"/>
        <v/>
      </c>
      <c r="BX100" s="4">
        <f t="shared" si="403"/>
        <v>0</v>
      </c>
      <c r="BY100" s="4">
        <f t="shared" si="410"/>
        <v>0</v>
      </c>
      <c r="BZ100" s="4" t="str">
        <f t="shared" si="411"/>
        <v/>
      </c>
      <c r="CA100" s="4" t="str">
        <f t="shared" si="412"/>
        <v/>
      </c>
      <c r="CB100" s="4" t="str">
        <f t="shared" si="413"/>
        <v/>
      </c>
      <c r="CC100" s="53">
        <f t="shared" si="414"/>
        <v>0</v>
      </c>
      <c r="CD100" s="55" t="str">
        <f t="shared" si="415"/>
        <v/>
      </c>
      <c r="CE100" s="4" t="str">
        <f t="shared" si="416"/>
        <v/>
      </c>
      <c r="CF100" s="4" t="str">
        <f t="shared" si="417"/>
        <v/>
      </c>
      <c r="CG100" s="4" t="str">
        <f t="shared" si="418"/>
        <v/>
      </c>
      <c r="CH100" s="4" t="str">
        <f t="shared" si="419"/>
        <v/>
      </c>
      <c r="CI100" s="4" t="str">
        <f t="shared" si="420"/>
        <v/>
      </c>
      <c r="CJ100" s="4" t="str">
        <f t="shared" si="421"/>
        <v/>
      </c>
      <c r="CK100" s="93" t="str">
        <f t="shared" si="422"/>
        <v/>
      </c>
      <c r="CL100" s="83" t="str">
        <f t="shared" si="423"/>
        <v/>
      </c>
      <c r="CM100" s="4" t="str">
        <f t="shared" si="424"/>
        <v/>
      </c>
      <c r="CN100" s="96" t="str">
        <f t="shared" si="425"/>
        <v/>
      </c>
      <c r="CO100" s="96" t="str">
        <f t="shared" si="398"/>
        <v/>
      </c>
      <c r="CP100" s="127" t="str">
        <f t="shared" si="426"/>
        <v/>
      </c>
      <c r="CQ100" s="127" t="str">
        <f t="shared" si="427"/>
        <v/>
      </c>
      <c r="CR100" s="136" t="str">
        <f t="shared" si="428"/>
        <v/>
      </c>
      <c r="CS100" s="136" t="str">
        <f t="shared" si="429"/>
        <v/>
      </c>
      <c r="CT100" s="135" t="str">
        <f t="shared" si="430"/>
        <v/>
      </c>
      <c r="CU100" s="139" t="str">
        <f t="shared" si="431"/>
        <v/>
      </c>
      <c r="CV100" s="96" t="str">
        <f t="shared" si="432"/>
        <v/>
      </c>
      <c r="CW100" s="141" t="str">
        <f t="shared" si="433"/>
        <v/>
      </c>
      <c r="IL100" s="83" t="str">
        <f t="shared" si="434"/>
        <v/>
      </c>
      <c r="IM100" s="4" t="str">
        <f t="shared" si="435"/>
        <v/>
      </c>
      <c r="IN100" s="4" t="str">
        <f t="shared" si="436"/>
        <v/>
      </c>
      <c r="IO100" s="4" t="str">
        <f t="shared" si="437"/>
        <v/>
      </c>
      <c r="IP100" s="4" t="str">
        <f t="shared" si="438"/>
        <v/>
      </c>
      <c r="IQ100" s="4" t="str">
        <f t="shared" si="439"/>
        <v/>
      </c>
      <c r="IR100" s="4" t="str">
        <f t="shared" si="440"/>
        <v/>
      </c>
      <c r="IS100" s="4" t="str">
        <f t="shared" si="441"/>
        <v/>
      </c>
      <c r="IT100" s="4" t="str">
        <f t="shared" si="442"/>
        <v/>
      </c>
      <c r="IU100" s="4" t="str">
        <f t="shared" si="443"/>
        <v/>
      </c>
      <c r="IV100" s="4" t="str">
        <f t="shared" si="444"/>
        <v/>
      </c>
      <c r="IW100" s="4" t="str">
        <f t="shared" si="445"/>
        <v/>
      </c>
      <c r="IX100" s="4" t="str">
        <f t="shared" si="446"/>
        <v/>
      </c>
      <c r="IY100" s="4" t="str">
        <f t="shared" si="447"/>
        <v/>
      </c>
      <c r="IZ100" s="4" t="str">
        <f t="shared" si="448"/>
        <v/>
      </c>
      <c r="JA100" s="4" t="str">
        <f t="shared" si="449"/>
        <v/>
      </c>
      <c r="JB100" s="4" t="str">
        <f t="shared" si="450"/>
        <v/>
      </c>
      <c r="JC100" s="4" t="str">
        <f t="shared" si="451"/>
        <v/>
      </c>
      <c r="JD100" s="4" t="str">
        <f t="shared" si="452"/>
        <v/>
      </c>
      <c r="JE100" s="4" t="str">
        <f t="shared" si="453"/>
        <v/>
      </c>
      <c r="JF100" s="4" t="str">
        <f t="shared" si="454"/>
        <v/>
      </c>
      <c r="JG100" s="4" t="str">
        <f t="shared" si="455"/>
        <v/>
      </c>
      <c r="JH100" s="4" t="str">
        <f t="shared" si="456"/>
        <v/>
      </c>
      <c r="JI100" s="4" t="str">
        <f t="shared" si="457"/>
        <v/>
      </c>
      <c r="JJ100" s="4" t="str">
        <f t="shared" si="458"/>
        <v/>
      </c>
      <c r="JK100" s="4" t="str">
        <f t="shared" si="459"/>
        <v/>
      </c>
      <c r="JL100" s="4" t="str">
        <f t="shared" si="460"/>
        <v/>
      </c>
      <c r="JM100" s="4" t="str">
        <f t="shared" si="461"/>
        <v/>
      </c>
      <c r="JN100" s="4" t="str">
        <f t="shared" si="462"/>
        <v/>
      </c>
      <c r="JO100" s="4" t="str">
        <f t="shared" si="463"/>
        <v/>
      </c>
      <c r="JP100" s="4" t="str">
        <f t="shared" si="464"/>
        <v/>
      </c>
      <c r="JQ100" s="117" t="str">
        <f t="shared" si="465"/>
        <v/>
      </c>
      <c r="JR100" s="110" t="str">
        <f t="shared" si="466"/>
        <v/>
      </c>
      <c r="JS100" s="110" t="str">
        <f t="shared" si="467"/>
        <v/>
      </c>
      <c r="JT100" s="110" t="str">
        <f t="shared" si="468"/>
        <v/>
      </c>
      <c r="JU100" s="110" t="str">
        <f t="shared" si="469"/>
        <v/>
      </c>
      <c r="JV100" s="110" t="str">
        <f t="shared" si="470"/>
        <v/>
      </c>
      <c r="JW100" s="110" t="str">
        <f t="shared" si="471"/>
        <v/>
      </c>
      <c r="JX100" s="110" t="str">
        <f t="shared" si="472"/>
        <v/>
      </c>
      <c r="JY100" s="110" t="str">
        <f t="shared" si="473"/>
        <v/>
      </c>
      <c r="JZ100" s="110" t="str">
        <f t="shared" si="474"/>
        <v/>
      </c>
      <c r="KA100" s="110" t="str">
        <f t="shared" si="475"/>
        <v/>
      </c>
      <c r="KB100" s="110" t="str">
        <f t="shared" si="476"/>
        <v/>
      </c>
      <c r="KC100" s="110" t="str">
        <f t="shared" si="477"/>
        <v/>
      </c>
      <c r="KD100" s="110" t="str">
        <f t="shared" si="478"/>
        <v/>
      </c>
      <c r="KE100" s="110" t="str">
        <f t="shared" si="479"/>
        <v/>
      </c>
      <c r="KF100" s="110" t="str">
        <f t="shared" si="480"/>
        <v/>
      </c>
      <c r="KG100" s="121" t="str">
        <f t="shared" si="481"/>
        <v/>
      </c>
      <c r="KH100" s="83" t="str">
        <f t="shared" si="482"/>
        <v/>
      </c>
      <c r="KI100" s="4" t="str">
        <f t="shared" si="483"/>
        <v/>
      </c>
      <c r="KJ100" s="4" t="str">
        <f t="shared" si="484"/>
        <v/>
      </c>
      <c r="KK100" s="4" t="str">
        <f t="shared" si="485"/>
        <v/>
      </c>
      <c r="KL100" s="4" t="str">
        <f t="shared" si="486"/>
        <v/>
      </c>
      <c r="KM100" s="4" t="str">
        <f t="shared" si="487"/>
        <v/>
      </c>
      <c r="KN100" s="4" t="str">
        <f t="shared" si="488"/>
        <v/>
      </c>
      <c r="KO100" s="4" t="str">
        <f t="shared" si="489"/>
        <v/>
      </c>
      <c r="KP100" s="4" t="str">
        <f t="shared" si="490"/>
        <v/>
      </c>
      <c r="KQ100" s="4" t="str">
        <f t="shared" si="491"/>
        <v/>
      </c>
      <c r="KR100" s="4" t="str">
        <f t="shared" si="492"/>
        <v/>
      </c>
      <c r="KS100" s="4" t="str">
        <f t="shared" si="493"/>
        <v/>
      </c>
      <c r="KT100" s="4" t="str">
        <f t="shared" si="494"/>
        <v/>
      </c>
      <c r="KU100" s="4" t="str">
        <f t="shared" si="495"/>
        <v/>
      </c>
      <c r="KV100" s="4" t="str">
        <f t="shared" si="496"/>
        <v/>
      </c>
      <c r="KW100" s="4" t="str">
        <f t="shared" si="497"/>
        <v/>
      </c>
      <c r="KX100" s="4" t="str">
        <f t="shared" si="498"/>
        <v/>
      </c>
      <c r="KY100" s="4" t="str">
        <f t="shared" si="499"/>
        <v/>
      </c>
      <c r="KZ100" s="4" t="str">
        <f t="shared" si="500"/>
        <v/>
      </c>
      <c r="LA100" s="4" t="str">
        <f t="shared" si="501"/>
        <v/>
      </c>
      <c r="LB100" s="4" t="str">
        <f t="shared" si="502"/>
        <v/>
      </c>
      <c r="LC100" s="4" t="str">
        <f t="shared" si="503"/>
        <v/>
      </c>
      <c r="LD100" s="4" t="str">
        <f t="shared" si="504"/>
        <v/>
      </c>
      <c r="LE100" s="4" t="str">
        <f t="shared" si="505"/>
        <v/>
      </c>
      <c r="LF100" s="4" t="str">
        <f t="shared" si="506"/>
        <v/>
      </c>
      <c r="LG100" s="4" t="str">
        <f t="shared" si="507"/>
        <v/>
      </c>
      <c r="LH100" s="4" t="str">
        <f t="shared" si="508"/>
        <v/>
      </c>
      <c r="LI100" s="4" t="str">
        <f t="shared" si="509"/>
        <v/>
      </c>
      <c r="LJ100" s="4" t="str">
        <f t="shared" si="510"/>
        <v/>
      </c>
      <c r="LK100" s="4" t="str">
        <f t="shared" si="511"/>
        <v/>
      </c>
      <c r="LL100" s="4" t="str">
        <f t="shared" si="512"/>
        <v/>
      </c>
      <c r="LM100" s="4" t="str">
        <f t="shared" si="513"/>
        <v/>
      </c>
      <c r="LN100" s="4" t="str">
        <f t="shared" si="514"/>
        <v/>
      </c>
      <c r="LO100" s="4" t="str">
        <f t="shared" si="515"/>
        <v/>
      </c>
      <c r="LP100" s="4" t="str">
        <f t="shared" si="516"/>
        <v/>
      </c>
      <c r="LQ100" s="4" t="str">
        <f t="shared" si="517"/>
        <v/>
      </c>
      <c r="LR100" s="4" t="str">
        <f t="shared" si="518"/>
        <v/>
      </c>
      <c r="LS100" s="4" t="str">
        <f t="shared" si="519"/>
        <v/>
      </c>
      <c r="LT100" s="4" t="str">
        <f t="shared" si="520"/>
        <v/>
      </c>
      <c r="LU100" s="4" t="str">
        <f t="shared" si="521"/>
        <v/>
      </c>
      <c r="LV100" s="4" t="str">
        <f t="shared" si="522"/>
        <v/>
      </c>
      <c r="LW100" s="4" t="str">
        <f t="shared" si="523"/>
        <v/>
      </c>
      <c r="LX100" s="4" t="str">
        <f t="shared" si="524"/>
        <v/>
      </c>
      <c r="LY100" s="4" t="str">
        <f t="shared" si="525"/>
        <v/>
      </c>
      <c r="LZ100" s="4" t="str">
        <f t="shared" si="526"/>
        <v/>
      </c>
      <c r="MA100" s="4" t="str">
        <f t="shared" si="527"/>
        <v/>
      </c>
      <c r="MB100" s="4" t="str">
        <f t="shared" si="528"/>
        <v/>
      </c>
      <c r="MC100" s="4" t="str">
        <f t="shared" si="529"/>
        <v/>
      </c>
      <c r="MD100" s="4" t="str">
        <f t="shared" si="530"/>
        <v/>
      </c>
      <c r="ME100" s="4" t="str">
        <f t="shared" si="531"/>
        <v/>
      </c>
      <c r="MF100" s="4" t="str">
        <f t="shared" si="532"/>
        <v/>
      </c>
      <c r="MG100" s="4">
        <f t="shared" si="533"/>
        <v>0</v>
      </c>
    </row>
    <row r="101" spans="1:345" ht="26.25" customHeight="1" thickBot="1" x14ac:dyDescent="0.25">
      <c r="A101" s="35">
        <v>41185</v>
      </c>
      <c r="B101" s="36" t="s">
        <v>157</v>
      </c>
      <c r="C101" s="36" t="s">
        <v>7</v>
      </c>
      <c r="D101" s="31" t="s">
        <v>111</v>
      </c>
      <c r="E101" s="4">
        <v>51</v>
      </c>
      <c r="F101" s="3">
        <v>22555</v>
      </c>
      <c r="G101" s="4" t="s">
        <v>87</v>
      </c>
      <c r="H101" s="4" t="s">
        <v>108</v>
      </c>
      <c r="I101" s="4">
        <v>1835596</v>
      </c>
      <c r="K101" s="230"/>
      <c r="L101" s="231"/>
      <c r="M101" s="231"/>
      <c r="N101" s="231"/>
      <c r="O101" s="261"/>
      <c r="P101" s="231"/>
      <c r="Q101" s="231"/>
      <c r="R101" s="33">
        <v>-0.5</v>
      </c>
      <c r="S101" s="33">
        <v>-0.46</v>
      </c>
      <c r="T101" s="33" t="s">
        <v>249</v>
      </c>
      <c r="U101" s="67">
        <v>15</v>
      </c>
      <c r="V101" s="124">
        <v>41159</v>
      </c>
      <c r="W101" s="67">
        <v>-4.25</v>
      </c>
      <c r="X101" s="67">
        <v>0.75</v>
      </c>
      <c r="Y101" s="4">
        <v>88</v>
      </c>
      <c r="Z101" s="4">
        <v>25</v>
      </c>
      <c r="AA101" s="4">
        <v>11</v>
      </c>
      <c r="AB101" s="4">
        <v>600</v>
      </c>
      <c r="AC101" s="4">
        <v>24.38</v>
      </c>
      <c r="AD101" s="4">
        <v>11.6</v>
      </c>
      <c r="AE101" s="4">
        <v>4.1500000000000004</v>
      </c>
      <c r="AF101" s="4">
        <v>3.95</v>
      </c>
      <c r="AG101" s="4">
        <v>74.739999999999995</v>
      </c>
      <c r="AH101" s="4">
        <v>26</v>
      </c>
      <c r="AI101" s="4">
        <v>48.21</v>
      </c>
      <c r="AJ101" s="4">
        <v>116</v>
      </c>
      <c r="AK101" s="4">
        <v>0</v>
      </c>
      <c r="AL101" s="4" t="b">
        <f t="shared" si="406"/>
        <v>0</v>
      </c>
      <c r="AN101" s="4" t="s">
        <v>78</v>
      </c>
      <c r="BC101" s="4" t="str">
        <f t="shared" si="404"/>
        <v/>
      </c>
      <c r="BD101" s="4" t="str">
        <f t="shared" si="405"/>
        <v/>
      </c>
      <c r="BE101" s="4" t="str">
        <f t="shared" si="407"/>
        <v/>
      </c>
      <c r="BF101" s="51" t="s">
        <v>501</v>
      </c>
      <c r="BU101" s="4" t="str">
        <f t="shared" si="534"/>
        <v/>
      </c>
      <c r="BV101" s="4" t="str">
        <f t="shared" si="408"/>
        <v/>
      </c>
      <c r="BW101" s="4" t="str">
        <f t="shared" si="409"/>
        <v/>
      </c>
      <c r="BX101" s="4">
        <f t="shared" si="403"/>
        <v>0</v>
      </c>
      <c r="BY101" s="4">
        <f t="shared" si="410"/>
        <v>0</v>
      </c>
      <c r="BZ101" s="4" t="str">
        <f t="shared" si="411"/>
        <v/>
      </c>
      <c r="CA101" s="4" t="str">
        <f t="shared" si="412"/>
        <v/>
      </c>
      <c r="CB101" s="4" t="str">
        <f t="shared" si="413"/>
        <v/>
      </c>
      <c r="CC101" s="53">
        <f t="shared" si="414"/>
        <v>0</v>
      </c>
      <c r="CD101" s="55" t="str">
        <f t="shared" si="415"/>
        <v/>
      </c>
      <c r="CE101" s="4" t="str">
        <f t="shared" si="416"/>
        <v/>
      </c>
      <c r="CF101" s="4" t="str">
        <f t="shared" si="417"/>
        <v/>
      </c>
      <c r="CG101" s="4" t="str">
        <f t="shared" si="418"/>
        <v/>
      </c>
      <c r="CH101" s="4" t="str">
        <f t="shared" si="419"/>
        <v/>
      </c>
      <c r="CI101" s="4" t="str">
        <f t="shared" si="420"/>
        <v/>
      </c>
      <c r="CJ101" s="4" t="str">
        <f t="shared" si="421"/>
        <v/>
      </c>
      <c r="CK101" s="93" t="str">
        <f t="shared" si="422"/>
        <v/>
      </c>
      <c r="CL101" s="83" t="str">
        <f t="shared" si="423"/>
        <v/>
      </c>
      <c r="CM101" s="4" t="str">
        <f t="shared" si="424"/>
        <v/>
      </c>
      <c r="CN101" s="96" t="str">
        <f t="shared" si="425"/>
        <v/>
      </c>
      <c r="CO101" s="96" t="str">
        <f t="shared" si="398"/>
        <v/>
      </c>
      <c r="CP101" s="127" t="str">
        <f t="shared" si="426"/>
        <v/>
      </c>
      <c r="CQ101" s="127" t="str">
        <f t="shared" si="427"/>
        <v/>
      </c>
      <c r="CR101" s="136" t="str">
        <f t="shared" si="428"/>
        <v/>
      </c>
      <c r="CS101" s="136" t="str">
        <f t="shared" si="429"/>
        <v/>
      </c>
      <c r="CT101" s="135" t="str">
        <f t="shared" si="430"/>
        <v/>
      </c>
      <c r="CU101" s="139" t="str">
        <f t="shared" si="431"/>
        <v/>
      </c>
      <c r="CV101" s="96" t="str">
        <f t="shared" si="432"/>
        <v/>
      </c>
      <c r="CW101" s="141" t="str">
        <f t="shared" si="433"/>
        <v/>
      </c>
      <c r="IL101" s="83" t="str">
        <f t="shared" si="434"/>
        <v/>
      </c>
      <c r="IM101" s="4" t="str">
        <f t="shared" si="435"/>
        <v/>
      </c>
      <c r="IN101" s="4" t="str">
        <f t="shared" si="436"/>
        <v/>
      </c>
      <c r="IO101" s="4" t="str">
        <f t="shared" si="437"/>
        <v/>
      </c>
      <c r="IP101" s="4" t="str">
        <f t="shared" si="438"/>
        <v/>
      </c>
      <c r="IQ101" s="4" t="str">
        <f t="shared" si="439"/>
        <v/>
      </c>
      <c r="IR101" s="4" t="str">
        <f t="shared" si="440"/>
        <v/>
      </c>
      <c r="IS101" s="4" t="str">
        <f t="shared" si="441"/>
        <v/>
      </c>
      <c r="IT101" s="4" t="str">
        <f t="shared" si="442"/>
        <v/>
      </c>
      <c r="IU101" s="4" t="str">
        <f t="shared" si="443"/>
        <v/>
      </c>
      <c r="IV101" s="4" t="str">
        <f t="shared" si="444"/>
        <v/>
      </c>
      <c r="IW101" s="4" t="str">
        <f t="shared" si="445"/>
        <v/>
      </c>
      <c r="IX101" s="4" t="str">
        <f t="shared" si="446"/>
        <v/>
      </c>
      <c r="IY101" s="4" t="str">
        <f t="shared" si="447"/>
        <v/>
      </c>
      <c r="IZ101" s="4" t="str">
        <f t="shared" si="448"/>
        <v/>
      </c>
      <c r="JA101" s="4" t="str">
        <f t="shared" si="449"/>
        <v/>
      </c>
      <c r="JB101" s="4" t="str">
        <f t="shared" si="450"/>
        <v/>
      </c>
      <c r="JC101" s="4" t="str">
        <f t="shared" si="451"/>
        <v/>
      </c>
      <c r="JD101" s="4" t="str">
        <f t="shared" si="452"/>
        <v/>
      </c>
      <c r="JE101" s="4" t="str">
        <f t="shared" si="453"/>
        <v/>
      </c>
      <c r="JF101" s="4" t="str">
        <f t="shared" si="454"/>
        <v/>
      </c>
      <c r="JG101" s="4" t="str">
        <f t="shared" si="455"/>
        <v/>
      </c>
      <c r="JH101" s="4" t="str">
        <f t="shared" si="456"/>
        <v/>
      </c>
      <c r="JI101" s="4" t="str">
        <f t="shared" si="457"/>
        <v/>
      </c>
      <c r="JJ101" s="4" t="str">
        <f t="shared" si="458"/>
        <v/>
      </c>
      <c r="JK101" s="4" t="str">
        <f t="shared" si="459"/>
        <v/>
      </c>
      <c r="JL101" s="4" t="str">
        <f t="shared" si="460"/>
        <v/>
      </c>
      <c r="JM101" s="4" t="str">
        <f t="shared" si="461"/>
        <v/>
      </c>
      <c r="JN101" s="4" t="str">
        <f t="shared" si="462"/>
        <v/>
      </c>
      <c r="JO101" s="4" t="str">
        <f t="shared" si="463"/>
        <v/>
      </c>
      <c r="JP101" s="4" t="str">
        <f t="shared" si="464"/>
        <v/>
      </c>
      <c r="JQ101" s="117" t="str">
        <f t="shared" si="465"/>
        <v/>
      </c>
      <c r="JR101" s="110" t="str">
        <f t="shared" si="466"/>
        <v/>
      </c>
      <c r="JS101" s="110" t="str">
        <f t="shared" si="467"/>
        <v/>
      </c>
      <c r="JT101" s="110" t="str">
        <f t="shared" si="468"/>
        <v/>
      </c>
      <c r="JU101" s="110" t="str">
        <f t="shared" si="469"/>
        <v/>
      </c>
      <c r="JV101" s="110" t="str">
        <f t="shared" si="470"/>
        <v/>
      </c>
      <c r="JW101" s="110" t="str">
        <f t="shared" si="471"/>
        <v/>
      </c>
      <c r="JX101" s="110" t="str">
        <f t="shared" si="472"/>
        <v/>
      </c>
      <c r="JY101" s="110" t="str">
        <f t="shared" si="473"/>
        <v/>
      </c>
      <c r="JZ101" s="110" t="str">
        <f t="shared" si="474"/>
        <v/>
      </c>
      <c r="KA101" s="110" t="str">
        <f t="shared" si="475"/>
        <v/>
      </c>
      <c r="KB101" s="110" t="str">
        <f t="shared" si="476"/>
        <v/>
      </c>
      <c r="KC101" s="110" t="str">
        <f t="shared" si="477"/>
        <v/>
      </c>
      <c r="KD101" s="110" t="str">
        <f t="shared" si="478"/>
        <v/>
      </c>
      <c r="KE101" s="110" t="str">
        <f t="shared" si="479"/>
        <v/>
      </c>
      <c r="KF101" s="110" t="str">
        <f t="shared" si="480"/>
        <v/>
      </c>
      <c r="KG101" s="121" t="str">
        <f t="shared" si="481"/>
        <v/>
      </c>
      <c r="KH101" s="83" t="str">
        <f t="shared" si="482"/>
        <v/>
      </c>
      <c r="KI101" s="4" t="str">
        <f t="shared" si="483"/>
        <v/>
      </c>
      <c r="KJ101" s="4" t="str">
        <f t="shared" si="484"/>
        <v/>
      </c>
      <c r="KK101" s="4" t="str">
        <f t="shared" si="485"/>
        <v/>
      </c>
      <c r="KL101" s="4" t="str">
        <f t="shared" si="486"/>
        <v/>
      </c>
      <c r="KM101" s="4" t="str">
        <f t="shared" si="487"/>
        <v/>
      </c>
      <c r="KN101" s="4" t="str">
        <f t="shared" si="488"/>
        <v/>
      </c>
      <c r="KO101" s="4" t="str">
        <f t="shared" si="489"/>
        <v/>
      </c>
      <c r="KP101" s="4" t="str">
        <f t="shared" si="490"/>
        <v/>
      </c>
      <c r="KQ101" s="4" t="str">
        <f t="shared" si="491"/>
        <v/>
      </c>
      <c r="KR101" s="4" t="str">
        <f t="shared" si="492"/>
        <v/>
      </c>
      <c r="KS101" s="4" t="str">
        <f t="shared" si="493"/>
        <v/>
      </c>
      <c r="KT101" s="4" t="str">
        <f t="shared" si="494"/>
        <v/>
      </c>
      <c r="KU101" s="4" t="str">
        <f t="shared" si="495"/>
        <v/>
      </c>
      <c r="KV101" s="4" t="str">
        <f t="shared" si="496"/>
        <v/>
      </c>
      <c r="KW101" s="4" t="str">
        <f t="shared" si="497"/>
        <v/>
      </c>
      <c r="KX101" s="4" t="str">
        <f t="shared" si="498"/>
        <v/>
      </c>
      <c r="KY101" s="4" t="str">
        <f t="shared" si="499"/>
        <v/>
      </c>
      <c r="KZ101" s="4" t="str">
        <f t="shared" si="500"/>
        <v/>
      </c>
      <c r="LA101" s="4" t="str">
        <f t="shared" si="501"/>
        <v/>
      </c>
      <c r="LB101" s="4" t="str">
        <f t="shared" si="502"/>
        <v/>
      </c>
      <c r="LC101" s="4" t="str">
        <f t="shared" si="503"/>
        <v/>
      </c>
      <c r="LD101" s="4" t="str">
        <f t="shared" si="504"/>
        <v/>
      </c>
      <c r="LE101" s="4" t="str">
        <f t="shared" si="505"/>
        <v/>
      </c>
      <c r="LF101" s="4" t="str">
        <f t="shared" si="506"/>
        <v/>
      </c>
      <c r="LG101" s="4" t="str">
        <f t="shared" si="507"/>
        <v/>
      </c>
      <c r="LH101" s="4" t="str">
        <f t="shared" si="508"/>
        <v/>
      </c>
      <c r="LI101" s="4" t="str">
        <f t="shared" si="509"/>
        <v/>
      </c>
      <c r="LJ101" s="4" t="str">
        <f t="shared" si="510"/>
        <v/>
      </c>
      <c r="LK101" s="4" t="str">
        <f t="shared" si="511"/>
        <v/>
      </c>
      <c r="LL101" s="4" t="str">
        <f t="shared" si="512"/>
        <v/>
      </c>
      <c r="LM101" s="4" t="str">
        <f t="shared" si="513"/>
        <v/>
      </c>
      <c r="LN101" s="4" t="str">
        <f t="shared" si="514"/>
        <v/>
      </c>
      <c r="LO101" s="4" t="str">
        <f t="shared" si="515"/>
        <v/>
      </c>
      <c r="LP101" s="4" t="str">
        <f t="shared" si="516"/>
        <v/>
      </c>
      <c r="LQ101" s="4" t="str">
        <f t="shared" si="517"/>
        <v/>
      </c>
      <c r="LR101" s="4" t="str">
        <f t="shared" si="518"/>
        <v/>
      </c>
      <c r="LS101" s="4" t="str">
        <f t="shared" si="519"/>
        <v/>
      </c>
      <c r="LT101" s="4" t="str">
        <f t="shared" si="520"/>
        <v/>
      </c>
      <c r="LU101" s="4" t="str">
        <f t="shared" si="521"/>
        <v/>
      </c>
      <c r="LV101" s="4" t="str">
        <f t="shared" si="522"/>
        <v/>
      </c>
      <c r="LW101" s="4" t="str">
        <f t="shared" si="523"/>
        <v/>
      </c>
      <c r="LX101" s="4" t="str">
        <f t="shared" si="524"/>
        <v/>
      </c>
      <c r="LY101" s="4" t="str">
        <f t="shared" si="525"/>
        <v/>
      </c>
      <c r="LZ101" s="4" t="str">
        <f t="shared" si="526"/>
        <v/>
      </c>
      <c r="MA101" s="4" t="str">
        <f t="shared" si="527"/>
        <v/>
      </c>
      <c r="MB101" s="4" t="str">
        <f t="shared" si="528"/>
        <v/>
      </c>
      <c r="MC101" s="4" t="str">
        <f t="shared" si="529"/>
        <v/>
      </c>
      <c r="MD101" s="4" t="str">
        <f t="shared" si="530"/>
        <v/>
      </c>
      <c r="ME101" s="4" t="str">
        <f t="shared" si="531"/>
        <v/>
      </c>
      <c r="MF101" s="4" t="str">
        <f t="shared" si="532"/>
        <v/>
      </c>
      <c r="MG101" s="4">
        <f t="shared" si="533"/>
        <v>0</v>
      </c>
    </row>
    <row r="102" spans="1:345" ht="26.25" customHeight="1" thickBot="1" x14ac:dyDescent="0.25">
      <c r="A102" s="35">
        <v>41232</v>
      </c>
      <c r="B102" s="36" t="s">
        <v>214</v>
      </c>
      <c r="C102" s="36" t="s">
        <v>9</v>
      </c>
      <c r="D102" s="31" t="s">
        <v>110</v>
      </c>
      <c r="E102" s="4">
        <v>57</v>
      </c>
      <c r="F102" s="3">
        <v>20225</v>
      </c>
      <c r="G102" s="4" t="s">
        <v>87</v>
      </c>
      <c r="H102" s="4" t="s">
        <v>112</v>
      </c>
      <c r="I102" s="4">
        <v>1835684</v>
      </c>
      <c r="J102" s="36"/>
      <c r="K102" s="227"/>
      <c r="L102" s="228"/>
      <c r="M102" s="228"/>
      <c r="N102" s="228"/>
      <c r="O102" s="258"/>
      <c r="P102" s="228"/>
      <c r="Q102" s="228"/>
      <c r="R102" s="4">
        <v>-0.5</v>
      </c>
      <c r="S102" s="4">
        <v>-0.53</v>
      </c>
      <c r="T102" s="4" t="s">
        <v>249</v>
      </c>
      <c r="U102" s="67">
        <v>11.5</v>
      </c>
      <c r="V102" s="124">
        <v>41204</v>
      </c>
      <c r="W102" s="67">
        <v>-6.25</v>
      </c>
      <c r="X102" s="67">
        <v>0.75</v>
      </c>
      <c r="Y102" s="4">
        <v>90</v>
      </c>
      <c r="Z102" s="4">
        <v>25</v>
      </c>
      <c r="AA102" s="4">
        <v>20</v>
      </c>
      <c r="AB102" s="4">
        <v>516</v>
      </c>
      <c r="AC102" s="4">
        <v>26.03</v>
      </c>
      <c r="AD102" s="4">
        <v>12</v>
      </c>
      <c r="AE102" s="4">
        <v>4.9000000000000004</v>
      </c>
      <c r="AF102" s="4">
        <v>3.42</v>
      </c>
      <c r="AG102" s="4">
        <v>44.41</v>
      </c>
      <c r="AH102" s="4">
        <v>170</v>
      </c>
      <c r="AI102" s="4">
        <v>45.55</v>
      </c>
      <c r="AJ102" s="4">
        <v>80</v>
      </c>
      <c r="AK102" s="4">
        <v>0</v>
      </c>
      <c r="AL102" s="4" t="b">
        <f t="shared" si="406"/>
        <v>0</v>
      </c>
      <c r="AN102" s="4" t="s">
        <v>78</v>
      </c>
      <c r="BC102" s="4" t="str">
        <f t="shared" si="404"/>
        <v/>
      </c>
      <c r="BD102" s="4" t="str">
        <f t="shared" si="405"/>
        <v/>
      </c>
      <c r="BE102" s="4" t="str">
        <f t="shared" si="407"/>
        <v/>
      </c>
      <c r="BF102" s="51" t="s">
        <v>501</v>
      </c>
      <c r="BU102" s="4" t="str">
        <f t="shared" si="534"/>
        <v/>
      </c>
      <c r="BV102" s="4" t="str">
        <f t="shared" si="408"/>
        <v/>
      </c>
      <c r="BW102" s="4" t="str">
        <f t="shared" si="409"/>
        <v/>
      </c>
      <c r="BX102" s="4">
        <f t="shared" si="403"/>
        <v>0</v>
      </c>
      <c r="BY102" s="4">
        <f t="shared" si="410"/>
        <v>0</v>
      </c>
      <c r="BZ102" s="4" t="str">
        <f t="shared" si="411"/>
        <v/>
      </c>
      <c r="CA102" s="4" t="str">
        <f t="shared" si="412"/>
        <v/>
      </c>
      <c r="CB102" s="4" t="str">
        <f t="shared" si="413"/>
        <v/>
      </c>
      <c r="CC102" s="53">
        <f t="shared" si="414"/>
        <v>0</v>
      </c>
      <c r="CD102" s="55" t="str">
        <f t="shared" si="415"/>
        <v/>
      </c>
      <c r="CE102" s="4" t="str">
        <f t="shared" si="416"/>
        <v/>
      </c>
      <c r="CF102" s="4" t="str">
        <f t="shared" si="417"/>
        <v/>
      </c>
      <c r="CG102" s="4" t="str">
        <f t="shared" si="418"/>
        <v/>
      </c>
      <c r="CH102" s="4" t="str">
        <f t="shared" si="419"/>
        <v/>
      </c>
      <c r="CI102" s="4" t="str">
        <f t="shared" si="420"/>
        <v/>
      </c>
      <c r="CJ102" s="4" t="str">
        <f t="shared" si="421"/>
        <v/>
      </c>
      <c r="CK102" s="93" t="str">
        <f t="shared" si="422"/>
        <v/>
      </c>
      <c r="CL102" s="83" t="str">
        <f t="shared" si="423"/>
        <v/>
      </c>
      <c r="CM102" s="4" t="str">
        <f t="shared" si="424"/>
        <v/>
      </c>
      <c r="CN102" s="96" t="str">
        <f t="shared" si="425"/>
        <v/>
      </c>
      <c r="CO102" s="96" t="str">
        <f t="shared" si="398"/>
        <v/>
      </c>
      <c r="CP102" s="127" t="str">
        <f t="shared" si="426"/>
        <v/>
      </c>
      <c r="CQ102" s="127" t="str">
        <f t="shared" si="427"/>
        <v/>
      </c>
      <c r="CR102" s="136" t="str">
        <f t="shared" si="428"/>
        <v/>
      </c>
      <c r="CS102" s="136" t="str">
        <f t="shared" si="429"/>
        <v/>
      </c>
      <c r="CT102" s="135" t="str">
        <f t="shared" si="430"/>
        <v/>
      </c>
      <c r="CU102" s="139" t="str">
        <f t="shared" si="431"/>
        <v/>
      </c>
      <c r="CV102" s="96" t="str">
        <f t="shared" si="432"/>
        <v/>
      </c>
      <c r="CW102" s="141" t="str">
        <f t="shared" si="433"/>
        <v/>
      </c>
      <c r="IL102" s="83" t="str">
        <f t="shared" si="434"/>
        <v/>
      </c>
      <c r="IM102" s="4" t="str">
        <f t="shared" si="435"/>
        <v/>
      </c>
      <c r="IN102" s="4" t="str">
        <f t="shared" si="436"/>
        <v/>
      </c>
      <c r="IO102" s="4" t="str">
        <f t="shared" si="437"/>
        <v/>
      </c>
      <c r="IP102" s="4" t="str">
        <f t="shared" si="438"/>
        <v/>
      </c>
      <c r="IQ102" s="4" t="str">
        <f t="shared" si="439"/>
        <v/>
      </c>
      <c r="IR102" s="4" t="str">
        <f t="shared" si="440"/>
        <v/>
      </c>
      <c r="IS102" s="4" t="str">
        <f t="shared" si="441"/>
        <v/>
      </c>
      <c r="IT102" s="4" t="str">
        <f t="shared" si="442"/>
        <v/>
      </c>
      <c r="IU102" s="4" t="str">
        <f t="shared" si="443"/>
        <v/>
      </c>
      <c r="IV102" s="4" t="str">
        <f t="shared" si="444"/>
        <v/>
      </c>
      <c r="IW102" s="4" t="str">
        <f t="shared" si="445"/>
        <v/>
      </c>
      <c r="IX102" s="4" t="str">
        <f t="shared" si="446"/>
        <v/>
      </c>
      <c r="IY102" s="4" t="str">
        <f t="shared" si="447"/>
        <v/>
      </c>
      <c r="IZ102" s="4" t="str">
        <f t="shared" si="448"/>
        <v/>
      </c>
      <c r="JA102" s="4" t="str">
        <f t="shared" si="449"/>
        <v/>
      </c>
      <c r="JB102" s="4" t="str">
        <f t="shared" si="450"/>
        <v/>
      </c>
      <c r="JC102" s="4" t="str">
        <f t="shared" si="451"/>
        <v/>
      </c>
      <c r="JD102" s="4" t="str">
        <f t="shared" si="452"/>
        <v/>
      </c>
      <c r="JE102" s="4" t="str">
        <f t="shared" si="453"/>
        <v/>
      </c>
      <c r="JF102" s="4" t="str">
        <f t="shared" si="454"/>
        <v/>
      </c>
      <c r="JG102" s="4" t="str">
        <f t="shared" si="455"/>
        <v/>
      </c>
      <c r="JH102" s="4" t="str">
        <f t="shared" si="456"/>
        <v/>
      </c>
      <c r="JI102" s="4" t="str">
        <f t="shared" si="457"/>
        <v/>
      </c>
      <c r="JJ102" s="4" t="str">
        <f t="shared" si="458"/>
        <v/>
      </c>
      <c r="JK102" s="4" t="str">
        <f t="shared" si="459"/>
        <v/>
      </c>
      <c r="JL102" s="4" t="str">
        <f t="shared" si="460"/>
        <v/>
      </c>
      <c r="JM102" s="4" t="str">
        <f t="shared" si="461"/>
        <v/>
      </c>
      <c r="JN102" s="4" t="str">
        <f t="shared" si="462"/>
        <v/>
      </c>
      <c r="JO102" s="4" t="str">
        <f t="shared" si="463"/>
        <v/>
      </c>
      <c r="JP102" s="4" t="str">
        <f t="shared" si="464"/>
        <v/>
      </c>
      <c r="JQ102" s="117" t="str">
        <f t="shared" si="465"/>
        <v/>
      </c>
      <c r="JR102" s="110" t="str">
        <f t="shared" si="466"/>
        <v/>
      </c>
      <c r="JS102" s="110" t="str">
        <f t="shared" si="467"/>
        <v/>
      </c>
      <c r="JT102" s="110" t="str">
        <f t="shared" si="468"/>
        <v/>
      </c>
      <c r="JU102" s="110" t="str">
        <f t="shared" si="469"/>
        <v/>
      </c>
      <c r="JV102" s="110" t="str">
        <f t="shared" si="470"/>
        <v/>
      </c>
      <c r="JW102" s="110" t="str">
        <f t="shared" si="471"/>
        <v/>
      </c>
      <c r="JX102" s="110" t="str">
        <f t="shared" si="472"/>
        <v/>
      </c>
      <c r="JY102" s="110" t="str">
        <f t="shared" si="473"/>
        <v/>
      </c>
      <c r="JZ102" s="110" t="str">
        <f t="shared" si="474"/>
        <v/>
      </c>
      <c r="KA102" s="110" t="str">
        <f t="shared" si="475"/>
        <v/>
      </c>
      <c r="KB102" s="110" t="str">
        <f t="shared" si="476"/>
        <v/>
      </c>
      <c r="KC102" s="110" t="str">
        <f t="shared" si="477"/>
        <v/>
      </c>
      <c r="KD102" s="110" t="str">
        <f t="shared" si="478"/>
        <v/>
      </c>
      <c r="KE102" s="110" t="str">
        <f t="shared" si="479"/>
        <v/>
      </c>
      <c r="KF102" s="110" t="str">
        <f t="shared" si="480"/>
        <v/>
      </c>
      <c r="KG102" s="121" t="str">
        <f t="shared" si="481"/>
        <v/>
      </c>
      <c r="KH102" s="83" t="str">
        <f t="shared" si="482"/>
        <v/>
      </c>
      <c r="KI102" s="4" t="str">
        <f t="shared" si="483"/>
        <v/>
      </c>
      <c r="KJ102" s="4" t="str">
        <f t="shared" si="484"/>
        <v/>
      </c>
      <c r="KK102" s="4" t="str">
        <f t="shared" si="485"/>
        <v/>
      </c>
      <c r="KL102" s="4" t="str">
        <f t="shared" si="486"/>
        <v/>
      </c>
      <c r="KM102" s="4" t="str">
        <f t="shared" si="487"/>
        <v/>
      </c>
      <c r="KN102" s="4" t="str">
        <f t="shared" si="488"/>
        <v/>
      </c>
      <c r="KO102" s="4" t="str">
        <f t="shared" si="489"/>
        <v/>
      </c>
      <c r="KP102" s="4" t="str">
        <f t="shared" si="490"/>
        <v/>
      </c>
      <c r="KQ102" s="4" t="str">
        <f t="shared" si="491"/>
        <v/>
      </c>
      <c r="KR102" s="4" t="str">
        <f t="shared" si="492"/>
        <v/>
      </c>
      <c r="KS102" s="4" t="str">
        <f t="shared" si="493"/>
        <v/>
      </c>
      <c r="KT102" s="4" t="str">
        <f t="shared" si="494"/>
        <v/>
      </c>
      <c r="KU102" s="4" t="str">
        <f t="shared" si="495"/>
        <v/>
      </c>
      <c r="KV102" s="4" t="str">
        <f t="shared" si="496"/>
        <v/>
      </c>
      <c r="KW102" s="4" t="str">
        <f t="shared" si="497"/>
        <v/>
      </c>
      <c r="KX102" s="4" t="str">
        <f t="shared" si="498"/>
        <v/>
      </c>
      <c r="KY102" s="4" t="str">
        <f t="shared" si="499"/>
        <v/>
      </c>
      <c r="KZ102" s="4" t="str">
        <f t="shared" si="500"/>
        <v/>
      </c>
      <c r="LA102" s="4" t="str">
        <f t="shared" si="501"/>
        <v/>
      </c>
      <c r="LB102" s="4" t="str">
        <f t="shared" si="502"/>
        <v/>
      </c>
      <c r="LC102" s="4" t="str">
        <f t="shared" si="503"/>
        <v/>
      </c>
      <c r="LD102" s="4" t="str">
        <f t="shared" si="504"/>
        <v/>
      </c>
      <c r="LE102" s="4" t="str">
        <f t="shared" si="505"/>
        <v/>
      </c>
      <c r="LF102" s="4" t="str">
        <f t="shared" si="506"/>
        <v/>
      </c>
      <c r="LG102" s="4" t="str">
        <f t="shared" si="507"/>
        <v/>
      </c>
      <c r="LH102" s="4" t="str">
        <f t="shared" si="508"/>
        <v/>
      </c>
      <c r="LI102" s="4" t="str">
        <f t="shared" si="509"/>
        <v/>
      </c>
      <c r="LJ102" s="4" t="str">
        <f t="shared" si="510"/>
        <v/>
      </c>
      <c r="LK102" s="4" t="str">
        <f t="shared" si="511"/>
        <v/>
      </c>
      <c r="LL102" s="4" t="str">
        <f t="shared" si="512"/>
        <v/>
      </c>
      <c r="LM102" s="4" t="str">
        <f t="shared" si="513"/>
        <v/>
      </c>
      <c r="LN102" s="4" t="str">
        <f t="shared" si="514"/>
        <v/>
      </c>
      <c r="LO102" s="4" t="str">
        <f t="shared" si="515"/>
        <v/>
      </c>
      <c r="LP102" s="4" t="str">
        <f t="shared" si="516"/>
        <v/>
      </c>
      <c r="LQ102" s="4" t="str">
        <f t="shared" si="517"/>
        <v/>
      </c>
      <c r="LR102" s="4" t="str">
        <f t="shared" si="518"/>
        <v/>
      </c>
      <c r="LS102" s="4" t="str">
        <f t="shared" si="519"/>
        <v/>
      </c>
      <c r="LT102" s="4" t="str">
        <f t="shared" si="520"/>
        <v/>
      </c>
      <c r="LU102" s="4" t="str">
        <f t="shared" si="521"/>
        <v/>
      </c>
      <c r="LV102" s="4" t="str">
        <f t="shared" si="522"/>
        <v/>
      </c>
      <c r="LW102" s="4" t="str">
        <f t="shared" si="523"/>
        <v/>
      </c>
      <c r="LX102" s="4" t="str">
        <f t="shared" si="524"/>
        <v/>
      </c>
      <c r="LY102" s="4" t="str">
        <f t="shared" si="525"/>
        <v/>
      </c>
      <c r="LZ102" s="4" t="str">
        <f t="shared" si="526"/>
        <v/>
      </c>
      <c r="MA102" s="4" t="str">
        <f t="shared" si="527"/>
        <v/>
      </c>
      <c r="MB102" s="4" t="str">
        <f t="shared" si="528"/>
        <v/>
      </c>
      <c r="MC102" s="4" t="str">
        <f t="shared" si="529"/>
        <v/>
      </c>
      <c r="MD102" s="4" t="str">
        <f t="shared" si="530"/>
        <v/>
      </c>
      <c r="ME102" s="4" t="str">
        <f t="shared" si="531"/>
        <v/>
      </c>
      <c r="MF102" s="4" t="str">
        <f t="shared" si="532"/>
        <v/>
      </c>
      <c r="MG102" s="4">
        <f t="shared" si="533"/>
        <v>0</v>
      </c>
    </row>
    <row r="103" spans="1:345" ht="26.25" customHeight="1" thickBot="1" x14ac:dyDescent="0.25">
      <c r="A103" s="35">
        <v>41311</v>
      </c>
      <c r="B103" s="36" t="s">
        <v>133</v>
      </c>
      <c r="C103" s="36" t="s">
        <v>30</v>
      </c>
      <c r="D103" s="31" t="s">
        <v>110</v>
      </c>
      <c r="E103" s="4">
        <v>75</v>
      </c>
      <c r="F103" s="3">
        <v>13718</v>
      </c>
      <c r="G103" s="4" t="s">
        <v>87</v>
      </c>
      <c r="H103" s="4" t="s">
        <v>112</v>
      </c>
      <c r="I103" s="4">
        <v>1835717</v>
      </c>
      <c r="K103" s="235"/>
      <c r="L103" s="256"/>
      <c r="M103" s="256"/>
      <c r="N103" s="228"/>
      <c r="O103" s="258"/>
      <c r="P103" s="228"/>
      <c r="Q103" s="228"/>
      <c r="R103" s="4">
        <v>-0.5</v>
      </c>
      <c r="S103" s="4">
        <v>-0.57999999999999996</v>
      </c>
      <c r="T103" s="39" t="s">
        <v>249</v>
      </c>
      <c r="U103" s="70">
        <v>14.5</v>
      </c>
      <c r="V103" s="124">
        <v>41261</v>
      </c>
      <c r="W103" s="67">
        <v>-3</v>
      </c>
      <c r="X103" s="67">
        <v>1.5</v>
      </c>
      <c r="Y103" s="4">
        <v>20</v>
      </c>
      <c r="Z103" s="4">
        <v>30</v>
      </c>
      <c r="AA103" s="4">
        <v>15</v>
      </c>
      <c r="AB103" s="4">
        <v>600</v>
      </c>
      <c r="AC103" s="4">
        <v>25.09</v>
      </c>
      <c r="AD103" s="4">
        <v>12.4</v>
      </c>
      <c r="AE103" s="4">
        <v>5.31</v>
      </c>
      <c r="AF103" s="4">
        <v>3.35</v>
      </c>
      <c r="AG103" s="4">
        <v>44.82</v>
      </c>
      <c r="AH103" s="4">
        <v>158</v>
      </c>
      <c r="AI103" s="4">
        <v>46.11</v>
      </c>
      <c r="AJ103" s="4">
        <v>68</v>
      </c>
      <c r="AK103" s="4">
        <v>0</v>
      </c>
      <c r="AL103" s="4" t="b">
        <f t="shared" si="406"/>
        <v>0</v>
      </c>
      <c r="AN103" s="4" t="s">
        <v>78</v>
      </c>
      <c r="BC103" s="4" t="str">
        <f t="shared" si="404"/>
        <v/>
      </c>
      <c r="BD103" s="4" t="str">
        <f t="shared" si="405"/>
        <v/>
      </c>
      <c r="BE103" s="4" t="str">
        <f t="shared" si="407"/>
        <v/>
      </c>
      <c r="BF103" s="51" t="s">
        <v>501</v>
      </c>
      <c r="BU103" s="4" t="str">
        <f t="shared" si="534"/>
        <v/>
      </c>
      <c r="BV103" s="4" t="str">
        <f t="shared" si="408"/>
        <v/>
      </c>
      <c r="BW103" s="4" t="str">
        <f t="shared" si="409"/>
        <v/>
      </c>
      <c r="BX103" s="4">
        <f t="shared" si="403"/>
        <v>0</v>
      </c>
      <c r="BY103" s="4">
        <f t="shared" si="410"/>
        <v>0</v>
      </c>
      <c r="BZ103" s="4" t="str">
        <f t="shared" si="411"/>
        <v/>
      </c>
      <c r="CA103" s="4" t="str">
        <f t="shared" si="412"/>
        <v/>
      </c>
      <c r="CB103" s="4" t="str">
        <f t="shared" si="413"/>
        <v/>
      </c>
      <c r="CC103" s="53">
        <f t="shared" si="414"/>
        <v>0</v>
      </c>
      <c r="CD103" s="55" t="str">
        <f t="shared" si="415"/>
        <v/>
      </c>
      <c r="CE103" s="4" t="str">
        <f t="shared" si="416"/>
        <v/>
      </c>
      <c r="CF103" s="4" t="str">
        <f t="shared" si="417"/>
        <v/>
      </c>
      <c r="CG103" s="4" t="str">
        <f t="shared" si="418"/>
        <v/>
      </c>
      <c r="CH103" s="4" t="str">
        <f t="shared" si="419"/>
        <v/>
      </c>
      <c r="CI103" s="4" t="str">
        <f t="shared" si="420"/>
        <v/>
      </c>
      <c r="CJ103" s="4" t="str">
        <f t="shared" si="421"/>
        <v/>
      </c>
      <c r="CK103" s="93" t="str">
        <f t="shared" si="422"/>
        <v/>
      </c>
      <c r="CL103" s="83" t="str">
        <f t="shared" si="423"/>
        <v/>
      </c>
      <c r="CM103" s="4" t="str">
        <f t="shared" si="424"/>
        <v/>
      </c>
      <c r="CN103" s="96" t="str">
        <f t="shared" si="425"/>
        <v/>
      </c>
      <c r="CO103" s="96" t="str">
        <f t="shared" si="398"/>
        <v/>
      </c>
      <c r="CP103" s="127" t="str">
        <f t="shared" si="426"/>
        <v/>
      </c>
      <c r="CQ103" s="127" t="str">
        <f t="shared" si="427"/>
        <v/>
      </c>
      <c r="CR103" s="136" t="str">
        <f t="shared" si="428"/>
        <v/>
      </c>
      <c r="CS103" s="136" t="str">
        <f t="shared" si="429"/>
        <v/>
      </c>
      <c r="CT103" s="135" t="str">
        <f t="shared" si="430"/>
        <v/>
      </c>
      <c r="CU103" s="139" t="str">
        <f t="shared" si="431"/>
        <v/>
      </c>
      <c r="CV103" s="96" t="str">
        <f t="shared" si="432"/>
        <v/>
      </c>
      <c r="CW103" s="141" t="str">
        <f t="shared" si="433"/>
        <v/>
      </c>
      <c r="IL103" s="83" t="str">
        <f t="shared" si="434"/>
        <v/>
      </c>
      <c r="IM103" s="4" t="str">
        <f t="shared" si="435"/>
        <v/>
      </c>
      <c r="IN103" s="4" t="str">
        <f t="shared" si="436"/>
        <v/>
      </c>
      <c r="IO103" s="4" t="str">
        <f t="shared" si="437"/>
        <v/>
      </c>
      <c r="IP103" s="4" t="str">
        <f t="shared" si="438"/>
        <v/>
      </c>
      <c r="IQ103" s="4" t="str">
        <f t="shared" si="439"/>
        <v/>
      </c>
      <c r="IR103" s="4" t="str">
        <f t="shared" si="440"/>
        <v/>
      </c>
      <c r="IS103" s="4" t="str">
        <f t="shared" si="441"/>
        <v/>
      </c>
      <c r="IT103" s="4" t="str">
        <f t="shared" si="442"/>
        <v/>
      </c>
      <c r="IU103" s="4" t="str">
        <f t="shared" si="443"/>
        <v/>
      </c>
      <c r="IV103" s="4" t="str">
        <f t="shared" si="444"/>
        <v/>
      </c>
      <c r="IW103" s="4" t="str">
        <f t="shared" si="445"/>
        <v/>
      </c>
      <c r="IX103" s="4" t="str">
        <f t="shared" si="446"/>
        <v/>
      </c>
      <c r="IY103" s="4" t="str">
        <f t="shared" si="447"/>
        <v/>
      </c>
      <c r="IZ103" s="4" t="str">
        <f t="shared" si="448"/>
        <v/>
      </c>
      <c r="JA103" s="4" t="str">
        <f t="shared" si="449"/>
        <v/>
      </c>
      <c r="JB103" s="4" t="str">
        <f t="shared" si="450"/>
        <v/>
      </c>
      <c r="JC103" s="4" t="str">
        <f t="shared" si="451"/>
        <v/>
      </c>
      <c r="JD103" s="4" t="str">
        <f t="shared" si="452"/>
        <v/>
      </c>
      <c r="JE103" s="4" t="str">
        <f t="shared" si="453"/>
        <v/>
      </c>
      <c r="JF103" s="4" t="str">
        <f t="shared" si="454"/>
        <v/>
      </c>
      <c r="JG103" s="4" t="str">
        <f t="shared" si="455"/>
        <v/>
      </c>
      <c r="JH103" s="4" t="str">
        <f t="shared" si="456"/>
        <v/>
      </c>
      <c r="JI103" s="4" t="str">
        <f t="shared" si="457"/>
        <v/>
      </c>
      <c r="JJ103" s="4" t="str">
        <f t="shared" si="458"/>
        <v/>
      </c>
      <c r="JK103" s="4" t="str">
        <f t="shared" si="459"/>
        <v/>
      </c>
      <c r="JL103" s="4" t="str">
        <f t="shared" si="460"/>
        <v/>
      </c>
      <c r="JM103" s="4" t="str">
        <f t="shared" si="461"/>
        <v/>
      </c>
      <c r="JN103" s="4" t="str">
        <f t="shared" si="462"/>
        <v/>
      </c>
      <c r="JO103" s="4" t="str">
        <f t="shared" si="463"/>
        <v/>
      </c>
      <c r="JP103" s="4" t="str">
        <f t="shared" si="464"/>
        <v/>
      </c>
      <c r="JQ103" s="117" t="str">
        <f t="shared" si="465"/>
        <v/>
      </c>
      <c r="JR103" s="110" t="str">
        <f t="shared" si="466"/>
        <v/>
      </c>
      <c r="JS103" s="110" t="str">
        <f t="shared" si="467"/>
        <v/>
      </c>
      <c r="JT103" s="110" t="str">
        <f t="shared" si="468"/>
        <v/>
      </c>
      <c r="JU103" s="110" t="str">
        <f t="shared" si="469"/>
        <v/>
      </c>
      <c r="JV103" s="110" t="str">
        <f t="shared" si="470"/>
        <v/>
      </c>
      <c r="JW103" s="110" t="str">
        <f t="shared" si="471"/>
        <v/>
      </c>
      <c r="JX103" s="110" t="str">
        <f t="shared" si="472"/>
        <v/>
      </c>
      <c r="JY103" s="110" t="str">
        <f t="shared" si="473"/>
        <v/>
      </c>
      <c r="JZ103" s="110" t="str">
        <f t="shared" si="474"/>
        <v/>
      </c>
      <c r="KA103" s="110" t="str">
        <f t="shared" si="475"/>
        <v/>
      </c>
      <c r="KB103" s="110" t="str">
        <f t="shared" si="476"/>
        <v/>
      </c>
      <c r="KC103" s="110" t="str">
        <f t="shared" si="477"/>
        <v/>
      </c>
      <c r="KD103" s="110" t="str">
        <f t="shared" si="478"/>
        <v/>
      </c>
      <c r="KE103" s="110" t="str">
        <f t="shared" si="479"/>
        <v/>
      </c>
      <c r="KF103" s="110" t="str">
        <f t="shared" si="480"/>
        <v/>
      </c>
      <c r="KG103" s="121" t="str">
        <f t="shared" si="481"/>
        <v/>
      </c>
      <c r="KH103" s="83" t="str">
        <f t="shared" si="482"/>
        <v/>
      </c>
      <c r="KI103" s="4" t="str">
        <f t="shared" si="483"/>
        <v/>
      </c>
      <c r="KJ103" s="4" t="str">
        <f t="shared" si="484"/>
        <v/>
      </c>
      <c r="KK103" s="4" t="str">
        <f t="shared" si="485"/>
        <v/>
      </c>
      <c r="KL103" s="4" t="str">
        <f t="shared" si="486"/>
        <v/>
      </c>
      <c r="KM103" s="4" t="str">
        <f t="shared" si="487"/>
        <v/>
      </c>
      <c r="KN103" s="4" t="str">
        <f t="shared" si="488"/>
        <v/>
      </c>
      <c r="KO103" s="4" t="str">
        <f t="shared" si="489"/>
        <v/>
      </c>
      <c r="KP103" s="4" t="str">
        <f t="shared" si="490"/>
        <v/>
      </c>
      <c r="KQ103" s="4" t="str">
        <f t="shared" si="491"/>
        <v/>
      </c>
      <c r="KR103" s="4" t="str">
        <f t="shared" si="492"/>
        <v/>
      </c>
      <c r="KS103" s="4" t="str">
        <f t="shared" si="493"/>
        <v/>
      </c>
      <c r="KT103" s="4" t="str">
        <f t="shared" si="494"/>
        <v/>
      </c>
      <c r="KU103" s="4" t="str">
        <f t="shared" si="495"/>
        <v/>
      </c>
      <c r="KV103" s="4" t="str">
        <f t="shared" si="496"/>
        <v/>
      </c>
      <c r="KW103" s="4" t="str">
        <f t="shared" si="497"/>
        <v/>
      </c>
      <c r="KX103" s="4" t="str">
        <f t="shared" si="498"/>
        <v/>
      </c>
      <c r="KY103" s="4" t="str">
        <f t="shared" si="499"/>
        <v/>
      </c>
      <c r="KZ103" s="4" t="str">
        <f t="shared" si="500"/>
        <v/>
      </c>
      <c r="LA103" s="4" t="str">
        <f t="shared" si="501"/>
        <v/>
      </c>
      <c r="LB103" s="4" t="str">
        <f t="shared" si="502"/>
        <v/>
      </c>
      <c r="LC103" s="4" t="str">
        <f t="shared" si="503"/>
        <v/>
      </c>
      <c r="LD103" s="4" t="str">
        <f t="shared" si="504"/>
        <v/>
      </c>
      <c r="LE103" s="4" t="str">
        <f t="shared" si="505"/>
        <v/>
      </c>
      <c r="LF103" s="4" t="str">
        <f t="shared" si="506"/>
        <v/>
      </c>
      <c r="LG103" s="4" t="str">
        <f t="shared" si="507"/>
        <v/>
      </c>
      <c r="LH103" s="4" t="str">
        <f t="shared" si="508"/>
        <v/>
      </c>
      <c r="LI103" s="4" t="str">
        <f t="shared" si="509"/>
        <v/>
      </c>
      <c r="LJ103" s="4" t="str">
        <f t="shared" si="510"/>
        <v/>
      </c>
      <c r="LK103" s="4" t="str">
        <f t="shared" si="511"/>
        <v/>
      </c>
      <c r="LL103" s="4" t="str">
        <f t="shared" si="512"/>
        <v/>
      </c>
      <c r="LM103" s="4" t="str">
        <f t="shared" si="513"/>
        <v/>
      </c>
      <c r="LN103" s="4" t="str">
        <f t="shared" si="514"/>
        <v/>
      </c>
      <c r="LO103" s="4" t="str">
        <f t="shared" si="515"/>
        <v/>
      </c>
      <c r="LP103" s="4" t="str">
        <f t="shared" si="516"/>
        <v/>
      </c>
      <c r="LQ103" s="4" t="str">
        <f t="shared" si="517"/>
        <v/>
      </c>
      <c r="LR103" s="4" t="str">
        <f t="shared" si="518"/>
        <v/>
      </c>
      <c r="LS103" s="4" t="str">
        <f t="shared" si="519"/>
        <v/>
      </c>
      <c r="LT103" s="4" t="str">
        <f t="shared" si="520"/>
        <v/>
      </c>
      <c r="LU103" s="4" t="str">
        <f t="shared" si="521"/>
        <v/>
      </c>
      <c r="LV103" s="4" t="str">
        <f t="shared" si="522"/>
        <v/>
      </c>
      <c r="LW103" s="4" t="str">
        <f t="shared" si="523"/>
        <v/>
      </c>
      <c r="LX103" s="4" t="str">
        <f t="shared" si="524"/>
        <v/>
      </c>
      <c r="LY103" s="4" t="str">
        <f t="shared" si="525"/>
        <v/>
      </c>
      <c r="LZ103" s="4" t="str">
        <f t="shared" si="526"/>
        <v/>
      </c>
      <c r="MA103" s="4" t="str">
        <f t="shared" si="527"/>
        <v/>
      </c>
      <c r="MB103" s="4" t="str">
        <f t="shared" si="528"/>
        <v/>
      </c>
      <c r="MC103" s="4" t="str">
        <f t="shared" si="529"/>
        <v/>
      </c>
      <c r="MD103" s="4" t="str">
        <f t="shared" si="530"/>
        <v/>
      </c>
      <c r="ME103" s="4" t="str">
        <f t="shared" si="531"/>
        <v/>
      </c>
      <c r="MF103" s="4" t="str">
        <f t="shared" si="532"/>
        <v/>
      </c>
      <c r="MG103" s="4">
        <f t="shared" si="533"/>
        <v>0</v>
      </c>
    </row>
    <row r="104" spans="1:345" ht="26.25" customHeight="1" thickBot="1" x14ac:dyDescent="0.25">
      <c r="A104" s="35">
        <v>41325</v>
      </c>
      <c r="B104" s="36" t="s">
        <v>144</v>
      </c>
      <c r="C104" s="36" t="s">
        <v>27</v>
      </c>
      <c r="D104" s="31" t="s">
        <v>111</v>
      </c>
      <c r="E104" s="4">
        <v>75</v>
      </c>
      <c r="F104" s="3">
        <v>13619</v>
      </c>
      <c r="G104" s="4" t="s">
        <v>87</v>
      </c>
      <c r="H104" s="4" t="s">
        <v>112</v>
      </c>
      <c r="I104" s="4">
        <v>1835813</v>
      </c>
      <c r="K104" s="227"/>
      <c r="L104" s="228"/>
      <c r="M104" s="228"/>
      <c r="N104" s="228"/>
      <c r="O104" s="258"/>
      <c r="P104" s="228"/>
      <c r="Q104" s="228"/>
      <c r="R104" s="4">
        <v>-0.5</v>
      </c>
      <c r="S104" s="4">
        <v>-0.36</v>
      </c>
      <c r="T104" s="39" t="s">
        <v>249</v>
      </c>
      <c r="U104" s="70">
        <v>20.75</v>
      </c>
      <c r="V104" s="124">
        <v>41324</v>
      </c>
      <c r="W104" s="67">
        <v>-0.5</v>
      </c>
      <c r="X104" s="67">
        <v>1</v>
      </c>
      <c r="Y104" s="4">
        <v>20</v>
      </c>
      <c r="Z104" s="4">
        <v>25</v>
      </c>
      <c r="AA104" s="4">
        <v>14</v>
      </c>
      <c r="AB104" s="4">
        <v>590</v>
      </c>
      <c r="AC104" s="4">
        <v>23.88</v>
      </c>
      <c r="AD104" s="4">
        <v>11.8</v>
      </c>
      <c r="AE104" s="4">
        <v>5</v>
      </c>
      <c r="AF104" s="4">
        <v>3.09</v>
      </c>
      <c r="AG104" s="4">
        <v>43.27</v>
      </c>
      <c r="AH104" s="4">
        <v>86</v>
      </c>
      <c r="AI104" s="4">
        <v>43.49</v>
      </c>
      <c r="AJ104" s="4">
        <v>176</v>
      </c>
      <c r="AK104" s="4">
        <v>0</v>
      </c>
      <c r="AL104" s="4" t="b">
        <f t="shared" si="406"/>
        <v>0</v>
      </c>
      <c r="AN104" s="4" t="s">
        <v>78</v>
      </c>
      <c r="BC104" s="4" t="str">
        <f t="shared" si="404"/>
        <v/>
      </c>
      <c r="BD104" s="4" t="str">
        <f t="shared" si="405"/>
        <v/>
      </c>
      <c r="BE104" s="4" t="str">
        <f t="shared" si="407"/>
        <v/>
      </c>
      <c r="BF104" s="51" t="s">
        <v>501</v>
      </c>
      <c r="BU104" s="4" t="str">
        <f t="shared" si="534"/>
        <v/>
      </c>
      <c r="BV104" s="4" t="str">
        <f t="shared" si="408"/>
        <v/>
      </c>
      <c r="BW104" s="4" t="str">
        <f t="shared" si="409"/>
        <v/>
      </c>
      <c r="BX104" s="4">
        <f t="shared" si="403"/>
        <v>0</v>
      </c>
      <c r="BY104" s="4">
        <f t="shared" si="410"/>
        <v>0</v>
      </c>
      <c r="BZ104" s="4" t="str">
        <f t="shared" si="411"/>
        <v/>
      </c>
      <c r="CA104" s="4" t="str">
        <f t="shared" si="412"/>
        <v/>
      </c>
      <c r="CB104" s="4" t="str">
        <f t="shared" si="413"/>
        <v/>
      </c>
      <c r="CC104" s="53">
        <f t="shared" si="414"/>
        <v>0</v>
      </c>
      <c r="CD104" s="55" t="str">
        <f t="shared" si="415"/>
        <v/>
      </c>
      <c r="CE104" s="4" t="str">
        <f t="shared" si="416"/>
        <v/>
      </c>
      <c r="CF104" s="4" t="str">
        <f t="shared" si="417"/>
        <v/>
      </c>
      <c r="CG104" s="4" t="str">
        <f t="shared" si="418"/>
        <v/>
      </c>
      <c r="CH104" s="4" t="str">
        <f t="shared" si="419"/>
        <v/>
      </c>
      <c r="CI104" s="4" t="str">
        <f t="shared" si="420"/>
        <v/>
      </c>
      <c r="CJ104" s="4" t="str">
        <f t="shared" si="421"/>
        <v/>
      </c>
      <c r="CK104" s="93" t="str">
        <f t="shared" si="422"/>
        <v/>
      </c>
      <c r="CL104" s="83" t="str">
        <f t="shared" si="423"/>
        <v/>
      </c>
      <c r="CM104" s="4" t="str">
        <f t="shared" si="424"/>
        <v/>
      </c>
      <c r="CN104" s="96" t="str">
        <f t="shared" si="425"/>
        <v/>
      </c>
      <c r="CO104" s="96" t="str">
        <f t="shared" si="398"/>
        <v/>
      </c>
      <c r="CP104" s="127" t="str">
        <f t="shared" si="426"/>
        <v/>
      </c>
      <c r="CQ104" s="127" t="str">
        <f t="shared" si="427"/>
        <v/>
      </c>
      <c r="CR104" s="136" t="str">
        <f t="shared" si="428"/>
        <v/>
      </c>
      <c r="CS104" s="136" t="str">
        <f t="shared" si="429"/>
        <v/>
      </c>
      <c r="CT104" s="135" t="str">
        <f t="shared" si="430"/>
        <v/>
      </c>
      <c r="CU104" s="139" t="str">
        <f t="shared" si="431"/>
        <v/>
      </c>
      <c r="CV104" s="96" t="str">
        <f t="shared" si="432"/>
        <v/>
      </c>
      <c r="CW104" s="141" t="str">
        <f t="shared" si="433"/>
        <v/>
      </c>
      <c r="IL104" s="83" t="str">
        <f t="shared" si="434"/>
        <v/>
      </c>
      <c r="IM104" s="4" t="str">
        <f t="shared" si="435"/>
        <v/>
      </c>
      <c r="IN104" s="4" t="str">
        <f t="shared" si="436"/>
        <v/>
      </c>
      <c r="IO104" s="4" t="str">
        <f t="shared" si="437"/>
        <v/>
      </c>
      <c r="IP104" s="4" t="str">
        <f t="shared" si="438"/>
        <v/>
      </c>
      <c r="IQ104" s="4" t="str">
        <f t="shared" si="439"/>
        <v/>
      </c>
      <c r="IR104" s="4" t="str">
        <f t="shared" si="440"/>
        <v/>
      </c>
      <c r="IS104" s="4" t="str">
        <f t="shared" si="441"/>
        <v/>
      </c>
      <c r="IT104" s="4" t="str">
        <f t="shared" si="442"/>
        <v/>
      </c>
      <c r="IU104" s="4" t="str">
        <f t="shared" si="443"/>
        <v/>
      </c>
      <c r="IV104" s="4" t="str">
        <f t="shared" si="444"/>
        <v/>
      </c>
      <c r="IW104" s="4" t="str">
        <f t="shared" si="445"/>
        <v/>
      </c>
      <c r="IX104" s="4" t="str">
        <f t="shared" si="446"/>
        <v/>
      </c>
      <c r="IY104" s="4" t="str">
        <f t="shared" si="447"/>
        <v/>
      </c>
      <c r="IZ104" s="4" t="str">
        <f t="shared" si="448"/>
        <v/>
      </c>
      <c r="JA104" s="4" t="str">
        <f t="shared" si="449"/>
        <v/>
      </c>
      <c r="JB104" s="4" t="str">
        <f t="shared" si="450"/>
        <v/>
      </c>
      <c r="JC104" s="4" t="str">
        <f t="shared" si="451"/>
        <v/>
      </c>
      <c r="JD104" s="4" t="str">
        <f t="shared" si="452"/>
        <v/>
      </c>
      <c r="JE104" s="4" t="str">
        <f t="shared" si="453"/>
        <v/>
      </c>
      <c r="JF104" s="4" t="str">
        <f t="shared" si="454"/>
        <v/>
      </c>
      <c r="JG104" s="4" t="str">
        <f t="shared" si="455"/>
        <v/>
      </c>
      <c r="JH104" s="4" t="str">
        <f t="shared" si="456"/>
        <v/>
      </c>
      <c r="JI104" s="4" t="str">
        <f t="shared" si="457"/>
        <v/>
      </c>
      <c r="JJ104" s="4" t="str">
        <f t="shared" si="458"/>
        <v/>
      </c>
      <c r="JK104" s="4" t="str">
        <f t="shared" si="459"/>
        <v/>
      </c>
      <c r="JL104" s="4" t="str">
        <f t="shared" si="460"/>
        <v/>
      </c>
      <c r="JM104" s="4" t="str">
        <f t="shared" si="461"/>
        <v/>
      </c>
      <c r="JN104" s="4" t="str">
        <f t="shared" si="462"/>
        <v/>
      </c>
      <c r="JO104" s="4" t="str">
        <f t="shared" si="463"/>
        <v/>
      </c>
      <c r="JP104" s="4" t="str">
        <f t="shared" si="464"/>
        <v/>
      </c>
      <c r="JQ104" s="117" t="str">
        <f t="shared" si="465"/>
        <v/>
      </c>
      <c r="JR104" s="110" t="str">
        <f t="shared" si="466"/>
        <v/>
      </c>
      <c r="JS104" s="110" t="str">
        <f t="shared" si="467"/>
        <v/>
      </c>
      <c r="JT104" s="110" t="str">
        <f t="shared" si="468"/>
        <v/>
      </c>
      <c r="JU104" s="110" t="str">
        <f t="shared" si="469"/>
        <v/>
      </c>
      <c r="JV104" s="110" t="str">
        <f t="shared" si="470"/>
        <v/>
      </c>
      <c r="JW104" s="110" t="str">
        <f t="shared" si="471"/>
        <v/>
      </c>
      <c r="JX104" s="110" t="str">
        <f t="shared" si="472"/>
        <v/>
      </c>
      <c r="JY104" s="110" t="str">
        <f t="shared" si="473"/>
        <v/>
      </c>
      <c r="JZ104" s="110" t="str">
        <f t="shared" si="474"/>
        <v/>
      </c>
      <c r="KA104" s="110" t="str">
        <f t="shared" si="475"/>
        <v/>
      </c>
      <c r="KB104" s="110" t="str">
        <f t="shared" si="476"/>
        <v/>
      </c>
      <c r="KC104" s="110" t="str">
        <f t="shared" si="477"/>
        <v/>
      </c>
      <c r="KD104" s="110" t="str">
        <f t="shared" si="478"/>
        <v/>
      </c>
      <c r="KE104" s="110" t="str">
        <f t="shared" si="479"/>
        <v/>
      </c>
      <c r="KF104" s="110" t="str">
        <f t="shared" si="480"/>
        <v/>
      </c>
      <c r="KG104" s="121" t="str">
        <f t="shared" si="481"/>
        <v/>
      </c>
      <c r="KH104" s="83" t="str">
        <f t="shared" si="482"/>
        <v/>
      </c>
      <c r="KI104" s="4" t="str">
        <f t="shared" si="483"/>
        <v/>
      </c>
      <c r="KJ104" s="4" t="str">
        <f t="shared" si="484"/>
        <v/>
      </c>
      <c r="KK104" s="4" t="str">
        <f t="shared" si="485"/>
        <v/>
      </c>
      <c r="KL104" s="4" t="str">
        <f t="shared" si="486"/>
        <v/>
      </c>
      <c r="KM104" s="4" t="str">
        <f t="shared" si="487"/>
        <v/>
      </c>
      <c r="KN104" s="4" t="str">
        <f t="shared" si="488"/>
        <v/>
      </c>
      <c r="KO104" s="4" t="str">
        <f t="shared" si="489"/>
        <v/>
      </c>
      <c r="KP104" s="4" t="str">
        <f t="shared" si="490"/>
        <v/>
      </c>
      <c r="KQ104" s="4" t="str">
        <f t="shared" si="491"/>
        <v/>
      </c>
      <c r="KR104" s="4" t="str">
        <f t="shared" si="492"/>
        <v/>
      </c>
      <c r="KS104" s="4" t="str">
        <f t="shared" si="493"/>
        <v/>
      </c>
      <c r="KT104" s="4" t="str">
        <f t="shared" si="494"/>
        <v/>
      </c>
      <c r="KU104" s="4" t="str">
        <f t="shared" si="495"/>
        <v/>
      </c>
      <c r="KV104" s="4" t="str">
        <f t="shared" si="496"/>
        <v/>
      </c>
      <c r="KW104" s="4" t="str">
        <f t="shared" si="497"/>
        <v/>
      </c>
      <c r="KX104" s="4" t="str">
        <f t="shared" si="498"/>
        <v/>
      </c>
      <c r="KY104" s="4" t="str">
        <f t="shared" si="499"/>
        <v/>
      </c>
      <c r="KZ104" s="4" t="str">
        <f t="shared" si="500"/>
        <v/>
      </c>
      <c r="LA104" s="4" t="str">
        <f t="shared" si="501"/>
        <v/>
      </c>
      <c r="LB104" s="4" t="str">
        <f t="shared" si="502"/>
        <v/>
      </c>
      <c r="LC104" s="4" t="str">
        <f t="shared" si="503"/>
        <v/>
      </c>
      <c r="LD104" s="4" t="str">
        <f t="shared" si="504"/>
        <v/>
      </c>
      <c r="LE104" s="4" t="str">
        <f t="shared" si="505"/>
        <v/>
      </c>
      <c r="LF104" s="4" t="str">
        <f t="shared" si="506"/>
        <v/>
      </c>
      <c r="LG104" s="4" t="str">
        <f t="shared" si="507"/>
        <v/>
      </c>
      <c r="LH104" s="4" t="str">
        <f t="shared" si="508"/>
        <v/>
      </c>
      <c r="LI104" s="4" t="str">
        <f t="shared" si="509"/>
        <v/>
      </c>
      <c r="LJ104" s="4" t="str">
        <f t="shared" si="510"/>
        <v/>
      </c>
      <c r="LK104" s="4" t="str">
        <f t="shared" si="511"/>
        <v/>
      </c>
      <c r="LL104" s="4" t="str">
        <f t="shared" si="512"/>
        <v/>
      </c>
      <c r="LM104" s="4" t="str">
        <f t="shared" si="513"/>
        <v/>
      </c>
      <c r="LN104" s="4" t="str">
        <f t="shared" si="514"/>
        <v/>
      </c>
      <c r="LO104" s="4" t="str">
        <f t="shared" si="515"/>
        <v/>
      </c>
      <c r="LP104" s="4" t="str">
        <f t="shared" si="516"/>
        <v/>
      </c>
      <c r="LQ104" s="4" t="str">
        <f t="shared" si="517"/>
        <v/>
      </c>
      <c r="LR104" s="4" t="str">
        <f t="shared" si="518"/>
        <v/>
      </c>
      <c r="LS104" s="4" t="str">
        <f t="shared" si="519"/>
        <v/>
      </c>
      <c r="LT104" s="4" t="str">
        <f t="shared" si="520"/>
        <v/>
      </c>
      <c r="LU104" s="4" t="str">
        <f t="shared" si="521"/>
        <v/>
      </c>
      <c r="LV104" s="4" t="str">
        <f t="shared" si="522"/>
        <v/>
      </c>
      <c r="LW104" s="4" t="str">
        <f t="shared" si="523"/>
        <v/>
      </c>
      <c r="LX104" s="4" t="str">
        <f t="shared" si="524"/>
        <v/>
      </c>
      <c r="LY104" s="4" t="str">
        <f t="shared" si="525"/>
        <v/>
      </c>
      <c r="LZ104" s="4" t="str">
        <f t="shared" si="526"/>
        <v/>
      </c>
      <c r="MA104" s="4" t="str">
        <f t="shared" si="527"/>
        <v/>
      </c>
      <c r="MB104" s="4" t="str">
        <f t="shared" si="528"/>
        <v/>
      </c>
      <c r="MC104" s="4" t="str">
        <f t="shared" si="529"/>
        <v/>
      </c>
      <c r="MD104" s="4" t="str">
        <f t="shared" si="530"/>
        <v/>
      </c>
      <c r="ME104" s="4" t="str">
        <f t="shared" si="531"/>
        <v/>
      </c>
      <c r="MF104" s="4" t="str">
        <f t="shared" si="532"/>
        <v/>
      </c>
      <c r="MG104" s="4">
        <f t="shared" si="533"/>
        <v>0</v>
      </c>
    </row>
    <row r="105" spans="1:345" ht="26.25" customHeight="1" x14ac:dyDescent="0.2">
      <c r="A105" s="35">
        <v>41283</v>
      </c>
      <c r="B105" s="36" t="s">
        <v>144</v>
      </c>
      <c r="C105" s="36" t="s">
        <v>27</v>
      </c>
      <c r="D105" s="31" t="s">
        <v>110</v>
      </c>
      <c r="E105" s="4">
        <v>75</v>
      </c>
      <c r="F105" s="3">
        <v>13619</v>
      </c>
      <c r="G105" s="4" t="s">
        <v>87</v>
      </c>
      <c r="H105" s="4" t="s">
        <v>112</v>
      </c>
      <c r="I105" s="4">
        <v>1835813</v>
      </c>
      <c r="K105" s="235"/>
      <c r="L105" s="236"/>
      <c r="M105" s="236"/>
      <c r="N105" s="236"/>
      <c r="O105" s="235"/>
      <c r="P105" s="236"/>
      <c r="Q105" s="236"/>
      <c r="R105" s="4">
        <v>-0.5</v>
      </c>
      <c r="S105" s="4">
        <v>-0.56000000000000005</v>
      </c>
      <c r="T105" s="39" t="s">
        <v>249</v>
      </c>
      <c r="U105" s="70">
        <v>21.25</v>
      </c>
      <c r="V105" s="124">
        <v>41214</v>
      </c>
      <c r="W105" s="67">
        <v>0.75</v>
      </c>
      <c r="X105" s="67">
        <v>0.75</v>
      </c>
      <c r="Y105" s="4">
        <v>178</v>
      </c>
      <c r="Z105" s="4">
        <v>40</v>
      </c>
      <c r="AA105" s="4">
        <v>15</v>
      </c>
      <c r="AB105" s="4">
        <v>599</v>
      </c>
      <c r="AC105" s="4">
        <v>23.89</v>
      </c>
      <c r="AD105" s="4">
        <v>12</v>
      </c>
      <c r="AE105" s="4">
        <v>4.87</v>
      </c>
      <c r="AF105" s="4">
        <v>2.98</v>
      </c>
      <c r="AG105" s="4">
        <v>42.45</v>
      </c>
      <c r="AH105" s="4">
        <v>85</v>
      </c>
      <c r="AI105" s="4">
        <v>43.1</v>
      </c>
      <c r="AJ105" s="4">
        <v>175</v>
      </c>
      <c r="AK105" s="4">
        <v>0</v>
      </c>
      <c r="AL105" s="4" t="b">
        <f t="shared" si="406"/>
        <v>0</v>
      </c>
      <c r="AN105" s="4" t="s">
        <v>78</v>
      </c>
      <c r="BC105" s="4" t="str">
        <f t="shared" si="404"/>
        <v/>
      </c>
      <c r="BD105" s="4" t="str">
        <f t="shared" si="405"/>
        <v/>
      </c>
      <c r="BE105" s="4" t="str">
        <f t="shared" si="407"/>
        <v/>
      </c>
      <c r="BF105" s="51" t="s">
        <v>501</v>
      </c>
      <c r="BU105" s="4" t="str">
        <f t="shared" si="534"/>
        <v/>
      </c>
      <c r="BV105" s="4" t="str">
        <f t="shared" si="408"/>
        <v/>
      </c>
      <c r="BW105" s="4" t="str">
        <f t="shared" si="409"/>
        <v/>
      </c>
      <c r="BX105" s="4">
        <f t="shared" si="403"/>
        <v>0</v>
      </c>
      <c r="BY105" s="4">
        <f t="shared" si="410"/>
        <v>0</v>
      </c>
      <c r="BZ105" s="4" t="str">
        <f t="shared" si="411"/>
        <v/>
      </c>
      <c r="CA105" s="4" t="str">
        <f t="shared" si="412"/>
        <v/>
      </c>
      <c r="CB105" s="4" t="str">
        <f t="shared" si="413"/>
        <v/>
      </c>
      <c r="CC105" s="53">
        <f t="shared" si="414"/>
        <v>0</v>
      </c>
      <c r="CD105" s="55" t="str">
        <f t="shared" si="415"/>
        <v/>
      </c>
      <c r="CE105" s="4" t="str">
        <f t="shared" si="416"/>
        <v/>
      </c>
      <c r="CF105" s="4" t="str">
        <f t="shared" si="417"/>
        <v/>
      </c>
      <c r="CG105" s="4" t="str">
        <f t="shared" si="418"/>
        <v/>
      </c>
      <c r="CH105" s="4" t="str">
        <f t="shared" si="419"/>
        <v/>
      </c>
      <c r="CI105" s="4" t="str">
        <f t="shared" si="420"/>
        <v/>
      </c>
      <c r="CJ105" s="4" t="str">
        <f t="shared" si="421"/>
        <v/>
      </c>
      <c r="CK105" s="93" t="str">
        <f t="shared" si="422"/>
        <v/>
      </c>
      <c r="CL105" s="83" t="str">
        <f t="shared" si="423"/>
        <v/>
      </c>
      <c r="CM105" s="4" t="str">
        <f t="shared" si="424"/>
        <v/>
      </c>
      <c r="CN105" s="96" t="str">
        <f t="shared" si="425"/>
        <v/>
      </c>
      <c r="CO105" s="96" t="str">
        <f t="shared" si="398"/>
        <v/>
      </c>
      <c r="CP105" s="127" t="str">
        <f t="shared" si="426"/>
        <v/>
      </c>
      <c r="CQ105" s="127" t="str">
        <f t="shared" si="427"/>
        <v/>
      </c>
      <c r="CR105" s="136" t="str">
        <f t="shared" si="428"/>
        <v/>
      </c>
      <c r="CS105" s="136" t="str">
        <f t="shared" si="429"/>
        <v/>
      </c>
      <c r="CT105" s="135" t="str">
        <f t="shared" si="430"/>
        <v/>
      </c>
      <c r="CU105" s="139" t="str">
        <f t="shared" si="431"/>
        <v/>
      </c>
      <c r="CV105" s="96" t="str">
        <f t="shared" si="432"/>
        <v/>
      </c>
      <c r="CW105" s="141" t="str">
        <f t="shared" si="433"/>
        <v/>
      </c>
      <c r="CX105">
        <v>7.9</v>
      </c>
      <c r="CY105" s="4">
        <v>8.09</v>
      </c>
      <c r="CZ105" s="4">
        <v>62.6</v>
      </c>
      <c r="DA105" s="4">
        <v>1</v>
      </c>
      <c r="DB105" s="4">
        <v>0.2</v>
      </c>
      <c r="DC105" s="4">
        <v>0.51</v>
      </c>
      <c r="DD105" s="4">
        <v>2.5</v>
      </c>
      <c r="DE105" s="4">
        <v>3.13</v>
      </c>
      <c r="DF105" s="4">
        <v>636</v>
      </c>
      <c r="DG105" s="4">
        <v>637</v>
      </c>
      <c r="DH105" s="4">
        <v>729</v>
      </c>
      <c r="DI105" s="4">
        <v>665</v>
      </c>
      <c r="DJ105" s="4">
        <v>676</v>
      </c>
      <c r="DK105" s="4">
        <v>682</v>
      </c>
      <c r="DL105" s="4">
        <v>635</v>
      </c>
      <c r="DM105" s="4">
        <v>-0.35</v>
      </c>
      <c r="DN105" s="4">
        <v>7.0000000000000007E-2</v>
      </c>
      <c r="DO105" s="4">
        <v>8.02</v>
      </c>
      <c r="DP105" s="4">
        <v>7.97</v>
      </c>
      <c r="DQ105" s="4">
        <v>7.96</v>
      </c>
      <c r="DR105" s="4">
        <v>8.1199999999999992</v>
      </c>
      <c r="DS105" s="4">
        <v>8.51</v>
      </c>
      <c r="DT105" s="4">
        <v>8.82</v>
      </c>
      <c r="DU105" s="4">
        <v>0</v>
      </c>
      <c r="DV105" s="4">
        <v>1</v>
      </c>
      <c r="DW105" s="4">
        <v>6.8</v>
      </c>
      <c r="DX105" s="4">
        <v>6.67</v>
      </c>
      <c r="DY105" s="4">
        <v>6.71</v>
      </c>
      <c r="DZ105" s="4">
        <v>6.99</v>
      </c>
      <c r="EA105" s="4">
        <v>7.22</v>
      </c>
      <c r="EB105" s="4">
        <v>7.39</v>
      </c>
      <c r="EC105" s="4">
        <v>0</v>
      </c>
      <c r="ED105" s="89">
        <v>1</v>
      </c>
      <c r="EE105" s="110">
        <v>41.7</v>
      </c>
      <c r="EF105" s="110">
        <v>42.7</v>
      </c>
      <c r="EG105" s="110">
        <v>42.2</v>
      </c>
      <c r="EH105" s="110">
        <v>62.6</v>
      </c>
      <c r="EI105" s="110">
        <v>1</v>
      </c>
      <c r="EJ105" s="110">
        <v>-5.8</v>
      </c>
      <c r="EK105" s="110">
        <v>-6</v>
      </c>
      <c r="EL105" s="110">
        <v>-5.9</v>
      </c>
      <c r="EM105" s="110">
        <v>14.7</v>
      </c>
      <c r="EN105" s="110">
        <v>0.2</v>
      </c>
      <c r="EO105" s="110">
        <v>4.5999999999999996</v>
      </c>
      <c r="EP105" s="110">
        <v>13.2</v>
      </c>
      <c r="EQ105" s="110">
        <v>27.7</v>
      </c>
      <c r="ER105" s="110">
        <v>64.5</v>
      </c>
      <c r="ES105" s="114">
        <v>14</v>
      </c>
      <c r="IL105" s="83" t="str">
        <f t="shared" si="434"/>
        <v/>
      </c>
      <c r="IM105" s="4" t="str">
        <f t="shared" si="435"/>
        <v/>
      </c>
      <c r="IN105" s="4" t="str">
        <f t="shared" si="436"/>
        <v/>
      </c>
      <c r="IO105" s="4" t="str">
        <f t="shared" si="437"/>
        <v/>
      </c>
      <c r="IP105" s="4" t="str">
        <f t="shared" si="438"/>
        <v/>
      </c>
      <c r="IQ105" s="4" t="str">
        <f t="shared" si="439"/>
        <v/>
      </c>
      <c r="IR105" s="4" t="str">
        <f t="shared" si="440"/>
        <v/>
      </c>
      <c r="IS105" s="4" t="str">
        <f t="shared" si="441"/>
        <v/>
      </c>
      <c r="IT105" s="4" t="str">
        <f t="shared" si="442"/>
        <v/>
      </c>
      <c r="IU105" s="4" t="str">
        <f t="shared" si="443"/>
        <v/>
      </c>
      <c r="IV105" s="4" t="str">
        <f t="shared" si="444"/>
        <v/>
      </c>
      <c r="IW105" s="4" t="str">
        <f t="shared" si="445"/>
        <v/>
      </c>
      <c r="IX105" s="4" t="str">
        <f t="shared" si="446"/>
        <v/>
      </c>
      <c r="IY105" s="4" t="str">
        <f t="shared" si="447"/>
        <v/>
      </c>
      <c r="IZ105" s="4" t="str">
        <f t="shared" si="448"/>
        <v/>
      </c>
      <c r="JA105" s="4" t="str">
        <f t="shared" si="449"/>
        <v/>
      </c>
      <c r="JB105" s="4" t="str">
        <f t="shared" si="450"/>
        <v/>
      </c>
      <c r="JC105" s="4" t="str">
        <f t="shared" si="451"/>
        <v/>
      </c>
      <c r="JD105" s="4" t="str">
        <f t="shared" si="452"/>
        <v/>
      </c>
      <c r="JE105" s="4" t="str">
        <f t="shared" si="453"/>
        <v/>
      </c>
      <c r="JF105" s="4" t="str">
        <f t="shared" si="454"/>
        <v/>
      </c>
      <c r="JG105" s="4" t="str">
        <f t="shared" si="455"/>
        <v/>
      </c>
      <c r="JH105" s="4" t="str">
        <f t="shared" si="456"/>
        <v/>
      </c>
      <c r="JI105" s="4" t="str">
        <f t="shared" si="457"/>
        <v/>
      </c>
      <c r="JJ105" s="4" t="str">
        <f t="shared" si="458"/>
        <v/>
      </c>
      <c r="JK105" s="4" t="str">
        <f t="shared" si="459"/>
        <v/>
      </c>
      <c r="JL105" s="4" t="str">
        <f t="shared" si="460"/>
        <v/>
      </c>
      <c r="JM105" s="4" t="str">
        <f t="shared" si="461"/>
        <v/>
      </c>
      <c r="JN105" s="4" t="str">
        <f t="shared" si="462"/>
        <v/>
      </c>
      <c r="JO105" s="4" t="str">
        <f t="shared" si="463"/>
        <v/>
      </c>
      <c r="JP105" s="4" t="str">
        <f t="shared" si="464"/>
        <v/>
      </c>
      <c r="JQ105" s="117" t="str">
        <f t="shared" si="465"/>
        <v/>
      </c>
      <c r="JR105" s="110" t="str">
        <f t="shared" si="466"/>
        <v/>
      </c>
      <c r="JS105" s="110" t="str">
        <f t="shared" si="467"/>
        <v/>
      </c>
      <c r="JT105" s="110" t="str">
        <f t="shared" si="468"/>
        <v/>
      </c>
      <c r="JU105" s="110" t="str">
        <f t="shared" si="469"/>
        <v/>
      </c>
      <c r="JV105" s="110" t="str">
        <f t="shared" si="470"/>
        <v/>
      </c>
      <c r="JW105" s="110" t="str">
        <f t="shared" si="471"/>
        <v/>
      </c>
      <c r="JX105" s="110" t="str">
        <f t="shared" si="472"/>
        <v/>
      </c>
      <c r="JY105" s="110" t="str">
        <f t="shared" si="473"/>
        <v/>
      </c>
      <c r="JZ105" s="110" t="str">
        <f t="shared" si="474"/>
        <v/>
      </c>
      <c r="KA105" s="110" t="str">
        <f t="shared" si="475"/>
        <v/>
      </c>
      <c r="KB105" s="110" t="str">
        <f t="shared" si="476"/>
        <v/>
      </c>
      <c r="KC105" s="110" t="str">
        <f t="shared" si="477"/>
        <v/>
      </c>
      <c r="KD105" s="110" t="str">
        <f t="shared" si="478"/>
        <v/>
      </c>
      <c r="KE105" s="110" t="str">
        <f t="shared" si="479"/>
        <v/>
      </c>
      <c r="KF105" s="110" t="str">
        <f t="shared" si="480"/>
        <v/>
      </c>
      <c r="KG105" s="121" t="str">
        <f t="shared" si="481"/>
        <v/>
      </c>
      <c r="KH105" s="83" t="str">
        <f t="shared" si="482"/>
        <v/>
      </c>
      <c r="KI105" s="4" t="str">
        <f t="shared" si="483"/>
        <v/>
      </c>
      <c r="KJ105" s="4" t="str">
        <f t="shared" si="484"/>
        <v/>
      </c>
      <c r="KK105" s="4" t="str">
        <f t="shared" si="485"/>
        <v/>
      </c>
      <c r="KL105" s="4" t="str">
        <f t="shared" si="486"/>
        <v/>
      </c>
      <c r="KM105" s="4" t="str">
        <f t="shared" si="487"/>
        <v/>
      </c>
      <c r="KN105" s="4" t="str">
        <f t="shared" si="488"/>
        <v/>
      </c>
      <c r="KO105" s="4" t="str">
        <f t="shared" si="489"/>
        <v/>
      </c>
      <c r="KP105" s="4" t="str">
        <f t="shared" si="490"/>
        <v/>
      </c>
      <c r="KQ105" s="4" t="str">
        <f t="shared" si="491"/>
        <v/>
      </c>
      <c r="KR105" s="4" t="str">
        <f t="shared" si="492"/>
        <v/>
      </c>
      <c r="KS105" s="4" t="str">
        <f t="shared" si="493"/>
        <v/>
      </c>
      <c r="KT105" s="4" t="str">
        <f t="shared" si="494"/>
        <v/>
      </c>
      <c r="KU105" s="4" t="str">
        <f t="shared" si="495"/>
        <v/>
      </c>
      <c r="KV105" s="4" t="str">
        <f t="shared" si="496"/>
        <v/>
      </c>
      <c r="KW105" s="4" t="str">
        <f t="shared" si="497"/>
        <v/>
      </c>
      <c r="KX105" s="4" t="str">
        <f t="shared" si="498"/>
        <v/>
      </c>
      <c r="KY105" s="4" t="str">
        <f t="shared" si="499"/>
        <v/>
      </c>
      <c r="KZ105" s="4" t="str">
        <f t="shared" si="500"/>
        <v/>
      </c>
      <c r="LA105" s="4" t="str">
        <f t="shared" si="501"/>
        <v/>
      </c>
      <c r="LB105" s="4" t="str">
        <f t="shared" si="502"/>
        <v/>
      </c>
      <c r="LC105" s="4" t="str">
        <f t="shared" si="503"/>
        <v/>
      </c>
      <c r="LD105" s="4" t="str">
        <f t="shared" si="504"/>
        <v/>
      </c>
      <c r="LE105" s="4" t="str">
        <f t="shared" si="505"/>
        <v/>
      </c>
      <c r="LF105" s="4" t="str">
        <f t="shared" si="506"/>
        <v/>
      </c>
      <c r="LG105" s="4" t="str">
        <f t="shared" si="507"/>
        <v/>
      </c>
      <c r="LH105" s="4" t="str">
        <f t="shared" si="508"/>
        <v/>
      </c>
      <c r="LI105" s="4" t="str">
        <f t="shared" si="509"/>
        <v/>
      </c>
      <c r="LJ105" s="4" t="str">
        <f t="shared" si="510"/>
        <v/>
      </c>
      <c r="LK105" s="4" t="str">
        <f t="shared" si="511"/>
        <v/>
      </c>
      <c r="LL105" s="4" t="str">
        <f t="shared" si="512"/>
        <v/>
      </c>
      <c r="LM105" s="4" t="str">
        <f t="shared" si="513"/>
        <v/>
      </c>
      <c r="LN105" s="4" t="str">
        <f t="shared" si="514"/>
        <v/>
      </c>
      <c r="LO105" s="4" t="str">
        <f t="shared" si="515"/>
        <v/>
      </c>
      <c r="LP105" s="4" t="str">
        <f t="shared" si="516"/>
        <v/>
      </c>
      <c r="LQ105" s="4" t="str">
        <f t="shared" si="517"/>
        <v/>
      </c>
      <c r="LR105" s="4" t="str">
        <f t="shared" si="518"/>
        <v/>
      </c>
      <c r="LS105" s="4" t="str">
        <f t="shared" si="519"/>
        <v/>
      </c>
      <c r="LT105" s="4" t="str">
        <f t="shared" si="520"/>
        <v/>
      </c>
      <c r="LU105" s="4" t="str">
        <f t="shared" si="521"/>
        <v/>
      </c>
      <c r="LV105" s="4" t="str">
        <f t="shared" si="522"/>
        <v/>
      </c>
      <c r="LW105" s="4" t="str">
        <f t="shared" si="523"/>
        <v/>
      </c>
      <c r="LX105" s="4" t="str">
        <f t="shared" si="524"/>
        <v/>
      </c>
      <c r="LY105" s="4" t="str">
        <f t="shared" si="525"/>
        <v/>
      </c>
      <c r="LZ105" s="4" t="str">
        <f t="shared" si="526"/>
        <v/>
      </c>
      <c r="MA105" s="4" t="str">
        <f t="shared" si="527"/>
        <v/>
      </c>
      <c r="MB105" s="4" t="str">
        <f t="shared" si="528"/>
        <v/>
      </c>
      <c r="MC105" s="4" t="str">
        <f t="shared" si="529"/>
        <v/>
      </c>
      <c r="MD105" s="4" t="str">
        <f t="shared" si="530"/>
        <v/>
      </c>
      <c r="ME105" s="4" t="str">
        <f t="shared" si="531"/>
        <v/>
      </c>
      <c r="MF105" s="4" t="str">
        <f t="shared" si="532"/>
        <v/>
      </c>
      <c r="MG105" s="4">
        <f t="shared" si="533"/>
        <v>0</v>
      </c>
    </row>
    <row r="106" spans="1:345" ht="26.25" customHeight="1" x14ac:dyDescent="0.2">
      <c r="A106" s="35">
        <v>41227</v>
      </c>
      <c r="B106" s="36" t="s">
        <v>116</v>
      </c>
      <c r="C106" s="36" t="s">
        <v>115</v>
      </c>
      <c r="D106" s="31" t="s">
        <v>110</v>
      </c>
      <c r="E106" s="4">
        <v>84</v>
      </c>
      <c r="F106" s="3">
        <v>10201</v>
      </c>
      <c r="G106" s="4" t="s">
        <v>87</v>
      </c>
      <c r="H106" s="4" t="s">
        <v>108</v>
      </c>
      <c r="I106" s="4">
        <v>1835821</v>
      </c>
      <c r="K106" s="235"/>
      <c r="L106" s="236"/>
      <c r="M106" s="236"/>
      <c r="N106" s="236"/>
      <c r="O106" s="235"/>
      <c r="P106" s="236"/>
      <c r="Q106" s="236"/>
      <c r="R106" s="4">
        <v>-0.5</v>
      </c>
      <c r="S106" s="4">
        <v>-0.49</v>
      </c>
      <c r="T106" s="4" t="s">
        <v>249</v>
      </c>
      <c r="U106" s="67">
        <v>21.25</v>
      </c>
      <c r="V106" s="124">
        <v>41211</v>
      </c>
      <c r="W106" s="67">
        <v>0</v>
      </c>
      <c r="X106" s="67">
        <v>1.25</v>
      </c>
      <c r="Y106" s="4">
        <v>179</v>
      </c>
      <c r="Z106" s="4">
        <v>50</v>
      </c>
      <c r="AA106" s="4">
        <v>11</v>
      </c>
      <c r="AB106" s="4">
        <v>679</v>
      </c>
      <c r="AC106" s="4">
        <v>23.38</v>
      </c>
      <c r="AD106" s="4">
        <v>11.8</v>
      </c>
      <c r="AE106" s="4">
        <v>4.74</v>
      </c>
      <c r="AF106" s="4">
        <v>2.77</v>
      </c>
      <c r="AG106" s="4">
        <v>43.55</v>
      </c>
      <c r="AH106" s="4">
        <v>69</v>
      </c>
      <c r="AI106" s="4">
        <v>44.58</v>
      </c>
      <c r="AJ106" s="4">
        <v>159</v>
      </c>
      <c r="AK106" s="4">
        <v>0</v>
      </c>
      <c r="AL106" s="4" t="b">
        <f t="shared" si="406"/>
        <v>0</v>
      </c>
      <c r="AN106" s="4" t="s">
        <v>78</v>
      </c>
      <c r="BC106" s="4" t="str">
        <f t="shared" si="404"/>
        <v/>
      </c>
      <c r="BD106" s="4" t="str">
        <f t="shared" si="405"/>
        <v/>
      </c>
      <c r="BE106" s="4" t="str">
        <f t="shared" si="407"/>
        <v/>
      </c>
      <c r="BF106" s="51" t="s">
        <v>501</v>
      </c>
      <c r="BU106" s="4" t="str">
        <f t="shared" si="534"/>
        <v/>
      </c>
      <c r="BV106" s="4" t="str">
        <f t="shared" si="408"/>
        <v/>
      </c>
      <c r="BW106" s="4" t="str">
        <f t="shared" si="409"/>
        <v/>
      </c>
      <c r="BX106" s="4">
        <f t="shared" si="403"/>
        <v>0</v>
      </c>
      <c r="BY106" s="4">
        <f t="shared" si="410"/>
        <v>0</v>
      </c>
      <c r="BZ106" s="4" t="str">
        <f t="shared" si="411"/>
        <v/>
      </c>
      <c r="CA106" s="4" t="str">
        <f t="shared" si="412"/>
        <v/>
      </c>
      <c r="CB106" s="4" t="str">
        <f t="shared" si="413"/>
        <v/>
      </c>
      <c r="CC106" s="53">
        <f t="shared" si="414"/>
        <v>0</v>
      </c>
      <c r="CD106" s="55" t="str">
        <f t="shared" si="415"/>
        <v/>
      </c>
      <c r="CE106" s="4" t="str">
        <f t="shared" si="416"/>
        <v/>
      </c>
      <c r="CF106" s="4" t="str">
        <f t="shared" si="417"/>
        <v/>
      </c>
      <c r="CG106" s="4" t="str">
        <f t="shared" si="418"/>
        <v/>
      </c>
      <c r="CH106" s="4" t="str">
        <f t="shared" si="419"/>
        <v/>
      </c>
      <c r="CI106" s="4" t="str">
        <f t="shared" si="420"/>
        <v/>
      </c>
      <c r="CJ106" s="4" t="str">
        <f t="shared" si="421"/>
        <v/>
      </c>
      <c r="CK106" s="93" t="str">
        <f t="shared" si="422"/>
        <v/>
      </c>
      <c r="CL106" s="83" t="str">
        <f t="shared" si="423"/>
        <v/>
      </c>
      <c r="CM106" s="4" t="str">
        <f t="shared" si="424"/>
        <v/>
      </c>
      <c r="CN106" s="96" t="str">
        <f t="shared" si="425"/>
        <v/>
      </c>
      <c r="CO106" s="96" t="str">
        <f t="shared" si="398"/>
        <v/>
      </c>
      <c r="CP106" s="127" t="str">
        <f t="shared" si="426"/>
        <v/>
      </c>
      <c r="CQ106" s="127" t="str">
        <f t="shared" si="427"/>
        <v/>
      </c>
      <c r="CR106" s="136" t="str">
        <f t="shared" si="428"/>
        <v/>
      </c>
      <c r="CS106" s="136" t="str">
        <f t="shared" si="429"/>
        <v/>
      </c>
      <c r="CT106" s="135" t="str">
        <f t="shared" si="430"/>
        <v/>
      </c>
      <c r="CU106" s="139" t="str">
        <f t="shared" si="431"/>
        <v/>
      </c>
      <c r="CV106" s="96" t="str">
        <f t="shared" si="432"/>
        <v/>
      </c>
      <c r="CW106" s="141" t="str">
        <f t="shared" si="433"/>
        <v/>
      </c>
      <c r="IL106" s="83" t="str">
        <f t="shared" si="434"/>
        <v/>
      </c>
      <c r="IM106" s="4" t="str">
        <f t="shared" si="435"/>
        <v/>
      </c>
      <c r="IN106" s="4" t="str">
        <f t="shared" si="436"/>
        <v/>
      </c>
      <c r="IO106" s="4" t="str">
        <f t="shared" si="437"/>
        <v/>
      </c>
      <c r="IP106" s="4" t="str">
        <f t="shared" si="438"/>
        <v/>
      </c>
      <c r="IQ106" s="4" t="str">
        <f t="shared" si="439"/>
        <v/>
      </c>
      <c r="IR106" s="4" t="str">
        <f t="shared" si="440"/>
        <v/>
      </c>
      <c r="IS106" s="4" t="str">
        <f t="shared" si="441"/>
        <v/>
      </c>
      <c r="IT106" s="4" t="str">
        <f t="shared" si="442"/>
        <v/>
      </c>
      <c r="IU106" s="4" t="str">
        <f t="shared" si="443"/>
        <v/>
      </c>
      <c r="IV106" s="4" t="str">
        <f t="shared" si="444"/>
        <v/>
      </c>
      <c r="IW106" s="4" t="str">
        <f t="shared" si="445"/>
        <v/>
      </c>
      <c r="IX106" s="4" t="str">
        <f t="shared" si="446"/>
        <v/>
      </c>
      <c r="IY106" s="4" t="str">
        <f t="shared" si="447"/>
        <v/>
      </c>
      <c r="IZ106" s="4" t="str">
        <f t="shared" si="448"/>
        <v/>
      </c>
      <c r="JA106" s="4" t="str">
        <f t="shared" si="449"/>
        <v/>
      </c>
      <c r="JB106" s="4" t="str">
        <f t="shared" si="450"/>
        <v/>
      </c>
      <c r="JC106" s="4" t="str">
        <f t="shared" si="451"/>
        <v/>
      </c>
      <c r="JD106" s="4" t="str">
        <f t="shared" si="452"/>
        <v/>
      </c>
      <c r="JE106" s="4" t="str">
        <f t="shared" si="453"/>
        <v/>
      </c>
      <c r="JF106" s="4" t="str">
        <f t="shared" si="454"/>
        <v/>
      </c>
      <c r="JG106" s="4" t="str">
        <f t="shared" si="455"/>
        <v/>
      </c>
      <c r="JH106" s="4" t="str">
        <f t="shared" si="456"/>
        <v/>
      </c>
      <c r="JI106" s="4" t="str">
        <f t="shared" si="457"/>
        <v/>
      </c>
      <c r="JJ106" s="4" t="str">
        <f t="shared" si="458"/>
        <v/>
      </c>
      <c r="JK106" s="4" t="str">
        <f t="shared" si="459"/>
        <v/>
      </c>
      <c r="JL106" s="4" t="str">
        <f t="shared" si="460"/>
        <v/>
      </c>
      <c r="JM106" s="4" t="str">
        <f t="shared" si="461"/>
        <v/>
      </c>
      <c r="JN106" s="4" t="str">
        <f t="shared" si="462"/>
        <v/>
      </c>
      <c r="JO106" s="4" t="str">
        <f t="shared" si="463"/>
        <v/>
      </c>
      <c r="JP106" s="4" t="str">
        <f t="shared" si="464"/>
        <v/>
      </c>
      <c r="JQ106" s="117" t="str">
        <f t="shared" si="465"/>
        <v/>
      </c>
      <c r="JR106" s="121" t="str">
        <f t="shared" si="466"/>
        <v/>
      </c>
      <c r="JS106" s="110" t="str">
        <f t="shared" si="467"/>
        <v/>
      </c>
      <c r="JT106" s="110" t="str">
        <f t="shared" si="468"/>
        <v/>
      </c>
      <c r="JU106" s="110" t="str">
        <f t="shared" si="469"/>
        <v/>
      </c>
      <c r="JV106" s="110" t="str">
        <f t="shared" si="470"/>
        <v/>
      </c>
      <c r="JW106" s="110" t="str">
        <f t="shared" si="471"/>
        <v/>
      </c>
      <c r="JX106" s="110" t="str">
        <f t="shared" si="472"/>
        <v/>
      </c>
      <c r="JY106" s="110" t="str">
        <f t="shared" si="473"/>
        <v/>
      </c>
      <c r="JZ106" s="110" t="str">
        <f t="shared" si="474"/>
        <v/>
      </c>
      <c r="KA106" s="110" t="str">
        <f t="shared" si="475"/>
        <v/>
      </c>
      <c r="KB106" s="110" t="str">
        <f t="shared" si="476"/>
        <v/>
      </c>
      <c r="KC106" s="110" t="str">
        <f t="shared" si="477"/>
        <v/>
      </c>
      <c r="KD106" s="110" t="str">
        <f t="shared" si="478"/>
        <v/>
      </c>
      <c r="KE106" s="110" t="str">
        <f t="shared" si="479"/>
        <v/>
      </c>
      <c r="KF106" s="110" t="str">
        <f t="shared" si="480"/>
        <v/>
      </c>
      <c r="KG106" s="121" t="str">
        <f t="shared" si="481"/>
        <v/>
      </c>
      <c r="KH106" s="83" t="str">
        <f t="shared" si="482"/>
        <v/>
      </c>
      <c r="KI106" s="4" t="str">
        <f t="shared" si="483"/>
        <v/>
      </c>
      <c r="KJ106" s="4" t="str">
        <f t="shared" si="484"/>
        <v/>
      </c>
      <c r="KK106" s="4" t="str">
        <f t="shared" si="485"/>
        <v/>
      </c>
      <c r="KL106" s="4" t="str">
        <f t="shared" si="486"/>
        <v/>
      </c>
      <c r="KM106" s="4" t="str">
        <f t="shared" si="487"/>
        <v/>
      </c>
      <c r="KN106" s="4" t="str">
        <f t="shared" si="488"/>
        <v/>
      </c>
      <c r="KO106" s="4" t="str">
        <f t="shared" si="489"/>
        <v/>
      </c>
      <c r="KP106" s="4" t="str">
        <f t="shared" si="490"/>
        <v/>
      </c>
      <c r="KQ106" s="4" t="str">
        <f t="shared" si="491"/>
        <v/>
      </c>
      <c r="KR106" s="4" t="str">
        <f t="shared" si="492"/>
        <v/>
      </c>
      <c r="KS106" s="4" t="str">
        <f t="shared" si="493"/>
        <v/>
      </c>
      <c r="KT106" s="4" t="str">
        <f t="shared" si="494"/>
        <v/>
      </c>
      <c r="KU106" s="4" t="str">
        <f t="shared" si="495"/>
        <v/>
      </c>
      <c r="KV106" s="4" t="str">
        <f t="shared" si="496"/>
        <v/>
      </c>
      <c r="KW106" s="4" t="str">
        <f t="shared" si="497"/>
        <v/>
      </c>
      <c r="KX106" s="4" t="str">
        <f t="shared" si="498"/>
        <v/>
      </c>
      <c r="KY106" s="4" t="str">
        <f t="shared" si="499"/>
        <v/>
      </c>
      <c r="KZ106" s="4" t="str">
        <f t="shared" si="500"/>
        <v/>
      </c>
      <c r="LA106" s="4" t="str">
        <f t="shared" si="501"/>
        <v/>
      </c>
      <c r="LB106" s="4" t="str">
        <f t="shared" si="502"/>
        <v/>
      </c>
      <c r="LC106" s="4" t="str">
        <f t="shared" si="503"/>
        <v/>
      </c>
      <c r="LD106" s="4" t="str">
        <f t="shared" si="504"/>
        <v/>
      </c>
      <c r="LE106" s="4" t="str">
        <f t="shared" si="505"/>
        <v/>
      </c>
      <c r="LF106" s="4" t="str">
        <f t="shared" si="506"/>
        <v/>
      </c>
      <c r="LG106" s="4" t="str">
        <f t="shared" si="507"/>
        <v/>
      </c>
      <c r="LH106" s="4" t="str">
        <f t="shared" si="508"/>
        <v/>
      </c>
      <c r="LI106" s="4" t="str">
        <f t="shared" si="509"/>
        <v/>
      </c>
      <c r="LJ106" s="4" t="str">
        <f t="shared" si="510"/>
        <v/>
      </c>
      <c r="LK106" s="4" t="str">
        <f t="shared" si="511"/>
        <v/>
      </c>
      <c r="LL106" s="4" t="str">
        <f t="shared" si="512"/>
        <v/>
      </c>
      <c r="LM106" s="4" t="str">
        <f t="shared" si="513"/>
        <v/>
      </c>
      <c r="LN106" s="4" t="str">
        <f t="shared" si="514"/>
        <v/>
      </c>
      <c r="LO106" s="4" t="str">
        <f t="shared" si="515"/>
        <v/>
      </c>
      <c r="LP106" s="4" t="str">
        <f t="shared" si="516"/>
        <v/>
      </c>
      <c r="LQ106" s="4" t="str">
        <f t="shared" si="517"/>
        <v/>
      </c>
      <c r="LR106" s="4" t="str">
        <f t="shared" si="518"/>
        <v/>
      </c>
      <c r="LS106" s="4" t="str">
        <f t="shared" si="519"/>
        <v/>
      </c>
      <c r="LT106" s="4" t="str">
        <f t="shared" si="520"/>
        <v/>
      </c>
      <c r="LU106" s="4" t="str">
        <f t="shared" si="521"/>
        <v/>
      </c>
      <c r="LV106" s="4" t="str">
        <f t="shared" si="522"/>
        <v/>
      </c>
      <c r="LW106" s="4" t="str">
        <f t="shared" si="523"/>
        <v/>
      </c>
      <c r="LX106" s="4" t="str">
        <f t="shared" si="524"/>
        <v/>
      </c>
      <c r="LY106" s="4" t="str">
        <f t="shared" si="525"/>
        <v/>
      </c>
      <c r="LZ106" s="4" t="str">
        <f t="shared" si="526"/>
        <v/>
      </c>
      <c r="MA106" s="4" t="str">
        <f t="shared" si="527"/>
        <v/>
      </c>
      <c r="MB106" s="4" t="str">
        <f t="shared" si="528"/>
        <v/>
      </c>
      <c r="MC106" s="4" t="str">
        <f t="shared" si="529"/>
        <v/>
      </c>
      <c r="MD106" s="4" t="str">
        <f t="shared" si="530"/>
        <v/>
      </c>
      <c r="ME106" s="4" t="str">
        <f t="shared" si="531"/>
        <v/>
      </c>
      <c r="MF106" s="4" t="str">
        <f t="shared" si="532"/>
        <v/>
      </c>
      <c r="MG106" s="4">
        <f t="shared" si="533"/>
        <v>0</v>
      </c>
    </row>
    <row r="107" spans="1:345" ht="26.25" customHeight="1" x14ac:dyDescent="0.2">
      <c r="A107" s="35">
        <v>41290</v>
      </c>
      <c r="B107" s="36" t="s">
        <v>192</v>
      </c>
      <c r="C107" s="36" t="s">
        <v>165</v>
      </c>
      <c r="D107" s="31" t="s">
        <v>110</v>
      </c>
      <c r="E107" s="4">
        <v>80</v>
      </c>
      <c r="F107" s="3">
        <v>11842</v>
      </c>
      <c r="G107" s="4" t="s">
        <v>87</v>
      </c>
      <c r="H107" s="4" t="s">
        <v>108</v>
      </c>
      <c r="I107" s="4">
        <v>1835845</v>
      </c>
      <c r="K107" s="235"/>
      <c r="L107" s="236"/>
      <c r="M107" s="236"/>
      <c r="N107" s="236"/>
      <c r="O107" s="235"/>
      <c r="P107" s="236"/>
      <c r="Q107" s="236"/>
      <c r="R107" s="33">
        <v>-1</v>
      </c>
      <c r="S107" s="33">
        <v>-1.38</v>
      </c>
      <c r="T107" s="33" t="s">
        <v>249</v>
      </c>
      <c r="U107" s="67">
        <v>22.25</v>
      </c>
      <c r="V107" s="124">
        <v>41214</v>
      </c>
      <c r="W107" s="67">
        <v>1.25</v>
      </c>
      <c r="X107" s="67">
        <v>0</v>
      </c>
      <c r="Y107" s="4">
        <v>0</v>
      </c>
      <c r="Z107" s="4">
        <v>200</v>
      </c>
      <c r="AA107" s="4">
        <v>17</v>
      </c>
      <c r="AB107" s="4">
        <v>598</v>
      </c>
      <c r="AC107" s="4">
        <v>22.57</v>
      </c>
      <c r="AD107" s="4">
        <v>11.3</v>
      </c>
      <c r="AE107" s="4">
        <v>4.3230000000000004</v>
      </c>
      <c r="AF107" s="4">
        <v>2.87</v>
      </c>
      <c r="AG107" s="4">
        <v>45.3</v>
      </c>
      <c r="AH107" s="4">
        <v>89</v>
      </c>
      <c r="AI107" s="4">
        <v>45.79</v>
      </c>
      <c r="AJ107" s="4">
        <v>179</v>
      </c>
      <c r="AK107" s="4">
        <v>0</v>
      </c>
      <c r="AL107" s="4" t="b">
        <f t="shared" si="406"/>
        <v>0</v>
      </c>
      <c r="AN107" s="37" t="s">
        <v>78</v>
      </c>
      <c r="AO107" s="59"/>
      <c r="BC107" s="4" t="str">
        <f t="shared" si="404"/>
        <v/>
      </c>
      <c r="BD107" s="4" t="str">
        <f t="shared" si="405"/>
        <v/>
      </c>
      <c r="BE107" s="4" t="str">
        <f t="shared" si="407"/>
        <v/>
      </c>
      <c r="BF107" s="51" t="s">
        <v>501</v>
      </c>
      <c r="BU107" s="4" t="str">
        <f t="shared" si="534"/>
        <v/>
      </c>
      <c r="BV107" s="4" t="str">
        <f t="shared" si="408"/>
        <v/>
      </c>
      <c r="BW107" s="4" t="str">
        <f t="shared" si="409"/>
        <v/>
      </c>
      <c r="BX107" s="4">
        <f t="shared" si="403"/>
        <v>0</v>
      </c>
      <c r="BY107" s="4">
        <f t="shared" si="410"/>
        <v>0</v>
      </c>
      <c r="BZ107" s="4" t="str">
        <f t="shared" si="411"/>
        <v/>
      </c>
      <c r="CA107" s="4" t="str">
        <f t="shared" si="412"/>
        <v/>
      </c>
      <c r="CB107" s="4" t="str">
        <f t="shared" si="413"/>
        <v/>
      </c>
      <c r="CC107" s="53">
        <f t="shared" si="414"/>
        <v>0</v>
      </c>
      <c r="CD107" s="55" t="str">
        <f t="shared" si="415"/>
        <v/>
      </c>
      <c r="CE107" s="4" t="str">
        <f t="shared" si="416"/>
        <v/>
      </c>
      <c r="CF107" s="4" t="str">
        <f t="shared" si="417"/>
        <v/>
      </c>
      <c r="CG107" s="4" t="str">
        <f t="shared" si="418"/>
        <v/>
      </c>
      <c r="CH107" s="4" t="str">
        <f t="shared" si="419"/>
        <v/>
      </c>
      <c r="CI107" s="4" t="str">
        <f t="shared" si="420"/>
        <v/>
      </c>
      <c r="CJ107" s="4" t="str">
        <f t="shared" si="421"/>
        <v/>
      </c>
      <c r="CK107" s="93" t="str">
        <f t="shared" si="422"/>
        <v/>
      </c>
      <c r="CL107" s="83" t="str">
        <f t="shared" si="423"/>
        <v/>
      </c>
      <c r="CM107" s="4" t="str">
        <f t="shared" si="424"/>
        <v/>
      </c>
      <c r="CN107" s="96" t="str">
        <f t="shared" si="425"/>
        <v/>
      </c>
      <c r="CO107" s="96" t="str">
        <f t="shared" si="398"/>
        <v/>
      </c>
      <c r="CP107" s="127" t="str">
        <f t="shared" si="426"/>
        <v/>
      </c>
      <c r="CQ107" s="127" t="str">
        <f t="shared" si="427"/>
        <v/>
      </c>
      <c r="CR107" s="136" t="str">
        <f t="shared" si="428"/>
        <v/>
      </c>
      <c r="CS107" s="136" t="str">
        <f t="shared" si="429"/>
        <v/>
      </c>
      <c r="CT107" s="135" t="str">
        <f t="shared" si="430"/>
        <v/>
      </c>
      <c r="CU107" s="139" t="str">
        <f t="shared" si="431"/>
        <v/>
      </c>
      <c r="CV107" s="96" t="str">
        <f t="shared" si="432"/>
        <v/>
      </c>
      <c r="CW107" s="141" t="str">
        <f t="shared" si="433"/>
        <v/>
      </c>
      <c r="IL107" s="83" t="str">
        <f t="shared" si="434"/>
        <v/>
      </c>
      <c r="IM107" s="4" t="str">
        <f t="shared" si="435"/>
        <v/>
      </c>
      <c r="IN107" s="4" t="str">
        <f t="shared" si="436"/>
        <v/>
      </c>
      <c r="IO107" s="4" t="str">
        <f t="shared" si="437"/>
        <v/>
      </c>
      <c r="IP107" s="4" t="str">
        <f t="shared" si="438"/>
        <v/>
      </c>
      <c r="IQ107" s="4" t="str">
        <f t="shared" si="439"/>
        <v/>
      </c>
      <c r="IR107" s="4" t="str">
        <f t="shared" si="440"/>
        <v/>
      </c>
      <c r="IS107" s="4" t="str">
        <f t="shared" si="441"/>
        <v/>
      </c>
      <c r="IT107" s="4" t="str">
        <f t="shared" si="442"/>
        <v/>
      </c>
      <c r="IU107" s="4" t="str">
        <f t="shared" si="443"/>
        <v/>
      </c>
      <c r="IV107" s="4" t="str">
        <f t="shared" si="444"/>
        <v/>
      </c>
      <c r="IW107" s="4" t="str">
        <f t="shared" si="445"/>
        <v/>
      </c>
      <c r="IX107" s="4" t="str">
        <f t="shared" si="446"/>
        <v/>
      </c>
      <c r="IY107" s="4" t="str">
        <f t="shared" si="447"/>
        <v/>
      </c>
      <c r="IZ107" s="4" t="str">
        <f t="shared" si="448"/>
        <v/>
      </c>
      <c r="JA107" s="4" t="str">
        <f t="shared" si="449"/>
        <v/>
      </c>
      <c r="JB107" s="4" t="str">
        <f t="shared" si="450"/>
        <v/>
      </c>
      <c r="JC107" s="4" t="str">
        <f t="shared" si="451"/>
        <v/>
      </c>
      <c r="JD107" s="4" t="str">
        <f t="shared" si="452"/>
        <v/>
      </c>
      <c r="JE107" s="4" t="str">
        <f t="shared" si="453"/>
        <v/>
      </c>
      <c r="JF107" s="4" t="str">
        <f t="shared" si="454"/>
        <v/>
      </c>
      <c r="JG107" s="4" t="str">
        <f t="shared" si="455"/>
        <v/>
      </c>
      <c r="JH107" s="4" t="str">
        <f t="shared" si="456"/>
        <v/>
      </c>
      <c r="JI107" s="4" t="str">
        <f t="shared" si="457"/>
        <v/>
      </c>
      <c r="JJ107" s="4" t="str">
        <f t="shared" si="458"/>
        <v/>
      </c>
      <c r="JK107" s="4" t="str">
        <f t="shared" si="459"/>
        <v/>
      </c>
      <c r="JL107" s="4" t="str">
        <f t="shared" si="460"/>
        <v/>
      </c>
      <c r="JM107" s="4" t="str">
        <f t="shared" si="461"/>
        <v/>
      </c>
      <c r="JN107" s="4" t="str">
        <f t="shared" si="462"/>
        <v/>
      </c>
      <c r="JO107" s="4" t="str">
        <f t="shared" si="463"/>
        <v/>
      </c>
      <c r="JP107" s="4" t="str">
        <f t="shared" si="464"/>
        <v/>
      </c>
      <c r="JQ107" s="117" t="str">
        <f t="shared" si="465"/>
        <v/>
      </c>
      <c r="JR107" s="110" t="str">
        <f t="shared" si="466"/>
        <v/>
      </c>
      <c r="JS107" s="110" t="str">
        <f t="shared" si="467"/>
        <v/>
      </c>
      <c r="JT107" s="110" t="str">
        <f t="shared" si="468"/>
        <v/>
      </c>
      <c r="JU107" s="110" t="str">
        <f t="shared" si="469"/>
        <v/>
      </c>
      <c r="JV107" s="110" t="str">
        <f t="shared" si="470"/>
        <v/>
      </c>
      <c r="JW107" s="110" t="str">
        <f t="shared" si="471"/>
        <v/>
      </c>
      <c r="JX107" s="110" t="str">
        <f t="shared" si="472"/>
        <v/>
      </c>
      <c r="JY107" s="110" t="str">
        <f t="shared" si="473"/>
        <v/>
      </c>
      <c r="JZ107" s="110" t="str">
        <f t="shared" si="474"/>
        <v/>
      </c>
      <c r="KA107" s="110" t="str">
        <f t="shared" si="475"/>
        <v/>
      </c>
      <c r="KB107" s="110" t="str">
        <f t="shared" si="476"/>
        <v/>
      </c>
      <c r="KC107" s="110" t="str">
        <f t="shared" si="477"/>
        <v/>
      </c>
      <c r="KD107" s="110" t="str">
        <f t="shared" si="478"/>
        <v/>
      </c>
      <c r="KE107" s="110" t="str">
        <f t="shared" si="479"/>
        <v/>
      </c>
      <c r="KF107" s="110" t="str">
        <f t="shared" si="480"/>
        <v/>
      </c>
      <c r="KG107" s="121" t="str">
        <f t="shared" si="481"/>
        <v/>
      </c>
      <c r="KH107" s="83" t="str">
        <f t="shared" si="482"/>
        <v/>
      </c>
      <c r="KI107" s="4" t="str">
        <f t="shared" si="483"/>
        <v/>
      </c>
      <c r="KJ107" s="4" t="str">
        <f t="shared" si="484"/>
        <v/>
      </c>
      <c r="KK107" s="4" t="str">
        <f t="shared" si="485"/>
        <v/>
      </c>
      <c r="KL107" s="4" t="str">
        <f t="shared" si="486"/>
        <v/>
      </c>
      <c r="KM107" s="4" t="str">
        <f t="shared" si="487"/>
        <v/>
      </c>
      <c r="KN107" s="4" t="str">
        <f t="shared" si="488"/>
        <v/>
      </c>
      <c r="KO107" s="4" t="str">
        <f t="shared" si="489"/>
        <v/>
      </c>
      <c r="KP107" s="4" t="str">
        <f t="shared" si="490"/>
        <v/>
      </c>
      <c r="KQ107" s="4" t="str">
        <f t="shared" si="491"/>
        <v/>
      </c>
      <c r="KR107" s="4" t="str">
        <f t="shared" si="492"/>
        <v/>
      </c>
      <c r="KS107" s="4" t="str">
        <f t="shared" si="493"/>
        <v/>
      </c>
      <c r="KT107" s="4" t="str">
        <f t="shared" si="494"/>
        <v/>
      </c>
      <c r="KU107" s="4" t="str">
        <f t="shared" si="495"/>
        <v/>
      </c>
      <c r="KV107" s="4" t="str">
        <f t="shared" si="496"/>
        <v/>
      </c>
      <c r="KW107" s="4" t="str">
        <f t="shared" si="497"/>
        <v/>
      </c>
      <c r="KX107" s="4" t="str">
        <f t="shared" si="498"/>
        <v/>
      </c>
      <c r="KY107" s="4" t="str">
        <f t="shared" si="499"/>
        <v/>
      </c>
      <c r="KZ107" s="4" t="str">
        <f t="shared" si="500"/>
        <v/>
      </c>
      <c r="LA107" s="4" t="str">
        <f t="shared" si="501"/>
        <v/>
      </c>
      <c r="LB107" s="4" t="str">
        <f t="shared" si="502"/>
        <v/>
      </c>
      <c r="LC107" s="4" t="str">
        <f t="shared" si="503"/>
        <v/>
      </c>
      <c r="LD107" s="4" t="str">
        <f t="shared" si="504"/>
        <v/>
      </c>
      <c r="LE107" s="4" t="str">
        <f t="shared" si="505"/>
        <v/>
      </c>
      <c r="LF107" s="4" t="str">
        <f t="shared" si="506"/>
        <v/>
      </c>
      <c r="LG107" s="4" t="str">
        <f t="shared" si="507"/>
        <v/>
      </c>
      <c r="LH107" s="4" t="str">
        <f t="shared" si="508"/>
        <v/>
      </c>
      <c r="LI107" s="4" t="str">
        <f t="shared" si="509"/>
        <v/>
      </c>
      <c r="LJ107" s="4" t="str">
        <f t="shared" si="510"/>
        <v/>
      </c>
      <c r="LK107" s="4" t="str">
        <f t="shared" si="511"/>
        <v/>
      </c>
      <c r="LL107" s="4" t="str">
        <f t="shared" si="512"/>
        <v/>
      </c>
      <c r="LM107" s="4" t="str">
        <f t="shared" si="513"/>
        <v/>
      </c>
      <c r="LN107" s="4" t="str">
        <f t="shared" si="514"/>
        <v/>
      </c>
      <c r="LO107" s="4" t="str">
        <f t="shared" si="515"/>
        <v/>
      </c>
      <c r="LP107" s="4" t="str">
        <f t="shared" si="516"/>
        <v/>
      </c>
      <c r="LQ107" s="4" t="str">
        <f t="shared" si="517"/>
        <v/>
      </c>
      <c r="LR107" s="4" t="str">
        <f t="shared" si="518"/>
        <v/>
      </c>
      <c r="LS107" s="4" t="str">
        <f t="shared" si="519"/>
        <v/>
      </c>
      <c r="LT107" s="4" t="str">
        <f t="shared" si="520"/>
        <v/>
      </c>
      <c r="LU107" s="4" t="str">
        <f t="shared" si="521"/>
        <v/>
      </c>
      <c r="LV107" s="4" t="str">
        <f t="shared" si="522"/>
        <v/>
      </c>
      <c r="LW107" s="4" t="str">
        <f t="shared" si="523"/>
        <v/>
      </c>
      <c r="LX107" s="4" t="str">
        <f t="shared" si="524"/>
        <v/>
      </c>
      <c r="LY107" s="4" t="str">
        <f t="shared" si="525"/>
        <v/>
      </c>
      <c r="LZ107" s="4" t="str">
        <f t="shared" si="526"/>
        <v/>
      </c>
      <c r="MA107" s="4" t="str">
        <f t="shared" si="527"/>
        <v/>
      </c>
      <c r="MB107" s="4" t="str">
        <f t="shared" si="528"/>
        <v/>
      </c>
      <c r="MC107" s="4" t="str">
        <f t="shared" si="529"/>
        <v/>
      </c>
      <c r="MD107" s="4" t="str">
        <f t="shared" si="530"/>
        <v/>
      </c>
      <c r="ME107" s="4" t="str">
        <f t="shared" si="531"/>
        <v/>
      </c>
      <c r="MF107" s="4" t="str">
        <f t="shared" si="532"/>
        <v/>
      </c>
      <c r="MG107" s="4">
        <f t="shared" si="533"/>
        <v>0</v>
      </c>
    </row>
    <row r="108" spans="1:345" ht="26.25" customHeight="1" x14ac:dyDescent="0.2">
      <c r="A108" s="35">
        <v>41220</v>
      </c>
      <c r="B108" s="36" t="s">
        <v>148</v>
      </c>
      <c r="C108" s="36" t="s">
        <v>126</v>
      </c>
      <c r="D108" s="31" t="s">
        <v>110</v>
      </c>
      <c r="E108" s="4">
        <v>84</v>
      </c>
      <c r="F108" s="3">
        <v>10332</v>
      </c>
      <c r="G108" s="4" t="s">
        <v>87</v>
      </c>
      <c r="H108" s="4" t="s">
        <v>112</v>
      </c>
      <c r="I108" s="4">
        <v>1835859</v>
      </c>
      <c r="K108" s="235"/>
      <c r="L108" s="236"/>
      <c r="M108" s="236"/>
      <c r="N108" s="236"/>
      <c r="O108" s="235"/>
      <c r="P108" s="236"/>
      <c r="Q108" s="236"/>
      <c r="R108" s="4">
        <v>-2.5</v>
      </c>
      <c r="S108" s="4">
        <v>-2.52</v>
      </c>
      <c r="T108" s="4" t="s">
        <v>249</v>
      </c>
      <c r="U108" s="67">
        <v>21.25</v>
      </c>
      <c r="V108" s="124">
        <v>41214</v>
      </c>
      <c r="W108" s="67">
        <v>0.5</v>
      </c>
      <c r="X108" s="67">
        <v>0.75</v>
      </c>
      <c r="Y108" s="4">
        <v>94</v>
      </c>
      <c r="Z108" s="4">
        <v>60</v>
      </c>
      <c r="AA108" s="4">
        <v>19</v>
      </c>
      <c r="AB108" s="4">
        <v>612</v>
      </c>
      <c r="AC108" s="4">
        <v>23.25</v>
      </c>
      <c r="AD108" s="4">
        <v>11.6</v>
      </c>
      <c r="AE108" s="4">
        <v>5.33</v>
      </c>
      <c r="AF108" s="4">
        <v>2.44</v>
      </c>
      <c r="AG108" s="4">
        <v>44.12</v>
      </c>
      <c r="AH108" s="4">
        <v>78</v>
      </c>
      <c r="AI108" s="4">
        <v>44.82</v>
      </c>
      <c r="AJ108" s="4">
        <v>168</v>
      </c>
      <c r="AK108" s="4">
        <v>0</v>
      </c>
      <c r="AL108" s="4" t="b">
        <f t="shared" si="406"/>
        <v>0</v>
      </c>
      <c r="AN108" s="4" t="s">
        <v>78</v>
      </c>
      <c r="BC108" s="4" t="str">
        <f t="shared" si="404"/>
        <v/>
      </c>
      <c r="BD108" s="4" t="str">
        <f t="shared" si="405"/>
        <v/>
      </c>
      <c r="BE108" s="4" t="str">
        <f t="shared" si="407"/>
        <v/>
      </c>
      <c r="BF108" s="51" t="s">
        <v>501</v>
      </c>
      <c r="BU108" s="4" t="str">
        <f t="shared" si="534"/>
        <v/>
      </c>
      <c r="BV108" s="4" t="str">
        <f t="shared" si="408"/>
        <v/>
      </c>
      <c r="BW108" s="4" t="str">
        <f t="shared" si="409"/>
        <v/>
      </c>
      <c r="BX108" s="4">
        <f t="shared" si="403"/>
        <v>0</v>
      </c>
      <c r="BY108" s="4">
        <f t="shared" si="410"/>
        <v>0</v>
      </c>
      <c r="BZ108" s="4" t="str">
        <f t="shared" si="411"/>
        <v/>
      </c>
      <c r="CA108" s="4" t="str">
        <f t="shared" si="412"/>
        <v/>
      </c>
      <c r="CB108" s="4" t="str">
        <f t="shared" si="413"/>
        <v/>
      </c>
      <c r="CC108" s="53">
        <f t="shared" si="414"/>
        <v>0</v>
      </c>
      <c r="CD108" s="55" t="str">
        <f t="shared" si="415"/>
        <v/>
      </c>
      <c r="CE108" s="4" t="str">
        <f t="shared" si="416"/>
        <v/>
      </c>
      <c r="CF108" s="4" t="str">
        <f t="shared" si="417"/>
        <v/>
      </c>
      <c r="CG108" s="4" t="str">
        <f t="shared" si="418"/>
        <v/>
      </c>
      <c r="CH108" s="4" t="str">
        <f t="shared" si="419"/>
        <v/>
      </c>
      <c r="CI108" s="4" t="str">
        <f t="shared" si="420"/>
        <v/>
      </c>
      <c r="CJ108" s="4" t="str">
        <f t="shared" si="421"/>
        <v/>
      </c>
      <c r="CK108" s="93" t="str">
        <f t="shared" si="422"/>
        <v/>
      </c>
      <c r="CL108" s="83" t="str">
        <f t="shared" si="423"/>
        <v/>
      </c>
      <c r="CM108" s="4" t="str">
        <f t="shared" si="424"/>
        <v/>
      </c>
      <c r="CN108" s="96" t="str">
        <f t="shared" si="425"/>
        <v/>
      </c>
      <c r="CO108" s="96" t="str">
        <f t="shared" si="398"/>
        <v/>
      </c>
      <c r="CP108" s="127" t="str">
        <f t="shared" si="426"/>
        <v/>
      </c>
      <c r="CQ108" s="127" t="str">
        <f t="shared" si="427"/>
        <v/>
      </c>
      <c r="CR108" s="136" t="str">
        <f t="shared" si="428"/>
        <v/>
      </c>
      <c r="CS108" s="136" t="str">
        <f t="shared" si="429"/>
        <v/>
      </c>
      <c r="CT108" s="135" t="str">
        <f t="shared" si="430"/>
        <v/>
      </c>
      <c r="CU108" s="139" t="str">
        <f t="shared" si="431"/>
        <v/>
      </c>
      <c r="CV108" s="96" t="str">
        <f t="shared" si="432"/>
        <v/>
      </c>
      <c r="CW108" s="141" t="str">
        <f t="shared" si="433"/>
        <v/>
      </c>
      <c r="CX108" s="108"/>
      <c r="IL108" s="83" t="str">
        <f t="shared" si="434"/>
        <v/>
      </c>
      <c r="IM108" s="4" t="str">
        <f t="shared" si="435"/>
        <v/>
      </c>
      <c r="IN108" s="4" t="str">
        <f t="shared" si="436"/>
        <v/>
      </c>
      <c r="IO108" s="4" t="str">
        <f t="shared" si="437"/>
        <v/>
      </c>
      <c r="IP108" s="4" t="str">
        <f t="shared" si="438"/>
        <v/>
      </c>
      <c r="IQ108" s="4" t="str">
        <f t="shared" si="439"/>
        <v/>
      </c>
      <c r="IR108" s="4" t="str">
        <f t="shared" si="440"/>
        <v/>
      </c>
      <c r="IS108" s="4" t="str">
        <f t="shared" si="441"/>
        <v/>
      </c>
      <c r="IT108" s="4" t="str">
        <f t="shared" si="442"/>
        <v/>
      </c>
      <c r="IU108" s="4" t="str">
        <f t="shared" si="443"/>
        <v/>
      </c>
      <c r="IV108" s="4" t="str">
        <f t="shared" si="444"/>
        <v/>
      </c>
      <c r="IW108" s="4" t="str">
        <f t="shared" si="445"/>
        <v/>
      </c>
      <c r="IX108" s="4" t="str">
        <f t="shared" si="446"/>
        <v/>
      </c>
      <c r="IY108" s="4" t="str">
        <f t="shared" si="447"/>
        <v/>
      </c>
      <c r="IZ108" s="4" t="str">
        <f t="shared" si="448"/>
        <v/>
      </c>
      <c r="JA108" s="4" t="str">
        <f t="shared" si="449"/>
        <v/>
      </c>
      <c r="JB108" s="4" t="str">
        <f t="shared" si="450"/>
        <v/>
      </c>
      <c r="JC108" s="4" t="str">
        <f t="shared" si="451"/>
        <v/>
      </c>
      <c r="JD108" s="4" t="str">
        <f t="shared" si="452"/>
        <v/>
      </c>
      <c r="JE108" s="4" t="str">
        <f t="shared" si="453"/>
        <v/>
      </c>
      <c r="JF108" s="4" t="str">
        <f t="shared" si="454"/>
        <v/>
      </c>
      <c r="JG108" s="4" t="str">
        <f t="shared" si="455"/>
        <v/>
      </c>
      <c r="JH108" s="4" t="str">
        <f t="shared" si="456"/>
        <v/>
      </c>
      <c r="JI108" s="4" t="str">
        <f t="shared" si="457"/>
        <v/>
      </c>
      <c r="JJ108" s="4" t="str">
        <f t="shared" si="458"/>
        <v/>
      </c>
      <c r="JK108" s="4" t="str">
        <f t="shared" si="459"/>
        <v/>
      </c>
      <c r="JL108" s="4" t="str">
        <f t="shared" si="460"/>
        <v/>
      </c>
      <c r="JM108" s="4" t="str">
        <f t="shared" si="461"/>
        <v/>
      </c>
      <c r="JN108" s="4" t="str">
        <f t="shared" si="462"/>
        <v/>
      </c>
      <c r="JO108" s="4" t="str">
        <f t="shared" si="463"/>
        <v/>
      </c>
      <c r="JP108" s="4" t="str">
        <f t="shared" si="464"/>
        <v/>
      </c>
      <c r="JQ108" s="117" t="str">
        <f t="shared" si="465"/>
        <v/>
      </c>
      <c r="JR108" s="110" t="str">
        <f t="shared" si="466"/>
        <v/>
      </c>
      <c r="JS108" s="110" t="str">
        <f t="shared" si="467"/>
        <v/>
      </c>
      <c r="JT108" s="110" t="str">
        <f t="shared" si="468"/>
        <v/>
      </c>
      <c r="JU108" s="110" t="str">
        <f t="shared" si="469"/>
        <v/>
      </c>
      <c r="JV108" s="110" t="str">
        <f t="shared" si="470"/>
        <v/>
      </c>
      <c r="JW108" s="110" t="str">
        <f t="shared" si="471"/>
        <v/>
      </c>
      <c r="JX108" s="110" t="str">
        <f t="shared" si="472"/>
        <v/>
      </c>
      <c r="JY108" s="110" t="str">
        <f t="shared" si="473"/>
        <v/>
      </c>
      <c r="JZ108" s="110" t="str">
        <f t="shared" si="474"/>
        <v/>
      </c>
      <c r="KA108" s="110" t="str">
        <f t="shared" si="475"/>
        <v/>
      </c>
      <c r="KB108" s="110" t="str">
        <f t="shared" si="476"/>
        <v/>
      </c>
      <c r="KC108" s="110" t="str">
        <f t="shared" si="477"/>
        <v/>
      </c>
      <c r="KD108" s="110" t="str">
        <f t="shared" si="478"/>
        <v/>
      </c>
      <c r="KE108" s="110" t="str">
        <f t="shared" si="479"/>
        <v/>
      </c>
      <c r="KF108" s="110" t="str">
        <f t="shared" si="480"/>
        <v/>
      </c>
      <c r="KG108" s="121" t="str">
        <f t="shared" si="481"/>
        <v/>
      </c>
      <c r="KH108" s="83" t="str">
        <f t="shared" si="482"/>
        <v/>
      </c>
      <c r="KI108" s="4" t="str">
        <f t="shared" si="483"/>
        <v/>
      </c>
      <c r="KJ108" s="4" t="str">
        <f t="shared" si="484"/>
        <v/>
      </c>
      <c r="KK108" s="4" t="str">
        <f t="shared" si="485"/>
        <v/>
      </c>
      <c r="KL108" s="4" t="str">
        <f t="shared" si="486"/>
        <v/>
      </c>
      <c r="KM108" s="4" t="str">
        <f t="shared" si="487"/>
        <v/>
      </c>
      <c r="KN108" s="4" t="str">
        <f t="shared" si="488"/>
        <v/>
      </c>
      <c r="KO108" s="4" t="str">
        <f t="shared" si="489"/>
        <v/>
      </c>
      <c r="KP108" s="4" t="str">
        <f t="shared" si="490"/>
        <v/>
      </c>
      <c r="KQ108" s="4" t="str">
        <f t="shared" si="491"/>
        <v/>
      </c>
      <c r="KR108" s="4" t="str">
        <f t="shared" si="492"/>
        <v/>
      </c>
      <c r="KS108" s="4" t="str">
        <f t="shared" si="493"/>
        <v/>
      </c>
      <c r="KT108" s="4" t="str">
        <f t="shared" si="494"/>
        <v/>
      </c>
      <c r="KU108" s="4" t="str">
        <f t="shared" si="495"/>
        <v/>
      </c>
      <c r="KV108" s="4" t="str">
        <f t="shared" si="496"/>
        <v/>
      </c>
      <c r="KW108" s="4" t="str">
        <f t="shared" si="497"/>
        <v/>
      </c>
      <c r="KX108" s="4" t="str">
        <f t="shared" si="498"/>
        <v/>
      </c>
      <c r="KY108" s="4" t="str">
        <f t="shared" si="499"/>
        <v/>
      </c>
      <c r="KZ108" s="4" t="str">
        <f t="shared" si="500"/>
        <v/>
      </c>
      <c r="LA108" s="4" t="str">
        <f t="shared" si="501"/>
        <v/>
      </c>
      <c r="LB108" s="4" t="str">
        <f t="shared" si="502"/>
        <v/>
      </c>
      <c r="LC108" s="4" t="str">
        <f t="shared" si="503"/>
        <v/>
      </c>
      <c r="LD108" s="4" t="str">
        <f t="shared" si="504"/>
        <v/>
      </c>
      <c r="LE108" s="4" t="str">
        <f t="shared" si="505"/>
        <v/>
      </c>
      <c r="LF108" s="4" t="str">
        <f t="shared" si="506"/>
        <v/>
      </c>
      <c r="LG108" s="4" t="str">
        <f t="shared" si="507"/>
        <v/>
      </c>
      <c r="LH108" s="4" t="str">
        <f t="shared" si="508"/>
        <v/>
      </c>
      <c r="LI108" s="4" t="str">
        <f t="shared" si="509"/>
        <v/>
      </c>
      <c r="LJ108" s="4" t="str">
        <f t="shared" si="510"/>
        <v/>
      </c>
      <c r="LK108" s="4" t="str">
        <f t="shared" si="511"/>
        <v/>
      </c>
      <c r="LL108" s="4" t="str">
        <f t="shared" si="512"/>
        <v/>
      </c>
      <c r="LM108" s="4" t="str">
        <f t="shared" si="513"/>
        <v/>
      </c>
      <c r="LN108" s="4" t="str">
        <f t="shared" si="514"/>
        <v/>
      </c>
      <c r="LO108" s="4" t="str">
        <f t="shared" si="515"/>
        <v/>
      </c>
      <c r="LP108" s="4" t="str">
        <f t="shared" si="516"/>
        <v/>
      </c>
      <c r="LQ108" s="4" t="str">
        <f t="shared" si="517"/>
        <v/>
      </c>
      <c r="LR108" s="4" t="str">
        <f t="shared" si="518"/>
        <v/>
      </c>
      <c r="LS108" s="4" t="str">
        <f t="shared" si="519"/>
        <v/>
      </c>
      <c r="LT108" s="4" t="str">
        <f t="shared" si="520"/>
        <v/>
      </c>
      <c r="LU108" s="4" t="str">
        <f t="shared" si="521"/>
        <v/>
      </c>
      <c r="LV108" s="4" t="str">
        <f t="shared" si="522"/>
        <v/>
      </c>
      <c r="LW108" s="4" t="str">
        <f t="shared" si="523"/>
        <v/>
      </c>
      <c r="LX108" s="4" t="str">
        <f t="shared" si="524"/>
        <v/>
      </c>
      <c r="LY108" s="4" t="str">
        <f t="shared" si="525"/>
        <v/>
      </c>
      <c r="LZ108" s="4" t="str">
        <f t="shared" si="526"/>
        <v/>
      </c>
      <c r="MA108" s="4" t="str">
        <f t="shared" si="527"/>
        <v/>
      </c>
      <c r="MB108" s="4" t="str">
        <f t="shared" si="528"/>
        <v/>
      </c>
      <c r="MC108" s="4" t="str">
        <f t="shared" si="529"/>
        <v/>
      </c>
      <c r="MD108" s="4" t="str">
        <f t="shared" si="530"/>
        <v/>
      </c>
      <c r="ME108" s="4" t="str">
        <f t="shared" si="531"/>
        <v/>
      </c>
      <c r="MF108" s="4" t="str">
        <f t="shared" si="532"/>
        <v/>
      </c>
      <c r="MG108" s="4">
        <f t="shared" si="533"/>
        <v>0</v>
      </c>
    </row>
    <row r="109" spans="1:345" ht="26.25" customHeight="1" thickBot="1" x14ac:dyDescent="0.25">
      <c r="A109" s="35">
        <v>41262</v>
      </c>
      <c r="B109" s="36" t="s">
        <v>143</v>
      </c>
      <c r="C109" s="36" t="s">
        <v>212</v>
      </c>
      <c r="D109" s="31" t="s">
        <v>110</v>
      </c>
      <c r="E109" s="4">
        <v>68</v>
      </c>
      <c r="F109" s="3">
        <v>16225</v>
      </c>
      <c r="G109" s="4" t="s">
        <v>87</v>
      </c>
      <c r="H109" s="4" t="s">
        <v>108</v>
      </c>
      <c r="I109" s="4">
        <v>1835885</v>
      </c>
      <c r="K109" s="235"/>
      <c r="L109" s="236"/>
      <c r="M109" s="236"/>
      <c r="N109" s="236"/>
      <c r="O109" s="235"/>
      <c r="P109" s="236"/>
      <c r="Q109" s="236"/>
      <c r="R109" s="4">
        <v>-3</v>
      </c>
      <c r="S109" s="4">
        <v>-3.01</v>
      </c>
      <c r="T109" s="4" t="s">
        <v>249</v>
      </c>
      <c r="U109" s="67">
        <v>19.25</v>
      </c>
      <c r="V109" s="124">
        <v>41260</v>
      </c>
      <c r="W109" s="67">
        <v>-1.5</v>
      </c>
      <c r="X109" s="67">
        <v>0.75</v>
      </c>
      <c r="Y109" s="4">
        <v>176</v>
      </c>
      <c r="Z109" s="4">
        <v>30</v>
      </c>
      <c r="AA109" s="4">
        <v>14</v>
      </c>
      <c r="AB109" s="4">
        <v>636</v>
      </c>
      <c r="AC109" s="4">
        <v>24.12</v>
      </c>
      <c r="AD109" s="4">
        <v>12.2</v>
      </c>
      <c r="AE109" s="4">
        <v>4.7699999999999996</v>
      </c>
      <c r="AF109" s="4">
        <v>3.35</v>
      </c>
      <c r="AG109" s="4">
        <v>44</v>
      </c>
      <c r="AH109" s="4">
        <v>13</v>
      </c>
      <c r="AI109" s="4">
        <v>45.86</v>
      </c>
      <c r="AJ109" s="4">
        <v>103</v>
      </c>
      <c r="AK109" s="4">
        <v>0</v>
      </c>
      <c r="AL109" s="4" t="b">
        <f t="shared" si="406"/>
        <v>0</v>
      </c>
      <c r="AN109" s="4" t="s">
        <v>78</v>
      </c>
      <c r="BC109" s="4" t="str">
        <f t="shared" si="404"/>
        <v/>
      </c>
      <c r="BD109" s="4" t="str">
        <f t="shared" si="405"/>
        <v/>
      </c>
      <c r="BE109" s="4" t="str">
        <f t="shared" si="407"/>
        <v/>
      </c>
      <c r="BF109" s="51" t="s">
        <v>501</v>
      </c>
      <c r="BU109" s="4" t="str">
        <f t="shared" si="534"/>
        <v/>
      </c>
      <c r="BV109" s="4" t="str">
        <f t="shared" si="408"/>
        <v/>
      </c>
      <c r="BW109" s="4" t="str">
        <f t="shared" si="409"/>
        <v/>
      </c>
      <c r="BX109" s="4">
        <f t="shared" si="403"/>
        <v>0</v>
      </c>
      <c r="BY109" s="4">
        <f t="shared" si="410"/>
        <v>0</v>
      </c>
      <c r="BZ109" s="4" t="str">
        <f t="shared" si="411"/>
        <v/>
      </c>
      <c r="CA109" s="4" t="str">
        <f t="shared" si="412"/>
        <v/>
      </c>
      <c r="CB109" s="4" t="str">
        <f t="shared" si="413"/>
        <v/>
      </c>
      <c r="CC109" s="53">
        <f t="shared" si="414"/>
        <v>0</v>
      </c>
      <c r="CD109" s="55" t="str">
        <f t="shared" si="415"/>
        <v/>
      </c>
      <c r="CE109" s="4" t="str">
        <f t="shared" si="416"/>
        <v/>
      </c>
      <c r="CF109" s="4" t="str">
        <f t="shared" si="417"/>
        <v/>
      </c>
      <c r="CG109" s="4" t="str">
        <f t="shared" si="418"/>
        <v/>
      </c>
      <c r="CH109" s="4" t="str">
        <f t="shared" si="419"/>
        <v/>
      </c>
      <c r="CI109" s="4" t="str">
        <f t="shared" si="420"/>
        <v/>
      </c>
      <c r="CJ109" s="4" t="str">
        <f t="shared" si="421"/>
        <v/>
      </c>
      <c r="CK109" s="93" t="str">
        <f t="shared" si="422"/>
        <v/>
      </c>
      <c r="CL109" s="83" t="str">
        <f t="shared" si="423"/>
        <v/>
      </c>
      <c r="CM109" s="4" t="str">
        <f t="shared" si="424"/>
        <v/>
      </c>
      <c r="CN109" s="96" t="str">
        <f t="shared" si="425"/>
        <v/>
      </c>
      <c r="CO109" s="96" t="str">
        <f t="shared" si="398"/>
        <v/>
      </c>
      <c r="CP109" s="127" t="str">
        <f t="shared" si="426"/>
        <v/>
      </c>
      <c r="CQ109" s="127" t="str">
        <f t="shared" si="427"/>
        <v/>
      </c>
      <c r="CR109" s="136" t="str">
        <f t="shared" si="428"/>
        <v/>
      </c>
      <c r="CS109" s="136" t="str">
        <f t="shared" si="429"/>
        <v/>
      </c>
      <c r="CT109" s="135" t="str">
        <f t="shared" si="430"/>
        <v/>
      </c>
      <c r="CU109" s="139" t="str">
        <f t="shared" si="431"/>
        <v/>
      </c>
      <c r="CV109" s="96" t="str">
        <f t="shared" si="432"/>
        <v/>
      </c>
      <c r="CW109" s="141" t="str">
        <f t="shared" si="433"/>
        <v/>
      </c>
      <c r="CX109" s="108"/>
      <c r="IL109" s="83" t="str">
        <f t="shared" si="434"/>
        <v/>
      </c>
      <c r="IM109" s="4" t="str">
        <f t="shared" si="435"/>
        <v/>
      </c>
      <c r="IN109" s="4" t="str">
        <f t="shared" si="436"/>
        <v/>
      </c>
      <c r="IO109" s="4" t="str">
        <f t="shared" si="437"/>
        <v/>
      </c>
      <c r="IP109" s="4" t="str">
        <f t="shared" si="438"/>
        <v/>
      </c>
      <c r="IQ109" s="4" t="str">
        <f t="shared" si="439"/>
        <v/>
      </c>
      <c r="IR109" s="4" t="str">
        <f t="shared" si="440"/>
        <v/>
      </c>
      <c r="IS109" s="4" t="str">
        <f t="shared" si="441"/>
        <v/>
      </c>
      <c r="IT109" s="4" t="str">
        <f t="shared" si="442"/>
        <v/>
      </c>
      <c r="IU109" s="4" t="str">
        <f t="shared" si="443"/>
        <v/>
      </c>
      <c r="IV109" s="4" t="str">
        <f t="shared" si="444"/>
        <v/>
      </c>
      <c r="IW109" s="4" t="str">
        <f t="shared" si="445"/>
        <v/>
      </c>
      <c r="IX109" s="4" t="str">
        <f t="shared" si="446"/>
        <v/>
      </c>
      <c r="IY109" s="4" t="str">
        <f t="shared" si="447"/>
        <v/>
      </c>
      <c r="IZ109" s="4" t="str">
        <f t="shared" si="448"/>
        <v/>
      </c>
      <c r="JA109" s="4" t="str">
        <f t="shared" si="449"/>
        <v/>
      </c>
      <c r="JB109" s="4" t="str">
        <f t="shared" si="450"/>
        <v/>
      </c>
      <c r="JC109" s="4" t="str">
        <f t="shared" si="451"/>
        <v/>
      </c>
      <c r="JD109" s="4" t="str">
        <f t="shared" si="452"/>
        <v/>
      </c>
      <c r="JE109" s="4" t="str">
        <f t="shared" si="453"/>
        <v/>
      </c>
      <c r="JF109" s="4" t="str">
        <f t="shared" si="454"/>
        <v/>
      </c>
      <c r="JG109" s="4" t="str">
        <f t="shared" si="455"/>
        <v/>
      </c>
      <c r="JH109" s="4" t="str">
        <f t="shared" si="456"/>
        <v/>
      </c>
      <c r="JI109" s="4" t="str">
        <f t="shared" si="457"/>
        <v/>
      </c>
      <c r="JJ109" s="4" t="str">
        <f t="shared" si="458"/>
        <v/>
      </c>
      <c r="JK109" s="4" t="str">
        <f t="shared" si="459"/>
        <v/>
      </c>
      <c r="JL109" s="4" t="str">
        <f t="shared" si="460"/>
        <v/>
      </c>
      <c r="JM109" s="4" t="str">
        <f t="shared" si="461"/>
        <v/>
      </c>
      <c r="JN109" s="4" t="str">
        <f t="shared" si="462"/>
        <v/>
      </c>
      <c r="JO109" s="4" t="str">
        <f t="shared" si="463"/>
        <v/>
      </c>
      <c r="JP109" s="4" t="str">
        <f t="shared" si="464"/>
        <v/>
      </c>
      <c r="JQ109" s="117" t="str">
        <f t="shared" si="465"/>
        <v/>
      </c>
      <c r="JR109" s="110" t="str">
        <f t="shared" si="466"/>
        <v/>
      </c>
      <c r="JS109" s="110" t="str">
        <f t="shared" si="467"/>
        <v/>
      </c>
      <c r="JT109" s="110" t="str">
        <f t="shared" si="468"/>
        <v/>
      </c>
      <c r="JU109" s="110" t="str">
        <f t="shared" si="469"/>
        <v/>
      </c>
      <c r="JV109" s="110" t="str">
        <f t="shared" si="470"/>
        <v/>
      </c>
      <c r="JW109" s="110" t="str">
        <f t="shared" si="471"/>
        <v/>
      </c>
      <c r="JX109" s="110" t="str">
        <f t="shared" si="472"/>
        <v/>
      </c>
      <c r="JY109" s="110" t="str">
        <f t="shared" si="473"/>
        <v/>
      </c>
      <c r="JZ109" s="110" t="str">
        <f t="shared" si="474"/>
        <v/>
      </c>
      <c r="KA109" s="110" t="str">
        <f t="shared" si="475"/>
        <v/>
      </c>
      <c r="KB109" s="110" t="str">
        <f t="shared" si="476"/>
        <v/>
      </c>
      <c r="KC109" s="110" t="str">
        <f t="shared" si="477"/>
        <v/>
      </c>
      <c r="KD109" s="110" t="str">
        <f t="shared" si="478"/>
        <v/>
      </c>
      <c r="KE109" s="110" t="str">
        <f t="shared" si="479"/>
        <v/>
      </c>
      <c r="KF109" s="110" t="str">
        <f t="shared" si="480"/>
        <v/>
      </c>
      <c r="KG109" s="121" t="str">
        <f t="shared" si="481"/>
        <v/>
      </c>
      <c r="KH109" s="83" t="str">
        <f t="shared" si="482"/>
        <v/>
      </c>
      <c r="KI109" s="4" t="str">
        <f t="shared" si="483"/>
        <v/>
      </c>
      <c r="KJ109" s="4" t="str">
        <f t="shared" si="484"/>
        <v/>
      </c>
      <c r="KK109" s="4" t="str">
        <f t="shared" si="485"/>
        <v/>
      </c>
      <c r="KL109" s="4" t="str">
        <f t="shared" si="486"/>
        <v/>
      </c>
      <c r="KM109" s="4" t="str">
        <f t="shared" si="487"/>
        <v/>
      </c>
      <c r="KN109" s="4" t="str">
        <f t="shared" si="488"/>
        <v/>
      </c>
      <c r="KO109" s="4" t="str">
        <f t="shared" si="489"/>
        <v/>
      </c>
      <c r="KP109" s="4" t="str">
        <f t="shared" si="490"/>
        <v/>
      </c>
      <c r="KQ109" s="4" t="str">
        <f t="shared" si="491"/>
        <v/>
      </c>
      <c r="KR109" s="4" t="str">
        <f t="shared" si="492"/>
        <v/>
      </c>
      <c r="KS109" s="4" t="str">
        <f t="shared" si="493"/>
        <v/>
      </c>
      <c r="KT109" s="4" t="str">
        <f t="shared" si="494"/>
        <v/>
      </c>
      <c r="KU109" s="4" t="str">
        <f t="shared" si="495"/>
        <v/>
      </c>
      <c r="KV109" s="4" t="str">
        <f t="shared" si="496"/>
        <v/>
      </c>
      <c r="KW109" s="4" t="str">
        <f t="shared" si="497"/>
        <v/>
      </c>
      <c r="KX109" s="4" t="str">
        <f t="shared" si="498"/>
        <v/>
      </c>
      <c r="KY109" s="4" t="str">
        <f t="shared" si="499"/>
        <v/>
      </c>
      <c r="KZ109" s="4" t="str">
        <f t="shared" si="500"/>
        <v/>
      </c>
      <c r="LA109" s="4" t="str">
        <f t="shared" si="501"/>
        <v/>
      </c>
      <c r="LB109" s="4" t="str">
        <f t="shared" si="502"/>
        <v/>
      </c>
      <c r="LC109" s="4" t="str">
        <f t="shared" si="503"/>
        <v/>
      </c>
      <c r="LD109" s="4" t="str">
        <f t="shared" si="504"/>
        <v/>
      </c>
      <c r="LE109" s="4" t="str">
        <f t="shared" si="505"/>
        <v/>
      </c>
      <c r="LF109" s="4" t="str">
        <f t="shared" si="506"/>
        <v/>
      </c>
      <c r="LG109" s="4" t="str">
        <f t="shared" si="507"/>
        <v/>
      </c>
      <c r="LH109" s="4" t="str">
        <f t="shared" si="508"/>
        <v/>
      </c>
      <c r="LI109" s="4" t="str">
        <f t="shared" si="509"/>
        <v/>
      </c>
      <c r="LJ109" s="4" t="str">
        <f t="shared" si="510"/>
        <v/>
      </c>
      <c r="LK109" s="4" t="str">
        <f t="shared" si="511"/>
        <v/>
      </c>
      <c r="LL109" s="4" t="str">
        <f t="shared" si="512"/>
        <v/>
      </c>
      <c r="LM109" s="4" t="str">
        <f t="shared" si="513"/>
        <v/>
      </c>
      <c r="LN109" s="4" t="str">
        <f t="shared" si="514"/>
        <v/>
      </c>
      <c r="LO109" s="4" t="str">
        <f t="shared" si="515"/>
        <v/>
      </c>
      <c r="LP109" s="4" t="str">
        <f t="shared" si="516"/>
        <v/>
      </c>
      <c r="LQ109" s="4" t="str">
        <f t="shared" si="517"/>
        <v/>
      </c>
      <c r="LR109" s="4" t="str">
        <f t="shared" si="518"/>
        <v/>
      </c>
      <c r="LS109" s="4" t="str">
        <f t="shared" si="519"/>
        <v/>
      </c>
      <c r="LT109" s="4" t="str">
        <f t="shared" si="520"/>
        <v/>
      </c>
      <c r="LU109" s="4" t="str">
        <f t="shared" si="521"/>
        <v/>
      </c>
      <c r="LV109" s="4" t="str">
        <f t="shared" si="522"/>
        <v/>
      </c>
      <c r="LW109" s="4" t="str">
        <f t="shared" si="523"/>
        <v/>
      </c>
      <c r="LX109" s="4" t="str">
        <f t="shared" si="524"/>
        <v/>
      </c>
      <c r="LY109" s="4" t="str">
        <f t="shared" si="525"/>
        <v/>
      </c>
      <c r="LZ109" s="4" t="str">
        <f t="shared" si="526"/>
        <v/>
      </c>
      <c r="MA109" s="4" t="str">
        <f t="shared" si="527"/>
        <v/>
      </c>
      <c r="MB109" s="4" t="str">
        <f t="shared" si="528"/>
        <v/>
      </c>
      <c r="MC109" s="4" t="str">
        <f t="shared" si="529"/>
        <v/>
      </c>
      <c r="MD109" s="4" t="str">
        <f t="shared" si="530"/>
        <v/>
      </c>
      <c r="ME109" s="4" t="str">
        <f t="shared" si="531"/>
        <v/>
      </c>
      <c r="MF109" s="4" t="str">
        <f t="shared" si="532"/>
        <v/>
      </c>
      <c r="MG109" s="4">
        <f t="shared" si="533"/>
        <v>0</v>
      </c>
    </row>
    <row r="110" spans="1:345" ht="26.25" customHeight="1" thickBot="1" x14ac:dyDescent="0.25">
      <c r="A110" s="35">
        <v>41332</v>
      </c>
      <c r="B110" s="36" t="s">
        <v>117</v>
      </c>
      <c r="C110" s="36" t="s">
        <v>118</v>
      </c>
      <c r="D110" s="31" t="s">
        <v>110</v>
      </c>
      <c r="E110" s="4">
        <v>65</v>
      </c>
      <c r="F110" s="3">
        <v>17352</v>
      </c>
      <c r="G110" s="4" t="s">
        <v>87</v>
      </c>
      <c r="H110" s="4" t="s">
        <v>108</v>
      </c>
      <c r="I110" s="4">
        <v>1836019</v>
      </c>
      <c r="J110" s="45"/>
      <c r="K110" s="271"/>
      <c r="L110" s="273"/>
      <c r="M110" s="273"/>
      <c r="N110" s="273"/>
      <c r="O110" s="277"/>
      <c r="P110" s="273"/>
      <c r="Q110" s="273"/>
      <c r="R110" s="33">
        <v>-0.5</v>
      </c>
      <c r="S110" s="33">
        <v>-0.66</v>
      </c>
      <c r="T110" s="4" t="s">
        <v>249</v>
      </c>
      <c r="U110" s="67">
        <v>19</v>
      </c>
      <c r="V110" s="124">
        <v>41291</v>
      </c>
      <c r="W110" s="67">
        <v>-1.25</v>
      </c>
      <c r="X110" s="67">
        <v>2.25</v>
      </c>
      <c r="Y110" s="4">
        <v>98</v>
      </c>
      <c r="Z110" s="4">
        <v>25</v>
      </c>
      <c r="AA110" s="4">
        <v>16</v>
      </c>
      <c r="AB110" s="4">
        <v>568</v>
      </c>
      <c r="AC110" s="4">
        <v>24.23</v>
      </c>
      <c r="AD110" s="4">
        <v>12.3</v>
      </c>
      <c r="AE110" s="4">
        <v>4.41</v>
      </c>
      <c r="AF110" s="4">
        <v>3.67</v>
      </c>
      <c r="AG110" s="4">
        <v>43.6</v>
      </c>
      <c r="AH110" s="4">
        <v>20</v>
      </c>
      <c r="AI110" s="4">
        <v>44.06</v>
      </c>
      <c r="AJ110" s="4">
        <v>110</v>
      </c>
      <c r="AK110" s="4">
        <v>1</v>
      </c>
      <c r="AL110" s="4" t="b">
        <f t="shared" si="406"/>
        <v>1</v>
      </c>
      <c r="AN110" s="38" t="s">
        <v>78</v>
      </c>
      <c r="AO110" s="60"/>
      <c r="BC110" s="4" t="str">
        <f t="shared" si="404"/>
        <v/>
      </c>
      <c r="BD110" s="4" t="str">
        <f t="shared" si="405"/>
        <v/>
      </c>
      <c r="BE110" s="4" t="str">
        <f t="shared" si="407"/>
        <v/>
      </c>
      <c r="BF110" s="51" t="s">
        <v>501</v>
      </c>
      <c r="BU110" s="4" t="str">
        <f t="shared" si="534"/>
        <v/>
      </c>
      <c r="BV110" s="4" t="str">
        <f t="shared" si="408"/>
        <v/>
      </c>
      <c r="BW110" s="4" t="str">
        <f t="shared" si="409"/>
        <v/>
      </c>
      <c r="BX110" s="4">
        <f t="shared" si="403"/>
        <v>0</v>
      </c>
      <c r="BY110" s="4">
        <f t="shared" si="410"/>
        <v>0</v>
      </c>
      <c r="BZ110" s="4" t="str">
        <f t="shared" si="411"/>
        <v/>
      </c>
      <c r="CA110" s="4" t="str">
        <f t="shared" si="412"/>
        <v/>
      </c>
      <c r="CB110" s="4" t="str">
        <f t="shared" si="413"/>
        <v/>
      </c>
      <c r="CC110" s="53">
        <f t="shared" si="414"/>
        <v>0</v>
      </c>
      <c r="CD110" s="55" t="str">
        <f t="shared" si="415"/>
        <v/>
      </c>
      <c r="CE110" s="4" t="str">
        <f t="shared" si="416"/>
        <v/>
      </c>
      <c r="CF110" s="4" t="str">
        <f t="shared" si="417"/>
        <v/>
      </c>
      <c r="CG110" s="4" t="str">
        <f t="shared" si="418"/>
        <v/>
      </c>
      <c r="CH110" s="4" t="str">
        <f t="shared" si="419"/>
        <v/>
      </c>
      <c r="CI110" s="4" t="str">
        <f t="shared" si="420"/>
        <v/>
      </c>
      <c r="CJ110" s="4" t="str">
        <f t="shared" si="421"/>
        <v/>
      </c>
      <c r="CK110" s="93" t="str">
        <f t="shared" si="422"/>
        <v/>
      </c>
      <c r="CL110" s="83" t="str">
        <f t="shared" si="423"/>
        <v/>
      </c>
      <c r="CM110" s="4" t="str">
        <f t="shared" si="424"/>
        <v/>
      </c>
      <c r="CN110" s="96" t="str">
        <f t="shared" si="425"/>
        <v/>
      </c>
      <c r="CO110" s="96" t="str">
        <f t="shared" si="398"/>
        <v/>
      </c>
      <c r="CP110" s="127" t="str">
        <f t="shared" si="426"/>
        <v/>
      </c>
      <c r="CQ110" s="127" t="str">
        <f t="shared" si="427"/>
        <v/>
      </c>
      <c r="CR110" s="136" t="str">
        <f t="shared" si="428"/>
        <v/>
      </c>
      <c r="CS110" s="136" t="str">
        <f t="shared" si="429"/>
        <v/>
      </c>
      <c r="CT110" s="135" t="str">
        <f t="shared" si="430"/>
        <v/>
      </c>
      <c r="CU110" s="139" t="str">
        <f t="shared" si="431"/>
        <v/>
      </c>
      <c r="CV110" s="96" t="str">
        <f t="shared" si="432"/>
        <v/>
      </c>
      <c r="CW110" s="141" t="str">
        <f t="shared" si="433"/>
        <v/>
      </c>
      <c r="IL110" s="83" t="str">
        <f t="shared" si="434"/>
        <v/>
      </c>
      <c r="IM110" s="4" t="str">
        <f t="shared" si="435"/>
        <v/>
      </c>
      <c r="IN110" s="4" t="str">
        <f t="shared" si="436"/>
        <v/>
      </c>
      <c r="IO110" s="4" t="str">
        <f t="shared" si="437"/>
        <v/>
      </c>
      <c r="IP110" s="4" t="str">
        <f t="shared" si="438"/>
        <v/>
      </c>
      <c r="IQ110" s="4" t="str">
        <f t="shared" si="439"/>
        <v/>
      </c>
      <c r="IR110" s="4" t="str">
        <f t="shared" si="440"/>
        <v/>
      </c>
      <c r="IS110" s="4" t="str">
        <f t="shared" si="441"/>
        <v/>
      </c>
      <c r="IT110" s="4" t="str">
        <f t="shared" si="442"/>
        <v/>
      </c>
      <c r="IU110" s="4" t="str">
        <f t="shared" si="443"/>
        <v/>
      </c>
      <c r="IV110" s="4" t="str">
        <f t="shared" si="444"/>
        <v/>
      </c>
      <c r="IW110" s="4" t="str">
        <f t="shared" si="445"/>
        <v/>
      </c>
      <c r="IX110" s="4" t="str">
        <f t="shared" si="446"/>
        <v/>
      </c>
      <c r="IY110" s="4" t="str">
        <f t="shared" si="447"/>
        <v/>
      </c>
      <c r="IZ110" s="4" t="str">
        <f t="shared" si="448"/>
        <v/>
      </c>
      <c r="JA110" s="4" t="str">
        <f t="shared" si="449"/>
        <v/>
      </c>
      <c r="JB110" s="4" t="str">
        <f t="shared" si="450"/>
        <v/>
      </c>
      <c r="JC110" s="4" t="str">
        <f t="shared" si="451"/>
        <v/>
      </c>
      <c r="JD110" s="4" t="str">
        <f t="shared" si="452"/>
        <v/>
      </c>
      <c r="JE110" s="4" t="str">
        <f t="shared" si="453"/>
        <v/>
      </c>
      <c r="JF110" s="4" t="str">
        <f t="shared" si="454"/>
        <v/>
      </c>
      <c r="JG110" s="4" t="str">
        <f t="shared" si="455"/>
        <v/>
      </c>
      <c r="JH110" s="4" t="str">
        <f t="shared" si="456"/>
        <v/>
      </c>
      <c r="JI110" s="4" t="str">
        <f t="shared" si="457"/>
        <v/>
      </c>
      <c r="JJ110" s="4" t="str">
        <f t="shared" si="458"/>
        <v/>
      </c>
      <c r="JK110" s="4" t="str">
        <f t="shared" si="459"/>
        <v/>
      </c>
      <c r="JL110" s="4" t="str">
        <f t="shared" si="460"/>
        <v/>
      </c>
      <c r="JM110" s="4" t="str">
        <f t="shared" si="461"/>
        <v/>
      </c>
      <c r="JN110" s="4" t="str">
        <f t="shared" si="462"/>
        <v/>
      </c>
      <c r="JO110" s="4" t="str">
        <f t="shared" si="463"/>
        <v/>
      </c>
      <c r="JP110" s="4" t="str">
        <f t="shared" si="464"/>
        <v/>
      </c>
      <c r="JQ110" s="117" t="str">
        <f t="shared" si="465"/>
        <v/>
      </c>
      <c r="JR110" s="110" t="str">
        <f t="shared" si="466"/>
        <v/>
      </c>
      <c r="JS110" s="110" t="str">
        <f t="shared" si="467"/>
        <v/>
      </c>
      <c r="JT110" s="110" t="str">
        <f t="shared" si="468"/>
        <v/>
      </c>
      <c r="JU110" s="110" t="str">
        <f t="shared" si="469"/>
        <v/>
      </c>
      <c r="JV110" s="110" t="str">
        <f t="shared" si="470"/>
        <v/>
      </c>
      <c r="JW110" s="110" t="str">
        <f t="shared" si="471"/>
        <v/>
      </c>
      <c r="JX110" s="110" t="str">
        <f t="shared" si="472"/>
        <v/>
      </c>
      <c r="JY110" s="110" t="str">
        <f t="shared" si="473"/>
        <v/>
      </c>
      <c r="JZ110" s="110" t="str">
        <f t="shared" si="474"/>
        <v/>
      </c>
      <c r="KA110" s="110" t="str">
        <f t="shared" si="475"/>
        <v/>
      </c>
      <c r="KB110" s="110" t="str">
        <f t="shared" si="476"/>
        <v/>
      </c>
      <c r="KC110" s="110" t="str">
        <f t="shared" si="477"/>
        <v/>
      </c>
      <c r="KD110" s="110" t="str">
        <f t="shared" si="478"/>
        <v/>
      </c>
      <c r="KE110" s="110" t="str">
        <f t="shared" si="479"/>
        <v/>
      </c>
      <c r="KF110" s="110" t="str">
        <f t="shared" si="480"/>
        <v/>
      </c>
      <c r="KG110" s="121" t="str">
        <f t="shared" si="481"/>
        <v/>
      </c>
      <c r="KH110" s="83" t="str">
        <f t="shared" si="482"/>
        <v/>
      </c>
      <c r="KI110" s="4" t="str">
        <f t="shared" si="483"/>
        <v/>
      </c>
      <c r="KJ110" s="4" t="str">
        <f t="shared" si="484"/>
        <v/>
      </c>
      <c r="KK110" s="4" t="str">
        <f t="shared" si="485"/>
        <v/>
      </c>
      <c r="KL110" s="4" t="str">
        <f t="shared" si="486"/>
        <v/>
      </c>
      <c r="KM110" s="4" t="str">
        <f t="shared" si="487"/>
        <v/>
      </c>
      <c r="KN110" s="4" t="str">
        <f t="shared" si="488"/>
        <v/>
      </c>
      <c r="KO110" s="4" t="str">
        <f t="shared" si="489"/>
        <v/>
      </c>
      <c r="KP110" s="4" t="str">
        <f t="shared" si="490"/>
        <v/>
      </c>
      <c r="KQ110" s="4" t="str">
        <f t="shared" si="491"/>
        <v/>
      </c>
      <c r="KR110" s="4" t="str">
        <f t="shared" si="492"/>
        <v/>
      </c>
      <c r="KS110" s="4" t="str">
        <f t="shared" si="493"/>
        <v/>
      </c>
      <c r="KT110" s="4" t="str">
        <f t="shared" si="494"/>
        <v/>
      </c>
      <c r="KU110" s="4" t="str">
        <f t="shared" si="495"/>
        <v/>
      </c>
      <c r="KV110" s="4" t="str">
        <f t="shared" si="496"/>
        <v/>
      </c>
      <c r="KW110" s="4" t="str">
        <f t="shared" si="497"/>
        <v/>
      </c>
      <c r="KX110" s="4" t="str">
        <f t="shared" si="498"/>
        <v/>
      </c>
      <c r="KY110" s="4" t="str">
        <f t="shared" si="499"/>
        <v/>
      </c>
      <c r="KZ110" s="4" t="str">
        <f t="shared" si="500"/>
        <v/>
      </c>
      <c r="LA110" s="4" t="str">
        <f t="shared" si="501"/>
        <v/>
      </c>
      <c r="LB110" s="4" t="str">
        <f t="shared" si="502"/>
        <v/>
      </c>
      <c r="LC110" s="4" t="str">
        <f t="shared" si="503"/>
        <v/>
      </c>
      <c r="LD110" s="4" t="str">
        <f t="shared" si="504"/>
        <v/>
      </c>
      <c r="LE110" s="4" t="str">
        <f t="shared" si="505"/>
        <v/>
      </c>
      <c r="LF110" s="4" t="str">
        <f t="shared" si="506"/>
        <v/>
      </c>
      <c r="LG110" s="4" t="str">
        <f t="shared" si="507"/>
        <v/>
      </c>
      <c r="LH110" s="4" t="str">
        <f t="shared" si="508"/>
        <v/>
      </c>
      <c r="LI110" s="4" t="str">
        <f t="shared" si="509"/>
        <v/>
      </c>
      <c r="LJ110" s="4" t="str">
        <f t="shared" si="510"/>
        <v/>
      </c>
      <c r="LK110" s="4" t="str">
        <f t="shared" si="511"/>
        <v/>
      </c>
      <c r="LL110" s="4" t="str">
        <f t="shared" si="512"/>
        <v/>
      </c>
      <c r="LM110" s="4" t="str">
        <f t="shared" si="513"/>
        <v/>
      </c>
      <c r="LN110" s="4" t="str">
        <f t="shared" si="514"/>
        <v/>
      </c>
      <c r="LO110" s="4" t="str">
        <f t="shared" si="515"/>
        <v/>
      </c>
      <c r="LP110" s="4" t="str">
        <f t="shared" si="516"/>
        <v/>
      </c>
      <c r="LQ110" s="4" t="str">
        <f t="shared" si="517"/>
        <v/>
      </c>
      <c r="LR110" s="4" t="str">
        <f t="shared" si="518"/>
        <v/>
      </c>
      <c r="LS110" s="4" t="str">
        <f t="shared" si="519"/>
        <v/>
      </c>
      <c r="LT110" s="4" t="str">
        <f t="shared" si="520"/>
        <v/>
      </c>
      <c r="LU110" s="4" t="str">
        <f t="shared" si="521"/>
        <v/>
      </c>
      <c r="LV110" s="4" t="str">
        <f t="shared" si="522"/>
        <v/>
      </c>
      <c r="LW110" s="4" t="str">
        <f t="shared" si="523"/>
        <v/>
      </c>
      <c r="LX110" s="4" t="str">
        <f t="shared" si="524"/>
        <v/>
      </c>
      <c r="LY110" s="4" t="str">
        <f t="shared" si="525"/>
        <v/>
      </c>
      <c r="LZ110" s="4" t="str">
        <f t="shared" si="526"/>
        <v/>
      </c>
      <c r="MA110" s="4" t="str">
        <f t="shared" si="527"/>
        <v/>
      </c>
      <c r="MB110" s="4" t="str">
        <f t="shared" si="528"/>
        <v/>
      </c>
      <c r="MC110" s="4" t="str">
        <f t="shared" si="529"/>
        <v/>
      </c>
      <c r="MD110" s="4" t="str">
        <f t="shared" si="530"/>
        <v/>
      </c>
      <c r="ME110" s="4" t="str">
        <f t="shared" si="531"/>
        <v/>
      </c>
      <c r="MF110" s="4" t="str">
        <f t="shared" si="532"/>
        <v/>
      </c>
      <c r="MG110" s="4">
        <f t="shared" si="533"/>
        <v>0</v>
      </c>
    </row>
    <row r="111" spans="1:345" ht="26.25" customHeight="1" x14ac:dyDescent="0.2">
      <c r="A111" s="35">
        <v>41360</v>
      </c>
      <c r="B111" s="36" t="s">
        <v>205</v>
      </c>
      <c r="C111" s="36" t="s">
        <v>227</v>
      </c>
      <c r="D111" s="31" t="s">
        <v>110</v>
      </c>
      <c r="E111" s="4">
        <v>59</v>
      </c>
      <c r="F111" s="3">
        <v>19513</v>
      </c>
      <c r="G111" s="4" t="s">
        <v>243</v>
      </c>
      <c r="H111" s="4" t="s">
        <v>108</v>
      </c>
      <c r="I111" s="4">
        <v>1836270</v>
      </c>
      <c r="K111" s="235"/>
      <c r="L111" s="236"/>
      <c r="M111" s="236"/>
      <c r="N111" s="239"/>
      <c r="O111" s="235"/>
      <c r="P111" s="236"/>
      <c r="Q111" s="236"/>
      <c r="R111" s="33">
        <v>-0.5</v>
      </c>
      <c r="S111" s="4">
        <v>-0.45</v>
      </c>
      <c r="T111" s="4" t="s">
        <v>249</v>
      </c>
      <c r="U111" s="67">
        <v>19.75</v>
      </c>
      <c r="V111" s="124">
        <v>41309</v>
      </c>
      <c r="W111" s="67">
        <v>-0.25</v>
      </c>
      <c r="X111" s="67">
        <v>0.75</v>
      </c>
      <c r="Y111" s="4">
        <v>60</v>
      </c>
      <c r="Z111" s="4">
        <v>40</v>
      </c>
      <c r="AA111" s="4">
        <v>12</v>
      </c>
      <c r="AB111" s="4">
        <v>616</v>
      </c>
      <c r="AC111" s="4">
        <v>24.76</v>
      </c>
      <c r="AD111" s="4">
        <v>12.5</v>
      </c>
      <c r="AE111" s="4">
        <v>4.49</v>
      </c>
      <c r="AF111" s="4">
        <v>3.12</v>
      </c>
      <c r="AG111" s="4">
        <v>41.21</v>
      </c>
      <c r="AH111" s="4">
        <v>169</v>
      </c>
      <c r="AI111" s="4">
        <v>42.08</v>
      </c>
      <c r="AJ111" s="4">
        <v>79</v>
      </c>
      <c r="AK111" s="4">
        <v>2</v>
      </c>
      <c r="AL111" s="4" t="b">
        <f t="shared" si="406"/>
        <v>1</v>
      </c>
      <c r="AN111" s="51" t="s">
        <v>78</v>
      </c>
      <c r="AO111" s="61"/>
      <c r="BC111" s="4" t="str">
        <f t="shared" si="404"/>
        <v/>
      </c>
      <c r="BD111" s="4" t="str">
        <f t="shared" si="405"/>
        <v/>
      </c>
      <c r="BE111" s="4" t="str">
        <f t="shared" si="407"/>
        <v/>
      </c>
      <c r="BF111" s="51" t="s">
        <v>501</v>
      </c>
      <c r="BU111" s="4" t="str">
        <f t="shared" si="534"/>
        <v/>
      </c>
      <c r="BV111" s="4" t="str">
        <f t="shared" si="408"/>
        <v/>
      </c>
      <c r="BW111" s="4" t="str">
        <f t="shared" si="409"/>
        <v/>
      </c>
      <c r="BX111" s="4">
        <f t="shared" si="403"/>
        <v>0</v>
      </c>
      <c r="BY111" s="4">
        <f t="shared" si="410"/>
        <v>0</v>
      </c>
      <c r="BZ111" s="4" t="str">
        <f t="shared" si="411"/>
        <v/>
      </c>
      <c r="CA111" s="4" t="str">
        <f t="shared" si="412"/>
        <v/>
      </c>
      <c r="CB111" s="4" t="str">
        <f t="shared" si="413"/>
        <v/>
      </c>
      <c r="CC111" s="53">
        <f t="shared" si="414"/>
        <v>0</v>
      </c>
      <c r="CD111" s="55" t="str">
        <f t="shared" si="415"/>
        <v/>
      </c>
      <c r="CE111" s="4" t="str">
        <f t="shared" si="416"/>
        <v/>
      </c>
      <c r="CF111" s="4" t="str">
        <f t="shared" si="417"/>
        <v/>
      </c>
      <c r="CG111" s="4" t="str">
        <f t="shared" si="418"/>
        <v/>
      </c>
      <c r="CH111" s="4" t="str">
        <f t="shared" si="419"/>
        <v/>
      </c>
      <c r="CI111" s="4" t="str">
        <f t="shared" si="420"/>
        <v/>
      </c>
      <c r="CJ111" s="4" t="str">
        <f t="shared" si="421"/>
        <v/>
      </c>
      <c r="CK111" s="93" t="str">
        <f t="shared" si="422"/>
        <v/>
      </c>
      <c r="CL111" s="83" t="str">
        <f t="shared" si="423"/>
        <v/>
      </c>
      <c r="CM111" s="4" t="str">
        <f t="shared" si="424"/>
        <v/>
      </c>
      <c r="CN111" s="96" t="str">
        <f t="shared" si="425"/>
        <v/>
      </c>
      <c r="CO111" s="96" t="str">
        <f t="shared" si="398"/>
        <v/>
      </c>
      <c r="CP111" s="127" t="str">
        <f t="shared" si="426"/>
        <v/>
      </c>
      <c r="CQ111" s="127" t="str">
        <f t="shared" si="427"/>
        <v/>
      </c>
      <c r="CR111" s="136" t="str">
        <f t="shared" si="428"/>
        <v/>
      </c>
      <c r="CS111" s="136" t="str">
        <f t="shared" si="429"/>
        <v/>
      </c>
      <c r="CT111" s="135" t="str">
        <f t="shared" si="430"/>
        <v/>
      </c>
      <c r="CU111" s="139" t="str">
        <f t="shared" si="431"/>
        <v/>
      </c>
      <c r="CV111" s="96" t="str">
        <f t="shared" si="432"/>
        <v/>
      </c>
      <c r="CW111" s="141" t="str">
        <f t="shared" si="433"/>
        <v/>
      </c>
      <c r="IL111" s="83" t="str">
        <f t="shared" si="434"/>
        <v/>
      </c>
      <c r="IM111" s="4" t="str">
        <f t="shared" si="435"/>
        <v/>
      </c>
      <c r="IN111" s="4" t="str">
        <f t="shared" si="436"/>
        <v/>
      </c>
      <c r="IO111" s="4" t="str">
        <f t="shared" si="437"/>
        <v/>
      </c>
      <c r="IP111" s="4" t="str">
        <f t="shared" si="438"/>
        <v/>
      </c>
      <c r="IQ111" s="4" t="str">
        <f t="shared" si="439"/>
        <v/>
      </c>
      <c r="IR111" s="4" t="str">
        <f t="shared" si="440"/>
        <v/>
      </c>
      <c r="IS111" s="4" t="str">
        <f t="shared" si="441"/>
        <v/>
      </c>
      <c r="IT111" s="4" t="str">
        <f t="shared" si="442"/>
        <v/>
      </c>
      <c r="IU111" s="4" t="str">
        <f t="shared" si="443"/>
        <v/>
      </c>
      <c r="IV111" s="4" t="str">
        <f t="shared" si="444"/>
        <v/>
      </c>
      <c r="IW111" s="4" t="str">
        <f t="shared" si="445"/>
        <v/>
      </c>
      <c r="IX111" s="4" t="str">
        <f t="shared" si="446"/>
        <v/>
      </c>
      <c r="IY111" s="4" t="str">
        <f t="shared" si="447"/>
        <v/>
      </c>
      <c r="IZ111" s="4" t="str">
        <f t="shared" si="448"/>
        <v/>
      </c>
      <c r="JA111" s="4" t="str">
        <f t="shared" si="449"/>
        <v/>
      </c>
      <c r="JB111" s="4" t="str">
        <f t="shared" si="450"/>
        <v/>
      </c>
      <c r="JC111" s="4" t="str">
        <f t="shared" si="451"/>
        <v/>
      </c>
      <c r="JD111" s="4" t="str">
        <f t="shared" si="452"/>
        <v/>
      </c>
      <c r="JE111" s="4" t="str">
        <f t="shared" si="453"/>
        <v/>
      </c>
      <c r="JF111" s="4" t="str">
        <f t="shared" si="454"/>
        <v/>
      </c>
      <c r="JG111" s="4" t="str">
        <f t="shared" si="455"/>
        <v/>
      </c>
      <c r="JH111" s="4" t="str">
        <f t="shared" si="456"/>
        <v/>
      </c>
      <c r="JI111" s="4" t="str">
        <f t="shared" si="457"/>
        <v/>
      </c>
      <c r="JJ111" s="4" t="str">
        <f t="shared" si="458"/>
        <v/>
      </c>
      <c r="JK111" s="4" t="str">
        <f t="shared" si="459"/>
        <v/>
      </c>
      <c r="JL111" s="4" t="str">
        <f t="shared" si="460"/>
        <v/>
      </c>
      <c r="JM111" s="4" t="str">
        <f t="shared" si="461"/>
        <v/>
      </c>
      <c r="JN111" s="4" t="str">
        <f t="shared" si="462"/>
        <v/>
      </c>
      <c r="JO111" s="4" t="str">
        <f t="shared" si="463"/>
        <v/>
      </c>
      <c r="JP111" s="4" t="str">
        <f t="shared" si="464"/>
        <v/>
      </c>
      <c r="JQ111" s="117" t="str">
        <f t="shared" si="465"/>
        <v/>
      </c>
      <c r="JR111" s="110" t="str">
        <f t="shared" si="466"/>
        <v/>
      </c>
      <c r="JS111" s="110" t="str">
        <f t="shared" si="467"/>
        <v/>
      </c>
      <c r="JT111" s="110" t="str">
        <f t="shared" si="468"/>
        <v/>
      </c>
      <c r="JU111" s="110" t="str">
        <f t="shared" si="469"/>
        <v/>
      </c>
      <c r="JV111" s="110" t="str">
        <f t="shared" si="470"/>
        <v/>
      </c>
      <c r="JW111" s="110" t="str">
        <f t="shared" si="471"/>
        <v/>
      </c>
      <c r="JX111" s="110" t="str">
        <f t="shared" si="472"/>
        <v/>
      </c>
      <c r="JY111" s="110" t="str">
        <f t="shared" si="473"/>
        <v/>
      </c>
      <c r="JZ111" s="110" t="str">
        <f t="shared" si="474"/>
        <v/>
      </c>
      <c r="KA111" s="110" t="str">
        <f t="shared" si="475"/>
        <v/>
      </c>
      <c r="KB111" s="110" t="str">
        <f t="shared" si="476"/>
        <v/>
      </c>
      <c r="KC111" s="110" t="str">
        <f t="shared" si="477"/>
        <v/>
      </c>
      <c r="KD111" s="110" t="str">
        <f t="shared" si="478"/>
        <v/>
      </c>
      <c r="KE111" s="110" t="str">
        <f t="shared" si="479"/>
        <v/>
      </c>
      <c r="KF111" s="110" t="str">
        <f t="shared" si="480"/>
        <v/>
      </c>
      <c r="KG111" s="121" t="str">
        <f t="shared" si="481"/>
        <v/>
      </c>
      <c r="KH111" s="83" t="str">
        <f t="shared" si="482"/>
        <v/>
      </c>
      <c r="KI111" s="4" t="str">
        <f t="shared" si="483"/>
        <v/>
      </c>
      <c r="KJ111" s="4" t="str">
        <f t="shared" si="484"/>
        <v/>
      </c>
      <c r="KK111" s="4" t="str">
        <f t="shared" si="485"/>
        <v/>
      </c>
      <c r="KL111" s="4" t="str">
        <f t="shared" si="486"/>
        <v/>
      </c>
      <c r="KM111" s="4" t="str">
        <f t="shared" si="487"/>
        <v/>
      </c>
      <c r="KN111" s="4" t="str">
        <f t="shared" si="488"/>
        <v/>
      </c>
      <c r="KO111" s="4" t="str">
        <f t="shared" si="489"/>
        <v/>
      </c>
      <c r="KP111" s="4" t="str">
        <f t="shared" si="490"/>
        <v/>
      </c>
      <c r="KQ111" s="4" t="str">
        <f t="shared" si="491"/>
        <v/>
      </c>
      <c r="KR111" s="4" t="str">
        <f t="shared" si="492"/>
        <v/>
      </c>
      <c r="KS111" s="4" t="str">
        <f t="shared" si="493"/>
        <v/>
      </c>
      <c r="KT111" s="4" t="str">
        <f t="shared" si="494"/>
        <v/>
      </c>
      <c r="KU111" s="4" t="str">
        <f t="shared" si="495"/>
        <v/>
      </c>
      <c r="KV111" s="4" t="str">
        <f t="shared" si="496"/>
        <v/>
      </c>
      <c r="KW111" s="4" t="str">
        <f t="shared" si="497"/>
        <v/>
      </c>
      <c r="KX111" s="4" t="str">
        <f t="shared" si="498"/>
        <v/>
      </c>
      <c r="KY111" s="4" t="str">
        <f t="shared" si="499"/>
        <v/>
      </c>
      <c r="KZ111" s="4" t="str">
        <f t="shared" si="500"/>
        <v/>
      </c>
      <c r="LA111" s="4" t="str">
        <f t="shared" si="501"/>
        <v/>
      </c>
      <c r="LB111" s="4" t="str">
        <f t="shared" si="502"/>
        <v/>
      </c>
      <c r="LC111" s="4" t="str">
        <f t="shared" si="503"/>
        <v/>
      </c>
      <c r="LD111" s="4" t="str">
        <f t="shared" si="504"/>
        <v/>
      </c>
      <c r="LE111" s="4" t="str">
        <f t="shared" si="505"/>
        <v/>
      </c>
      <c r="LF111" s="4" t="str">
        <f t="shared" si="506"/>
        <v/>
      </c>
      <c r="LG111" s="4" t="str">
        <f t="shared" si="507"/>
        <v/>
      </c>
      <c r="LH111" s="4" t="str">
        <f t="shared" si="508"/>
        <v/>
      </c>
      <c r="LI111" s="4" t="str">
        <f t="shared" si="509"/>
        <v/>
      </c>
      <c r="LJ111" s="4" t="str">
        <f t="shared" si="510"/>
        <v/>
      </c>
      <c r="LK111" s="4" t="str">
        <f t="shared" si="511"/>
        <v/>
      </c>
      <c r="LL111" s="4" t="str">
        <f t="shared" si="512"/>
        <v/>
      </c>
      <c r="LM111" s="4" t="str">
        <f t="shared" si="513"/>
        <v/>
      </c>
      <c r="LN111" s="4" t="str">
        <f t="shared" si="514"/>
        <v/>
      </c>
      <c r="LO111" s="4" t="str">
        <f t="shared" si="515"/>
        <v/>
      </c>
      <c r="LP111" s="4" t="str">
        <f t="shared" si="516"/>
        <v/>
      </c>
      <c r="LQ111" s="4" t="str">
        <f t="shared" si="517"/>
        <v/>
      </c>
      <c r="LR111" s="4" t="str">
        <f t="shared" si="518"/>
        <v/>
      </c>
      <c r="LS111" s="4" t="str">
        <f t="shared" si="519"/>
        <v/>
      </c>
      <c r="LT111" s="4" t="str">
        <f t="shared" si="520"/>
        <v/>
      </c>
      <c r="LU111" s="4" t="str">
        <f t="shared" si="521"/>
        <v/>
      </c>
      <c r="LV111" s="4" t="str">
        <f t="shared" si="522"/>
        <v/>
      </c>
      <c r="LW111" s="4" t="str">
        <f t="shared" si="523"/>
        <v/>
      </c>
      <c r="LX111" s="4" t="str">
        <f t="shared" si="524"/>
        <v/>
      </c>
      <c r="LY111" s="4" t="str">
        <f t="shared" si="525"/>
        <v/>
      </c>
      <c r="LZ111" s="4" t="str">
        <f t="shared" si="526"/>
        <v/>
      </c>
      <c r="MA111" s="4" t="str">
        <f t="shared" si="527"/>
        <v/>
      </c>
      <c r="MB111" s="4" t="str">
        <f t="shared" si="528"/>
        <v/>
      </c>
      <c r="MC111" s="4" t="str">
        <f t="shared" si="529"/>
        <v/>
      </c>
      <c r="MD111" s="4" t="str">
        <f t="shared" si="530"/>
        <v/>
      </c>
      <c r="ME111" s="4" t="str">
        <f t="shared" si="531"/>
        <v/>
      </c>
      <c r="MF111" s="4" t="str">
        <f t="shared" si="532"/>
        <v/>
      </c>
      <c r="MG111" s="4">
        <f t="shared" si="533"/>
        <v>0</v>
      </c>
    </row>
    <row r="112" spans="1:345" ht="26.25" customHeight="1" x14ac:dyDescent="0.2">
      <c r="A112" s="35">
        <v>41318</v>
      </c>
      <c r="B112" s="36" t="s">
        <v>128</v>
      </c>
      <c r="C112" s="36" t="s">
        <v>31</v>
      </c>
      <c r="D112" s="31" t="s">
        <v>111</v>
      </c>
      <c r="E112" s="4">
        <v>59</v>
      </c>
      <c r="F112" s="3">
        <v>19692</v>
      </c>
      <c r="G112" s="4" t="s">
        <v>87</v>
      </c>
      <c r="H112" s="4" t="s">
        <v>108</v>
      </c>
      <c r="I112" s="4">
        <v>1836293</v>
      </c>
      <c r="K112" s="235"/>
      <c r="L112" s="236"/>
      <c r="M112" s="236"/>
      <c r="N112" s="239"/>
      <c r="O112" s="235"/>
      <c r="P112" s="236"/>
      <c r="Q112" s="236"/>
      <c r="R112" s="33">
        <v>-0.5</v>
      </c>
      <c r="S112" s="33">
        <v>-0.17</v>
      </c>
      <c r="T112" s="33" t="s">
        <v>249</v>
      </c>
      <c r="U112" s="67">
        <v>17.25</v>
      </c>
      <c r="V112" s="124">
        <v>41309</v>
      </c>
      <c r="W112" s="67">
        <v>-4</v>
      </c>
      <c r="X112" s="67">
        <v>0.25</v>
      </c>
      <c r="Y112" s="4">
        <v>30</v>
      </c>
      <c r="Z112" s="4">
        <v>50</v>
      </c>
      <c r="AA112" s="4">
        <v>15</v>
      </c>
      <c r="AB112" s="4">
        <v>810</v>
      </c>
      <c r="AC112" s="4">
        <v>22.96</v>
      </c>
      <c r="AD112" s="4">
        <v>12</v>
      </c>
      <c r="AE112" s="4">
        <v>4.38</v>
      </c>
      <c r="AF112" s="4">
        <v>3.78</v>
      </c>
      <c r="AG112" s="4">
        <v>48.28</v>
      </c>
      <c r="AH112" s="4">
        <v>167</v>
      </c>
      <c r="AI112" s="4">
        <v>48.63</v>
      </c>
      <c r="AJ112" s="4">
        <v>77</v>
      </c>
      <c r="AK112" s="4">
        <v>0</v>
      </c>
      <c r="AL112" s="4" t="b">
        <f t="shared" si="406"/>
        <v>0</v>
      </c>
      <c r="AN112" s="4" t="s">
        <v>78</v>
      </c>
      <c r="AP112" s="70"/>
      <c r="AQ112" s="70"/>
      <c r="AR112" s="36"/>
      <c r="BC112" s="4" t="str">
        <f t="shared" si="404"/>
        <v/>
      </c>
      <c r="BD112" s="4" t="str">
        <f t="shared" si="405"/>
        <v/>
      </c>
      <c r="BE112" s="4" t="str">
        <f t="shared" si="407"/>
        <v/>
      </c>
      <c r="BF112" s="51" t="s">
        <v>501</v>
      </c>
      <c r="BU112" s="4" t="str">
        <f t="shared" si="534"/>
        <v/>
      </c>
      <c r="BV112" s="4" t="str">
        <f t="shared" si="408"/>
        <v/>
      </c>
      <c r="BW112" s="4" t="str">
        <f t="shared" si="409"/>
        <v/>
      </c>
      <c r="BX112" s="4">
        <f t="shared" si="403"/>
        <v>0</v>
      </c>
      <c r="BY112" s="4">
        <f t="shared" si="410"/>
        <v>0</v>
      </c>
      <c r="BZ112" s="4" t="str">
        <f t="shared" si="411"/>
        <v/>
      </c>
      <c r="CA112" s="4" t="str">
        <f t="shared" si="412"/>
        <v/>
      </c>
      <c r="CB112" s="4" t="str">
        <f t="shared" si="413"/>
        <v/>
      </c>
      <c r="CC112" s="53">
        <f t="shared" si="414"/>
        <v>0</v>
      </c>
      <c r="CD112" s="55" t="str">
        <f t="shared" si="415"/>
        <v/>
      </c>
      <c r="CE112" s="4" t="str">
        <f t="shared" si="416"/>
        <v/>
      </c>
      <c r="CF112" s="4" t="str">
        <f t="shared" si="417"/>
        <v/>
      </c>
      <c r="CG112" s="4" t="str">
        <f t="shared" si="418"/>
        <v/>
      </c>
      <c r="CH112" s="4" t="str">
        <f t="shared" si="419"/>
        <v/>
      </c>
      <c r="CI112" s="4" t="str">
        <f t="shared" si="420"/>
        <v/>
      </c>
      <c r="CJ112" s="4" t="str">
        <f t="shared" si="421"/>
        <v/>
      </c>
      <c r="CK112" s="93" t="str">
        <f t="shared" si="422"/>
        <v/>
      </c>
      <c r="CL112" s="83" t="str">
        <f t="shared" si="423"/>
        <v/>
      </c>
      <c r="CM112" s="4" t="str">
        <f t="shared" si="424"/>
        <v/>
      </c>
      <c r="CN112" s="96" t="str">
        <f t="shared" si="425"/>
        <v/>
      </c>
      <c r="CO112" s="96" t="str">
        <f t="shared" si="398"/>
        <v/>
      </c>
      <c r="CP112" s="127" t="str">
        <f t="shared" si="426"/>
        <v/>
      </c>
      <c r="CQ112" s="127" t="str">
        <f t="shared" si="427"/>
        <v/>
      </c>
      <c r="CR112" s="136" t="str">
        <f t="shared" si="428"/>
        <v/>
      </c>
      <c r="CS112" s="136" t="str">
        <f t="shared" si="429"/>
        <v/>
      </c>
      <c r="CT112" s="135" t="str">
        <f t="shared" si="430"/>
        <v/>
      </c>
      <c r="CU112" s="139" t="str">
        <f t="shared" si="431"/>
        <v/>
      </c>
      <c r="CV112" s="96" t="str">
        <f t="shared" si="432"/>
        <v/>
      </c>
      <c r="CW112" s="141" t="str">
        <f t="shared" si="433"/>
        <v/>
      </c>
      <c r="IL112" s="83" t="str">
        <f t="shared" si="434"/>
        <v/>
      </c>
      <c r="IM112" s="4" t="str">
        <f t="shared" si="435"/>
        <v/>
      </c>
      <c r="IN112" s="4" t="str">
        <f t="shared" si="436"/>
        <v/>
      </c>
      <c r="IO112" s="4" t="str">
        <f t="shared" si="437"/>
        <v/>
      </c>
      <c r="IP112" s="4" t="str">
        <f t="shared" si="438"/>
        <v/>
      </c>
      <c r="IQ112" s="4" t="str">
        <f t="shared" si="439"/>
        <v/>
      </c>
      <c r="IR112" s="4" t="str">
        <f t="shared" si="440"/>
        <v/>
      </c>
      <c r="IS112" s="4" t="str">
        <f t="shared" si="441"/>
        <v/>
      </c>
      <c r="IT112" s="4" t="str">
        <f t="shared" si="442"/>
        <v/>
      </c>
      <c r="IU112" s="4" t="str">
        <f t="shared" si="443"/>
        <v/>
      </c>
      <c r="IV112" s="4" t="str">
        <f t="shared" si="444"/>
        <v/>
      </c>
      <c r="IW112" s="4" t="str">
        <f t="shared" si="445"/>
        <v/>
      </c>
      <c r="IX112" s="4" t="str">
        <f t="shared" si="446"/>
        <v/>
      </c>
      <c r="IY112" s="4" t="str">
        <f t="shared" si="447"/>
        <v/>
      </c>
      <c r="IZ112" s="4" t="str">
        <f t="shared" si="448"/>
        <v/>
      </c>
      <c r="JA112" s="4" t="str">
        <f t="shared" si="449"/>
        <v/>
      </c>
      <c r="JB112" s="4" t="str">
        <f t="shared" si="450"/>
        <v/>
      </c>
      <c r="JC112" s="4" t="str">
        <f t="shared" si="451"/>
        <v/>
      </c>
      <c r="JD112" s="4" t="str">
        <f t="shared" si="452"/>
        <v/>
      </c>
      <c r="JE112" s="4" t="str">
        <f t="shared" si="453"/>
        <v/>
      </c>
      <c r="JF112" s="4" t="str">
        <f t="shared" si="454"/>
        <v/>
      </c>
      <c r="JG112" s="4" t="str">
        <f t="shared" si="455"/>
        <v/>
      </c>
      <c r="JH112" s="4" t="str">
        <f t="shared" si="456"/>
        <v/>
      </c>
      <c r="JI112" s="4" t="str">
        <f t="shared" si="457"/>
        <v/>
      </c>
      <c r="JJ112" s="4" t="str">
        <f t="shared" si="458"/>
        <v/>
      </c>
      <c r="JK112" s="4" t="str">
        <f t="shared" si="459"/>
        <v/>
      </c>
      <c r="JL112" s="4" t="str">
        <f t="shared" si="460"/>
        <v/>
      </c>
      <c r="JM112" s="4" t="str">
        <f t="shared" si="461"/>
        <v/>
      </c>
      <c r="JN112" s="4" t="str">
        <f t="shared" si="462"/>
        <v/>
      </c>
      <c r="JO112" s="4" t="str">
        <f t="shared" si="463"/>
        <v/>
      </c>
      <c r="JP112" s="4" t="str">
        <f t="shared" si="464"/>
        <v/>
      </c>
      <c r="JQ112" s="117" t="str">
        <f t="shared" si="465"/>
        <v/>
      </c>
      <c r="JR112" s="110" t="str">
        <f t="shared" si="466"/>
        <v/>
      </c>
      <c r="JS112" s="110" t="str">
        <f t="shared" si="467"/>
        <v/>
      </c>
      <c r="JT112" s="110" t="str">
        <f t="shared" si="468"/>
        <v/>
      </c>
      <c r="JU112" s="110" t="str">
        <f t="shared" si="469"/>
        <v/>
      </c>
      <c r="JV112" s="110" t="str">
        <f t="shared" si="470"/>
        <v/>
      </c>
      <c r="JW112" s="110" t="str">
        <f t="shared" si="471"/>
        <v/>
      </c>
      <c r="JX112" s="110" t="str">
        <f t="shared" si="472"/>
        <v/>
      </c>
      <c r="JY112" s="110" t="str">
        <f t="shared" si="473"/>
        <v/>
      </c>
      <c r="JZ112" s="110" t="str">
        <f t="shared" si="474"/>
        <v/>
      </c>
      <c r="KA112" s="110" t="str">
        <f t="shared" si="475"/>
        <v/>
      </c>
      <c r="KB112" s="110" t="str">
        <f t="shared" si="476"/>
        <v/>
      </c>
      <c r="KC112" s="110" t="str">
        <f t="shared" si="477"/>
        <v/>
      </c>
      <c r="KD112" s="110" t="str">
        <f t="shared" si="478"/>
        <v/>
      </c>
      <c r="KE112" s="110" t="str">
        <f t="shared" si="479"/>
        <v/>
      </c>
      <c r="KF112" s="110" t="str">
        <f t="shared" si="480"/>
        <v/>
      </c>
      <c r="KG112" s="121" t="str">
        <f t="shared" si="481"/>
        <v/>
      </c>
      <c r="KH112" s="83" t="str">
        <f t="shared" si="482"/>
        <v/>
      </c>
      <c r="KI112" s="4" t="str">
        <f t="shared" si="483"/>
        <v/>
      </c>
      <c r="KJ112" s="4" t="str">
        <f t="shared" si="484"/>
        <v/>
      </c>
      <c r="KK112" s="4" t="str">
        <f t="shared" si="485"/>
        <v/>
      </c>
      <c r="KL112" s="4" t="str">
        <f t="shared" si="486"/>
        <v/>
      </c>
      <c r="KM112" s="4" t="str">
        <f t="shared" si="487"/>
        <v/>
      </c>
      <c r="KN112" s="4" t="str">
        <f t="shared" si="488"/>
        <v/>
      </c>
      <c r="KO112" s="4" t="str">
        <f t="shared" si="489"/>
        <v/>
      </c>
      <c r="KP112" s="4" t="str">
        <f t="shared" si="490"/>
        <v/>
      </c>
      <c r="KQ112" s="4" t="str">
        <f t="shared" si="491"/>
        <v/>
      </c>
      <c r="KR112" s="4" t="str">
        <f t="shared" si="492"/>
        <v/>
      </c>
      <c r="KS112" s="4" t="str">
        <f t="shared" si="493"/>
        <v/>
      </c>
      <c r="KT112" s="4" t="str">
        <f t="shared" si="494"/>
        <v/>
      </c>
      <c r="KU112" s="4" t="str">
        <f t="shared" si="495"/>
        <v/>
      </c>
      <c r="KV112" s="4" t="str">
        <f t="shared" si="496"/>
        <v/>
      </c>
      <c r="KW112" s="4" t="str">
        <f t="shared" si="497"/>
        <v/>
      </c>
      <c r="KX112" s="4" t="str">
        <f t="shared" si="498"/>
        <v/>
      </c>
      <c r="KY112" s="4" t="str">
        <f t="shared" si="499"/>
        <v/>
      </c>
      <c r="KZ112" s="4" t="str">
        <f t="shared" si="500"/>
        <v/>
      </c>
      <c r="LA112" s="4" t="str">
        <f t="shared" si="501"/>
        <v/>
      </c>
      <c r="LB112" s="4" t="str">
        <f t="shared" si="502"/>
        <v/>
      </c>
      <c r="LC112" s="4" t="str">
        <f t="shared" si="503"/>
        <v/>
      </c>
      <c r="LD112" s="4" t="str">
        <f t="shared" si="504"/>
        <v/>
      </c>
      <c r="LE112" s="4" t="str">
        <f t="shared" si="505"/>
        <v/>
      </c>
      <c r="LF112" s="4" t="str">
        <f t="shared" si="506"/>
        <v/>
      </c>
      <c r="LG112" s="4" t="str">
        <f t="shared" si="507"/>
        <v/>
      </c>
      <c r="LH112" s="4" t="str">
        <f t="shared" si="508"/>
        <v/>
      </c>
      <c r="LI112" s="4" t="str">
        <f t="shared" si="509"/>
        <v/>
      </c>
      <c r="LJ112" s="4" t="str">
        <f t="shared" si="510"/>
        <v/>
      </c>
      <c r="LK112" s="4" t="str">
        <f t="shared" si="511"/>
        <v/>
      </c>
      <c r="LL112" s="4" t="str">
        <f t="shared" si="512"/>
        <v/>
      </c>
      <c r="LM112" s="4" t="str">
        <f t="shared" si="513"/>
        <v/>
      </c>
      <c r="LN112" s="4" t="str">
        <f t="shared" si="514"/>
        <v/>
      </c>
      <c r="LO112" s="4" t="str">
        <f t="shared" si="515"/>
        <v/>
      </c>
      <c r="LP112" s="4" t="str">
        <f t="shared" si="516"/>
        <v/>
      </c>
      <c r="LQ112" s="4" t="str">
        <f t="shared" si="517"/>
        <v/>
      </c>
      <c r="LR112" s="4" t="str">
        <f t="shared" si="518"/>
        <v/>
      </c>
      <c r="LS112" s="4" t="str">
        <f t="shared" si="519"/>
        <v/>
      </c>
      <c r="LT112" s="4" t="str">
        <f t="shared" si="520"/>
        <v/>
      </c>
      <c r="LU112" s="4" t="str">
        <f t="shared" si="521"/>
        <v/>
      </c>
      <c r="LV112" s="4" t="str">
        <f t="shared" si="522"/>
        <v/>
      </c>
      <c r="LW112" s="4" t="str">
        <f t="shared" si="523"/>
        <v/>
      </c>
      <c r="LX112" s="4" t="str">
        <f t="shared" si="524"/>
        <v/>
      </c>
      <c r="LY112" s="4" t="str">
        <f t="shared" si="525"/>
        <v/>
      </c>
      <c r="LZ112" s="4" t="str">
        <f t="shared" si="526"/>
        <v/>
      </c>
      <c r="MA112" s="4" t="str">
        <f t="shared" si="527"/>
        <v/>
      </c>
      <c r="MB112" s="4" t="str">
        <f t="shared" si="528"/>
        <v/>
      </c>
      <c r="MC112" s="4" t="str">
        <f t="shared" si="529"/>
        <v/>
      </c>
      <c r="MD112" s="4" t="str">
        <f t="shared" si="530"/>
        <v/>
      </c>
      <c r="ME112" s="4" t="str">
        <f t="shared" si="531"/>
        <v/>
      </c>
      <c r="MF112" s="4" t="str">
        <f t="shared" si="532"/>
        <v/>
      </c>
      <c r="MG112" s="4">
        <f t="shared" si="533"/>
        <v>0</v>
      </c>
    </row>
    <row r="113" spans="1:345" ht="26.25" customHeight="1" x14ac:dyDescent="0.2">
      <c r="A113" s="35">
        <v>41311</v>
      </c>
      <c r="B113" s="36" t="s">
        <v>128</v>
      </c>
      <c r="C113" s="36" t="s">
        <v>31</v>
      </c>
      <c r="D113" s="31" t="s">
        <v>110</v>
      </c>
      <c r="E113" s="4">
        <v>59</v>
      </c>
      <c r="F113" s="3">
        <v>19692</v>
      </c>
      <c r="G113" s="4" t="s">
        <v>87</v>
      </c>
      <c r="H113" s="4" t="s">
        <v>108</v>
      </c>
      <c r="I113" s="4">
        <v>1836293</v>
      </c>
      <c r="R113" s="4">
        <v>-2</v>
      </c>
      <c r="S113" s="4">
        <v>-2.2799999999999998</v>
      </c>
      <c r="T113" s="39" t="s">
        <v>249</v>
      </c>
      <c r="U113" s="70">
        <v>18</v>
      </c>
      <c r="V113" s="124">
        <v>41309</v>
      </c>
      <c r="W113" s="67">
        <v>-4.25</v>
      </c>
      <c r="X113" s="67">
        <v>0.25</v>
      </c>
      <c r="Y113" s="4">
        <v>102</v>
      </c>
      <c r="Z113" s="4">
        <v>50</v>
      </c>
      <c r="AA113" s="4">
        <v>15</v>
      </c>
      <c r="AB113" s="4">
        <v>504</v>
      </c>
      <c r="AC113" s="4">
        <v>22.92</v>
      </c>
      <c r="AD113" s="4">
        <v>12.1</v>
      </c>
      <c r="AE113" s="4">
        <v>4.33</v>
      </c>
      <c r="AF113" s="4">
        <v>3.71</v>
      </c>
      <c r="AG113" s="4">
        <v>47.67</v>
      </c>
      <c r="AH113" s="4">
        <v>172</v>
      </c>
      <c r="AI113" s="4">
        <v>48.21</v>
      </c>
      <c r="AJ113" s="4">
        <v>82</v>
      </c>
      <c r="AK113" s="4">
        <v>2</v>
      </c>
      <c r="AL113" s="4" t="b">
        <f t="shared" si="406"/>
        <v>1</v>
      </c>
      <c r="AN113" s="4" t="s">
        <v>78</v>
      </c>
      <c r="BC113" s="4" t="str">
        <f t="shared" si="404"/>
        <v/>
      </c>
      <c r="BD113" s="4" t="str">
        <f t="shared" si="405"/>
        <v/>
      </c>
      <c r="BE113" s="4" t="str">
        <f t="shared" si="407"/>
        <v/>
      </c>
      <c r="BF113" s="51" t="s">
        <v>501</v>
      </c>
      <c r="BU113" s="4" t="str">
        <f t="shared" si="534"/>
        <v/>
      </c>
      <c r="BV113" s="4" t="str">
        <f t="shared" si="408"/>
        <v/>
      </c>
      <c r="BW113" s="4" t="str">
        <f t="shared" si="409"/>
        <v/>
      </c>
      <c r="BX113" s="4">
        <f t="shared" si="403"/>
        <v>0</v>
      </c>
      <c r="BY113" s="4">
        <f t="shared" si="410"/>
        <v>0</v>
      </c>
      <c r="BZ113" s="4" t="str">
        <f t="shared" si="411"/>
        <v/>
      </c>
      <c r="CA113" s="4" t="str">
        <f t="shared" si="412"/>
        <v/>
      </c>
      <c r="CB113" s="4" t="str">
        <f t="shared" si="413"/>
        <v/>
      </c>
      <c r="CC113" s="53">
        <f t="shared" si="414"/>
        <v>0</v>
      </c>
      <c r="CD113" s="55" t="str">
        <f t="shared" si="415"/>
        <v/>
      </c>
      <c r="CE113" s="4" t="str">
        <f t="shared" si="416"/>
        <v/>
      </c>
      <c r="CF113" s="4" t="str">
        <f t="shared" si="417"/>
        <v/>
      </c>
      <c r="CG113" s="4" t="str">
        <f t="shared" si="418"/>
        <v/>
      </c>
      <c r="CH113" s="4" t="str">
        <f t="shared" si="419"/>
        <v/>
      </c>
      <c r="CI113" s="4" t="str">
        <f t="shared" si="420"/>
        <v/>
      </c>
      <c r="CJ113" s="4" t="str">
        <f t="shared" si="421"/>
        <v/>
      </c>
      <c r="CK113" s="93" t="str">
        <f t="shared" si="422"/>
        <v/>
      </c>
      <c r="CL113" s="83" t="str">
        <f t="shared" si="423"/>
        <v/>
      </c>
      <c r="CM113" s="4" t="str">
        <f t="shared" si="424"/>
        <v/>
      </c>
      <c r="CN113" s="96" t="str">
        <f t="shared" si="425"/>
        <v/>
      </c>
      <c r="CO113" s="96" t="str">
        <f t="shared" si="398"/>
        <v/>
      </c>
      <c r="CP113" s="127" t="str">
        <f t="shared" si="426"/>
        <v/>
      </c>
      <c r="CQ113" s="127" t="str">
        <f t="shared" si="427"/>
        <v/>
      </c>
      <c r="CR113" s="136" t="str">
        <f t="shared" si="428"/>
        <v/>
      </c>
      <c r="CS113" s="136" t="str">
        <f t="shared" si="429"/>
        <v/>
      </c>
      <c r="CT113" s="135" t="str">
        <f t="shared" si="430"/>
        <v/>
      </c>
      <c r="CU113" s="139" t="str">
        <f t="shared" si="431"/>
        <v/>
      </c>
      <c r="CV113" s="96" t="str">
        <f t="shared" si="432"/>
        <v/>
      </c>
      <c r="CW113" s="141" t="str">
        <f t="shared" si="433"/>
        <v/>
      </c>
      <c r="IL113" s="83" t="str">
        <f t="shared" si="434"/>
        <v/>
      </c>
      <c r="IM113" s="4" t="str">
        <f t="shared" si="435"/>
        <v/>
      </c>
      <c r="IN113" s="4" t="str">
        <f t="shared" si="436"/>
        <v/>
      </c>
      <c r="IO113" s="4" t="str">
        <f t="shared" si="437"/>
        <v/>
      </c>
      <c r="IP113" s="4" t="str">
        <f t="shared" si="438"/>
        <v/>
      </c>
      <c r="IQ113" s="4" t="str">
        <f t="shared" si="439"/>
        <v/>
      </c>
      <c r="IR113" s="4" t="str">
        <f t="shared" si="440"/>
        <v/>
      </c>
      <c r="IS113" s="4" t="str">
        <f t="shared" si="441"/>
        <v/>
      </c>
      <c r="IT113" s="4" t="str">
        <f t="shared" si="442"/>
        <v/>
      </c>
      <c r="IU113" s="4" t="str">
        <f t="shared" si="443"/>
        <v/>
      </c>
      <c r="IV113" s="4" t="str">
        <f t="shared" si="444"/>
        <v/>
      </c>
      <c r="IW113" s="4" t="str">
        <f t="shared" si="445"/>
        <v/>
      </c>
      <c r="IX113" s="4" t="str">
        <f t="shared" si="446"/>
        <v/>
      </c>
      <c r="IY113" s="4" t="str">
        <f t="shared" si="447"/>
        <v/>
      </c>
      <c r="IZ113" s="4" t="str">
        <f t="shared" si="448"/>
        <v/>
      </c>
      <c r="JA113" s="4" t="str">
        <f t="shared" si="449"/>
        <v/>
      </c>
      <c r="JB113" s="4" t="str">
        <f t="shared" si="450"/>
        <v/>
      </c>
      <c r="JC113" s="4" t="str">
        <f t="shared" si="451"/>
        <v/>
      </c>
      <c r="JD113" s="4" t="str">
        <f t="shared" si="452"/>
        <v/>
      </c>
      <c r="JE113" s="4" t="str">
        <f t="shared" si="453"/>
        <v/>
      </c>
      <c r="JF113" s="4" t="str">
        <f t="shared" si="454"/>
        <v/>
      </c>
      <c r="JG113" s="4" t="str">
        <f t="shared" si="455"/>
        <v/>
      </c>
      <c r="JH113" s="4" t="str">
        <f t="shared" si="456"/>
        <v/>
      </c>
      <c r="JI113" s="4" t="str">
        <f t="shared" si="457"/>
        <v/>
      </c>
      <c r="JJ113" s="4" t="str">
        <f t="shared" si="458"/>
        <v/>
      </c>
      <c r="JK113" s="4" t="str">
        <f t="shared" si="459"/>
        <v/>
      </c>
      <c r="JL113" s="4" t="str">
        <f t="shared" si="460"/>
        <v/>
      </c>
      <c r="JM113" s="4" t="str">
        <f t="shared" si="461"/>
        <v/>
      </c>
      <c r="JN113" s="4" t="str">
        <f t="shared" si="462"/>
        <v/>
      </c>
      <c r="JO113" s="4" t="str">
        <f t="shared" si="463"/>
        <v/>
      </c>
      <c r="JP113" s="4" t="str">
        <f t="shared" si="464"/>
        <v/>
      </c>
      <c r="JQ113" s="117" t="str">
        <f t="shared" si="465"/>
        <v/>
      </c>
      <c r="JR113" s="110" t="str">
        <f t="shared" si="466"/>
        <v/>
      </c>
      <c r="JS113" s="110" t="str">
        <f t="shared" si="467"/>
        <v/>
      </c>
      <c r="JT113" s="110" t="str">
        <f t="shared" si="468"/>
        <v/>
      </c>
      <c r="JU113" s="110" t="str">
        <f t="shared" si="469"/>
        <v/>
      </c>
      <c r="JV113" s="110" t="str">
        <f t="shared" si="470"/>
        <v/>
      </c>
      <c r="JW113" s="110" t="str">
        <f t="shared" si="471"/>
        <v/>
      </c>
      <c r="JX113" s="110" t="str">
        <f t="shared" si="472"/>
        <v/>
      </c>
      <c r="JY113" s="110" t="str">
        <f t="shared" si="473"/>
        <v/>
      </c>
      <c r="JZ113" s="110" t="str">
        <f t="shared" si="474"/>
        <v/>
      </c>
      <c r="KA113" s="110" t="str">
        <f t="shared" si="475"/>
        <v/>
      </c>
      <c r="KB113" s="110" t="str">
        <f t="shared" si="476"/>
        <v/>
      </c>
      <c r="KC113" s="110" t="str">
        <f t="shared" si="477"/>
        <v/>
      </c>
      <c r="KD113" s="110" t="str">
        <f t="shared" si="478"/>
        <v/>
      </c>
      <c r="KE113" s="110" t="str">
        <f t="shared" si="479"/>
        <v/>
      </c>
      <c r="KF113" s="110" t="str">
        <f t="shared" si="480"/>
        <v/>
      </c>
      <c r="KG113" s="121" t="str">
        <f t="shared" si="481"/>
        <v/>
      </c>
      <c r="KH113" s="83" t="str">
        <f t="shared" si="482"/>
        <v/>
      </c>
      <c r="KI113" s="4" t="str">
        <f t="shared" si="483"/>
        <v/>
      </c>
      <c r="KJ113" s="4" t="str">
        <f t="shared" si="484"/>
        <v/>
      </c>
      <c r="KK113" s="4" t="str">
        <f t="shared" si="485"/>
        <v/>
      </c>
      <c r="KL113" s="4" t="str">
        <f t="shared" si="486"/>
        <v/>
      </c>
      <c r="KM113" s="4" t="str">
        <f t="shared" si="487"/>
        <v/>
      </c>
      <c r="KN113" s="4" t="str">
        <f t="shared" si="488"/>
        <v/>
      </c>
      <c r="KO113" s="4" t="str">
        <f t="shared" si="489"/>
        <v/>
      </c>
      <c r="KP113" s="4" t="str">
        <f t="shared" si="490"/>
        <v/>
      </c>
      <c r="KQ113" s="4" t="str">
        <f t="shared" si="491"/>
        <v/>
      </c>
      <c r="KR113" s="4" t="str">
        <f t="shared" si="492"/>
        <v/>
      </c>
      <c r="KS113" s="4" t="str">
        <f t="shared" si="493"/>
        <v/>
      </c>
      <c r="KT113" s="4" t="str">
        <f t="shared" si="494"/>
        <v/>
      </c>
      <c r="KU113" s="4" t="str">
        <f t="shared" si="495"/>
        <v/>
      </c>
      <c r="KV113" s="4" t="str">
        <f t="shared" si="496"/>
        <v/>
      </c>
      <c r="KW113" s="4" t="str">
        <f t="shared" si="497"/>
        <v/>
      </c>
      <c r="KX113" s="4" t="str">
        <f t="shared" si="498"/>
        <v/>
      </c>
      <c r="KY113" s="4" t="str">
        <f t="shared" si="499"/>
        <v/>
      </c>
      <c r="KZ113" s="4" t="str">
        <f t="shared" si="500"/>
        <v/>
      </c>
      <c r="LA113" s="4" t="str">
        <f t="shared" si="501"/>
        <v/>
      </c>
      <c r="LB113" s="4" t="str">
        <f t="shared" si="502"/>
        <v/>
      </c>
      <c r="LC113" s="4" t="str">
        <f t="shared" si="503"/>
        <v/>
      </c>
      <c r="LD113" s="4" t="str">
        <f t="shared" si="504"/>
        <v/>
      </c>
      <c r="LE113" s="4" t="str">
        <f t="shared" si="505"/>
        <v/>
      </c>
      <c r="LF113" s="4" t="str">
        <f t="shared" si="506"/>
        <v/>
      </c>
      <c r="LG113" s="4" t="str">
        <f t="shared" si="507"/>
        <v/>
      </c>
      <c r="LH113" s="4" t="str">
        <f t="shared" si="508"/>
        <v/>
      </c>
      <c r="LI113" s="4" t="str">
        <f t="shared" si="509"/>
        <v/>
      </c>
      <c r="LJ113" s="4" t="str">
        <f t="shared" si="510"/>
        <v/>
      </c>
      <c r="LK113" s="4" t="str">
        <f t="shared" si="511"/>
        <v/>
      </c>
      <c r="LL113" s="4" t="str">
        <f t="shared" si="512"/>
        <v/>
      </c>
      <c r="LM113" s="4" t="str">
        <f t="shared" si="513"/>
        <v/>
      </c>
      <c r="LN113" s="4" t="str">
        <f t="shared" si="514"/>
        <v/>
      </c>
      <c r="LO113" s="4" t="str">
        <f t="shared" si="515"/>
        <v/>
      </c>
      <c r="LP113" s="4" t="str">
        <f t="shared" si="516"/>
        <v/>
      </c>
      <c r="LQ113" s="4" t="str">
        <f t="shared" si="517"/>
        <v/>
      </c>
      <c r="LR113" s="4" t="str">
        <f t="shared" si="518"/>
        <v/>
      </c>
      <c r="LS113" s="4" t="str">
        <f t="shared" si="519"/>
        <v/>
      </c>
      <c r="LT113" s="4" t="str">
        <f t="shared" si="520"/>
        <v/>
      </c>
      <c r="LU113" s="4" t="str">
        <f t="shared" si="521"/>
        <v/>
      </c>
      <c r="LV113" s="4" t="str">
        <f t="shared" si="522"/>
        <v/>
      </c>
      <c r="LW113" s="4" t="str">
        <f t="shared" si="523"/>
        <v/>
      </c>
      <c r="LX113" s="4" t="str">
        <f t="shared" si="524"/>
        <v/>
      </c>
      <c r="LY113" s="4" t="str">
        <f t="shared" si="525"/>
        <v/>
      </c>
      <c r="LZ113" s="4" t="str">
        <f t="shared" si="526"/>
        <v/>
      </c>
      <c r="MA113" s="4" t="str">
        <f t="shared" si="527"/>
        <v/>
      </c>
      <c r="MB113" s="4" t="str">
        <f t="shared" si="528"/>
        <v/>
      </c>
      <c r="MC113" s="4" t="str">
        <f t="shared" si="529"/>
        <v/>
      </c>
      <c r="MD113" s="4" t="str">
        <f t="shared" si="530"/>
        <v/>
      </c>
      <c r="ME113" s="4" t="str">
        <f t="shared" si="531"/>
        <v/>
      </c>
      <c r="MF113" s="4" t="str">
        <f t="shared" si="532"/>
        <v/>
      </c>
      <c r="MG113" s="4">
        <f t="shared" si="533"/>
        <v>0</v>
      </c>
    </row>
    <row r="114" spans="1:345" ht="26.25" customHeight="1" x14ac:dyDescent="0.2">
      <c r="A114" s="35">
        <v>41318</v>
      </c>
      <c r="B114" s="36" t="s">
        <v>197</v>
      </c>
      <c r="C114" s="36" t="s">
        <v>203</v>
      </c>
      <c r="D114" s="31" t="s">
        <v>111</v>
      </c>
      <c r="E114" s="4">
        <v>60</v>
      </c>
      <c r="F114" s="3">
        <v>19228</v>
      </c>
      <c r="G114" s="4" t="s">
        <v>87</v>
      </c>
      <c r="H114" s="4" t="s">
        <v>108</v>
      </c>
      <c r="I114" s="4">
        <v>1836310</v>
      </c>
      <c r="K114" s="235"/>
      <c r="L114" s="236"/>
      <c r="M114" s="236"/>
      <c r="N114" s="236"/>
      <c r="O114" s="235"/>
      <c r="P114" s="236"/>
      <c r="Q114" s="236"/>
      <c r="R114" s="4">
        <v>-0.5</v>
      </c>
      <c r="S114" s="4">
        <v>-0.5</v>
      </c>
      <c r="T114" s="4" t="s">
        <v>249</v>
      </c>
      <c r="U114" s="67">
        <v>20.5</v>
      </c>
      <c r="V114" s="124">
        <v>41316</v>
      </c>
      <c r="W114" s="67">
        <v>-0.5</v>
      </c>
      <c r="X114" s="67">
        <v>0.5</v>
      </c>
      <c r="Y114" s="4">
        <v>75</v>
      </c>
      <c r="Z114" s="4">
        <v>100</v>
      </c>
      <c r="AA114" s="4">
        <v>15</v>
      </c>
      <c r="AB114" s="4">
        <v>681</v>
      </c>
      <c r="AC114" s="4">
        <v>23.47</v>
      </c>
      <c r="AD114" s="4">
        <v>12.2</v>
      </c>
      <c r="AE114" s="4">
        <v>4.72</v>
      </c>
      <c r="AF114" s="4">
        <v>3.69</v>
      </c>
      <c r="AG114" s="4">
        <v>44.41</v>
      </c>
      <c r="AH114" s="4">
        <v>172</v>
      </c>
      <c r="AI114" s="4">
        <v>44.88</v>
      </c>
      <c r="AJ114" s="4">
        <v>82</v>
      </c>
      <c r="AK114" s="4">
        <v>0</v>
      </c>
      <c r="AL114" s="4" t="b">
        <f t="shared" si="406"/>
        <v>0</v>
      </c>
      <c r="AN114" s="4" t="s">
        <v>78</v>
      </c>
      <c r="AP114" s="70"/>
      <c r="AQ114" s="70"/>
      <c r="AR114" s="36"/>
      <c r="BC114" s="4" t="str">
        <f t="shared" si="404"/>
        <v/>
      </c>
      <c r="BD114" s="4" t="str">
        <f t="shared" si="405"/>
        <v/>
      </c>
      <c r="BE114" s="4" t="str">
        <f t="shared" si="407"/>
        <v/>
      </c>
      <c r="BF114" s="51" t="s">
        <v>501</v>
      </c>
      <c r="BU114" s="4" t="str">
        <f t="shared" si="534"/>
        <v/>
      </c>
      <c r="BV114" s="4" t="str">
        <f t="shared" si="408"/>
        <v/>
      </c>
      <c r="BW114" s="4" t="str">
        <f t="shared" si="409"/>
        <v/>
      </c>
      <c r="BX114" s="4">
        <f t="shared" si="403"/>
        <v>0</v>
      </c>
      <c r="BY114" s="4">
        <f t="shared" si="410"/>
        <v>0</v>
      </c>
      <c r="BZ114" s="4" t="str">
        <f t="shared" si="411"/>
        <v/>
      </c>
      <c r="CA114" s="4" t="str">
        <f t="shared" si="412"/>
        <v/>
      </c>
      <c r="CB114" s="4" t="str">
        <f t="shared" si="413"/>
        <v/>
      </c>
      <c r="CC114" s="53">
        <f t="shared" si="414"/>
        <v>0</v>
      </c>
      <c r="CD114" s="55" t="str">
        <f t="shared" si="415"/>
        <v/>
      </c>
      <c r="CE114" s="4" t="str">
        <f t="shared" si="416"/>
        <v/>
      </c>
      <c r="CF114" s="4" t="str">
        <f t="shared" si="417"/>
        <v/>
      </c>
      <c r="CG114" s="4" t="str">
        <f t="shared" si="418"/>
        <v/>
      </c>
      <c r="CH114" s="4" t="str">
        <f t="shared" si="419"/>
        <v/>
      </c>
      <c r="CI114" s="4" t="str">
        <f t="shared" si="420"/>
        <v/>
      </c>
      <c r="CJ114" s="4" t="str">
        <f t="shared" si="421"/>
        <v/>
      </c>
      <c r="CK114" s="93" t="str">
        <f t="shared" si="422"/>
        <v/>
      </c>
      <c r="CL114" s="83" t="str">
        <f t="shared" si="423"/>
        <v/>
      </c>
      <c r="CM114" s="4" t="str">
        <f t="shared" si="424"/>
        <v/>
      </c>
      <c r="CN114" s="96" t="str">
        <f t="shared" si="425"/>
        <v/>
      </c>
      <c r="CO114" s="96" t="str">
        <f t="shared" si="398"/>
        <v/>
      </c>
      <c r="CP114" s="127" t="str">
        <f t="shared" si="426"/>
        <v/>
      </c>
      <c r="CQ114" s="127" t="str">
        <f t="shared" si="427"/>
        <v/>
      </c>
      <c r="CR114" s="136" t="str">
        <f t="shared" si="428"/>
        <v/>
      </c>
      <c r="CS114" s="136" t="str">
        <f t="shared" si="429"/>
        <v/>
      </c>
      <c r="CT114" s="135" t="str">
        <f t="shared" si="430"/>
        <v/>
      </c>
      <c r="CU114" s="139" t="str">
        <f t="shared" si="431"/>
        <v/>
      </c>
      <c r="CV114" s="96" t="str">
        <f t="shared" si="432"/>
        <v/>
      </c>
      <c r="CW114" s="141" t="str">
        <f t="shared" si="433"/>
        <v/>
      </c>
      <c r="CX114">
        <v>7.66</v>
      </c>
      <c r="CY114" s="4">
        <v>7.63</v>
      </c>
      <c r="CZ114" s="4">
        <v>28.1</v>
      </c>
      <c r="DA114" s="4">
        <v>-0.2</v>
      </c>
      <c r="DB114" s="4">
        <v>0.28000000000000003</v>
      </c>
      <c r="DC114" s="4">
        <v>0.51</v>
      </c>
      <c r="DD114" s="4">
        <v>2.75</v>
      </c>
      <c r="DE114" s="4">
        <v>3.45</v>
      </c>
      <c r="DF114" s="4">
        <v>704</v>
      </c>
      <c r="DG114" s="4">
        <v>702</v>
      </c>
      <c r="DH114" s="4">
        <v>764</v>
      </c>
      <c r="DI114" s="4">
        <v>714</v>
      </c>
      <c r="DJ114" s="4">
        <v>749</v>
      </c>
      <c r="DK114" s="4">
        <v>787</v>
      </c>
      <c r="DL114" s="4">
        <v>693</v>
      </c>
      <c r="DM114" s="4">
        <v>-0.84</v>
      </c>
      <c r="DN114" s="4">
        <v>-0.77</v>
      </c>
      <c r="DO114" s="4">
        <v>7.65</v>
      </c>
      <c r="DP114" s="4">
        <v>7.62</v>
      </c>
      <c r="DQ114" s="4">
        <v>7.63</v>
      </c>
      <c r="DR114" s="4">
        <v>7.77</v>
      </c>
      <c r="DS114" s="4">
        <v>8.06</v>
      </c>
      <c r="DT114" s="4">
        <v>8.1199999999999992</v>
      </c>
      <c r="DU114" s="4">
        <v>0</v>
      </c>
      <c r="DV114" s="4">
        <v>1</v>
      </c>
      <c r="DW114" s="4">
        <v>6.61</v>
      </c>
      <c r="DX114" s="4">
        <v>6.45</v>
      </c>
      <c r="DY114" s="4">
        <v>6.44</v>
      </c>
      <c r="DZ114" s="4">
        <v>6.54</v>
      </c>
      <c r="EA114" s="4">
        <v>6.64</v>
      </c>
      <c r="EB114" s="4">
        <v>6.77</v>
      </c>
      <c r="EC114" s="4">
        <v>0</v>
      </c>
      <c r="ED114" s="89">
        <v>1</v>
      </c>
      <c r="EE114" s="110">
        <v>44.1</v>
      </c>
      <c r="EF114" s="110">
        <v>44.3</v>
      </c>
      <c r="EG114" s="110">
        <v>44.2</v>
      </c>
      <c r="EH114" s="110">
        <v>28.1</v>
      </c>
      <c r="EI114" s="110">
        <v>0.2</v>
      </c>
      <c r="EJ114" s="110">
        <v>-5.9</v>
      </c>
      <c r="EK114" s="110">
        <v>-6.2</v>
      </c>
      <c r="EL114" s="110">
        <v>-6.1</v>
      </c>
      <c r="EM114" s="110">
        <v>55</v>
      </c>
      <c r="EN114" s="110">
        <v>0.3</v>
      </c>
      <c r="EO114" s="110">
        <v>5</v>
      </c>
      <c r="EP114" s="110">
        <v>14.5</v>
      </c>
      <c r="EQ114" s="110">
        <v>30.2</v>
      </c>
      <c r="ER114" s="110">
        <v>70.7</v>
      </c>
      <c r="ES114" s="114">
        <v>12</v>
      </c>
      <c r="IL114" s="83" t="str">
        <f t="shared" si="434"/>
        <v/>
      </c>
      <c r="IM114" s="4" t="str">
        <f t="shared" si="435"/>
        <v/>
      </c>
      <c r="IN114" s="4" t="str">
        <f t="shared" si="436"/>
        <v/>
      </c>
      <c r="IO114" s="4" t="str">
        <f t="shared" si="437"/>
        <v/>
      </c>
      <c r="IP114" s="4" t="str">
        <f t="shared" si="438"/>
        <v/>
      </c>
      <c r="IQ114" s="4" t="str">
        <f t="shared" si="439"/>
        <v/>
      </c>
      <c r="IR114" s="4" t="str">
        <f t="shared" si="440"/>
        <v/>
      </c>
      <c r="IS114" s="4" t="str">
        <f t="shared" si="441"/>
        <v/>
      </c>
      <c r="IT114" s="4" t="str">
        <f t="shared" si="442"/>
        <v/>
      </c>
      <c r="IU114" s="4" t="str">
        <f t="shared" si="443"/>
        <v/>
      </c>
      <c r="IV114" s="4" t="str">
        <f t="shared" si="444"/>
        <v/>
      </c>
      <c r="IW114" s="4" t="str">
        <f t="shared" si="445"/>
        <v/>
      </c>
      <c r="IX114" s="4" t="str">
        <f t="shared" si="446"/>
        <v/>
      </c>
      <c r="IY114" s="4" t="str">
        <f t="shared" si="447"/>
        <v/>
      </c>
      <c r="IZ114" s="4" t="str">
        <f t="shared" si="448"/>
        <v/>
      </c>
      <c r="JA114" s="4" t="str">
        <f t="shared" si="449"/>
        <v/>
      </c>
      <c r="JB114" s="4" t="str">
        <f t="shared" si="450"/>
        <v/>
      </c>
      <c r="JC114" s="4" t="str">
        <f t="shared" si="451"/>
        <v/>
      </c>
      <c r="JD114" s="4" t="str">
        <f t="shared" si="452"/>
        <v/>
      </c>
      <c r="JE114" s="4" t="str">
        <f t="shared" si="453"/>
        <v/>
      </c>
      <c r="JF114" s="4" t="str">
        <f t="shared" si="454"/>
        <v/>
      </c>
      <c r="JG114" s="4" t="str">
        <f t="shared" si="455"/>
        <v/>
      </c>
      <c r="JH114" s="4" t="str">
        <f t="shared" si="456"/>
        <v/>
      </c>
      <c r="JI114" s="4" t="str">
        <f t="shared" si="457"/>
        <v/>
      </c>
      <c r="JJ114" s="4" t="str">
        <f t="shared" si="458"/>
        <v/>
      </c>
      <c r="JK114" s="4" t="str">
        <f t="shared" si="459"/>
        <v/>
      </c>
      <c r="JL114" s="4" t="str">
        <f t="shared" si="460"/>
        <v/>
      </c>
      <c r="JM114" s="4" t="str">
        <f t="shared" si="461"/>
        <v/>
      </c>
      <c r="JN114" s="4" t="str">
        <f t="shared" si="462"/>
        <v/>
      </c>
      <c r="JO114" s="4" t="str">
        <f t="shared" si="463"/>
        <v/>
      </c>
      <c r="JP114" s="4" t="str">
        <f t="shared" si="464"/>
        <v/>
      </c>
      <c r="JQ114" s="117" t="str">
        <f t="shared" si="465"/>
        <v/>
      </c>
      <c r="JR114" s="110" t="str">
        <f t="shared" si="466"/>
        <v/>
      </c>
      <c r="JS114" s="110" t="str">
        <f t="shared" si="467"/>
        <v/>
      </c>
      <c r="JT114" s="110" t="str">
        <f t="shared" si="468"/>
        <v/>
      </c>
      <c r="JU114" s="110" t="str">
        <f t="shared" si="469"/>
        <v/>
      </c>
      <c r="JV114" s="110" t="str">
        <f t="shared" si="470"/>
        <v/>
      </c>
      <c r="JW114" s="110" t="str">
        <f t="shared" si="471"/>
        <v/>
      </c>
      <c r="JX114" s="110" t="str">
        <f t="shared" si="472"/>
        <v/>
      </c>
      <c r="JY114" s="110" t="str">
        <f t="shared" si="473"/>
        <v/>
      </c>
      <c r="JZ114" s="110" t="str">
        <f t="shared" si="474"/>
        <v/>
      </c>
      <c r="KA114" s="110" t="str">
        <f t="shared" si="475"/>
        <v/>
      </c>
      <c r="KB114" s="110" t="str">
        <f t="shared" si="476"/>
        <v/>
      </c>
      <c r="KC114" s="110" t="str">
        <f t="shared" si="477"/>
        <v/>
      </c>
      <c r="KD114" s="110" t="str">
        <f t="shared" si="478"/>
        <v/>
      </c>
      <c r="KE114" s="110" t="str">
        <f t="shared" si="479"/>
        <v/>
      </c>
      <c r="KF114" s="110" t="str">
        <f t="shared" si="480"/>
        <v/>
      </c>
      <c r="KG114" s="121" t="str">
        <f t="shared" si="481"/>
        <v/>
      </c>
      <c r="KH114" s="83" t="str">
        <f t="shared" si="482"/>
        <v/>
      </c>
      <c r="KI114" s="4" t="str">
        <f t="shared" si="483"/>
        <v/>
      </c>
      <c r="KJ114" s="4" t="str">
        <f t="shared" si="484"/>
        <v/>
      </c>
      <c r="KK114" s="4" t="str">
        <f t="shared" si="485"/>
        <v/>
      </c>
      <c r="KL114" s="4" t="str">
        <f t="shared" si="486"/>
        <v/>
      </c>
      <c r="KM114" s="4" t="str">
        <f t="shared" si="487"/>
        <v/>
      </c>
      <c r="KN114" s="4" t="str">
        <f t="shared" si="488"/>
        <v/>
      </c>
      <c r="KO114" s="4" t="str">
        <f t="shared" si="489"/>
        <v/>
      </c>
      <c r="KP114" s="4" t="str">
        <f t="shared" si="490"/>
        <v/>
      </c>
      <c r="KQ114" s="4" t="str">
        <f t="shared" si="491"/>
        <v/>
      </c>
      <c r="KR114" s="4" t="str">
        <f t="shared" si="492"/>
        <v/>
      </c>
      <c r="KS114" s="4" t="str">
        <f t="shared" si="493"/>
        <v/>
      </c>
      <c r="KT114" s="4" t="str">
        <f t="shared" si="494"/>
        <v/>
      </c>
      <c r="KU114" s="4" t="str">
        <f t="shared" si="495"/>
        <v/>
      </c>
      <c r="KV114" s="4" t="str">
        <f t="shared" si="496"/>
        <v/>
      </c>
      <c r="KW114" s="4" t="str">
        <f t="shared" si="497"/>
        <v/>
      </c>
      <c r="KX114" s="4" t="str">
        <f t="shared" si="498"/>
        <v/>
      </c>
      <c r="KY114" s="4" t="str">
        <f t="shared" si="499"/>
        <v/>
      </c>
      <c r="KZ114" s="4" t="str">
        <f t="shared" si="500"/>
        <v/>
      </c>
      <c r="LA114" s="4" t="str">
        <f t="shared" si="501"/>
        <v/>
      </c>
      <c r="LB114" s="4" t="str">
        <f t="shared" si="502"/>
        <v/>
      </c>
      <c r="LC114" s="4" t="str">
        <f t="shared" si="503"/>
        <v/>
      </c>
      <c r="LD114" s="4" t="str">
        <f t="shared" si="504"/>
        <v/>
      </c>
      <c r="LE114" s="4" t="str">
        <f t="shared" si="505"/>
        <v/>
      </c>
      <c r="LF114" s="4" t="str">
        <f t="shared" si="506"/>
        <v/>
      </c>
      <c r="LG114" s="4" t="str">
        <f t="shared" si="507"/>
        <v/>
      </c>
      <c r="LH114" s="4" t="str">
        <f t="shared" si="508"/>
        <v/>
      </c>
      <c r="LI114" s="4" t="str">
        <f t="shared" si="509"/>
        <v/>
      </c>
      <c r="LJ114" s="4" t="str">
        <f t="shared" si="510"/>
        <v/>
      </c>
      <c r="LK114" s="4" t="str">
        <f t="shared" si="511"/>
        <v/>
      </c>
      <c r="LL114" s="4" t="str">
        <f t="shared" si="512"/>
        <v/>
      </c>
      <c r="LM114" s="4" t="str">
        <f t="shared" si="513"/>
        <v/>
      </c>
      <c r="LN114" s="4" t="str">
        <f t="shared" si="514"/>
        <v/>
      </c>
      <c r="LO114" s="4" t="str">
        <f t="shared" si="515"/>
        <v/>
      </c>
      <c r="LP114" s="4" t="str">
        <f t="shared" si="516"/>
        <v/>
      </c>
      <c r="LQ114" s="4" t="str">
        <f t="shared" si="517"/>
        <v/>
      </c>
      <c r="LR114" s="4" t="str">
        <f t="shared" si="518"/>
        <v/>
      </c>
      <c r="LS114" s="4" t="str">
        <f t="shared" si="519"/>
        <v/>
      </c>
      <c r="LT114" s="4" t="str">
        <f t="shared" si="520"/>
        <v/>
      </c>
      <c r="LU114" s="4" t="str">
        <f t="shared" si="521"/>
        <v/>
      </c>
      <c r="LV114" s="4" t="str">
        <f t="shared" si="522"/>
        <v/>
      </c>
      <c r="LW114" s="4" t="str">
        <f t="shared" si="523"/>
        <v/>
      </c>
      <c r="LX114" s="4" t="str">
        <f t="shared" si="524"/>
        <v/>
      </c>
      <c r="LY114" s="4" t="str">
        <f t="shared" si="525"/>
        <v/>
      </c>
      <c r="LZ114" s="4" t="str">
        <f t="shared" si="526"/>
        <v/>
      </c>
      <c r="MA114" s="4" t="str">
        <f t="shared" si="527"/>
        <v/>
      </c>
      <c r="MB114" s="4" t="str">
        <f t="shared" si="528"/>
        <v/>
      </c>
      <c r="MC114" s="4" t="str">
        <f t="shared" si="529"/>
        <v/>
      </c>
      <c r="MD114" s="4" t="str">
        <f t="shared" si="530"/>
        <v/>
      </c>
      <c r="ME114" s="4" t="str">
        <f t="shared" si="531"/>
        <v/>
      </c>
      <c r="MF114" s="4" t="str">
        <f t="shared" si="532"/>
        <v/>
      </c>
      <c r="MG114" s="4">
        <f t="shared" si="533"/>
        <v>0</v>
      </c>
    </row>
    <row r="115" spans="1:345" ht="26.25" customHeight="1" x14ac:dyDescent="0.2">
      <c r="A115" s="35">
        <v>41402</v>
      </c>
      <c r="B115" s="36" t="s">
        <v>130</v>
      </c>
      <c r="C115" s="36" t="s">
        <v>35</v>
      </c>
      <c r="D115" s="31" t="s">
        <v>111</v>
      </c>
      <c r="E115" s="4">
        <v>54</v>
      </c>
      <c r="F115" s="3">
        <v>21309</v>
      </c>
      <c r="G115" s="4" t="s">
        <v>87</v>
      </c>
      <c r="H115" s="4" t="s">
        <v>108</v>
      </c>
      <c r="I115" s="4">
        <v>1836353</v>
      </c>
      <c r="R115" s="4">
        <v>-0.25</v>
      </c>
      <c r="S115" s="4">
        <v>-2.4700000000000002</v>
      </c>
      <c r="T115" s="39" t="s">
        <v>249</v>
      </c>
      <c r="U115" s="70">
        <v>18.25</v>
      </c>
      <c r="V115" s="124">
        <v>41401</v>
      </c>
      <c r="W115" s="67">
        <v>-1.5</v>
      </c>
      <c r="X115" s="67">
        <v>1</v>
      </c>
      <c r="Y115" s="4">
        <v>10</v>
      </c>
      <c r="Z115" s="4">
        <v>25</v>
      </c>
      <c r="AA115" s="4">
        <v>15</v>
      </c>
      <c r="AB115" s="4">
        <v>595</v>
      </c>
      <c r="AC115" s="4">
        <v>24.49</v>
      </c>
      <c r="AD115" s="4">
        <v>12.5</v>
      </c>
      <c r="AE115" s="4">
        <v>4.46</v>
      </c>
      <c r="AF115" s="4">
        <v>4.17</v>
      </c>
      <c r="AG115" s="4">
        <v>43.44</v>
      </c>
      <c r="AH115" s="4">
        <v>89</v>
      </c>
      <c r="AI115" s="4">
        <v>44.23</v>
      </c>
      <c r="AJ115" s="4">
        <v>179</v>
      </c>
      <c r="AK115" s="4">
        <v>0</v>
      </c>
      <c r="AL115" s="4" t="b">
        <f t="shared" si="406"/>
        <v>0</v>
      </c>
      <c r="AN115" s="51" t="s">
        <v>78</v>
      </c>
      <c r="BC115" s="4" t="str">
        <f t="shared" si="404"/>
        <v/>
      </c>
      <c r="BD115" s="4" t="str">
        <f t="shared" si="405"/>
        <v/>
      </c>
      <c r="BE115" s="4" t="str">
        <f t="shared" si="407"/>
        <v/>
      </c>
      <c r="BF115" s="51" t="s">
        <v>501</v>
      </c>
      <c r="BU115" s="4" t="str">
        <f t="shared" si="534"/>
        <v/>
      </c>
      <c r="BV115" s="4" t="str">
        <f t="shared" si="408"/>
        <v/>
      </c>
      <c r="BW115" s="4" t="str">
        <f t="shared" si="409"/>
        <v/>
      </c>
      <c r="BX115" s="4">
        <f t="shared" si="403"/>
        <v>0</v>
      </c>
      <c r="BY115" s="4">
        <f t="shared" si="410"/>
        <v>0</v>
      </c>
      <c r="BZ115" s="4" t="str">
        <f t="shared" si="411"/>
        <v/>
      </c>
      <c r="CA115" s="4" t="str">
        <f t="shared" si="412"/>
        <v/>
      </c>
      <c r="CB115" s="4" t="str">
        <f t="shared" si="413"/>
        <v/>
      </c>
      <c r="CC115" s="53">
        <f t="shared" si="414"/>
        <v>0</v>
      </c>
      <c r="CD115" s="55" t="str">
        <f t="shared" si="415"/>
        <v/>
      </c>
      <c r="CE115" s="4" t="str">
        <f t="shared" si="416"/>
        <v/>
      </c>
      <c r="CF115" s="4" t="str">
        <f t="shared" si="417"/>
        <v/>
      </c>
      <c r="CG115" s="4" t="str">
        <f t="shared" si="418"/>
        <v/>
      </c>
      <c r="CH115" s="4" t="str">
        <f t="shared" si="419"/>
        <v/>
      </c>
      <c r="CI115" s="4" t="str">
        <f t="shared" si="420"/>
        <v/>
      </c>
      <c r="CJ115" s="4" t="str">
        <f t="shared" si="421"/>
        <v/>
      </c>
      <c r="CK115" s="93" t="str">
        <f t="shared" si="422"/>
        <v/>
      </c>
      <c r="CL115" s="83" t="str">
        <f t="shared" si="423"/>
        <v/>
      </c>
      <c r="CM115" s="4" t="str">
        <f t="shared" si="424"/>
        <v/>
      </c>
      <c r="CN115" s="96" t="str">
        <f t="shared" si="425"/>
        <v/>
      </c>
      <c r="CO115" s="96" t="str">
        <f t="shared" si="398"/>
        <v/>
      </c>
      <c r="CP115" s="127" t="str">
        <f t="shared" si="426"/>
        <v/>
      </c>
      <c r="CQ115" s="127" t="str">
        <f t="shared" si="427"/>
        <v/>
      </c>
      <c r="CR115" s="136" t="str">
        <f t="shared" si="428"/>
        <v/>
      </c>
      <c r="CS115" s="136" t="str">
        <f t="shared" si="429"/>
        <v/>
      </c>
      <c r="CT115" s="135" t="str">
        <f t="shared" si="430"/>
        <v/>
      </c>
      <c r="CU115" s="139" t="str">
        <f t="shared" si="431"/>
        <v/>
      </c>
      <c r="CV115" s="96" t="str">
        <f t="shared" si="432"/>
        <v/>
      </c>
      <c r="CW115" s="141" t="str">
        <f t="shared" si="433"/>
        <v/>
      </c>
      <c r="CX115" s="108">
        <v>7.82</v>
      </c>
      <c r="CY115" s="4">
        <v>7.92</v>
      </c>
      <c r="CZ115" s="4">
        <v>89.5</v>
      </c>
      <c r="DA115" s="4">
        <v>0.6</v>
      </c>
      <c r="DB115" s="4">
        <v>0.08</v>
      </c>
      <c r="DC115" s="4">
        <v>0.19</v>
      </c>
      <c r="DD115" s="4">
        <v>3.26</v>
      </c>
      <c r="DE115" s="4">
        <v>3.87</v>
      </c>
      <c r="DF115" s="4">
        <v>607</v>
      </c>
      <c r="DG115" s="4">
        <v>607</v>
      </c>
      <c r="DH115" s="4">
        <v>658</v>
      </c>
      <c r="DI115" s="4">
        <v>598</v>
      </c>
      <c r="DJ115" s="4">
        <v>639</v>
      </c>
      <c r="DK115" s="4">
        <v>593</v>
      </c>
      <c r="DL115" s="4">
        <v>577</v>
      </c>
      <c r="DM115" s="4">
        <v>-2.0699999999999998</v>
      </c>
      <c r="DN115" s="4">
        <v>1.18</v>
      </c>
      <c r="DO115" s="4">
        <v>7.91</v>
      </c>
      <c r="DP115" s="4">
        <v>7.81</v>
      </c>
      <c r="DQ115" s="4">
        <v>7.79</v>
      </c>
      <c r="DR115" s="4">
        <v>7.85</v>
      </c>
      <c r="DS115" s="4">
        <v>7.96</v>
      </c>
      <c r="DT115" s="4">
        <v>8.1199999999999992</v>
      </c>
      <c r="DU115" s="4">
        <v>0</v>
      </c>
      <c r="DV115" s="4">
        <v>0.2</v>
      </c>
      <c r="DW115" s="4">
        <v>7.79</v>
      </c>
      <c r="DX115" s="4">
        <v>6.99</v>
      </c>
      <c r="DY115" s="4">
        <v>6.58</v>
      </c>
      <c r="DZ115" s="4">
        <v>6.64</v>
      </c>
      <c r="EA115" s="4">
        <v>6.9</v>
      </c>
      <c r="EB115" s="4">
        <v>7.16</v>
      </c>
      <c r="EC115" s="4">
        <v>0</v>
      </c>
      <c r="ED115" s="89">
        <v>0.2</v>
      </c>
      <c r="EE115" s="110">
        <v>42.6</v>
      </c>
      <c r="EF115" s="110">
        <v>43.2</v>
      </c>
      <c r="EG115" s="110">
        <v>42.9</v>
      </c>
      <c r="EH115" s="110">
        <v>89.5</v>
      </c>
      <c r="EI115" s="110">
        <v>0.6</v>
      </c>
      <c r="EJ115" s="110">
        <v>-5.2</v>
      </c>
      <c r="EK115" s="110">
        <v>-5.5</v>
      </c>
      <c r="EL115" s="110">
        <v>-5.3</v>
      </c>
      <c r="EM115" s="110">
        <v>130.1</v>
      </c>
      <c r="EN115" s="110">
        <v>0.2</v>
      </c>
      <c r="EO115" s="110">
        <v>4.3</v>
      </c>
      <c r="EP115" s="110">
        <v>12.1</v>
      </c>
      <c r="EQ115" s="110">
        <v>25.1</v>
      </c>
      <c r="ER115" s="110">
        <v>59.8</v>
      </c>
      <c r="ES115" s="114">
        <v>10</v>
      </c>
      <c r="IL115" s="83" t="str">
        <f t="shared" si="434"/>
        <v/>
      </c>
      <c r="IM115" s="4" t="str">
        <f t="shared" si="435"/>
        <v/>
      </c>
      <c r="IN115" s="4" t="str">
        <f t="shared" si="436"/>
        <v/>
      </c>
      <c r="IO115" s="4" t="str">
        <f t="shared" si="437"/>
        <v/>
      </c>
      <c r="IP115" s="4" t="str">
        <f t="shared" si="438"/>
        <v/>
      </c>
      <c r="IQ115" s="4" t="str">
        <f t="shared" si="439"/>
        <v/>
      </c>
      <c r="IR115" s="4" t="str">
        <f t="shared" si="440"/>
        <v/>
      </c>
      <c r="IS115" s="4" t="str">
        <f t="shared" si="441"/>
        <v/>
      </c>
      <c r="IT115" s="4" t="str">
        <f t="shared" si="442"/>
        <v/>
      </c>
      <c r="IU115" s="4" t="str">
        <f t="shared" si="443"/>
        <v/>
      </c>
      <c r="IV115" s="4" t="str">
        <f t="shared" si="444"/>
        <v/>
      </c>
      <c r="IW115" s="4" t="str">
        <f t="shared" si="445"/>
        <v/>
      </c>
      <c r="IX115" s="4" t="str">
        <f t="shared" si="446"/>
        <v/>
      </c>
      <c r="IY115" s="4" t="str">
        <f t="shared" si="447"/>
        <v/>
      </c>
      <c r="IZ115" s="4" t="str">
        <f t="shared" si="448"/>
        <v/>
      </c>
      <c r="JA115" s="4" t="str">
        <f t="shared" si="449"/>
        <v/>
      </c>
      <c r="JB115" s="4" t="str">
        <f t="shared" si="450"/>
        <v/>
      </c>
      <c r="JC115" s="4" t="str">
        <f t="shared" si="451"/>
        <v/>
      </c>
      <c r="JD115" s="4" t="str">
        <f t="shared" si="452"/>
        <v/>
      </c>
      <c r="JE115" s="4" t="str">
        <f t="shared" si="453"/>
        <v/>
      </c>
      <c r="JF115" s="4" t="str">
        <f t="shared" si="454"/>
        <v/>
      </c>
      <c r="JG115" s="4" t="str">
        <f t="shared" si="455"/>
        <v/>
      </c>
      <c r="JH115" s="4" t="str">
        <f t="shared" si="456"/>
        <v/>
      </c>
      <c r="JI115" s="4" t="str">
        <f t="shared" si="457"/>
        <v/>
      </c>
      <c r="JJ115" s="4" t="str">
        <f t="shared" si="458"/>
        <v/>
      </c>
      <c r="JK115" s="4" t="str">
        <f t="shared" si="459"/>
        <v/>
      </c>
      <c r="JL115" s="4" t="str">
        <f t="shared" si="460"/>
        <v/>
      </c>
      <c r="JM115" s="4" t="str">
        <f t="shared" si="461"/>
        <v/>
      </c>
      <c r="JN115" s="4" t="str">
        <f t="shared" si="462"/>
        <v/>
      </c>
      <c r="JO115" s="4" t="str">
        <f t="shared" si="463"/>
        <v/>
      </c>
      <c r="JP115" s="4" t="str">
        <f t="shared" si="464"/>
        <v/>
      </c>
      <c r="JQ115" s="117" t="str">
        <f t="shared" si="465"/>
        <v/>
      </c>
      <c r="JR115" s="110" t="str">
        <f t="shared" si="466"/>
        <v/>
      </c>
      <c r="JS115" s="110" t="str">
        <f t="shared" si="467"/>
        <v/>
      </c>
      <c r="JT115" s="110" t="str">
        <f t="shared" si="468"/>
        <v/>
      </c>
      <c r="JU115" s="110" t="str">
        <f t="shared" si="469"/>
        <v/>
      </c>
      <c r="JV115" s="110" t="str">
        <f t="shared" si="470"/>
        <v/>
      </c>
      <c r="JW115" s="110" t="str">
        <f t="shared" si="471"/>
        <v/>
      </c>
      <c r="JX115" s="110" t="str">
        <f t="shared" si="472"/>
        <v/>
      </c>
      <c r="JY115" s="110" t="str">
        <f t="shared" si="473"/>
        <v/>
      </c>
      <c r="JZ115" s="110" t="str">
        <f t="shared" si="474"/>
        <v/>
      </c>
      <c r="KA115" s="110" t="str">
        <f t="shared" si="475"/>
        <v/>
      </c>
      <c r="KB115" s="110" t="str">
        <f t="shared" si="476"/>
        <v/>
      </c>
      <c r="KC115" s="110" t="str">
        <f t="shared" si="477"/>
        <v/>
      </c>
      <c r="KD115" s="110" t="str">
        <f t="shared" si="478"/>
        <v/>
      </c>
      <c r="KE115" s="110" t="str">
        <f t="shared" si="479"/>
        <v/>
      </c>
      <c r="KF115" s="110" t="str">
        <f t="shared" si="480"/>
        <v/>
      </c>
      <c r="KG115" s="121" t="str">
        <f t="shared" si="481"/>
        <v/>
      </c>
      <c r="KH115" s="83" t="str">
        <f t="shared" si="482"/>
        <v/>
      </c>
      <c r="KI115" s="4" t="str">
        <f t="shared" si="483"/>
        <v/>
      </c>
      <c r="KJ115" s="4" t="str">
        <f t="shared" si="484"/>
        <v/>
      </c>
      <c r="KK115" s="4" t="str">
        <f t="shared" si="485"/>
        <v/>
      </c>
      <c r="KL115" s="4" t="str">
        <f t="shared" si="486"/>
        <v/>
      </c>
      <c r="KM115" s="4" t="str">
        <f t="shared" si="487"/>
        <v/>
      </c>
      <c r="KN115" s="4" t="str">
        <f t="shared" si="488"/>
        <v/>
      </c>
      <c r="KO115" s="4" t="str">
        <f t="shared" si="489"/>
        <v/>
      </c>
      <c r="KP115" s="4" t="str">
        <f t="shared" si="490"/>
        <v/>
      </c>
      <c r="KQ115" s="4" t="str">
        <f t="shared" si="491"/>
        <v/>
      </c>
      <c r="KR115" s="4" t="str">
        <f t="shared" si="492"/>
        <v/>
      </c>
      <c r="KS115" s="4" t="str">
        <f t="shared" si="493"/>
        <v/>
      </c>
      <c r="KT115" s="4" t="str">
        <f t="shared" si="494"/>
        <v/>
      </c>
      <c r="KU115" s="4" t="str">
        <f t="shared" si="495"/>
        <v/>
      </c>
      <c r="KV115" s="4" t="str">
        <f t="shared" si="496"/>
        <v/>
      </c>
      <c r="KW115" s="4" t="str">
        <f t="shared" si="497"/>
        <v/>
      </c>
      <c r="KX115" s="4" t="str">
        <f t="shared" si="498"/>
        <v/>
      </c>
      <c r="KY115" s="4" t="str">
        <f t="shared" si="499"/>
        <v/>
      </c>
      <c r="KZ115" s="4" t="str">
        <f t="shared" si="500"/>
        <v/>
      </c>
      <c r="LA115" s="4" t="str">
        <f t="shared" si="501"/>
        <v/>
      </c>
      <c r="LB115" s="4" t="str">
        <f t="shared" si="502"/>
        <v/>
      </c>
      <c r="LC115" s="4" t="str">
        <f t="shared" si="503"/>
        <v/>
      </c>
      <c r="LD115" s="4" t="str">
        <f t="shared" si="504"/>
        <v/>
      </c>
      <c r="LE115" s="4" t="str">
        <f t="shared" si="505"/>
        <v/>
      </c>
      <c r="LF115" s="4" t="str">
        <f t="shared" si="506"/>
        <v/>
      </c>
      <c r="LG115" s="4" t="str">
        <f t="shared" si="507"/>
        <v/>
      </c>
      <c r="LH115" s="4" t="str">
        <f t="shared" si="508"/>
        <v/>
      </c>
      <c r="LI115" s="4" t="str">
        <f t="shared" si="509"/>
        <v/>
      </c>
      <c r="LJ115" s="4" t="str">
        <f t="shared" si="510"/>
        <v/>
      </c>
      <c r="LK115" s="4" t="str">
        <f t="shared" si="511"/>
        <v/>
      </c>
      <c r="LL115" s="4" t="str">
        <f t="shared" si="512"/>
        <v/>
      </c>
      <c r="LM115" s="4" t="str">
        <f t="shared" si="513"/>
        <v/>
      </c>
      <c r="LN115" s="4" t="str">
        <f t="shared" si="514"/>
        <v/>
      </c>
      <c r="LO115" s="4" t="str">
        <f t="shared" si="515"/>
        <v/>
      </c>
      <c r="LP115" s="4" t="str">
        <f t="shared" si="516"/>
        <v/>
      </c>
      <c r="LQ115" s="4" t="str">
        <f t="shared" si="517"/>
        <v/>
      </c>
      <c r="LR115" s="4" t="str">
        <f t="shared" si="518"/>
        <v/>
      </c>
      <c r="LS115" s="4" t="str">
        <f t="shared" si="519"/>
        <v/>
      </c>
      <c r="LT115" s="4" t="str">
        <f t="shared" si="520"/>
        <v/>
      </c>
      <c r="LU115" s="4" t="str">
        <f t="shared" si="521"/>
        <v/>
      </c>
      <c r="LV115" s="4" t="str">
        <f t="shared" si="522"/>
        <v/>
      </c>
      <c r="LW115" s="4" t="str">
        <f t="shared" si="523"/>
        <v/>
      </c>
      <c r="LX115" s="4" t="str">
        <f t="shared" si="524"/>
        <v/>
      </c>
      <c r="LY115" s="4" t="str">
        <f t="shared" si="525"/>
        <v/>
      </c>
      <c r="LZ115" s="4" t="str">
        <f t="shared" si="526"/>
        <v/>
      </c>
      <c r="MA115" s="4" t="str">
        <f t="shared" si="527"/>
        <v/>
      </c>
      <c r="MB115" s="4" t="str">
        <f t="shared" si="528"/>
        <v/>
      </c>
      <c r="MC115" s="4" t="str">
        <f t="shared" si="529"/>
        <v/>
      </c>
      <c r="MD115" s="4" t="str">
        <f t="shared" si="530"/>
        <v/>
      </c>
      <c r="ME115" s="4" t="str">
        <f t="shared" si="531"/>
        <v/>
      </c>
      <c r="MF115" s="4" t="str">
        <f t="shared" si="532"/>
        <v/>
      </c>
      <c r="MG115" s="4">
        <f t="shared" si="533"/>
        <v>0</v>
      </c>
    </row>
    <row r="116" spans="1:345" ht="26.25" customHeight="1" x14ac:dyDescent="0.2">
      <c r="A116" s="35">
        <v>41346</v>
      </c>
      <c r="B116" s="36" t="s">
        <v>123</v>
      </c>
      <c r="C116" s="36" t="s">
        <v>124</v>
      </c>
      <c r="D116" s="31" t="s">
        <v>110</v>
      </c>
      <c r="E116" s="4">
        <v>57</v>
      </c>
      <c r="F116" s="3">
        <v>20262</v>
      </c>
      <c r="G116" s="4" t="s">
        <v>87</v>
      </c>
      <c r="H116" s="4" t="s">
        <v>108</v>
      </c>
      <c r="I116" s="4">
        <v>1836436</v>
      </c>
      <c r="J116" s="4" t="s">
        <v>309</v>
      </c>
      <c r="R116" s="4">
        <v>-0.5</v>
      </c>
      <c r="S116" s="4">
        <v>-0.43</v>
      </c>
      <c r="T116" s="51" t="s">
        <v>306</v>
      </c>
      <c r="U116" s="67">
        <v>28</v>
      </c>
      <c r="V116" s="124">
        <v>41344</v>
      </c>
      <c r="W116" s="67">
        <v>3</v>
      </c>
      <c r="X116" s="67">
        <v>0.75</v>
      </c>
      <c r="Y116" s="4">
        <v>122</v>
      </c>
      <c r="Z116" s="4">
        <v>30</v>
      </c>
      <c r="AA116" s="4">
        <v>12</v>
      </c>
      <c r="AB116" s="4">
        <v>656</v>
      </c>
      <c r="AC116" s="4">
        <v>23.02</v>
      </c>
      <c r="AD116" s="4">
        <v>12.3</v>
      </c>
      <c r="AE116" s="4">
        <v>4.8499999999999996</v>
      </c>
      <c r="AF116" s="4">
        <v>2.4</v>
      </c>
      <c r="AG116" s="4">
        <v>41.36</v>
      </c>
      <c r="AH116" s="4">
        <v>1</v>
      </c>
      <c r="AI116" s="4">
        <v>43.44</v>
      </c>
      <c r="AJ116" s="4">
        <v>91</v>
      </c>
      <c r="AK116" s="4">
        <v>0</v>
      </c>
      <c r="AL116" s="4" t="b">
        <f t="shared" si="406"/>
        <v>0</v>
      </c>
      <c r="AN116" s="4" t="s">
        <v>78</v>
      </c>
      <c r="BC116" s="4" t="str">
        <f t="shared" si="404"/>
        <v/>
      </c>
      <c r="BD116" s="4" t="str">
        <f t="shared" si="405"/>
        <v/>
      </c>
      <c r="BE116" s="4" t="str">
        <f t="shared" si="407"/>
        <v/>
      </c>
      <c r="BF116" s="51" t="s">
        <v>501</v>
      </c>
      <c r="BU116" s="4" t="str">
        <f t="shared" si="534"/>
        <v/>
      </c>
      <c r="BV116" s="4" t="str">
        <f t="shared" si="408"/>
        <v/>
      </c>
      <c r="BW116" s="4" t="str">
        <f t="shared" si="409"/>
        <v/>
      </c>
      <c r="BX116" s="4">
        <f t="shared" si="403"/>
        <v>0</v>
      </c>
      <c r="BY116" s="4">
        <f t="shared" si="410"/>
        <v>0</v>
      </c>
      <c r="BZ116" s="4" t="str">
        <f t="shared" si="411"/>
        <v/>
      </c>
      <c r="CA116" s="4" t="str">
        <f t="shared" si="412"/>
        <v/>
      </c>
      <c r="CB116" s="4" t="str">
        <f t="shared" si="413"/>
        <v/>
      </c>
      <c r="CC116" s="53">
        <f t="shared" si="414"/>
        <v>0</v>
      </c>
      <c r="CD116" s="55" t="str">
        <f t="shared" si="415"/>
        <v/>
      </c>
      <c r="CE116" s="4" t="str">
        <f t="shared" si="416"/>
        <v/>
      </c>
      <c r="CF116" s="4" t="str">
        <f t="shared" si="417"/>
        <v/>
      </c>
      <c r="CG116" s="4" t="str">
        <f t="shared" si="418"/>
        <v/>
      </c>
      <c r="CH116" s="4" t="str">
        <f t="shared" si="419"/>
        <v/>
      </c>
      <c r="CI116" s="4" t="str">
        <f t="shared" si="420"/>
        <v/>
      </c>
      <c r="CJ116" s="4" t="str">
        <f t="shared" si="421"/>
        <v/>
      </c>
      <c r="CK116" s="93" t="str">
        <f t="shared" si="422"/>
        <v/>
      </c>
      <c r="CL116" s="83" t="str">
        <f t="shared" si="423"/>
        <v/>
      </c>
      <c r="CM116" s="4" t="str">
        <f t="shared" si="424"/>
        <v/>
      </c>
      <c r="CN116" s="96" t="str">
        <f t="shared" si="425"/>
        <v/>
      </c>
      <c r="CO116" s="96" t="str">
        <f t="shared" si="398"/>
        <v/>
      </c>
      <c r="CP116" s="127" t="str">
        <f t="shared" si="426"/>
        <v/>
      </c>
      <c r="CQ116" s="127" t="str">
        <f t="shared" si="427"/>
        <v/>
      </c>
      <c r="CR116" s="136" t="str">
        <f t="shared" si="428"/>
        <v/>
      </c>
      <c r="CS116" s="136" t="str">
        <f t="shared" si="429"/>
        <v/>
      </c>
      <c r="CT116" s="135" t="str">
        <f t="shared" si="430"/>
        <v/>
      </c>
      <c r="CU116" s="139" t="str">
        <f t="shared" si="431"/>
        <v/>
      </c>
      <c r="CV116" s="96" t="str">
        <f t="shared" si="432"/>
        <v/>
      </c>
      <c r="CW116" s="141" t="str">
        <f t="shared" si="433"/>
        <v/>
      </c>
      <c r="IL116" s="83" t="str">
        <f t="shared" si="434"/>
        <v/>
      </c>
      <c r="IM116" s="4" t="str">
        <f t="shared" si="435"/>
        <v/>
      </c>
      <c r="IN116" s="4" t="str">
        <f t="shared" si="436"/>
        <v/>
      </c>
      <c r="IO116" s="4" t="str">
        <f t="shared" si="437"/>
        <v/>
      </c>
      <c r="IP116" s="4" t="str">
        <f t="shared" si="438"/>
        <v/>
      </c>
      <c r="IQ116" s="4" t="str">
        <f t="shared" si="439"/>
        <v/>
      </c>
      <c r="IR116" s="4" t="str">
        <f t="shared" si="440"/>
        <v/>
      </c>
      <c r="IS116" s="4" t="str">
        <f t="shared" si="441"/>
        <v/>
      </c>
      <c r="IT116" s="4" t="str">
        <f t="shared" si="442"/>
        <v/>
      </c>
      <c r="IU116" s="4" t="str">
        <f t="shared" si="443"/>
        <v/>
      </c>
      <c r="IV116" s="4" t="str">
        <f t="shared" si="444"/>
        <v/>
      </c>
      <c r="IW116" s="4" t="str">
        <f t="shared" si="445"/>
        <v/>
      </c>
      <c r="IX116" s="4" t="str">
        <f t="shared" si="446"/>
        <v/>
      </c>
      <c r="IY116" s="4" t="str">
        <f t="shared" si="447"/>
        <v/>
      </c>
      <c r="IZ116" s="4" t="str">
        <f t="shared" si="448"/>
        <v/>
      </c>
      <c r="JA116" s="4" t="str">
        <f t="shared" si="449"/>
        <v/>
      </c>
      <c r="JB116" s="4" t="str">
        <f t="shared" si="450"/>
        <v/>
      </c>
      <c r="JC116" s="4" t="str">
        <f t="shared" si="451"/>
        <v/>
      </c>
      <c r="JD116" s="4" t="str">
        <f t="shared" si="452"/>
        <v/>
      </c>
      <c r="JE116" s="4" t="str">
        <f t="shared" si="453"/>
        <v/>
      </c>
      <c r="JF116" s="4" t="str">
        <f t="shared" si="454"/>
        <v/>
      </c>
      <c r="JG116" s="4" t="str">
        <f t="shared" si="455"/>
        <v/>
      </c>
      <c r="JH116" s="4" t="str">
        <f t="shared" si="456"/>
        <v/>
      </c>
      <c r="JI116" s="4" t="str">
        <f t="shared" si="457"/>
        <v/>
      </c>
      <c r="JJ116" s="4" t="str">
        <f t="shared" si="458"/>
        <v/>
      </c>
      <c r="JK116" s="4" t="str">
        <f t="shared" si="459"/>
        <v/>
      </c>
      <c r="JL116" s="4" t="str">
        <f t="shared" si="460"/>
        <v/>
      </c>
      <c r="JM116" s="4" t="str">
        <f t="shared" si="461"/>
        <v/>
      </c>
      <c r="JN116" s="4" t="str">
        <f t="shared" si="462"/>
        <v/>
      </c>
      <c r="JO116" s="4" t="str">
        <f t="shared" si="463"/>
        <v/>
      </c>
      <c r="JP116" s="4" t="str">
        <f t="shared" si="464"/>
        <v/>
      </c>
      <c r="JQ116" s="117" t="str">
        <f t="shared" si="465"/>
        <v/>
      </c>
      <c r="JR116" s="110" t="str">
        <f t="shared" si="466"/>
        <v/>
      </c>
      <c r="JS116" s="110" t="str">
        <f t="shared" si="467"/>
        <v/>
      </c>
      <c r="JT116" s="110" t="str">
        <f t="shared" si="468"/>
        <v/>
      </c>
      <c r="JU116" s="110" t="str">
        <f t="shared" si="469"/>
        <v/>
      </c>
      <c r="JV116" s="110" t="str">
        <f t="shared" si="470"/>
        <v/>
      </c>
      <c r="JW116" s="110" t="str">
        <f t="shared" si="471"/>
        <v/>
      </c>
      <c r="JX116" s="110" t="str">
        <f t="shared" si="472"/>
        <v/>
      </c>
      <c r="JY116" s="110" t="str">
        <f t="shared" si="473"/>
        <v/>
      </c>
      <c r="JZ116" s="110" t="str">
        <f t="shared" si="474"/>
        <v/>
      </c>
      <c r="KA116" s="110" t="str">
        <f t="shared" si="475"/>
        <v/>
      </c>
      <c r="KB116" s="110" t="str">
        <f t="shared" si="476"/>
        <v/>
      </c>
      <c r="KC116" s="110" t="str">
        <f t="shared" si="477"/>
        <v/>
      </c>
      <c r="KD116" s="110" t="str">
        <f t="shared" si="478"/>
        <v/>
      </c>
      <c r="KE116" s="110" t="str">
        <f t="shared" si="479"/>
        <v/>
      </c>
      <c r="KF116" s="110" t="str">
        <f t="shared" si="480"/>
        <v/>
      </c>
      <c r="KG116" s="121" t="str">
        <f t="shared" si="481"/>
        <v/>
      </c>
      <c r="KH116" s="83" t="str">
        <f t="shared" si="482"/>
        <v/>
      </c>
      <c r="KI116" s="4" t="str">
        <f t="shared" si="483"/>
        <v/>
      </c>
      <c r="KJ116" s="4" t="str">
        <f t="shared" si="484"/>
        <v/>
      </c>
      <c r="KK116" s="4" t="str">
        <f t="shared" si="485"/>
        <v/>
      </c>
      <c r="KL116" s="4" t="str">
        <f t="shared" si="486"/>
        <v/>
      </c>
      <c r="KM116" s="4" t="str">
        <f t="shared" si="487"/>
        <v/>
      </c>
      <c r="KN116" s="4" t="str">
        <f t="shared" si="488"/>
        <v/>
      </c>
      <c r="KO116" s="4" t="str">
        <f t="shared" si="489"/>
        <v/>
      </c>
      <c r="KP116" s="4" t="str">
        <f t="shared" si="490"/>
        <v/>
      </c>
      <c r="KQ116" s="4" t="str">
        <f t="shared" si="491"/>
        <v/>
      </c>
      <c r="KR116" s="4" t="str">
        <f t="shared" si="492"/>
        <v/>
      </c>
      <c r="KS116" s="4" t="str">
        <f t="shared" si="493"/>
        <v/>
      </c>
      <c r="KT116" s="4" t="str">
        <f t="shared" si="494"/>
        <v/>
      </c>
      <c r="KU116" s="4" t="str">
        <f t="shared" si="495"/>
        <v/>
      </c>
      <c r="KV116" s="4" t="str">
        <f t="shared" si="496"/>
        <v/>
      </c>
      <c r="KW116" s="4" t="str">
        <f t="shared" si="497"/>
        <v/>
      </c>
      <c r="KX116" s="4" t="str">
        <f t="shared" si="498"/>
        <v/>
      </c>
      <c r="KY116" s="4" t="str">
        <f t="shared" si="499"/>
        <v/>
      </c>
      <c r="KZ116" s="4" t="str">
        <f t="shared" si="500"/>
        <v/>
      </c>
      <c r="LA116" s="4" t="str">
        <f t="shared" si="501"/>
        <v/>
      </c>
      <c r="LB116" s="4" t="str">
        <f t="shared" si="502"/>
        <v/>
      </c>
      <c r="LC116" s="4" t="str">
        <f t="shared" si="503"/>
        <v/>
      </c>
      <c r="LD116" s="4" t="str">
        <f t="shared" si="504"/>
        <v/>
      </c>
      <c r="LE116" s="4" t="str">
        <f t="shared" si="505"/>
        <v/>
      </c>
      <c r="LF116" s="4" t="str">
        <f t="shared" si="506"/>
        <v/>
      </c>
      <c r="LG116" s="4" t="str">
        <f t="shared" si="507"/>
        <v/>
      </c>
      <c r="LH116" s="4" t="str">
        <f t="shared" si="508"/>
        <v/>
      </c>
      <c r="LI116" s="4" t="str">
        <f t="shared" si="509"/>
        <v/>
      </c>
      <c r="LJ116" s="4" t="str">
        <f t="shared" si="510"/>
        <v/>
      </c>
      <c r="LK116" s="4" t="str">
        <f t="shared" si="511"/>
        <v/>
      </c>
      <c r="LL116" s="4" t="str">
        <f t="shared" si="512"/>
        <v/>
      </c>
      <c r="LM116" s="4" t="str">
        <f t="shared" si="513"/>
        <v/>
      </c>
      <c r="LN116" s="4" t="str">
        <f t="shared" si="514"/>
        <v/>
      </c>
      <c r="LO116" s="4" t="str">
        <f t="shared" si="515"/>
        <v/>
      </c>
      <c r="LP116" s="4" t="str">
        <f t="shared" si="516"/>
        <v/>
      </c>
      <c r="LQ116" s="4" t="str">
        <f t="shared" si="517"/>
        <v/>
      </c>
      <c r="LR116" s="4" t="str">
        <f t="shared" si="518"/>
        <v/>
      </c>
      <c r="LS116" s="4" t="str">
        <f t="shared" si="519"/>
        <v/>
      </c>
      <c r="LT116" s="4" t="str">
        <f t="shared" si="520"/>
        <v/>
      </c>
      <c r="LU116" s="4" t="str">
        <f t="shared" si="521"/>
        <v/>
      </c>
      <c r="LV116" s="4" t="str">
        <f t="shared" si="522"/>
        <v/>
      </c>
      <c r="LW116" s="4" t="str">
        <f t="shared" si="523"/>
        <v/>
      </c>
      <c r="LX116" s="4" t="str">
        <f t="shared" si="524"/>
        <v/>
      </c>
      <c r="LY116" s="4" t="str">
        <f t="shared" si="525"/>
        <v/>
      </c>
      <c r="LZ116" s="4" t="str">
        <f t="shared" si="526"/>
        <v/>
      </c>
      <c r="MA116" s="4" t="str">
        <f t="shared" si="527"/>
        <v/>
      </c>
      <c r="MB116" s="4" t="str">
        <f t="shared" si="528"/>
        <v/>
      </c>
      <c r="MC116" s="4" t="str">
        <f t="shared" si="529"/>
        <v/>
      </c>
      <c r="MD116" s="4" t="str">
        <f t="shared" si="530"/>
        <v/>
      </c>
      <c r="ME116" s="4" t="str">
        <f t="shared" si="531"/>
        <v/>
      </c>
      <c r="MF116" s="4" t="str">
        <f t="shared" si="532"/>
        <v/>
      </c>
      <c r="MG116" s="4">
        <f t="shared" si="533"/>
        <v>0</v>
      </c>
    </row>
    <row r="117" spans="1:345" ht="26.25" customHeight="1" x14ac:dyDescent="0.2">
      <c r="A117" s="35">
        <v>41374</v>
      </c>
      <c r="B117" s="36" t="s">
        <v>136</v>
      </c>
      <c r="C117" s="36" t="s">
        <v>67</v>
      </c>
      <c r="D117" s="31" t="s">
        <v>111</v>
      </c>
      <c r="E117" s="4">
        <v>81</v>
      </c>
      <c r="F117" s="3">
        <v>11705</v>
      </c>
      <c r="G117" s="4" t="s">
        <v>87</v>
      </c>
      <c r="H117" s="4" t="s">
        <v>108</v>
      </c>
      <c r="I117" s="4">
        <v>1836477</v>
      </c>
      <c r="R117" s="33">
        <v>-0.5</v>
      </c>
      <c r="S117" s="33">
        <v>-0.57999999999999996</v>
      </c>
      <c r="T117" s="39" t="s">
        <v>249</v>
      </c>
      <c r="U117" s="67">
        <v>20.25</v>
      </c>
      <c r="V117" s="124">
        <v>41365</v>
      </c>
      <c r="W117" s="67">
        <v>0</v>
      </c>
      <c r="X117" s="67">
        <v>1</v>
      </c>
      <c r="Y117" s="4">
        <v>68</v>
      </c>
      <c r="Z117" s="4">
        <v>50</v>
      </c>
      <c r="AA117" s="4">
        <v>16</v>
      </c>
      <c r="AB117" s="4">
        <v>568</v>
      </c>
      <c r="AC117" s="4">
        <v>23.61</v>
      </c>
      <c r="AD117" s="4">
        <v>12.2</v>
      </c>
      <c r="AE117" s="4">
        <v>5.44</v>
      </c>
      <c r="AF117" s="4">
        <v>3.36</v>
      </c>
      <c r="AG117" s="4">
        <v>44.23</v>
      </c>
      <c r="AH117" s="4">
        <v>164</v>
      </c>
      <c r="AI117" s="4">
        <v>44.94</v>
      </c>
      <c r="AJ117" s="4">
        <v>74</v>
      </c>
      <c r="AK117" s="4">
        <v>0</v>
      </c>
      <c r="AL117" s="4" t="b">
        <f t="shared" si="406"/>
        <v>0</v>
      </c>
      <c r="AN117" s="51" t="s">
        <v>78</v>
      </c>
      <c r="AO117" s="60"/>
      <c r="BC117" s="4" t="str">
        <f t="shared" si="404"/>
        <v/>
      </c>
      <c r="BD117" s="4" t="str">
        <f t="shared" si="405"/>
        <v/>
      </c>
      <c r="BE117" s="4" t="str">
        <f t="shared" si="407"/>
        <v/>
      </c>
      <c r="BF117" s="51" t="s">
        <v>501</v>
      </c>
      <c r="BU117" s="4" t="str">
        <f t="shared" si="534"/>
        <v/>
      </c>
      <c r="BV117" s="4" t="str">
        <f t="shared" si="408"/>
        <v/>
      </c>
      <c r="BW117" s="4" t="str">
        <f t="shared" si="409"/>
        <v/>
      </c>
      <c r="BX117" s="4">
        <f t="shared" si="403"/>
        <v>0</v>
      </c>
      <c r="BY117" s="4">
        <f t="shared" si="410"/>
        <v>0</v>
      </c>
      <c r="BZ117" s="4" t="str">
        <f t="shared" si="411"/>
        <v/>
      </c>
      <c r="CA117" s="4" t="str">
        <f t="shared" si="412"/>
        <v/>
      </c>
      <c r="CB117" s="4" t="str">
        <f t="shared" si="413"/>
        <v/>
      </c>
      <c r="CC117" s="53">
        <f t="shared" si="414"/>
        <v>0</v>
      </c>
      <c r="CD117" s="55" t="str">
        <f t="shared" si="415"/>
        <v/>
      </c>
      <c r="CE117" s="4" t="str">
        <f t="shared" si="416"/>
        <v/>
      </c>
      <c r="CF117" s="4" t="str">
        <f t="shared" si="417"/>
        <v/>
      </c>
      <c r="CG117" s="4" t="str">
        <f t="shared" si="418"/>
        <v/>
      </c>
      <c r="CH117" s="4" t="str">
        <f t="shared" si="419"/>
        <v/>
      </c>
      <c r="CI117" s="4" t="str">
        <f t="shared" si="420"/>
        <v/>
      </c>
      <c r="CJ117" s="4" t="str">
        <f t="shared" si="421"/>
        <v/>
      </c>
      <c r="CK117" s="93" t="str">
        <f t="shared" si="422"/>
        <v/>
      </c>
      <c r="CL117" s="83" t="str">
        <f t="shared" si="423"/>
        <v/>
      </c>
      <c r="CM117" s="4" t="str">
        <f t="shared" si="424"/>
        <v/>
      </c>
      <c r="CN117" s="96" t="str">
        <f t="shared" si="425"/>
        <v/>
      </c>
      <c r="CO117" s="96" t="str">
        <f t="shared" si="398"/>
        <v/>
      </c>
      <c r="CP117" s="127" t="str">
        <f t="shared" si="426"/>
        <v/>
      </c>
      <c r="CQ117" s="127" t="str">
        <f t="shared" si="427"/>
        <v/>
      </c>
      <c r="CR117" s="136" t="str">
        <f t="shared" si="428"/>
        <v/>
      </c>
      <c r="CS117" s="136" t="str">
        <f t="shared" si="429"/>
        <v/>
      </c>
      <c r="CT117" s="135" t="str">
        <f t="shared" si="430"/>
        <v/>
      </c>
      <c r="CU117" s="139" t="str">
        <f t="shared" si="431"/>
        <v/>
      </c>
      <c r="CV117" s="96" t="str">
        <f t="shared" si="432"/>
        <v/>
      </c>
      <c r="CW117" s="141" t="str">
        <f t="shared" si="433"/>
        <v/>
      </c>
      <c r="CX117">
        <v>7.69</v>
      </c>
      <c r="CY117" s="4">
        <v>7.55</v>
      </c>
      <c r="CZ117" s="4">
        <v>160.19999999999999</v>
      </c>
      <c r="DA117" s="4">
        <v>-0.8</v>
      </c>
      <c r="DB117" s="4">
        <v>0.24</v>
      </c>
      <c r="DC117" s="4">
        <v>0.36</v>
      </c>
      <c r="DD117" s="4">
        <v>2.64</v>
      </c>
      <c r="DE117" s="4">
        <v>3.21</v>
      </c>
      <c r="DF117" s="4">
        <v>575</v>
      </c>
      <c r="DG117" s="4">
        <v>575</v>
      </c>
      <c r="DH117" s="4">
        <v>606</v>
      </c>
      <c r="DI117" s="4">
        <v>623</v>
      </c>
      <c r="DJ117" s="4">
        <v>628</v>
      </c>
      <c r="DK117" s="4">
        <v>614</v>
      </c>
      <c r="DL117" s="4">
        <v>570</v>
      </c>
      <c r="DM117" s="4">
        <v>7.0000000000000007E-2</v>
      </c>
      <c r="DN117" s="4">
        <v>0.93</v>
      </c>
      <c r="DO117" s="4">
        <v>7.62</v>
      </c>
      <c r="DP117" s="4">
        <v>7.62</v>
      </c>
      <c r="DQ117" s="4">
        <v>7.62</v>
      </c>
      <c r="DR117" s="4">
        <v>7.69</v>
      </c>
      <c r="DS117" s="4">
        <v>7.92</v>
      </c>
      <c r="DT117" s="4">
        <v>8.1300000000000008</v>
      </c>
      <c r="DU117" s="4">
        <v>0</v>
      </c>
      <c r="DV117" s="4">
        <v>0.9</v>
      </c>
      <c r="DW117" s="4">
        <v>6.71</v>
      </c>
      <c r="DX117" s="4">
        <v>6.67</v>
      </c>
      <c r="DY117" s="4">
        <v>6.67</v>
      </c>
      <c r="DZ117" s="4">
        <v>6.82</v>
      </c>
      <c r="EA117" s="4">
        <v>7.05</v>
      </c>
      <c r="EB117" s="4">
        <v>0</v>
      </c>
      <c r="EC117" s="4">
        <v>0</v>
      </c>
      <c r="ED117" s="89">
        <v>0.9</v>
      </c>
      <c r="EE117" s="110">
        <v>43.9</v>
      </c>
      <c r="EF117" s="110">
        <v>44.7</v>
      </c>
      <c r="EG117" s="110">
        <v>44.3</v>
      </c>
      <c r="EH117" s="110">
        <v>160.19999999999999</v>
      </c>
      <c r="EI117" s="110">
        <v>0.8</v>
      </c>
      <c r="EJ117" s="110">
        <v>-5.9</v>
      </c>
      <c r="EK117" s="110">
        <v>-5.9</v>
      </c>
      <c r="EL117" s="110">
        <v>-5.9</v>
      </c>
      <c r="EM117" s="110">
        <v>138.9</v>
      </c>
      <c r="EN117" s="110">
        <v>0</v>
      </c>
      <c r="EO117" s="110">
        <v>4.0999999999999996</v>
      </c>
      <c r="EP117" s="110">
        <v>11.8</v>
      </c>
      <c r="EQ117" s="110">
        <v>24.7</v>
      </c>
      <c r="ER117" s="110">
        <v>56.9</v>
      </c>
      <c r="ES117" s="114">
        <v>20</v>
      </c>
      <c r="IL117" s="83" t="str">
        <f t="shared" si="434"/>
        <v/>
      </c>
      <c r="IM117" s="4" t="str">
        <f t="shared" si="435"/>
        <v/>
      </c>
      <c r="IN117" s="4" t="str">
        <f t="shared" si="436"/>
        <v/>
      </c>
      <c r="IO117" s="4" t="str">
        <f t="shared" si="437"/>
        <v/>
      </c>
      <c r="IP117" s="4" t="str">
        <f t="shared" si="438"/>
        <v/>
      </c>
      <c r="IQ117" s="4" t="str">
        <f t="shared" si="439"/>
        <v/>
      </c>
      <c r="IR117" s="4" t="str">
        <f t="shared" si="440"/>
        <v/>
      </c>
      <c r="IS117" s="4" t="str">
        <f t="shared" si="441"/>
        <v/>
      </c>
      <c r="IT117" s="4" t="str">
        <f t="shared" si="442"/>
        <v/>
      </c>
      <c r="IU117" s="4" t="str">
        <f t="shared" si="443"/>
        <v/>
      </c>
      <c r="IV117" s="4" t="str">
        <f t="shared" si="444"/>
        <v/>
      </c>
      <c r="IW117" s="4" t="str">
        <f t="shared" si="445"/>
        <v/>
      </c>
      <c r="IX117" s="4" t="str">
        <f t="shared" si="446"/>
        <v/>
      </c>
      <c r="IY117" s="4" t="str">
        <f t="shared" si="447"/>
        <v/>
      </c>
      <c r="IZ117" s="4" t="str">
        <f t="shared" si="448"/>
        <v/>
      </c>
      <c r="JA117" s="4" t="str">
        <f t="shared" si="449"/>
        <v/>
      </c>
      <c r="JB117" s="4" t="str">
        <f t="shared" si="450"/>
        <v/>
      </c>
      <c r="JC117" s="4" t="str">
        <f t="shared" si="451"/>
        <v/>
      </c>
      <c r="JD117" s="4" t="str">
        <f t="shared" si="452"/>
        <v/>
      </c>
      <c r="JE117" s="4" t="str">
        <f t="shared" si="453"/>
        <v/>
      </c>
      <c r="JF117" s="4" t="str">
        <f t="shared" si="454"/>
        <v/>
      </c>
      <c r="JG117" s="4" t="str">
        <f t="shared" si="455"/>
        <v/>
      </c>
      <c r="JH117" s="4" t="str">
        <f t="shared" si="456"/>
        <v/>
      </c>
      <c r="JI117" s="4" t="str">
        <f t="shared" si="457"/>
        <v/>
      </c>
      <c r="JJ117" s="4" t="str">
        <f t="shared" si="458"/>
        <v/>
      </c>
      <c r="JK117" s="4" t="str">
        <f t="shared" si="459"/>
        <v/>
      </c>
      <c r="JL117" s="4" t="str">
        <f t="shared" si="460"/>
        <v/>
      </c>
      <c r="JM117" s="4" t="str">
        <f t="shared" si="461"/>
        <v/>
      </c>
      <c r="JN117" s="4" t="str">
        <f t="shared" si="462"/>
        <v/>
      </c>
      <c r="JO117" s="4" t="str">
        <f t="shared" si="463"/>
        <v/>
      </c>
      <c r="JP117" s="4" t="str">
        <f t="shared" si="464"/>
        <v/>
      </c>
      <c r="JQ117" s="117" t="str">
        <f t="shared" si="465"/>
        <v/>
      </c>
      <c r="JR117" s="110" t="str">
        <f t="shared" si="466"/>
        <v/>
      </c>
      <c r="JS117" s="110" t="str">
        <f t="shared" si="467"/>
        <v/>
      </c>
      <c r="JT117" s="110" t="str">
        <f t="shared" si="468"/>
        <v/>
      </c>
      <c r="JU117" s="110" t="str">
        <f t="shared" si="469"/>
        <v/>
      </c>
      <c r="JV117" s="110" t="str">
        <f t="shared" si="470"/>
        <v/>
      </c>
      <c r="JW117" s="110" t="str">
        <f t="shared" si="471"/>
        <v/>
      </c>
      <c r="JX117" s="110" t="str">
        <f t="shared" si="472"/>
        <v/>
      </c>
      <c r="JY117" s="110" t="str">
        <f t="shared" si="473"/>
        <v/>
      </c>
      <c r="JZ117" s="110" t="str">
        <f t="shared" si="474"/>
        <v/>
      </c>
      <c r="KA117" s="110" t="str">
        <f t="shared" si="475"/>
        <v/>
      </c>
      <c r="KB117" s="110" t="str">
        <f t="shared" si="476"/>
        <v/>
      </c>
      <c r="KC117" s="110" t="str">
        <f t="shared" si="477"/>
        <v/>
      </c>
      <c r="KD117" s="110" t="str">
        <f t="shared" si="478"/>
        <v/>
      </c>
      <c r="KE117" s="110" t="str">
        <f t="shared" si="479"/>
        <v/>
      </c>
      <c r="KF117" s="110" t="str">
        <f t="shared" si="480"/>
        <v/>
      </c>
      <c r="KG117" s="121" t="str">
        <f t="shared" si="481"/>
        <v/>
      </c>
      <c r="KH117" s="83" t="str">
        <f t="shared" si="482"/>
        <v/>
      </c>
      <c r="KI117" s="4" t="str">
        <f t="shared" si="483"/>
        <v/>
      </c>
      <c r="KJ117" s="4" t="str">
        <f t="shared" si="484"/>
        <v/>
      </c>
      <c r="KK117" s="4" t="str">
        <f t="shared" si="485"/>
        <v/>
      </c>
      <c r="KL117" s="4" t="str">
        <f t="shared" si="486"/>
        <v/>
      </c>
      <c r="KM117" s="4" t="str">
        <f t="shared" si="487"/>
        <v/>
      </c>
      <c r="KN117" s="4" t="str">
        <f t="shared" si="488"/>
        <v/>
      </c>
      <c r="KO117" s="4" t="str">
        <f t="shared" si="489"/>
        <v/>
      </c>
      <c r="KP117" s="4" t="str">
        <f t="shared" si="490"/>
        <v/>
      </c>
      <c r="KQ117" s="4" t="str">
        <f t="shared" si="491"/>
        <v/>
      </c>
      <c r="KR117" s="4" t="str">
        <f t="shared" si="492"/>
        <v/>
      </c>
      <c r="KS117" s="4" t="str">
        <f t="shared" si="493"/>
        <v/>
      </c>
      <c r="KT117" s="4" t="str">
        <f t="shared" si="494"/>
        <v/>
      </c>
      <c r="KU117" s="4" t="str">
        <f t="shared" si="495"/>
        <v/>
      </c>
      <c r="KV117" s="4" t="str">
        <f t="shared" si="496"/>
        <v/>
      </c>
      <c r="KW117" s="4" t="str">
        <f t="shared" si="497"/>
        <v/>
      </c>
      <c r="KX117" s="4" t="str">
        <f t="shared" si="498"/>
        <v/>
      </c>
      <c r="KY117" s="4" t="str">
        <f t="shared" si="499"/>
        <v/>
      </c>
      <c r="KZ117" s="4" t="str">
        <f t="shared" si="500"/>
        <v/>
      </c>
      <c r="LA117" s="4" t="str">
        <f t="shared" si="501"/>
        <v/>
      </c>
      <c r="LB117" s="4" t="str">
        <f t="shared" si="502"/>
        <v/>
      </c>
      <c r="LC117" s="4" t="str">
        <f t="shared" si="503"/>
        <v/>
      </c>
      <c r="LD117" s="4" t="str">
        <f t="shared" si="504"/>
        <v/>
      </c>
      <c r="LE117" s="4" t="str">
        <f t="shared" si="505"/>
        <v/>
      </c>
      <c r="LF117" s="4" t="str">
        <f t="shared" si="506"/>
        <v/>
      </c>
      <c r="LG117" s="4" t="str">
        <f t="shared" si="507"/>
        <v/>
      </c>
      <c r="LH117" s="4" t="str">
        <f t="shared" si="508"/>
        <v/>
      </c>
      <c r="LI117" s="4" t="str">
        <f t="shared" si="509"/>
        <v/>
      </c>
      <c r="LJ117" s="4" t="str">
        <f t="shared" si="510"/>
        <v/>
      </c>
      <c r="LK117" s="4" t="str">
        <f t="shared" si="511"/>
        <v/>
      </c>
      <c r="LL117" s="4" t="str">
        <f t="shared" si="512"/>
        <v/>
      </c>
      <c r="LM117" s="4" t="str">
        <f t="shared" si="513"/>
        <v/>
      </c>
      <c r="LN117" s="4" t="str">
        <f t="shared" si="514"/>
        <v/>
      </c>
      <c r="LO117" s="4" t="str">
        <f t="shared" si="515"/>
        <v/>
      </c>
      <c r="LP117" s="4" t="str">
        <f t="shared" si="516"/>
        <v/>
      </c>
      <c r="LQ117" s="4" t="str">
        <f t="shared" si="517"/>
        <v/>
      </c>
      <c r="LR117" s="4" t="str">
        <f t="shared" si="518"/>
        <v/>
      </c>
      <c r="LS117" s="4" t="str">
        <f t="shared" si="519"/>
        <v/>
      </c>
      <c r="LT117" s="4" t="str">
        <f t="shared" si="520"/>
        <v/>
      </c>
      <c r="LU117" s="4" t="str">
        <f t="shared" si="521"/>
        <v/>
      </c>
      <c r="LV117" s="4" t="str">
        <f t="shared" si="522"/>
        <v/>
      </c>
      <c r="LW117" s="4" t="str">
        <f t="shared" si="523"/>
        <v/>
      </c>
      <c r="LX117" s="4" t="str">
        <f t="shared" si="524"/>
        <v/>
      </c>
      <c r="LY117" s="4" t="str">
        <f t="shared" si="525"/>
        <v/>
      </c>
      <c r="LZ117" s="4" t="str">
        <f t="shared" si="526"/>
        <v/>
      </c>
      <c r="MA117" s="4" t="str">
        <f t="shared" si="527"/>
        <v/>
      </c>
      <c r="MB117" s="4" t="str">
        <f t="shared" si="528"/>
        <v/>
      </c>
      <c r="MC117" s="4" t="str">
        <f t="shared" si="529"/>
        <v/>
      </c>
      <c r="MD117" s="4" t="str">
        <f t="shared" si="530"/>
        <v/>
      </c>
      <c r="ME117" s="4" t="str">
        <f t="shared" si="531"/>
        <v/>
      </c>
      <c r="MF117" s="4" t="str">
        <f t="shared" si="532"/>
        <v/>
      </c>
      <c r="MG117" s="4">
        <f t="shared" si="533"/>
        <v>0</v>
      </c>
    </row>
    <row r="118" spans="1:345" ht="26.25" customHeight="1" x14ac:dyDescent="0.2">
      <c r="A118" s="35">
        <v>41367</v>
      </c>
      <c r="B118" s="36" t="s">
        <v>136</v>
      </c>
      <c r="C118" s="36" t="s">
        <v>88</v>
      </c>
      <c r="D118" s="31" t="s">
        <v>110</v>
      </c>
      <c r="E118" s="4">
        <v>81</v>
      </c>
      <c r="F118" s="3">
        <v>11705</v>
      </c>
      <c r="G118" s="4" t="s">
        <v>87</v>
      </c>
      <c r="H118" s="4" t="s">
        <v>108</v>
      </c>
      <c r="I118" s="4">
        <v>1836477</v>
      </c>
      <c r="R118" s="33">
        <v>-0.5</v>
      </c>
      <c r="S118" s="33">
        <v>-0.52</v>
      </c>
      <c r="T118" s="39" t="s">
        <v>249</v>
      </c>
      <c r="U118" s="67">
        <v>20.75</v>
      </c>
      <c r="V118" s="124">
        <v>41365</v>
      </c>
      <c r="W118" s="67">
        <v>0.75</v>
      </c>
      <c r="X118" s="67">
        <v>0.5</v>
      </c>
      <c r="Y118" s="4">
        <v>111</v>
      </c>
      <c r="Z118" s="4">
        <v>60</v>
      </c>
      <c r="AA118" s="4">
        <v>17</v>
      </c>
      <c r="AB118" s="4">
        <v>583</v>
      </c>
      <c r="AC118" s="4">
        <v>23.57</v>
      </c>
      <c r="AD118" s="4">
        <v>12.4</v>
      </c>
      <c r="AF118" s="4">
        <v>3.12</v>
      </c>
      <c r="AG118" s="4">
        <v>43.66</v>
      </c>
      <c r="AH118" s="4">
        <v>166</v>
      </c>
      <c r="AI118" s="4">
        <v>44.53</v>
      </c>
      <c r="AJ118" s="4">
        <v>76</v>
      </c>
      <c r="AK118" s="4">
        <v>1</v>
      </c>
      <c r="AL118" s="4" t="b">
        <f t="shared" si="406"/>
        <v>1</v>
      </c>
      <c r="AM118" s="54"/>
      <c r="AN118" s="51" t="s">
        <v>78</v>
      </c>
      <c r="BC118" s="4" t="str">
        <f t="shared" si="404"/>
        <v/>
      </c>
      <c r="BD118" s="4" t="str">
        <f t="shared" si="405"/>
        <v/>
      </c>
      <c r="BE118" s="4" t="str">
        <f t="shared" si="407"/>
        <v/>
      </c>
      <c r="BF118" s="51" t="s">
        <v>501</v>
      </c>
      <c r="BU118" s="4" t="str">
        <f t="shared" si="534"/>
        <v/>
      </c>
      <c r="BV118" s="4" t="str">
        <f t="shared" si="408"/>
        <v/>
      </c>
      <c r="BW118" s="4" t="str">
        <f t="shared" si="409"/>
        <v/>
      </c>
      <c r="BX118" s="4">
        <f t="shared" si="403"/>
        <v>0</v>
      </c>
      <c r="BY118" s="4">
        <f t="shared" si="410"/>
        <v>0</v>
      </c>
      <c r="BZ118" s="4" t="str">
        <f t="shared" si="411"/>
        <v/>
      </c>
      <c r="CA118" s="4" t="str">
        <f t="shared" si="412"/>
        <v/>
      </c>
      <c r="CB118" s="4" t="str">
        <f t="shared" si="413"/>
        <v/>
      </c>
      <c r="CC118" s="53">
        <f t="shared" si="414"/>
        <v>0</v>
      </c>
      <c r="CD118" s="55" t="str">
        <f t="shared" si="415"/>
        <v/>
      </c>
      <c r="CE118" s="4" t="str">
        <f t="shared" si="416"/>
        <v/>
      </c>
      <c r="CF118" s="4" t="str">
        <f t="shared" si="417"/>
        <v/>
      </c>
      <c r="CG118" s="4" t="str">
        <f t="shared" si="418"/>
        <v/>
      </c>
      <c r="CH118" s="4" t="str">
        <f t="shared" si="419"/>
        <v/>
      </c>
      <c r="CI118" s="4" t="str">
        <f t="shared" si="420"/>
        <v/>
      </c>
      <c r="CJ118" s="4" t="str">
        <f t="shared" si="421"/>
        <v/>
      </c>
      <c r="CK118" s="93" t="str">
        <f t="shared" si="422"/>
        <v/>
      </c>
      <c r="CL118" s="83" t="str">
        <f t="shared" si="423"/>
        <v/>
      </c>
      <c r="CM118" s="4" t="str">
        <f t="shared" si="424"/>
        <v/>
      </c>
      <c r="CN118" s="96" t="str">
        <f t="shared" si="425"/>
        <v/>
      </c>
      <c r="CO118" s="96" t="str">
        <f t="shared" si="398"/>
        <v/>
      </c>
      <c r="CP118" s="127" t="str">
        <f t="shared" si="426"/>
        <v/>
      </c>
      <c r="CQ118" s="127" t="str">
        <f t="shared" si="427"/>
        <v/>
      </c>
      <c r="CR118" s="136" t="str">
        <f t="shared" si="428"/>
        <v/>
      </c>
      <c r="CS118" s="136" t="str">
        <f t="shared" si="429"/>
        <v/>
      </c>
      <c r="CT118" s="135" t="str">
        <f t="shared" si="430"/>
        <v/>
      </c>
      <c r="CU118" s="139" t="str">
        <f t="shared" si="431"/>
        <v/>
      </c>
      <c r="CV118" s="96" t="str">
        <f t="shared" si="432"/>
        <v/>
      </c>
      <c r="CW118" s="141" t="str">
        <f t="shared" si="433"/>
        <v/>
      </c>
      <c r="CX118">
        <v>7.74</v>
      </c>
      <c r="CY118" s="4">
        <v>7.67</v>
      </c>
      <c r="CZ118" s="4">
        <v>8</v>
      </c>
      <c r="DA118" s="4">
        <v>-0.4</v>
      </c>
      <c r="DB118" s="4">
        <v>0.04</v>
      </c>
      <c r="DC118" s="4">
        <v>0.24</v>
      </c>
      <c r="DD118" s="4">
        <v>2.63</v>
      </c>
      <c r="DE118" s="4">
        <v>3.22</v>
      </c>
      <c r="DF118" s="4">
        <v>588</v>
      </c>
      <c r="DG118" s="4">
        <v>593</v>
      </c>
      <c r="DH118" s="4">
        <v>627</v>
      </c>
      <c r="DI118" s="4">
        <v>624</v>
      </c>
      <c r="DJ118" s="4">
        <v>633</v>
      </c>
      <c r="DK118" s="4">
        <v>620</v>
      </c>
      <c r="DL118" s="4">
        <v>574</v>
      </c>
      <c r="DM118" s="4">
        <v>0.84</v>
      </c>
      <c r="DN118" s="4">
        <v>1.1599999999999999</v>
      </c>
      <c r="DO118" s="4">
        <v>7.75</v>
      </c>
      <c r="DP118" s="4">
        <v>7.64</v>
      </c>
      <c r="DQ118" s="4">
        <v>7.61</v>
      </c>
      <c r="DR118" s="4">
        <v>7.66</v>
      </c>
      <c r="DS118" s="4">
        <v>7.85</v>
      </c>
      <c r="DT118" s="4">
        <v>7.87</v>
      </c>
      <c r="DU118" s="4">
        <v>0</v>
      </c>
      <c r="DV118" s="4">
        <v>1</v>
      </c>
      <c r="DW118" s="4">
        <v>6.83</v>
      </c>
      <c r="DX118" s="4">
        <v>6.79</v>
      </c>
      <c r="DY118" s="4">
        <v>6.64</v>
      </c>
      <c r="DZ118" s="4">
        <v>6.76</v>
      </c>
      <c r="EA118" s="4">
        <v>6.97</v>
      </c>
      <c r="EB118" s="4">
        <v>0</v>
      </c>
      <c r="EC118" s="4">
        <v>0</v>
      </c>
      <c r="ED118" s="89">
        <v>1</v>
      </c>
      <c r="EE118" s="110">
        <v>43.6</v>
      </c>
      <c r="EF118" s="110">
        <v>44</v>
      </c>
      <c r="EG118" s="110">
        <v>43.8</v>
      </c>
      <c r="EH118" s="110">
        <v>8</v>
      </c>
      <c r="EI118" s="110">
        <v>0.4</v>
      </c>
      <c r="EJ118" s="110">
        <v>-5.8</v>
      </c>
      <c r="EK118" s="110">
        <v>-5.9</v>
      </c>
      <c r="EL118" s="110">
        <v>-5.9</v>
      </c>
      <c r="EM118" s="110">
        <v>15.1</v>
      </c>
      <c r="EN118" s="110">
        <v>0.1</v>
      </c>
      <c r="EO118" s="110">
        <v>4.2</v>
      </c>
      <c r="EP118" s="110">
        <v>12.1</v>
      </c>
      <c r="EQ118" s="110">
        <v>25.1</v>
      </c>
      <c r="ER118" s="110">
        <v>58.1</v>
      </c>
      <c r="ES118" s="114">
        <v>19</v>
      </c>
      <c r="IL118" s="83" t="str">
        <f t="shared" si="434"/>
        <v/>
      </c>
      <c r="IM118" s="4" t="str">
        <f t="shared" si="435"/>
        <v/>
      </c>
      <c r="IN118" s="4" t="str">
        <f t="shared" si="436"/>
        <v/>
      </c>
      <c r="IO118" s="4" t="str">
        <f t="shared" si="437"/>
        <v/>
      </c>
      <c r="IP118" s="4" t="str">
        <f t="shared" si="438"/>
        <v/>
      </c>
      <c r="IQ118" s="4" t="str">
        <f t="shared" si="439"/>
        <v/>
      </c>
      <c r="IR118" s="4" t="str">
        <f t="shared" si="440"/>
        <v/>
      </c>
      <c r="IS118" s="4" t="str">
        <f t="shared" si="441"/>
        <v/>
      </c>
      <c r="IT118" s="4" t="str">
        <f t="shared" si="442"/>
        <v/>
      </c>
      <c r="IU118" s="4" t="str">
        <f t="shared" si="443"/>
        <v/>
      </c>
      <c r="IV118" s="4" t="str">
        <f t="shared" si="444"/>
        <v/>
      </c>
      <c r="IW118" s="4" t="str">
        <f t="shared" si="445"/>
        <v/>
      </c>
      <c r="IX118" s="4" t="str">
        <f t="shared" si="446"/>
        <v/>
      </c>
      <c r="IY118" s="4" t="str">
        <f t="shared" si="447"/>
        <v/>
      </c>
      <c r="IZ118" s="4" t="str">
        <f t="shared" si="448"/>
        <v/>
      </c>
      <c r="JA118" s="4" t="str">
        <f t="shared" si="449"/>
        <v/>
      </c>
      <c r="JB118" s="4" t="str">
        <f t="shared" si="450"/>
        <v/>
      </c>
      <c r="JC118" s="4" t="str">
        <f t="shared" si="451"/>
        <v/>
      </c>
      <c r="JD118" s="4" t="str">
        <f t="shared" si="452"/>
        <v/>
      </c>
      <c r="JE118" s="4" t="str">
        <f t="shared" si="453"/>
        <v/>
      </c>
      <c r="JF118" s="4" t="str">
        <f t="shared" si="454"/>
        <v/>
      </c>
      <c r="JG118" s="4" t="str">
        <f t="shared" si="455"/>
        <v/>
      </c>
      <c r="JH118" s="4" t="str">
        <f t="shared" si="456"/>
        <v/>
      </c>
      <c r="JI118" s="4" t="str">
        <f t="shared" si="457"/>
        <v/>
      </c>
      <c r="JJ118" s="4" t="str">
        <f t="shared" si="458"/>
        <v/>
      </c>
      <c r="JK118" s="4" t="str">
        <f t="shared" si="459"/>
        <v/>
      </c>
      <c r="JL118" s="4" t="str">
        <f t="shared" si="460"/>
        <v/>
      </c>
      <c r="JM118" s="4" t="str">
        <f t="shared" si="461"/>
        <v/>
      </c>
      <c r="JN118" s="4" t="str">
        <f t="shared" si="462"/>
        <v/>
      </c>
      <c r="JO118" s="4" t="str">
        <f t="shared" si="463"/>
        <v/>
      </c>
      <c r="JP118" s="4" t="str">
        <f t="shared" si="464"/>
        <v/>
      </c>
      <c r="JQ118" s="117" t="str">
        <f t="shared" si="465"/>
        <v/>
      </c>
      <c r="JR118" s="110" t="str">
        <f t="shared" si="466"/>
        <v/>
      </c>
      <c r="JS118" s="110" t="str">
        <f t="shared" si="467"/>
        <v/>
      </c>
      <c r="JT118" s="110" t="str">
        <f t="shared" si="468"/>
        <v/>
      </c>
      <c r="JU118" s="110" t="str">
        <f t="shared" si="469"/>
        <v/>
      </c>
      <c r="JV118" s="110" t="str">
        <f t="shared" si="470"/>
        <v/>
      </c>
      <c r="JW118" s="110" t="str">
        <f t="shared" si="471"/>
        <v/>
      </c>
      <c r="JX118" s="110" t="str">
        <f t="shared" si="472"/>
        <v/>
      </c>
      <c r="JY118" s="110" t="str">
        <f t="shared" si="473"/>
        <v/>
      </c>
      <c r="JZ118" s="110" t="str">
        <f t="shared" si="474"/>
        <v/>
      </c>
      <c r="KA118" s="110" t="str">
        <f t="shared" si="475"/>
        <v/>
      </c>
      <c r="KB118" s="110" t="str">
        <f t="shared" si="476"/>
        <v/>
      </c>
      <c r="KC118" s="110" t="str">
        <f t="shared" si="477"/>
        <v/>
      </c>
      <c r="KD118" s="110" t="str">
        <f t="shared" si="478"/>
        <v/>
      </c>
      <c r="KE118" s="110" t="str">
        <f t="shared" si="479"/>
        <v/>
      </c>
      <c r="KF118" s="110" t="str">
        <f t="shared" si="480"/>
        <v/>
      </c>
      <c r="KG118" s="121" t="str">
        <f t="shared" si="481"/>
        <v/>
      </c>
      <c r="KH118" s="83" t="str">
        <f t="shared" si="482"/>
        <v/>
      </c>
      <c r="KI118" s="4" t="str">
        <f t="shared" si="483"/>
        <v/>
      </c>
      <c r="KJ118" s="4" t="str">
        <f t="shared" si="484"/>
        <v/>
      </c>
      <c r="KK118" s="4" t="str">
        <f t="shared" si="485"/>
        <v/>
      </c>
      <c r="KL118" s="4" t="str">
        <f t="shared" si="486"/>
        <v/>
      </c>
      <c r="KM118" s="4" t="str">
        <f t="shared" si="487"/>
        <v/>
      </c>
      <c r="KN118" s="4" t="str">
        <f t="shared" si="488"/>
        <v/>
      </c>
      <c r="KO118" s="4" t="str">
        <f t="shared" si="489"/>
        <v/>
      </c>
      <c r="KP118" s="4" t="str">
        <f t="shared" si="490"/>
        <v/>
      </c>
      <c r="KQ118" s="4" t="str">
        <f t="shared" si="491"/>
        <v/>
      </c>
      <c r="KR118" s="4" t="str">
        <f t="shared" si="492"/>
        <v/>
      </c>
      <c r="KS118" s="4" t="str">
        <f t="shared" si="493"/>
        <v/>
      </c>
      <c r="KT118" s="4" t="str">
        <f t="shared" si="494"/>
        <v/>
      </c>
      <c r="KU118" s="4" t="str">
        <f t="shared" si="495"/>
        <v/>
      </c>
      <c r="KV118" s="4" t="str">
        <f t="shared" si="496"/>
        <v/>
      </c>
      <c r="KW118" s="4" t="str">
        <f t="shared" si="497"/>
        <v/>
      </c>
      <c r="KX118" s="4" t="str">
        <f t="shared" si="498"/>
        <v/>
      </c>
      <c r="KY118" s="4" t="str">
        <f t="shared" si="499"/>
        <v/>
      </c>
      <c r="KZ118" s="4" t="str">
        <f t="shared" si="500"/>
        <v/>
      </c>
      <c r="LA118" s="4" t="str">
        <f t="shared" si="501"/>
        <v/>
      </c>
      <c r="LB118" s="4" t="str">
        <f t="shared" si="502"/>
        <v/>
      </c>
      <c r="LC118" s="4" t="str">
        <f t="shared" si="503"/>
        <v/>
      </c>
      <c r="LD118" s="4" t="str">
        <f t="shared" si="504"/>
        <v/>
      </c>
      <c r="LE118" s="4" t="str">
        <f t="shared" si="505"/>
        <v/>
      </c>
      <c r="LF118" s="4" t="str">
        <f t="shared" si="506"/>
        <v/>
      </c>
      <c r="LG118" s="4" t="str">
        <f t="shared" si="507"/>
        <v/>
      </c>
      <c r="LH118" s="4" t="str">
        <f t="shared" si="508"/>
        <v/>
      </c>
      <c r="LI118" s="4" t="str">
        <f t="shared" si="509"/>
        <v/>
      </c>
      <c r="LJ118" s="4" t="str">
        <f t="shared" si="510"/>
        <v/>
      </c>
      <c r="LK118" s="4" t="str">
        <f t="shared" si="511"/>
        <v/>
      </c>
      <c r="LL118" s="4" t="str">
        <f t="shared" si="512"/>
        <v/>
      </c>
      <c r="LM118" s="4" t="str">
        <f t="shared" si="513"/>
        <v/>
      </c>
      <c r="LN118" s="4" t="str">
        <f t="shared" si="514"/>
        <v/>
      </c>
      <c r="LO118" s="4" t="str">
        <f t="shared" si="515"/>
        <v/>
      </c>
      <c r="LP118" s="4" t="str">
        <f t="shared" si="516"/>
        <v/>
      </c>
      <c r="LQ118" s="4" t="str">
        <f t="shared" si="517"/>
        <v/>
      </c>
      <c r="LR118" s="4" t="str">
        <f t="shared" si="518"/>
        <v/>
      </c>
      <c r="LS118" s="4" t="str">
        <f t="shared" si="519"/>
        <v/>
      </c>
      <c r="LT118" s="4" t="str">
        <f t="shared" si="520"/>
        <v/>
      </c>
      <c r="LU118" s="4" t="str">
        <f t="shared" si="521"/>
        <v/>
      </c>
      <c r="LV118" s="4" t="str">
        <f t="shared" si="522"/>
        <v/>
      </c>
      <c r="LW118" s="4" t="str">
        <f t="shared" si="523"/>
        <v/>
      </c>
      <c r="LX118" s="4" t="str">
        <f t="shared" si="524"/>
        <v/>
      </c>
      <c r="LY118" s="4" t="str">
        <f t="shared" si="525"/>
        <v/>
      </c>
      <c r="LZ118" s="4" t="str">
        <f t="shared" si="526"/>
        <v/>
      </c>
      <c r="MA118" s="4" t="str">
        <f t="shared" si="527"/>
        <v/>
      </c>
      <c r="MB118" s="4" t="str">
        <f t="shared" si="528"/>
        <v/>
      </c>
      <c r="MC118" s="4" t="str">
        <f t="shared" si="529"/>
        <v/>
      </c>
      <c r="MD118" s="4" t="str">
        <f t="shared" si="530"/>
        <v/>
      </c>
      <c r="ME118" s="4" t="str">
        <f t="shared" si="531"/>
        <v/>
      </c>
      <c r="MF118" s="4" t="str">
        <f t="shared" si="532"/>
        <v/>
      </c>
      <c r="MG118" s="4">
        <f t="shared" si="533"/>
        <v>0</v>
      </c>
    </row>
    <row r="119" spans="1:345" ht="26.25" customHeight="1" x14ac:dyDescent="0.2">
      <c r="A119" s="35">
        <v>41367</v>
      </c>
      <c r="B119" s="36" t="s">
        <v>134</v>
      </c>
      <c r="C119" s="36" t="s">
        <v>135</v>
      </c>
      <c r="D119" s="31" t="s">
        <v>111</v>
      </c>
      <c r="E119" s="4">
        <v>67</v>
      </c>
      <c r="F119" s="3">
        <v>16757</v>
      </c>
      <c r="G119" s="4" t="s">
        <v>87</v>
      </c>
      <c r="H119" s="4" t="s">
        <v>112</v>
      </c>
      <c r="I119" s="4">
        <v>1836540</v>
      </c>
      <c r="R119" s="33">
        <v>-2.08</v>
      </c>
      <c r="S119" s="33">
        <v>-1.5</v>
      </c>
      <c r="T119" s="39" t="s">
        <v>249</v>
      </c>
      <c r="U119" s="67">
        <v>26</v>
      </c>
      <c r="V119" s="124">
        <v>41365</v>
      </c>
      <c r="W119" s="67">
        <v>1</v>
      </c>
      <c r="X119" s="67">
        <v>0.75</v>
      </c>
      <c r="Y119" s="4">
        <v>175</v>
      </c>
      <c r="Z119" s="4">
        <v>80</v>
      </c>
      <c r="AA119" s="4">
        <v>10</v>
      </c>
      <c r="AB119" s="4">
        <v>554</v>
      </c>
      <c r="AC119" s="4">
        <v>21.87</v>
      </c>
      <c r="AD119" s="4">
        <v>11.4</v>
      </c>
      <c r="AE119" s="4">
        <v>4.3600000000000003</v>
      </c>
      <c r="AF119" s="4">
        <v>2.87</v>
      </c>
      <c r="AG119" s="4">
        <v>45.79</v>
      </c>
      <c r="AH119" s="4">
        <v>168</v>
      </c>
      <c r="AI119" s="4">
        <v>47.47</v>
      </c>
      <c r="AJ119" s="4">
        <v>78</v>
      </c>
      <c r="AK119" s="4">
        <v>1</v>
      </c>
      <c r="AL119" s="4" t="b">
        <f t="shared" si="406"/>
        <v>1</v>
      </c>
      <c r="AM119" s="54"/>
      <c r="AN119" s="37" t="s">
        <v>78</v>
      </c>
      <c r="AO119" s="61"/>
      <c r="BC119" s="4" t="str">
        <f t="shared" si="404"/>
        <v/>
      </c>
      <c r="BD119" s="4" t="str">
        <f t="shared" si="405"/>
        <v/>
      </c>
      <c r="BE119" s="4" t="str">
        <f t="shared" si="407"/>
        <v/>
      </c>
      <c r="BF119" s="51" t="s">
        <v>501</v>
      </c>
      <c r="BU119" s="4" t="str">
        <f t="shared" si="534"/>
        <v/>
      </c>
      <c r="BV119" s="4" t="str">
        <f t="shared" si="408"/>
        <v/>
      </c>
      <c r="BW119" s="4" t="str">
        <f t="shared" si="409"/>
        <v/>
      </c>
      <c r="BX119" s="4">
        <f t="shared" si="403"/>
        <v>0</v>
      </c>
      <c r="BY119" s="4">
        <f t="shared" si="410"/>
        <v>0</v>
      </c>
      <c r="BZ119" s="4" t="str">
        <f t="shared" si="411"/>
        <v/>
      </c>
      <c r="CA119" s="4" t="str">
        <f t="shared" si="412"/>
        <v/>
      </c>
      <c r="CB119" s="4" t="str">
        <f t="shared" si="413"/>
        <v/>
      </c>
      <c r="CC119" s="53">
        <f t="shared" si="414"/>
        <v>0</v>
      </c>
      <c r="CD119" s="55" t="str">
        <f t="shared" si="415"/>
        <v/>
      </c>
      <c r="CE119" s="4" t="str">
        <f t="shared" si="416"/>
        <v/>
      </c>
      <c r="CF119" s="4" t="str">
        <f t="shared" si="417"/>
        <v/>
      </c>
      <c r="CG119" s="4" t="str">
        <f t="shared" si="418"/>
        <v/>
      </c>
      <c r="CH119" s="4" t="str">
        <f t="shared" si="419"/>
        <v/>
      </c>
      <c r="CI119" s="4" t="str">
        <f t="shared" si="420"/>
        <v/>
      </c>
      <c r="CJ119" s="4" t="str">
        <f t="shared" si="421"/>
        <v/>
      </c>
      <c r="CK119" s="93" t="str">
        <f t="shared" si="422"/>
        <v/>
      </c>
      <c r="CL119" s="83" t="str">
        <f t="shared" si="423"/>
        <v/>
      </c>
      <c r="CM119" s="4" t="str">
        <f t="shared" si="424"/>
        <v/>
      </c>
      <c r="CN119" s="96" t="str">
        <f t="shared" si="425"/>
        <v/>
      </c>
      <c r="CO119" s="96" t="str">
        <f t="shared" si="398"/>
        <v/>
      </c>
      <c r="CP119" s="127" t="str">
        <f t="shared" si="426"/>
        <v/>
      </c>
      <c r="CQ119" s="127" t="str">
        <f t="shared" si="427"/>
        <v/>
      </c>
      <c r="CR119" s="136" t="str">
        <f t="shared" si="428"/>
        <v/>
      </c>
      <c r="CS119" s="136" t="str">
        <f t="shared" si="429"/>
        <v/>
      </c>
      <c r="CT119" s="135" t="str">
        <f t="shared" si="430"/>
        <v/>
      </c>
      <c r="CU119" s="139" t="str">
        <f t="shared" si="431"/>
        <v/>
      </c>
      <c r="CV119" s="96" t="str">
        <f t="shared" si="432"/>
        <v/>
      </c>
      <c r="CW119" s="141" t="str">
        <f t="shared" si="433"/>
        <v/>
      </c>
      <c r="CX119">
        <v>7.41</v>
      </c>
      <c r="CY119" s="4">
        <v>7.34</v>
      </c>
      <c r="CZ119" s="4">
        <v>146.30000000000001</v>
      </c>
      <c r="DA119" s="4">
        <v>-0.4</v>
      </c>
      <c r="DB119" s="4">
        <v>0.61</v>
      </c>
      <c r="DC119" s="4">
        <v>0.66</v>
      </c>
      <c r="DD119" s="4">
        <v>2.61</v>
      </c>
      <c r="DE119" s="4">
        <v>3.17</v>
      </c>
      <c r="DF119" s="4">
        <v>562</v>
      </c>
      <c r="DG119" s="4">
        <v>563</v>
      </c>
      <c r="DH119" s="4">
        <v>639</v>
      </c>
      <c r="DI119" s="4">
        <v>617</v>
      </c>
      <c r="DJ119" s="4">
        <v>605</v>
      </c>
      <c r="DK119" s="4">
        <v>612</v>
      </c>
      <c r="DL119" s="4">
        <v>560</v>
      </c>
      <c r="DM119" s="4">
        <v>0.25</v>
      </c>
      <c r="DN119" s="4">
        <v>0.5</v>
      </c>
      <c r="DO119" s="4">
        <v>7.34</v>
      </c>
      <c r="DP119" s="4">
        <v>7.41</v>
      </c>
      <c r="DQ119" s="4">
        <v>7.5</v>
      </c>
      <c r="DR119" s="4">
        <v>7.73</v>
      </c>
      <c r="DS119" s="4">
        <v>7.96</v>
      </c>
      <c r="DT119" s="4">
        <v>8.1300000000000008</v>
      </c>
      <c r="DU119" s="4">
        <v>0</v>
      </c>
      <c r="DV119" s="4">
        <v>0.9</v>
      </c>
      <c r="DW119" s="4">
        <v>6.38</v>
      </c>
      <c r="DX119" s="4">
        <v>6.28</v>
      </c>
      <c r="DY119" s="4">
        <v>6.33</v>
      </c>
      <c r="DZ119" s="4">
        <v>6.56</v>
      </c>
      <c r="EA119" s="4">
        <v>6.7</v>
      </c>
      <c r="EB119" s="4">
        <v>0</v>
      </c>
      <c r="EC119" s="4">
        <v>0</v>
      </c>
      <c r="ED119" s="89">
        <v>0.9</v>
      </c>
      <c r="EE119" s="110">
        <v>45.6</v>
      </c>
      <c r="EF119" s="110">
        <v>46</v>
      </c>
      <c r="EG119" s="110">
        <v>45.8</v>
      </c>
      <c r="EH119" s="110">
        <v>146.30000000000001</v>
      </c>
      <c r="EI119" s="110">
        <v>0.4</v>
      </c>
      <c r="EJ119" s="110">
        <v>-6.2</v>
      </c>
      <c r="EK119" s="110">
        <v>-6.4</v>
      </c>
      <c r="EL119" s="110">
        <v>-6.3</v>
      </c>
      <c r="EM119" s="110">
        <v>157.9</v>
      </c>
      <c r="EN119" s="110">
        <v>0.2</v>
      </c>
      <c r="EO119" s="110">
        <v>4</v>
      </c>
      <c r="EP119" s="110">
        <v>11.7</v>
      </c>
      <c r="EQ119" s="110">
        <v>24.8</v>
      </c>
      <c r="ER119" s="110">
        <v>59.6</v>
      </c>
      <c r="ES119" s="114">
        <v>21</v>
      </c>
      <c r="IL119" s="83" t="str">
        <f t="shared" si="434"/>
        <v/>
      </c>
      <c r="IM119" s="4" t="str">
        <f t="shared" si="435"/>
        <v/>
      </c>
      <c r="IN119" s="4" t="str">
        <f t="shared" si="436"/>
        <v/>
      </c>
      <c r="IO119" s="4" t="str">
        <f t="shared" si="437"/>
        <v/>
      </c>
      <c r="IP119" s="4" t="str">
        <f t="shared" si="438"/>
        <v/>
      </c>
      <c r="IQ119" s="4" t="str">
        <f t="shared" si="439"/>
        <v/>
      </c>
      <c r="IR119" s="4" t="str">
        <f t="shared" si="440"/>
        <v/>
      </c>
      <c r="IS119" s="4" t="str">
        <f t="shared" si="441"/>
        <v/>
      </c>
      <c r="IT119" s="4" t="str">
        <f t="shared" si="442"/>
        <v/>
      </c>
      <c r="IU119" s="4" t="str">
        <f t="shared" si="443"/>
        <v/>
      </c>
      <c r="IV119" s="4" t="str">
        <f t="shared" si="444"/>
        <v/>
      </c>
      <c r="IW119" s="4" t="str">
        <f t="shared" si="445"/>
        <v/>
      </c>
      <c r="IX119" s="4" t="str">
        <f t="shared" si="446"/>
        <v/>
      </c>
      <c r="IY119" s="4" t="str">
        <f t="shared" si="447"/>
        <v/>
      </c>
      <c r="IZ119" s="4" t="str">
        <f t="shared" si="448"/>
        <v/>
      </c>
      <c r="JA119" s="4" t="str">
        <f t="shared" si="449"/>
        <v/>
      </c>
      <c r="JB119" s="4" t="str">
        <f t="shared" si="450"/>
        <v/>
      </c>
      <c r="JC119" s="4" t="str">
        <f t="shared" si="451"/>
        <v/>
      </c>
      <c r="JD119" s="4" t="str">
        <f t="shared" si="452"/>
        <v/>
      </c>
      <c r="JE119" s="4" t="str">
        <f t="shared" si="453"/>
        <v/>
      </c>
      <c r="JF119" s="4" t="str">
        <f t="shared" si="454"/>
        <v/>
      </c>
      <c r="JG119" s="4" t="str">
        <f t="shared" si="455"/>
        <v/>
      </c>
      <c r="JH119" s="4" t="str">
        <f t="shared" si="456"/>
        <v/>
      </c>
      <c r="JI119" s="4" t="str">
        <f t="shared" si="457"/>
        <v/>
      </c>
      <c r="JJ119" s="4" t="str">
        <f t="shared" si="458"/>
        <v/>
      </c>
      <c r="JK119" s="4" t="str">
        <f t="shared" si="459"/>
        <v/>
      </c>
      <c r="JL119" s="4" t="str">
        <f t="shared" si="460"/>
        <v/>
      </c>
      <c r="JM119" s="4" t="str">
        <f t="shared" si="461"/>
        <v/>
      </c>
      <c r="JN119" s="4" t="str">
        <f t="shared" si="462"/>
        <v/>
      </c>
      <c r="JO119" s="4" t="str">
        <f t="shared" si="463"/>
        <v/>
      </c>
      <c r="JP119" s="4" t="str">
        <f t="shared" si="464"/>
        <v/>
      </c>
      <c r="JQ119" s="117" t="str">
        <f t="shared" si="465"/>
        <v/>
      </c>
      <c r="JR119" s="110" t="str">
        <f t="shared" si="466"/>
        <v/>
      </c>
      <c r="JS119" s="110" t="str">
        <f t="shared" si="467"/>
        <v/>
      </c>
      <c r="JT119" s="110" t="str">
        <f t="shared" si="468"/>
        <v/>
      </c>
      <c r="JU119" s="110" t="str">
        <f t="shared" si="469"/>
        <v/>
      </c>
      <c r="JV119" s="110" t="str">
        <f t="shared" si="470"/>
        <v/>
      </c>
      <c r="JW119" s="110" t="str">
        <f t="shared" si="471"/>
        <v/>
      </c>
      <c r="JX119" s="110" t="str">
        <f t="shared" si="472"/>
        <v/>
      </c>
      <c r="JY119" s="110" t="str">
        <f t="shared" si="473"/>
        <v/>
      </c>
      <c r="JZ119" s="110" t="str">
        <f t="shared" si="474"/>
        <v/>
      </c>
      <c r="KA119" s="110" t="str">
        <f t="shared" si="475"/>
        <v/>
      </c>
      <c r="KB119" s="110" t="str">
        <f t="shared" si="476"/>
        <v/>
      </c>
      <c r="KC119" s="110" t="str">
        <f t="shared" si="477"/>
        <v/>
      </c>
      <c r="KD119" s="110" t="str">
        <f t="shared" si="478"/>
        <v/>
      </c>
      <c r="KE119" s="110" t="str">
        <f t="shared" si="479"/>
        <v/>
      </c>
      <c r="KF119" s="110" t="str">
        <f t="shared" si="480"/>
        <v/>
      </c>
      <c r="KG119" s="121" t="str">
        <f t="shared" si="481"/>
        <v/>
      </c>
      <c r="KH119" s="83" t="str">
        <f t="shared" si="482"/>
        <v/>
      </c>
      <c r="KI119" s="4" t="str">
        <f t="shared" si="483"/>
        <v/>
      </c>
      <c r="KJ119" s="4" t="str">
        <f t="shared" si="484"/>
        <v/>
      </c>
      <c r="KK119" s="4" t="str">
        <f t="shared" si="485"/>
        <v/>
      </c>
      <c r="KL119" s="4" t="str">
        <f t="shared" si="486"/>
        <v/>
      </c>
      <c r="KM119" s="4" t="str">
        <f t="shared" si="487"/>
        <v/>
      </c>
      <c r="KN119" s="4" t="str">
        <f t="shared" si="488"/>
        <v/>
      </c>
      <c r="KO119" s="4" t="str">
        <f t="shared" si="489"/>
        <v/>
      </c>
      <c r="KP119" s="4" t="str">
        <f t="shared" si="490"/>
        <v/>
      </c>
      <c r="KQ119" s="4" t="str">
        <f t="shared" si="491"/>
        <v/>
      </c>
      <c r="KR119" s="4" t="str">
        <f t="shared" si="492"/>
        <v/>
      </c>
      <c r="KS119" s="4" t="str">
        <f t="shared" si="493"/>
        <v/>
      </c>
      <c r="KT119" s="4" t="str">
        <f t="shared" si="494"/>
        <v/>
      </c>
      <c r="KU119" s="4" t="str">
        <f t="shared" si="495"/>
        <v/>
      </c>
      <c r="KV119" s="4" t="str">
        <f t="shared" si="496"/>
        <v/>
      </c>
      <c r="KW119" s="4" t="str">
        <f t="shared" si="497"/>
        <v/>
      </c>
      <c r="KX119" s="4" t="str">
        <f t="shared" si="498"/>
        <v/>
      </c>
      <c r="KY119" s="4" t="str">
        <f t="shared" si="499"/>
        <v/>
      </c>
      <c r="KZ119" s="4" t="str">
        <f t="shared" si="500"/>
        <v/>
      </c>
      <c r="LA119" s="4" t="str">
        <f t="shared" si="501"/>
        <v/>
      </c>
      <c r="LB119" s="4" t="str">
        <f t="shared" si="502"/>
        <v/>
      </c>
      <c r="LC119" s="4" t="str">
        <f t="shared" si="503"/>
        <v/>
      </c>
      <c r="LD119" s="4" t="str">
        <f t="shared" si="504"/>
        <v/>
      </c>
      <c r="LE119" s="4" t="str">
        <f t="shared" si="505"/>
        <v/>
      </c>
      <c r="LF119" s="4" t="str">
        <f t="shared" si="506"/>
        <v/>
      </c>
      <c r="LG119" s="4" t="str">
        <f t="shared" si="507"/>
        <v/>
      </c>
      <c r="LH119" s="4" t="str">
        <f t="shared" si="508"/>
        <v/>
      </c>
      <c r="LI119" s="4" t="str">
        <f t="shared" si="509"/>
        <v/>
      </c>
      <c r="LJ119" s="4" t="str">
        <f t="shared" si="510"/>
        <v/>
      </c>
      <c r="LK119" s="4" t="str">
        <f t="shared" si="511"/>
        <v/>
      </c>
      <c r="LL119" s="4" t="str">
        <f t="shared" si="512"/>
        <v/>
      </c>
      <c r="LM119" s="4" t="str">
        <f t="shared" si="513"/>
        <v/>
      </c>
      <c r="LN119" s="4" t="str">
        <f t="shared" si="514"/>
        <v/>
      </c>
      <c r="LO119" s="4" t="str">
        <f t="shared" si="515"/>
        <v/>
      </c>
      <c r="LP119" s="4" t="str">
        <f t="shared" si="516"/>
        <v/>
      </c>
      <c r="LQ119" s="4" t="str">
        <f t="shared" si="517"/>
        <v/>
      </c>
      <c r="LR119" s="4" t="str">
        <f t="shared" si="518"/>
        <v/>
      </c>
      <c r="LS119" s="4" t="str">
        <f t="shared" si="519"/>
        <v/>
      </c>
      <c r="LT119" s="4" t="str">
        <f t="shared" si="520"/>
        <v/>
      </c>
      <c r="LU119" s="4" t="str">
        <f t="shared" si="521"/>
        <v/>
      </c>
      <c r="LV119" s="4" t="str">
        <f t="shared" si="522"/>
        <v/>
      </c>
      <c r="LW119" s="4" t="str">
        <f t="shared" si="523"/>
        <v/>
      </c>
      <c r="LX119" s="4" t="str">
        <f t="shared" si="524"/>
        <v/>
      </c>
      <c r="LY119" s="4" t="str">
        <f t="shared" si="525"/>
        <v/>
      </c>
      <c r="LZ119" s="4" t="str">
        <f t="shared" si="526"/>
        <v/>
      </c>
      <c r="MA119" s="4" t="str">
        <f t="shared" si="527"/>
        <v/>
      </c>
      <c r="MB119" s="4" t="str">
        <f t="shared" si="528"/>
        <v/>
      </c>
      <c r="MC119" s="4" t="str">
        <f t="shared" si="529"/>
        <v/>
      </c>
      <c r="MD119" s="4" t="str">
        <f t="shared" si="530"/>
        <v/>
      </c>
      <c r="ME119" s="4" t="str">
        <f t="shared" si="531"/>
        <v/>
      </c>
      <c r="MF119" s="4" t="str">
        <f t="shared" si="532"/>
        <v/>
      </c>
      <c r="MG119" s="4">
        <f t="shared" si="533"/>
        <v>0</v>
      </c>
    </row>
    <row r="120" spans="1:345" ht="26.25" customHeight="1" x14ac:dyDescent="0.2">
      <c r="A120" s="44">
        <v>41430</v>
      </c>
      <c r="B120" s="36" t="s">
        <v>259</v>
      </c>
      <c r="C120" s="36" t="s">
        <v>260</v>
      </c>
      <c r="D120" s="31" t="s">
        <v>111</v>
      </c>
      <c r="E120" s="4">
        <v>63</v>
      </c>
      <c r="F120" s="3">
        <v>18392</v>
      </c>
      <c r="G120" s="38" t="s">
        <v>243</v>
      </c>
      <c r="H120" s="38" t="s">
        <v>112</v>
      </c>
      <c r="I120" s="45">
        <v>1836709</v>
      </c>
      <c r="J120" s="45"/>
      <c r="K120" s="250"/>
      <c r="L120" s="251"/>
      <c r="M120" s="251"/>
      <c r="N120" s="251"/>
      <c r="O120" s="250"/>
      <c r="P120" s="251"/>
      <c r="Q120" s="251"/>
      <c r="R120" s="33">
        <v>-0.5</v>
      </c>
      <c r="S120" s="33">
        <v>-0.76</v>
      </c>
      <c r="T120" s="33" t="s">
        <v>249</v>
      </c>
      <c r="U120" s="67">
        <v>19.75</v>
      </c>
      <c r="V120" s="125">
        <v>41393</v>
      </c>
      <c r="W120" s="67">
        <v>0</v>
      </c>
      <c r="X120" s="67">
        <v>0</v>
      </c>
      <c r="Y120" s="4">
        <v>0</v>
      </c>
      <c r="Z120" s="4">
        <v>40</v>
      </c>
      <c r="AA120" s="4">
        <v>16</v>
      </c>
      <c r="AB120" s="4">
        <v>651</v>
      </c>
      <c r="AC120" s="4">
        <v>23.51</v>
      </c>
      <c r="AD120" s="4">
        <v>11.8</v>
      </c>
      <c r="AE120" s="4">
        <v>4.54</v>
      </c>
      <c r="AF120" s="4">
        <v>3.49</v>
      </c>
      <c r="AK120" s="4">
        <v>2</v>
      </c>
      <c r="AL120" s="4" t="b">
        <f t="shared" si="406"/>
        <v>1</v>
      </c>
      <c r="AM120" s="54"/>
      <c r="AN120" s="51" t="s">
        <v>78</v>
      </c>
      <c r="BE120" s="4" t="str">
        <f t="shared" si="407"/>
        <v/>
      </c>
      <c r="BF120" s="137">
        <v>41821</v>
      </c>
      <c r="BV120" s="4" t="str">
        <f t="shared" si="408"/>
        <v/>
      </c>
      <c r="BW120" s="4" t="str">
        <f t="shared" si="409"/>
        <v/>
      </c>
      <c r="BX120" s="4">
        <f t="shared" si="403"/>
        <v>0</v>
      </c>
      <c r="BY120" s="4">
        <f t="shared" si="410"/>
        <v>0</v>
      </c>
      <c r="BZ120" s="4" t="str">
        <f t="shared" si="411"/>
        <v/>
      </c>
      <c r="CA120" s="4" t="str">
        <f t="shared" si="412"/>
        <v/>
      </c>
      <c r="CB120" s="4" t="str">
        <f t="shared" si="413"/>
        <v/>
      </c>
      <c r="CC120" s="53">
        <f t="shared" si="414"/>
        <v>0</v>
      </c>
      <c r="CD120" s="55" t="str">
        <f t="shared" si="415"/>
        <v/>
      </c>
      <c r="CE120" s="4" t="str">
        <f t="shared" si="416"/>
        <v/>
      </c>
      <c r="CF120" s="4" t="str">
        <f t="shared" si="417"/>
        <v/>
      </c>
      <c r="CG120" s="4" t="str">
        <f t="shared" si="418"/>
        <v/>
      </c>
      <c r="CH120" s="4" t="str">
        <f t="shared" si="419"/>
        <v/>
      </c>
      <c r="CI120" s="4" t="str">
        <f t="shared" si="420"/>
        <v/>
      </c>
      <c r="CJ120" s="4" t="str">
        <f t="shared" si="421"/>
        <v/>
      </c>
      <c r="CK120" s="93" t="str">
        <f t="shared" si="422"/>
        <v/>
      </c>
      <c r="CL120" s="83" t="str">
        <f t="shared" si="423"/>
        <v/>
      </c>
      <c r="CM120" s="4" t="str">
        <f t="shared" si="424"/>
        <v/>
      </c>
      <c r="CN120" s="96" t="str">
        <f t="shared" si="425"/>
        <v/>
      </c>
      <c r="CO120" s="96" t="str">
        <f t="shared" si="398"/>
        <v/>
      </c>
      <c r="CP120" s="127" t="str">
        <f t="shared" si="426"/>
        <v/>
      </c>
      <c r="CQ120" s="127" t="str">
        <f t="shared" si="427"/>
        <v/>
      </c>
      <c r="CR120" s="136" t="str">
        <f t="shared" si="428"/>
        <v/>
      </c>
      <c r="CS120" s="136" t="str">
        <f t="shared" si="429"/>
        <v/>
      </c>
      <c r="CT120" s="135" t="str">
        <f t="shared" si="430"/>
        <v/>
      </c>
      <c r="CU120" s="139" t="str">
        <f t="shared" si="431"/>
        <v/>
      </c>
      <c r="CV120" s="96" t="str">
        <f t="shared" si="432"/>
        <v/>
      </c>
      <c r="CW120" s="141" t="str">
        <f t="shared" si="433"/>
        <v/>
      </c>
      <c r="CY120" s="96"/>
      <c r="CZ120" s="96"/>
      <c r="DA120" s="96"/>
      <c r="DB120" s="96"/>
      <c r="DC120" s="96"/>
      <c r="DD120" s="96"/>
      <c r="DE120" s="96"/>
      <c r="DF120" s="96"/>
      <c r="DG120" s="96"/>
      <c r="DH120" s="96"/>
      <c r="DI120" s="96"/>
      <c r="DJ120" s="96"/>
      <c r="DK120" s="96"/>
      <c r="DL120" s="96"/>
      <c r="DM120" s="96"/>
      <c r="DN120" s="96"/>
      <c r="DO120" s="96"/>
      <c r="DP120" s="96"/>
      <c r="DQ120" s="96"/>
      <c r="DR120" s="96"/>
      <c r="DS120" s="96"/>
      <c r="DT120" s="96"/>
      <c r="DU120" s="96"/>
      <c r="DV120" s="96"/>
      <c r="DW120" s="96"/>
      <c r="DX120" s="96"/>
      <c r="DY120" s="96"/>
      <c r="DZ120" s="96"/>
      <c r="EA120" s="96"/>
      <c r="EB120" s="96"/>
      <c r="EC120" s="96"/>
      <c r="ED120" s="96"/>
      <c r="EE120" s="96"/>
      <c r="EF120" s="96"/>
      <c r="EG120" s="96"/>
      <c r="EH120" s="96"/>
      <c r="EI120" s="96"/>
      <c r="EJ120" s="96"/>
      <c r="EK120" s="96"/>
      <c r="EL120" s="96"/>
      <c r="EM120" s="96"/>
      <c r="EN120" s="96"/>
      <c r="EO120" s="96"/>
      <c r="EP120" s="96"/>
      <c r="EQ120" s="96"/>
      <c r="ER120" s="96"/>
      <c r="ES120" s="115"/>
      <c r="IL120" s="83" t="str">
        <f t="shared" si="434"/>
        <v/>
      </c>
      <c r="IM120" s="4" t="str">
        <f t="shared" si="435"/>
        <v/>
      </c>
      <c r="IN120" s="4" t="str">
        <f t="shared" si="436"/>
        <v/>
      </c>
      <c r="IO120" s="4" t="str">
        <f t="shared" si="437"/>
        <v/>
      </c>
      <c r="IP120" s="4" t="str">
        <f t="shared" si="438"/>
        <v/>
      </c>
      <c r="IQ120" s="4" t="str">
        <f t="shared" si="439"/>
        <v/>
      </c>
      <c r="IR120" s="4" t="str">
        <f t="shared" si="440"/>
        <v/>
      </c>
      <c r="IS120" s="4" t="str">
        <f t="shared" si="441"/>
        <v/>
      </c>
      <c r="IT120" s="4" t="str">
        <f t="shared" si="442"/>
        <v/>
      </c>
      <c r="IU120" s="4" t="str">
        <f t="shared" si="443"/>
        <v/>
      </c>
      <c r="IV120" s="4" t="str">
        <f t="shared" si="444"/>
        <v/>
      </c>
      <c r="IW120" s="4" t="str">
        <f t="shared" si="445"/>
        <v/>
      </c>
      <c r="IX120" s="4" t="str">
        <f t="shared" si="446"/>
        <v/>
      </c>
      <c r="IY120" s="4" t="str">
        <f t="shared" si="447"/>
        <v/>
      </c>
      <c r="IZ120" s="4" t="str">
        <f t="shared" si="448"/>
        <v/>
      </c>
      <c r="JA120" s="4" t="str">
        <f t="shared" si="449"/>
        <v/>
      </c>
      <c r="JB120" s="4" t="str">
        <f t="shared" si="450"/>
        <v/>
      </c>
      <c r="JC120" s="4" t="str">
        <f t="shared" si="451"/>
        <v/>
      </c>
      <c r="JD120" s="4" t="str">
        <f t="shared" si="452"/>
        <v/>
      </c>
      <c r="JE120" s="4" t="str">
        <f t="shared" si="453"/>
        <v/>
      </c>
      <c r="JF120" s="4" t="str">
        <f t="shared" si="454"/>
        <v/>
      </c>
      <c r="JG120" s="4" t="str">
        <f t="shared" si="455"/>
        <v/>
      </c>
      <c r="JH120" s="4" t="str">
        <f t="shared" si="456"/>
        <v/>
      </c>
      <c r="JI120" s="4" t="str">
        <f t="shared" si="457"/>
        <v/>
      </c>
      <c r="JJ120" s="4" t="str">
        <f t="shared" si="458"/>
        <v/>
      </c>
      <c r="JK120" s="4" t="str">
        <f t="shared" si="459"/>
        <v/>
      </c>
      <c r="JL120" s="4" t="str">
        <f t="shared" si="460"/>
        <v/>
      </c>
      <c r="JM120" s="4" t="str">
        <f t="shared" si="461"/>
        <v/>
      </c>
      <c r="JN120" s="4" t="str">
        <f t="shared" si="462"/>
        <v/>
      </c>
      <c r="JO120" s="4" t="str">
        <f t="shared" si="463"/>
        <v/>
      </c>
      <c r="JP120" s="4" t="str">
        <f t="shared" si="464"/>
        <v/>
      </c>
      <c r="JQ120" s="117" t="str">
        <f t="shared" si="465"/>
        <v/>
      </c>
      <c r="JR120" s="110" t="str">
        <f t="shared" si="466"/>
        <v/>
      </c>
      <c r="JS120" s="110" t="str">
        <f t="shared" si="467"/>
        <v/>
      </c>
      <c r="JT120" s="110" t="str">
        <f t="shared" si="468"/>
        <v/>
      </c>
      <c r="JU120" s="110" t="str">
        <f t="shared" si="469"/>
        <v/>
      </c>
      <c r="JV120" s="110" t="str">
        <f t="shared" si="470"/>
        <v/>
      </c>
      <c r="JW120" s="110" t="str">
        <f t="shared" si="471"/>
        <v/>
      </c>
      <c r="JX120" s="110" t="str">
        <f t="shared" si="472"/>
        <v/>
      </c>
      <c r="JY120" s="110" t="str">
        <f t="shared" si="473"/>
        <v/>
      </c>
      <c r="JZ120" s="110" t="str">
        <f t="shared" si="474"/>
        <v/>
      </c>
      <c r="KA120" s="110" t="str">
        <f t="shared" si="475"/>
        <v/>
      </c>
      <c r="KB120" s="110" t="str">
        <f t="shared" si="476"/>
        <v/>
      </c>
      <c r="KC120" s="110" t="str">
        <f t="shared" si="477"/>
        <v/>
      </c>
      <c r="KD120" s="110" t="str">
        <f t="shared" si="478"/>
        <v/>
      </c>
      <c r="KE120" s="110" t="str">
        <f t="shared" si="479"/>
        <v/>
      </c>
      <c r="KF120" s="110" t="str">
        <f t="shared" si="480"/>
        <v/>
      </c>
      <c r="KG120" s="121" t="str">
        <f t="shared" si="481"/>
        <v/>
      </c>
      <c r="KH120" s="83" t="str">
        <f t="shared" si="482"/>
        <v/>
      </c>
      <c r="KI120" s="4" t="str">
        <f t="shared" si="483"/>
        <v/>
      </c>
      <c r="KJ120" s="4" t="str">
        <f t="shared" si="484"/>
        <v/>
      </c>
      <c r="KK120" s="4" t="str">
        <f t="shared" si="485"/>
        <v/>
      </c>
      <c r="KL120" s="4" t="str">
        <f t="shared" si="486"/>
        <v/>
      </c>
      <c r="KM120" s="4" t="str">
        <f t="shared" si="487"/>
        <v/>
      </c>
      <c r="KN120" s="4" t="str">
        <f t="shared" si="488"/>
        <v/>
      </c>
      <c r="KO120" s="4" t="str">
        <f t="shared" si="489"/>
        <v/>
      </c>
      <c r="KP120" s="4" t="str">
        <f t="shared" si="490"/>
        <v/>
      </c>
      <c r="KQ120" s="4" t="str">
        <f t="shared" si="491"/>
        <v/>
      </c>
      <c r="KR120" s="4" t="str">
        <f t="shared" si="492"/>
        <v/>
      </c>
      <c r="KS120" s="4" t="str">
        <f t="shared" si="493"/>
        <v/>
      </c>
      <c r="KT120" s="4" t="str">
        <f t="shared" si="494"/>
        <v/>
      </c>
      <c r="KU120" s="4" t="str">
        <f t="shared" si="495"/>
        <v/>
      </c>
      <c r="KV120" s="4" t="str">
        <f t="shared" si="496"/>
        <v/>
      </c>
      <c r="KW120" s="4" t="str">
        <f t="shared" si="497"/>
        <v/>
      </c>
      <c r="KX120" s="4" t="str">
        <f t="shared" si="498"/>
        <v/>
      </c>
      <c r="KY120" s="4" t="str">
        <f t="shared" si="499"/>
        <v/>
      </c>
      <c r="KZ120" s="4" t="str">
        <f t="shared" si="500"/>
        <v/>
      </c>
      <c r="LA120" s="4" t="str">
        <f t="shared" si="501"/>
        <v/>
      </c>
      <c r="LB120" s="4" t="str">
        <f t="shared" si="502"/>
        <v/>
      </c>
      <c r="LC120" s="4" t="str">
        <f t="shared" si="503"/>
        <v/>
      </c>
      <c r="LD120" s="4" t="str">
        <f t="shared" si="504"/>
        <v/>
      </c>
      <c r="LE120" s="4" t="str">
        <f t="shared" si="505"/>
        <v/>
      </c>
      <c r="LF120" s="4" t="str">
        <f t="shared" si="506"/>
        <v/>
      </c>
      <c r="LG120" s="4" t="str">
        <f t="shared" si="507"/>
        <v/>
      </c>
      <c r="LH120" s="4" t="str">
        <f t="shared" si="508"/>
        <v/>
      </c>
      <c r="LI120" s="4" t="str">
        <f t="shared" si="509"/>
        <v/>
      </c>
      <c r="LJ120" s="4" t="str">
        <f t="shared" si="510"/>
        <v/>
      </c>
      <c r="LK120" s="4" t="str">
        <f t="shared" si="511"/>
        <v/>
      </c>
      <c r="LL120" s="4" t="str">
        <f t="shared" si="512"/>
        <v/>
      </c>
      <c r="LM120" s="4" t="str">
        <f t="shared" si="513"/>
        <v/>
      </c>
      <c r="LN120" s="4" t="str">
        <f t="shared" si="514"/>
        <v/>
      </c>
      <c r="LO120" s="4" t="str">
        <f t="shared" si="515"/>
        <v/>
      </c>
      <c r="LP120" s="4" t="str">
        <f t="shared" si="516"/>
        <v/>
      </c>
      <c r="LQ120" s="4" t="str">
        <f t="shared" si="517"/>
        <v/>
      </c>
      <c r="LR120" s="4" t="str">
        <f t="shared" si="518"/>
        <v/>
      </c>
      <c r="LS120" s="4" t="str">
        <f t="shared" si="519"/>
        <v/>
      </c>
      <c r="LT120" s="4" t="str">
        <f t="shared" si="520"/>
        <v/>
      </c>
      <c r="LU120" s="4" t="str">
        <f t="shared" si="521"/>
        <v/>
      </c>
      <c r="LV120" s="4" t="str">
        <f t="shared" si="522"/>
        <v/>
      </c>
      <c r="LW120" s="4" t="str">
        <f t="shared" si="523"/>
        <v/>
      </c>
      <c r="LX120" s="4" t="str">
        <f t="shared" si="524"/>
        <v/>
      </c>
      <c r="LY120" s="4" t="str">
        <f t="shared" si="525"/>
        <v/>
      </c>
      <c r="LZ120" s="4" t="str">
        <f t="shared" si="526"/>
        <v/>
      </c>
      <c r="MA120" s="4" t="str">
        <f t="shared" si="527"/>
        <v/>
      </c>
      <c r="MB120" s="4" t="str">
        <f t="shared" si="528"/>
        <v/>
      </c>
      <c r="MC120" s="4" t="str">
        <f t="shared" si="529"/>
        <v/>
      </c>
      <c r="MD120" s="4" t="str">
        <f t="shared" si="530"/>
        <v/>
      </c>
      <c r="ME120" s="4" t="str">
        <f t="shared" si="531"/>
        <v/>
      </c>
      <c r="MF120" s="4" t="str">
        <f t="shared" si="532"/>
        <v/>
      </c>
      <c r="MG120" s="4">
        <f t="shared" si="533"/>
        <v>0</v>
      </c>
    </row>
    <row r="121" spans="1:345" ht="26.25" customHeight="1" x14ac:dyDescent="0.2">
      <c r="A121" s="35">
        <v>41395</v>
      </c>
      <c r="B121" s="36" t="s">
        <v>220</v>
      </c>
      <c r="C121" s="36" t="s">
        <v>169</v>
      </c>
      <c r="D121" s="31" t="s">
        <v>111</v>
      </c>
      <c r="E121" s="4">
        <v>65</v>
      </c>
      <c r="F121" s="3">
        <v>17331</v>
      </c>
      <c r="G121" s="4" t="s">
        <v>87</v>
      </c>
      <c r="H121" s="4" t="s">
        <v>112</v>
      </c>
      <c r="I121" s="4">
        <v>1836712</v>
      </c>
      <c r="R121" s="33">
        <v>-0.5</v>
      </c>
      <c r="S121" s="33">
        <v>-0.51</v>
      </c>
      <c r="T121" s="39" t="s">
        <v>249</v>
      </c>
      <c r="U121" s="67">
        <v>22.5</v>
      </c>
      <c r="V121" s="124">
        <v>41393</v>
      </c>
      <c r="W121" s="67">
        <v>1.5</v>
      </c>
      <c r="X121" s="67">
        <v>0</v>
      </c>
      <c r="Y121" s="4">
        <v>0</v>
      </c>
      <c r="Z121" s="4">
        <v>40</v>
      </c>
      <c r="AB121" s="4">
        <v>606</v>
      </c>
      <c r="AC121" s="4">
        <v>23.05</v>
      </c>
      <c r="AD121" s="4">
        <v>11.8</v>
      </c>
      <c r="AE121" s="4">
        <v>4.13</v>
      </c>
      <c r="AF121" s="4">
        <v>2.96</v>
      </c>
      <c r="AG121" s="4">
        <v>43.6</v>
      </c>
      <c r="AH121" s="4">
        <v>137</v>
      </c>
      <c r="AI121" s="4">
        <v>44.35</v>
      </c>
      <c r="AJ121" s="4">
        <v>47</v>
      </c>
      <c r="AK121" s="4">
        <v>1</v>
      </c>
      <c r="AL121" s="4" t="b">
        <f t="shared" si="406"/>
        <v>1</v>
      </c>
      <c r="AM121" s="54"/>
      <c r="AN121" s="51" t="s">
        <v>78</v>
      </c>
      <c r="AO121" s="61"/>
      <c r="BC121" s="4" t="str">
        <f>IF(ISNUMBER(AP121),AP121+0.5*AQ121,"")</f>
        <v/>
      </c>
      <c r="BD121" s="4" t="str">
        <f>IF(ISNUMBER(BC121),IF(ISNUMBER(S121),BC121-S121,"MISSING"),"")</f>
        <v/>
      </c>
      <c r="BE121" s="4" t="str">
        <f t="shared" si="407"/>
        <v/>
      </c>
      <c r="BF121" s="51" t="s">
        <v>501</v>
      </c>
      <c r="BU121" s="4" t="str">
        <f>IF(ISNUMBER(BH121),BH121+0.5*BI121,"")</f>
        <v/>
      </c>
      <c r="BV121" s="4" t="str">
        <f t="shared" si="408"/>
        <v/>
      </c>
      <c r="BW121" s="4" t="str">
        <f t="shared" si="409"/>
        <v/>
      </c>
      <c r="BX121" s="4">
        <f t="shared" si="403"/>
        <v>0</v>
      </c>
      <c r="BY121" s="4">
        <f t="shared" si="410"/>
        <v>0</v>
      </c>
      <c r="BZ121" s="4" t="str">
        <f t="shared" si="411"/>
        <v/>
      </c>
      <c r="CA121" s="4" t="str">
        <f t="shared" si="412"/>
        <v/>
      </c>
      <c r="CB121" s="4" t="str">
        <f t="shared" si="413"/>
        <v/>
      </c>
      <c r="CC121" s="53">
        <f t="shared" si="414"/>
        <v>0</v>
      </c>
      <c r="CD121" s="55" t="str">
        <f t="shared" si="415"/>
        <v/>
      </c>
      <c r="CE121" s="4" t="str">
        <f t="shared" si="416"/>
        <v/>
      </c>
      <c r="CF121" s="4" t="str">
        <f t="shared" si="417"/>
        <v/>
      </c>
      <c r="CG121" s="4" t="str">
        <f t="shared" si="418"/>
        <v/>
      </c>
      <c r="CH121" s="4" t="str">
        <f t="shared" si="419"/>
        <v/>
      </c>
      <c r="CI121" s="4" t="str">
        <f t="shared" si="420"/>
        <v/>
      </c>
      <c r="CJ121" s="4" t="str">
        <f t="shared" si="421"/>
        <v/>
      </c>
      <c r="CK121" s="93" t="str">
        <f t="shared" si="422"/>
        <v/>
      </c>
      <c r="CL121" s="83" t="str">
        <f t="shared" si="423"/>
        <v/>
      </c>
      <c r="CM121" s="4" t="str">
        <f t="shared" si="424"/>
        <v/>
      </c>
      <c r="CN121" s="96" t="str">
        <f t="shared" si="425"/>
        <v/>
      </c>
      <c r="CO121" s="96" t="str">
        <f t="shared" si="398"/>
        <v/>
      </c>
      <c r="CP121" s="127" t="str">
        <f t="shared" si="426"/>
        <v/>
      </c>
      <c r="CQ121" s="127" t="str">
        <f t="shared" si="427"/>
        <v/>
      </c>
      <c r="CR121" s="136" t="str">
        <f t="shared" si="428"/>
        <v/>
      </c>
      <c r="CS121" s="136" t="str">
        <f t="shared" si="429"/>
        <v/>
      </c>
      <c r="CT121" s="135" t="str">
        <f t="shared" si="430"/>
        <v/>
      </c>
      <c r="CU121" s="139" t="str">
        <f t="shared" si="431"/>
        <v/>
      </c>
      <c r="CV121" s="96" t="str">
        <f t="shared" si="432"/>
        <v/>
      </c>
      <c r="CW121" s="141" t="str">
        <f t="shared" si="433"/>
        <v/>
      </c>
      <c r="CX121">
        <v>7.66</v>
      </c>
      <c r="CY121" s="4">
        <v>7.49</v>
      </c>
      <c r="CZ121" s="4">
        <v>153.5</v>
      </c>
      <c r="DA121" s="4">
        <v>-1</v>
      </c>
      <c r="DB121" s="4">
        <v>0.75</v>
      </c>
      <c r="DC121" s="4">
        <v>0.76</v>
      </c>
      <c r="DD121" s="4">
        <v>2.41</v>
      </c>
      <c r="DE121" s="4">
        <v>3.01</v>
      </c>
      <c r="DF121" s="4">
        <v>604</v>
      </c>
      <c r="DG121" s="4">
        <v>600</v>
      </c>
      <c r="DH121" s="4">
        <v>695</v>
      </c>
      <c r="DI121" s="4">
        <v>672</v>
      </c>
      <c r="DJ121" s="4">
        <v>678</v>
      </c>
      <c r="DK121" s="4">
        <v>668</v>
      </c>
      <c r="DL121" s="4">
        <v>599</v>
      </c>
      <c r="DM121" s="4">
        <v>-0.71</v>
      </c>
      <c r="DN121" s="4">
        <v>-0.39</v>
      </c>
      <c r="DO121" s="4">
        <v>7.58</v>
      </c>
      <c r="DP121" s="4">
        <v>7.61</v>
      </c>
      <c r="DQ121" s="4">
        <v>7.73</v>
      </c>
      <c r="DR121" s="4">
        <v>8</v>
      </c>
      <c r="DS121" s="4">
        <v>8.1999999999999993</v>
      </c>
      <c r="DT121" s="4">
        <v>8.61</v>
      </c>
      <c r="DU121" s="4">
        <v>0</v>
      </c>
      <c r="DV121" s="4">
        <v>1.2</v>
      </c>
      <c r="DW121" s="4">
        <v>6.31</v>
      </c>
      <c r="DX121" s="4">
        <v>6.27</v>
      </c>
      <c r="DY121" s="4">
        <v>6.37</v>
      </c>
      <c r="DZ121" s="4">
        <v>6.61</v>
      </c>
      <c r="EA121" s="4">
        <v>6.82</v>
      </c>
      <c r="EB121" s="4">
        <v>0</v>
      </c>
      <c r="EC121" s="4">
        <v>0</v>
      </c>
      <c r="ED121" s="89">
        <v>1.2</v>
      </c>
      <c r="IL121" s="83" t="str">
        <f t="shared" si="434"/>
        <v/>
      </c>
      <c r="IM121" s="4" t="str">
        <f t="shared" si="435"/>
        <v/>
      </c>
      <c r="IN121" s="4" t="str">
        <f t="shared" si="436"/>
        <v/>
      </c>
      <c r="IO121" s="4" t="str">
        <f t="shared" si="437"/>
        <v/>
      </c>
      <c r="IP121" s="4" t="str">
        <f t="shared" si="438"/>
        <v/>
      </c>
      <c r="IQ121" s="4" t="str">
        <f t="shared" si="439"/>
        <v/>
      </c>
      <c r="IR121" s="4" t="str">
        <f t="shared" si="440"/>
        <v/>
      </c>
      <c r="IS121" s="4" t="str">
        <f t="shared" si="441"/>
        <v/>
      </c>
      <c r="IT121" s="4" t="str">
        <f t="shared" si="442"/>
        <v/>
      </c>
      <c r="IU121" s="4" t="str">
        <f t="shared" si="443"/>
        <v/>
      </c>
      <c r="IV121" s="4" t="str">
        <f t="shared" si="444"/>
        <v/>
      </c>
      <c r="IW121" s="4" t="str">
        <f t="shared" si="445"/>
        <v/>
      </c>
      <c r="IX121" s="4" t="str">
        <f t="shared" si="446"/>
        <v/>
      </c>
      <c r="IY121" s="4" t="str">
        <f t="shared" si="447"/>
        <v/>
      </c>
      <c r="IZ121" s="4" t="str">
        <f t="shared" si="448"/>
        <v/>
      </c>
      <c r="JA121" s="4" t="str">
        <f t="shared" si="449"/>
        <v/>
      </c>
      <c r="JB121" s="4" t="str">
        <f t="shared" si="450"/>
        <v/>
      </c>
      <c r="JC121" s="4" t="str">
        <f t="shared" si="451"/>
        <v/>
      </c>
      <c r="JD121" s="4" t="str">
        <f t="shared" si="452"/>
        <v/>
      </c>
      <c r="JE121" s="4" t="str">
        <f t="shared" si="453"/>
        <v/>
      </c>
      <c r="JF121" s="4" t="str">
        <f t="shared" si="454"/>
        <v/>
      </c>
      <c r="JG121" s="4" t="str">
        <f t="shared" si="455"/>
        <v/>
      </c>
      <c r="JH121" s="4" t="str">
        <f t="shared" si="456"/>
        <v/>
      </c>
      <c r="JI121" s="4" t="str">
        <f t="shared" si="457"/>
        <v/>
      </c>
      <c r="JJ121" s="4" t="str">
        <f t="shared" si="458"/>
        <v/>
      </c>
      <c r="JK121" s="4" t="str">
        <f t="shared" si="459"/>
        <v/>
      </c>
      <c r="JL121" s="4" t="str">
        <f t="shared" si="460"/>
        <v/>
      </c>
      <c r="JM121" s="4" t="str">
        <f t="shared" si="461"/>
        <v/>
      </c>
      <c r="JN121" s="4" t="str">
        <f t="shared" si="462"/>
        <v/>
      </c>
      <c r="JO121" s="4" t="str">
        <f t="shared" si="463"/>
        <v/>
      </c>
      <c r="JP121" s="4" t="str">
        <f t="shared" si="464"/>
        <v/>
      </c>
      <c r="JQ121" s="117" t="str">
        <f t="shared" si="465"/>
        <v/>
      </c>
      <c r="JR121" s="110" t="str">
        <f t="shared" si="466"/>
        <v/>
      </c>
      <c r="JS121" s="110" t="str">
        <f t="shared" si="467"/>
        <v/>
      </c>
      <c r="JT121" s="110" t="str">
        <f t="shared" si="468"/>
        <v/>
      </c>
      <c r="JU121" s="110" t="str">
        <f t="shared" si="469"/>
        <v/>
      </c>
      <c r="JV121" s="110" t="str">
        <f t="shared" si="470"/>
        <v/>
      </c>
      <c r="JW121" s="110" t="str">
        <f t="shared" si="471"/>
        <v/>
      </c>
      <c r="JX121" s="110" t="str">
        <f t="shared" si="472"/>
        <v/>
      </c>
      <c r="JY121" s="110" t="str">
        <f t="shared" si="473"/>
        <v/>
      </c>
      <c r="JZ121" s="110" t="str">
        <f t="shared" si="474"/>
        <v/>
      </c>
      <c r="KA121" s="110" t="str">
        <f t="shared" si="475"/>
        <v/>
      </c>
      <c r="KB121" s="110" t="str">
        <f t="shared" si="476"/>
        <v/>
      </c>
      <c r="KC121" s="110" t="str">
        <f t="shared" si="477"/>
        <v/>
      </c>
      <c r="KD121" s="110" t="str">
        <f t="shared" si="478"/>
        <v/>
      </c>
      <c r="KE121" s="110" t="str">
        <f t="shared" si="479"/>
        <v/>
      </c>
      <c r="KF121" s="110" t="str">
        <f t="shared" si="480"/>
        <v/>
      </c>
      <c r="KG121" s="121" t="str">
        <f t="shared" si="481"/>
        <v/>
      </c>
      <c r="KH121" s="83" t="str">
        <f t="shared" si="482"/>
        <v/>
      </c>
      <c r="KI121" s="4" t="str">
        <f t="shared" si="483"/>
        <v/>
      </c>
      <c r="KJ121" s="4" t="str">
        <f t="shared" si="484"/>
        <v/>
      </c>
      <c r="KK121" s="4" t="str">
        <f t="shared" si="485"/>
        <v/>
      </c>
      <c r="KL121" s="4" t="str">
        <f t="shared" si="486"/>
        <v/>
      </c>
      <c r="KM121" s="4" t="str">
        <f t="shared" si="487"/>
        <v/>
      </c>
      <c r="KN121" s="4" t="str">
        <f t="shared" si="488"/>
        <v/>
      </c>
      <c r="KO121" s="4" t="str">
        <f t="shared" si="489"/>
        <v/>
      </c>
      <c r="KP121" s="4" t="str">
        <f t="shared" si="490"/>
        <v/>
      </c>
      <c r="KQ121" s="4" t="str">
        <f t="shared" si="491"/>
        <v/>
      </c>
      <c r="KR121" s="4" t="str">
        <f t="shared" si="492"/>
        <v/>
      </c>
      <c r="KS121" s="4" t="str">
        <f t="shared" si="493"/>
        <v/>
      </c>
      <c r="KT121" s="4" t="str">
        <f t="shared" si="494"/>
        <v/>
      </c>
      <c r="KU121" s="4" t="str">
        <f t="shared" si="495"/>
        <v/>
      </c>
      <c r="KV121" s="4" t="str">
        <f t="shared" si="496"/>
        <v/>
      </c>
      <c r="KW121" s="4" t="str">
        <f t="shared" si="497"/>
        <v/>
      </c>
      <c r="KX121" s="4" t="str">
        <f t="shared" si="498"/>
        <v/>
      </c>
      <c r="KY121" s="4" t="str">
        <f t="shared" si="499"/>
        <v/>
      </c>
      <c r="KZ121" s="4" t="str">
        <f t="shared" si="500"/>
        <v/>
      </c>
      <c r="LA121" s="4" t="str">
        <f t="shared" si="501"/>
        <v/>
      </c>
      <c r="LB121" s="4" t="str">
        <f t="shared" si="502"/>
        <v/>
      </c>
      <c r="LC121" s="4" t="str">
        <f t="shared" si="503"/>
        <v/>
      </c>
      <c r="LD121" s="4" t="str">
        <f t="shared" si="504"/>
        <v/>
      </c>
      <c r="LE121" s="4" t="str">
        <f t="shared" si="505"/>
        <v/>
      </c>
      <c r="LF121" s="4" t="str">
        <f t="shared" si="506"/>
        <v/>
      </c>
      <c r="LG121" s="4" t="str">
        <f t="shared" si="507"/>
        <v/>
      </c>
      <c r="LH121" s="4" t="str">
        <f t="shared" si="508"/>
        <v/>
      </c>
      <c r="LI121" s="4" t="str">
        <f t="shared" si="509"/>
        <v/>
      </c>
      <c r="LJ121" s="4" t="str">
        <f t="shared" si="510"/>
        <v/>
      </c>
      <c r="LK121" s="4" t="str">
        <f t="shared" si="511"/>
        <v/>
      </c>
      <c r="LL121" s="4" t="str">
        <f t="shared" si="512"/>
        <v/>
      </c>
      <c r="LM121" s="4" t="str">
        <f t="shared" si="513"/>
        <v/>
      </c>
      <c r="LN121" s="4" t="str">
        <f t="shared" si="514"/>
        <v/>
      </c>
      <c r="LO121" s="4" t="str">
        <f t="shared" si="515"/>
        <v/>
      </c>
      <c r="LP121" s="4" t="str">
        <f t="shared" si="516"/>
        <v/>
      </c>
      <c r="LQ121" s="4" t="str">
        <f t="shared" si="517"/>
        <v/>
      </c>
      <c r="LR121" s="4" t="str">
        <f t="shared" si="518"/>
        <v/>
      </c>
      <c r="LS121" s="4" t="str">
        <f t="shared" si="519"/>
        <v/>
      </c>
      <c r="LT121" s="4" t="str">
        <f t="shared" si="520"/>
        <v/>
      </c>
      <c r="LU121" s="4" t="str">
        <f t="shared" si="521"/>
        <v/>
      </c>
      <c r="LV121" s="4" t="str">
        <f t="shared" si="522"/>
        <v/>
      </c>
      <c r="LW121" s="4" t="str">
        <f t="shared" si="523"/>
        <v/>
      </c>
      <c r="LX121" s="4" t="str">
        <f t="shared" si="524"/>
        <v/>
      </c>
      <c r="LY121" s="4" t="str">
        <f t="shared" si="525"/>
        <v/>
      </c>
      <c r="LZ121" s="4" t="str">
        <f t="shared" si="526"/>
        <v/>
      </c>
      <c r="MA121" s="4" t="str">
        <f t="shared" si="527"/>
        <v/>
      </c>
      <c r="MB121" s="4" t="str">
        <f t="shared" si="528"/>
        <v/>
      </c>
      <c r="MC121" s="4" t="str">
        <f t="shared" si="529"/>
        <v/>
      </c>
      <c r="MD121" s="4" t="str">
        <f t="shared" si="530"/>
        <v/>
      </c>
      <c r="ME121" s="4" t="str">
        <f t="shared" si="531"/>
        <v/>
      </c>
      <c r="MF121" s="4" t="str">
        <f t="shared" si="532"/>
        <v/>
      </c>
      <c r="MG121" s="4">
        <f t="shared" si="533"/>
        <v>0</v>
      </c>
    </row>
    <row r="122" spans="1:345" ht="26.25" customHeight="1" x14ac:dyDescent="0.2">
      <c r="A122" s="35">
        <v>41409</v>
      </c>
      <c r="B122" s="36" t="s">
        <v>206</v>
      </c>
      <c r="C122" s="36" t="s">
        <v>207</v>
      </c>
      <c r="D122" s="31" t="s">
        <v>111</v>
      </c>
      <c r="E122" s="4">
        <v>73</v>
      </c>
      <c r="F122" s="3">
        <v>14730</v>
      </c>
      <c r="G122" s="4" t="s">
        <v>87</v>
      </c>
      <c r="H122" s="4" t="s">
        <v>112</v>
      </c>
      <c r="I122" s="4">
        <v>1836787</v>
      </c>
      <c r="R122" s="33">
        <v>-0.5</v>
      </c>
      <c r="S122" s="33">
        <v>-0.56999999999999995</v>
      </c>
      <c r="T122" s="39" t="s">
        <v>249</v>
      </c>
      <c r="U122" s="67">
        <v>22.5</v>
      </c>
      <c r="V122" s="124">
        <v>41375</v>
      </c>
      <c r="W122" s="67">
        <v>0.5</v>
      </c>
      <c r="X122" s="67">
        <v>1.5</v>
      </c>
      <c r="Y122" s="4">
        <v>10</v>
      </c>
      <c r="Z122" s="4">
        <v>60</v>
      </c>
      <c r="AA122" s="4">
        <v>11</v>
      </c>
      <c r="AB122" s="4">
        <v>731</v>
      </c>
      <c r="AC122" s="4">
        <v>22.73</v>
      </c>
      <c r="AD122" s="4">
        <v>2.57</v>
      </c>
      <c r="AE122" s="4">
        <v>11.9</v>
      </c>
      <c r="AF122" s="4">
        <v>5.05</v>
      </c>
      <c r="AG122" s="4">
        <v>44.7</v>
      </c>
      <c r="AH122" s="4">
        <v>111</v>
      </c>
      <c r="AI122" s="4">
        <v>45.36</v>
      </c>
      <c r="AJ122" s="4">
        <v>21</v>
      </c>
      <c r="AK122" s="4">
        <v>0</v>
      </c>
      <c r="AL122" s="4" t="b">
        <f t="shared" si="406"/>
        <v>0</v>
      </c>
      <c r="AN122" s="51" t="s">
        <v>78</v>
      </c>
      <c r="BC122" s="4" t="str">
        <f>IF(ISNUMBER(AP122),AP122+0.5*AQ122,"")</f>
        <v/>
      </c>
      <c r="BD122" s="4" t="str">
        <f>IF(ISNUMBER(BC122),IF(ISNUMBER(S122),BC122-S122,"MISSING"),"")</f>
        <v/>
      </c>
      <c r="BE122" s="4" t="str">
        <f t="shared" si="407"/>
        <v/>
      </c>
      <c r="BF122" s="51" t="s">
        <v>501</v>
      </c>
      <c r="BU122" s="4" t="str">
        <f>IF(ISNUMBER(BH122),BH122+0.5*BI122,"")</f>
        <v/>
      </c>
      <c r="BV122" s="4" t="str">
        <f t="shared" si="408"/>
        <v/>
      </c>
      <c r="BW122" s="4" t="str">
        <f t="shared" si="409"/>
        <v/>
      </c>
      <c r="BX122" s="4">
        <f t="shared" si="403"/>
        <v>0</v>
      </c>
      <c r="BY122" s="4">
        <f t="shared" si="410"/>
        <v>0</v>
      </c>
      <c r="BZ122" s="4" t="str">
        <f t="shared" si="411"/>
        <v/>
      </c>
      <c r="CA122" s="4" t="str">
        <f t="shared" si="412"/>
        <v/>
      </c>
      <c r="CB122" s="4" t="str">
        <f t="shared" si="413"/>
        <v/>
      </c>
      <c r="CC122" s="53">
        <f t="shared" si="414"/>
        <v>0</v>
      </c>
      <c r="CD122" s="55" t="str">
        <f t="shared" si="415"/>
        <v/>
      </c>
      <c r="CE122" s="4" t="str">
        <f t="shared" si="416"/>
        <v/>
      </c>
      <c r="CF122" s="4" t="str">
        <f t="shared" si="417"/>
        <v/>
      </c>
      <c r="CG122" s="4" t="str">
        <f t="shared" si="418"/>
        <v/>
      </c>
      <c r="CH122" s="4" t="str">
        <f t="shared" si="419"/>
        <v/>
      </c>
      <c r="CI122" s="4" t="str">
        <f t="shared" si="420"/>
        <v/>
      </c>
      <c r="CJ122" s="4" t="str">
        <f t="shared" si="421"/>
        <v/>
      </c>
      <c r="CK122" s="93" t="str">
        <f t="shared" si="422"/>
        <v/>
      </c>
      <c r="CL122" s="83" t="str">
        <f t="shared" si="423"/>
        <v/>
      </c>
      <c r="CM122" s="4" t="str">
        <f t="shared" si="424"/>
        <v/>
      </c>
      <c r="CN122" s="96" t="str">
        <f t="shared" si="425"/>
        <v/>
      </c>
      <c r="CO122" s="96" t="str">
        <f t="shared" si="398"/>
        <v/>
      </c>
      <c r="CP122" s="127" t="str">
        <f t="shared" si="426"/>
        <v/>
      </c>
      <c r="CQ122" s="127" t="str">
        <f t="shared" si="427"/>
        <v/>
      </c>
      <c r="CR122" s="136" t="str">
        <f t="shared" si="428"/>
        <v/>
      </c>
      <c r="CS122" s="136" t="str">
        <f t="shared" si="429"/>
        <v/>
      </c>
      <c r="CT122" s="135" t="str">
        <f t="shared" si="430"/>
        <v/>
      </c>
      <c r="CU122" s="139" t="str">
        <f t="shared" si="431"/>
        <v/>
      </c>
      <c r="CV122" s="96" t="str">
        <f t="shared" si="432"/>
        <v/>
      </c>
      <c r="CW122" s="141" t="str">
        <f t="shared" si="433"/>
        <v/>
      </c>
      <c r="CX122">
        <v>7.59</v>
      </c>
      <c r="CY122" s="130">
        <v>7.46</v>
      </c>
      <c r="CZ122" s="130">
        <v>146.1</v>
      </c>
      <c r="DA122" s="130">
        <v>-0.8</v>
      </c>
      <c r="DB122" s="130">
        <v>0.33</v>
      </c>
      <c r="DC122" s="130">
        <v>0.53</v>
      </c>
      <c r="DD122" s="130">
        <v>2.09</v>
      </c>
      <c r="DE122" s="130">
        <v>2.82</v>
      </c>
      <c r="DF122" s="130">
        <v>733</v>
      </c>
      <c r="DG122" s="130">
        <v>732</v>
      </c>
      <c r="DH122" s="130">
        <v>776</v>
      </c>
      <c r="DI122" s="130">
        <v>740</v>
      </c>
      <c r="DJ122" s="130">
        <v>732</v>
      </c>
      <c r="DK122" s="130">
        <v>832</v>
      </c>
      <c r="DL122" s="130">
        <v>710</v>
      </c>
      <c r="DM122" s="130">
        <v>-1</v>
      </c>
      <c r="DN122" s="130">
        <v>-2.06</v>
      </c>
      <c r="DO122" s="130">
        <v>7.56</v>
      </c>
      <c r="DP122" s="130">
        <v>7.5</v>
      </c>
      <c r="DQ122" s="130">
        <v>7.52</v>
      </c>
      <c r="DR122" s="130">
        <v>7.66</v>
      </c>
      <c r="DS122" s="130">
        <v>7.9</v>
      </c>
      <c r="DT122" s="130">
        <v>8.1</v>
      </c>
      <c r="DU122" s="130">
        <v>0</v>
      </c>
      <c r="DV122" s="130">
        <v>1.1000000000000001</v>
      </c>
      <c r="DW122" s="130">
        <v>6.49</v>
      </c>
      <c r="DX122" s="130">
        <v>6.33</v>
      </c>
      <c r="DY122" s="130">
        <v>6.34</v>
      </c>
      <c r="DZ122" s="130">
        <v>6.42</v>
      </c>
      <c r="EA122" s="130">
        <v>6.68</v>
      </c>
      <c r="EB122" s="130">
        <v>0</v>
      </c>
      <c r="EC122" s="130">
        <v>0</v>
      </c>
      <c r="ED122" s="131">
        <v>1.1000000000000001</v>
      </c>
      <c r="EE122" s="112"/>
      <c r="EF122" s="112"/>
      <c r="EG122" s="112"/>
      <c r="EH122" s="112"/>
      <c r="EI122" s="112"/>
      <c r="EJ122" s="112"/>
      <c r="EK122" s="112"/>
      <c r="EL122" s="112"/>
      <c r="EM122" s="112"/>
      <c r="EN122" s="112"/>
      <c r="EO122" s="112"/>
      <c r="EP122" s="112"/>
      <c r="EQ122" s="112"/>
      <c r="ER122" s="112"/>
      <c r="ES122" s="132"/>
      <c r="IL122" s="83" t="str">
        <f t="shared" si="434"/>
        <v/>
      </c>
      <c r="IM122" s="4" t="str">
        <f t="shared" si="435"/>
        <v/>
      </c>
      <c r="IN122" s="4" t="str">
        <f t="shared" si="436"/>
        <v/>
      </c>
      <c r="IO122" s="4" t="str">
        <f t="shared" si="437"/>
        <v/>
      </c>
      <c r="IP122" s="4" t="str">
        <f t="shared" si="438"/>
        <v/>
      </c>
      <c r="IQ122" s="4" t="str">
        <f t="shared" si="439"/>
        <v/>
      </c>
      <c r="IR122" s="4" t="str">
        <f t="shared" si="440"/>
        <v/>
      </c>
      <c r="IS122" s="4" t="str">
        <f t="shared" si="441"/>
        <v/>
      </c>
      <c r="IT122" s="4" t="str">
        <f t="shared" si="442"/>
        <v/>
      </c>
      <c r="IU122" s="4" t="str">
        <f t="shared" si="443"/>
        <v/>
      </c>
      <c r="IV122" s="4" t="str">
        <f t="shared" si="444"/>
        <v/>
      </c>
      <c r="IW122" s="4" t="str">
        <f t="shared" si="445"/>
        <v/>
      </c>
      <c r="IX122" s="4" t="str">
        <f t="shared" si="446"/>
        <v/>
      </c>
      <c r="IY122" s="4" t="str">
        <f t="shared" si="447"/>
        <v/>
      </c>
      <c r="IZ122" s="4" t="str">
        <f t="shared" si="448"/>
        <v/>
      </c>
      <c r="JA122" s="4" t="str">
        <f t="shared" si="449"/>
        <v/>
      </c>
      <c r="JB122" s="4" t="str">
        <f t="shared" si="450"/>
        <v/>
      </c>
      <c r="JC122" s="4" t="str">
        <f t="shared" si="451"/>
        <v/>
      </c>
      <c r="JD122" s="4" t="str">
        <f t="shared" si="452"/>
        <v/>
      </c>
      <c r="JE122" s="4" t="str">
        <f t="shared" si="453"/>
        <v/>
      </c>
      <c r="JF122" s="4" t="str">
        <f t="shared" si="454"/>
        <v/>
      </c>
      <c r="JG122" s="4" t="str">
        <f t="shared" si="455"/>
        <v/>
      </c>
      <c r="JH122" s="4" t="str">
        <f t="shared" si="456"/>
        <v/>
      </c>
      <c r="JI122" s="4" t="str">
        <f t="shared" si="457"/>
        <v/>
      </c>
      <c r="JJ122" s="4" t="str">
        <f t="shared" si="458"/>
        <v/>
      </c>
      <c r="JK122" s="4" t="str">
        <f t="shared" si="459"/>
        <v/>
      </c>
      <c r="JL122" s="4" t="str">
        <f t="shared" si="460"/>
        <v/>
      </c>
      <c r="JM122" s="4" t="str">
        <f t="shared" si="461"/>
        <v/>
      </c>
      <c r="JN122" s="4" t="str">
        <f t="shared" si="462"/>
        <v/>
      </c>
      <c r="JO122" s="4" t="str">
        <f t="shared" si="463"/>
        <v/>
      </c>
      <c r="JP122" s="4" t="str">
        <f t="shared" si="464"/>
        <v/>
      </c>
      <c r="JQ122" s="117" t="str">
        <f t="shared" si="465"/>
        <v/>
      </c>
      <c r="JR122" s="110" t="str">
        <f t="shared" si="466"/>
        <v/>
      </c>
      <c r="JS122" s="110" t="str">
        <f t="shared" si="467"/>
        <v/>
      </c>
      <c r="JT122" s="110" t="str">
        <f t="shared" si="468"/>
        <v/>
      </c>
      <c r="JU122" s="110" t="str">
        <f t="shared" si="469"/>
        <v/>
      </c>
      <c r="JV122" s="110" t="str">
        <f t="shared" si="470"/>
        <v/>
      </c>
      <c r="JW122" s="110" t="str">
        <f t="shared" si="471"/>
        <v/>
      </c>
      <c r="JX122" s="110" t="str">
        <f t="shared" si="472"/>
        <v/>
      </c>
      <c r="JY122" s="110" t="str">
        <f t="shared" si="473"/>
        <v/>
      </c>
      <c r="JZ122" s="110" t="str">
        <f t="shared" si="474"/>
        <v/>
      </c>
      <c r="KA122" s="110" t="str">
        <f t="shared" si="475"/>
        <v/>
      </c>
      <c r="KB122" s="110" t="str">
        <f t="shared" si="476"/>
        <v/>
      </c>
      <c r="KC122" s="110" t="str">
        <f t="shared" si="477"/>
        <v/>
      </c>
      <c r="KD122" s="110" t="str">
        <f t="shared" si="478"/>
        <v/>
      </c>
      <c r="KE122" s="110" t="str">
        <f t="shared" si="479"/>
        <v/>
      </c>
      <c r="KF122" s="110" t="str">
        <f t="shared" si="480"/>
        <v/>
      </c>
      <c r="KG122" s="121" t="str">
        <f t="shared" si="481"/>
        <v/>
      </c>
      <c r="KH122" s="83" t="str">
        <f t="shared" si="482"/>
        <v/>
      </c>
      <c r="KI122" s="4" t="str">
        <f t="shared" si="483"/>
        <v/>
      </c>
      <c r="KJ122" s="4" t="str">
        <f t="shared" si="484"/>
        <v/>
      </c>
      <c r="KK122" s="4" t="str">
        <f t="shared" si="485"/>
        <v/>
      </c>
      <c r="KL122" s="4" t="str">
        <f t="shared" si="486"/>
        <v/>
      </c>
      <c r="KM122" s="4" t="str">
        <f t="shared" si="487"/>
        <v/>
      </c>
      <c r="KN122" s="4" t="str">
        <f t="shared" si="488"/>
        <v/>
      </c>
      <c r="KO122" s="4" t="str">
        <f t="shared" si="489"/>
        <v/>
      </c>
      <c r="KP122" s="4" t="str">
        <f t="shared" si="490"/>
        <v/>
      </c>
      <c r="KQ122" s="4" t="str">
        <f t="shared" si="491"/>
        <v/>
      </c>
      <c r="KR122" s="4" t="str">
        <f t="shared" si="492"/>
        <v/>
      </c>
      <c r="KS122" s="4" t="str">
        <f t="shared" si="493"/>
        <v/>
      </c>
      <c r="KT122" s="4" t="str">
        <f t="shared" si="494"/>
        <v/>
      </c>
      <c r="KU122" s="4" t="str">
        <f t="shared" si="495"/>
        <v/>
      </c>
      <c r="KV122" s="4" t="str">
        <f t="shared" si="496"/>
        <v/>
      </c>
      <c r="KW122" s="4" t="str">
        <f t="shared" si="497"/>
        <v/>
      </c>
      <c r="KX122" s="4" t="str">
        <f t="shared" si="498"/>
        <v/>
      </c>
      <c r="KY122" s="4" t="str">
        <f t="shared" si="499"/>
        <v/>
      </c>
      <c r="KZ122" s="4" t="str">
        <f t="shared" si="500"/>
        <v/>
      </c>
      <c r="LA122" s="4" t="str">
        <f t="shared" si="501"/>
        <v/>
      </c>
      <c r="LB122" s="4" t="str">
        <f t="shared" si="502"/>
        <v/>
      </c>
      <c r="LC122" s="4" t="str">
        <f t="shared" si="503"/>
        <v/>
      </c>
      <c r="LD122" s="4" t="str">
        <f t="shared" si="504"/>
        <v/>
      </c>
      <c r="LE122" s="4" t="str">
        <f t="shared" si="505"/>
        <v/>
      </c>
      <c r="LF122" s="4" t="str">
        <f t="shared" si="506"/>
        <v/>
      </c>
      <c r="LG122" s="4" t="str">
        <f t="shared" si="507"/>
        <v/>
      </c>
      <c r="LH122" s="4" t="str">
        <f t="shared" si="508"/>
        <v/>
      </c>
      <c r="LI122" s="4" t="str">
        <f t="shared" si="509"/>
        <v/>
      </c>
      <c r="LJ122" s="4" t="str">
        <f t="shared" si="510"/>
        <v/>
      </c>
      <c r="LK122" s="4" t="str">
        <f t="shared" si="511"/>
        <v/>
      </c>
      <c r="LL122" s="4" t="str">
        <f t="shared" si="512"/>
        <v/>
      </c>
      <c r="LM122" s="4" t="str">
        <f t="shared" si="513"/>
        <v/>
      </c>
      <c r="LN122" s="4" t="str">
        <f t="shared" si="514"/>
        <v/>
      </c>
      <c r="LO122" s="4" t="str">
        <f t="shared" si="515"/>
        <v/>
      </c>
      <c r="LP122" s="4" t="str">
        <f t="shared" si="516"/>
        <v/>
      </c>
      <c r="LQ122" s="4" t="str">
        <f t="shared" si="517"/>
        <v/>
      </c>
      <c r="LR122" s="4" t="str">
        <f t="shared" si="518"/>
        <v/>
      </c>
      <c r="LS122" s="4" t="str">
        <f t="shared" si="519"/>
        <v/>
      </c>
      <c r="LT122" s="4" t="str">
        <f t="shared" si="520"/>
        <v/>
      </c>
      <c r="LU122" s="4" t="str">
        <f t="shared" si="521"/>
        <v/>
      </c>
      <c r="LV122" s="4" t="str">
        <f t="shared" si="522"/>
        <v/>
      </c>
      <c r="LW122" s="4" t="str">
        <f t="shared" si="523"/>
        <v/>
      </c>
      <c r="LX122" s="4" t="str">
        <f t="shared" si="524"/>
        <v/>
      </c>
      <c r="LY122" s="4" t="str">
        <f t="shared" si="525"/>
        <v/>
      </c>
      <c r="LZ122" s="4" t="str">
        <f t="shared" si="526"/>
        <v/>
      </c>
      <c r="MA122" s="4" t="str">
        <f t="shared" si="527"/>
        <v/>
      </c>
      <c r="MB122" s="4" t="str">
        <f t="shared" si="528"/>
        <v/>
      </c>
      <c r="MC122" s="4" t="str">
        <f t="shared" si="529"/>
        <v/>
      </c>
      <c r="MD122" s="4" t="str">
        <f t="shared" si="530"/>
        <v/>
      </c>
      <c r="ME122" s="4" t="str">
        <f t="shared" si="531"/>
        <v/>
      </c>
      <c r="MF122" s="4" t="str">
        <f t="shared" si="532"/>
        <v/>
      </c>
      <c r="MG122" s="4">
        <f t="shared" si="533"/>
        <v>0</v>
      </c>
    </row>
    <row r="123" spans="1:345" ht="26.25" customHeight="1" x14ac:dyDescent="0.2">
      <c r="A123" s="44">
        <v>41437</v>
      </c>
      <c r="B123" s="36" t="s">
        <v>261</v>
      </c>
      <c r="C123" s="36" t="s">
        <v>262</v>
      </c>
      <c r="D123" s="31" t="s">
        <v>111</v>
      </c>
      <c r="E123" s="4">
        <v>52</v>
      </c>
      <c r="F123" s="3">
        <v>22257</v>
      </c>
      <c r="G123" s="4" t="s">
        <v>87</v>
      </c>
      <c r="H123" s="4" t="s">
        <v>108</v>
      </c>
      <c r="I123" s="45">
        <v>1836794</v>
      </c>
      <c r="J123" s="45"/>
      <c r="K123" s="250"/>
      <c r="L123" s="251"/>
      <c r="M123" s="251"/>
      <c r="N123" s="251"/>
      <c r="O123" s="250"/>
      <c r="P123" s="251"/>
      <c r="Q123" s="251"/>
      <c r="R123" s="33">
        <v>-0.5</v>
      </c>
      <c r="S123" s="33">
        <v>-0.48</v>
      </c>
      <c r="T123" s="33" t="s">
        <v>249</v>
      </c>
      <c r="U123" s="67">
        <v>20.25</v>
      </c>
      <c r="V123" s="125">
        <v>41407</v>
      </c>
      <c r="W123" s="67">
        <v>1.25</v>
      </c>
      <c r="X123" s="67">
        <v>0</v>
      </c>
      <c r="Y123" s="4">
        <v>0</v>
      </c>
      <c r="Z123" s="4">
        <v>40</v>
      </c>
      <c r="AA123" s="4">
        <v>14</v>
      </c>
      <c r="AB123" s="4">
        <v>604</v>
      </c>
      <c r="AC123" s="4">
        <v>22.93</v>
      </c>
      <c r="AD123" s="4">
        <v>12.1</v>
      </c>
      <c r="AE123" s="4">
        <v>4.26</v>
      </c>
      <c r="AF123" s="4">
        <v>3.83</v>
      </c>
      <c r="AG123" s="4">
        <v>45.92</v>
      </c>
      <c r="AH123" s="4">
        <v>136</v>
      </c>
      <c r="AI123" s="4">
        <v>46.68</v>
      </c>
      <c r="AJ123" s="4">
        <v>46</v>
      </c>
      <c r="AK123" s="4">
        <v>1</v>
      </c>
      <c r="AL123" s="4" t="b">
        <f t="shared" si="406"/>
        <v>1</v>
      </c>
      <c r="AM123" s="54"/>
      <c r="AN123" s="51" t="s">
        <v>78</v>
      </c>
      <c r="BE123" s="4" t="str">
        <f t="shared" si="407"/>
        <v/>
      </c>
      <c r="BF123" s="51" t="s">
        <v>501</v>
      </c>
      <c r="BV123" s="4" t="str">
        <f t="shared" si="408"/>
        <v/>
      </c>
      <c r="BW123" s="4" t="str">
        <f t="shared" si="409"/>
        <v/>
      </c>
      <c r="BX123" s="4">
        <f t="shared" si="403"/>
        <v>0</v>
      </c>
      <c r="BY123" s="4">
        <f t="shared" si="410"/>
        <v>0</v>
      </c>
      <c r="BZ123" s="4" t="str">
        <f t="shared" si="411"/>
        <v/>
      </c>
      <c r="CA123" s="4" t="str">
        <f t="shared" si="412"/>
        <v/>
      </c>
      <c r="CB123" s="4" t="str">
        <f t="shared" si="413"/>
        <v/>
      </c>
      <c r="CC123" s="53">
        <f t="shared" si="414"/>
        <v>0</v>
      </c>
      <c r="CD123" s="55" t="str">
        <f t="shared" si="415"/>
        <v/>
      </c>
      <c r="CE123" s="4" t="str">
        <f t="shared" si="416"/>
        <v/>
      </c>
      <c r="CF123" s="4" t="str">
        <f t="shared" si="417"/>
        <v/>
      </c>
      <c r="CG123" s="4" t="str">
        <f t="shared" si="418"/>
        <v/>
      </c>
      <c r="CH123" s="4" t="str">
        <f t="shared" si="419"/>
        <v/>
      </c>
      <c r="CI123" s="4" t="str">
        <f t="shared" si="420"/>
        <v/>
      </c>
      <c r="CJ123" s="4" t="str">
        <f t="shared" si="421"/>
        <v/>
      </c>
      <c r="CK123" s="93" t="str">
        <f t="shared" si="422"/>
        <v/>
      </c>
      <c r="CL123" s="83" t="str">
        <f t="shared" si="423"/>
        <v/>
      </c>
      <c r="CM123" s="4" t="str">
        <f t="shared" si="424"/>
        <v/>
      </c>
      <c r="CN123" s="96" t="str">
        <f t="shared" si="425"/>
        <v/>
      </c>
      <c r="CO123" s="96" t="str">
        <f t="shared" si="398"/>
        <v/>
      </c>
      <c r="CP123" s="127" t="str">
        <f t="shared" si="426"/>
        <v/>
      </c>
      <c r="CQ123" s="127" t="str">
        <f t="shared" si="427"/>
        <v/>
      </c>
      <c r="CR123" s="136" t="str">
        <f t="shared" si="428"/>
        <v/>
      </c>
      <c r="CS123" s="136" t="str">
        <f t="shared" si="429"/>
        <v/>
      </c>
      <c r="CT123" s="135" t="str">
        <f t="shared" si="430"/>
        <v/>
      </c>
      <c r="CU123" s="139" t="str">
        <f t="shared" si="431"/>
        <v/>
      </c>
      <c r="CV123" s="96" t="str">
        <f t="shared" si="432"/>
        <v/>
      </c>
      <c r="CW123" s="141" t="str">
        <f t="shared" si="433"/>
        <v/>
      </c>
      <c r="CX123">
        <v>7.42</v>
      </c>
      <c r="CY123" s="4">
        <v>7.27</v>
      </c>
      <c r="CZ123" s="4">
        <v>6.7</v>
      </c>
      <c r="DA123" s="4">
        <v>-0.9</v>
      </c>
      <c r="DB123" s="4">
        <v>0.56999999999999995</v>
      </c>
      <c r="DC123" s="4">
        <v>0.57999999999999996</v>
      </c>
      <c r="DD123" s="4">
        <v>2.91</v>
      </c>
      <c r="DE123" s="4">
        <v>3.55</v>
      </c>
      <c r="DF123" s="4">
        <v>640</v>
      </c>
      <c r="DG123" s="4">
        <v>654</v>
      </c>
      <c r="DH123" s="4">
        <v>623</v>
      </c>
      <c r="DI123" s="4">
        <v>674</v>
      </c>
      <c r="DJ123" s="4">
        <v>634</v>
      </c>
      <c r="DK123" s="4">
        <v>673</v>
      </c>
      <c r="DL123" s="4">
        <v>594</v>
      </c>
      <c r="DM123" s="4">
        <v>0.85</v>
      </c>
      <c r="DN123" s="4">
        <v>1.5</v>
      </c>
      <c r="DO123" s="4">
        <v>7.35</v>
      </c>
      <c r="DP123" s="4">
        <v>7.4</v>
      </c>
      <c r="DQ123" s="4">
        <v>7.49</v>
      </c>
      <c r="DR123" s="4">
        <v>7.64</v>
      </c>
      <c r="DS123" s="4">
        <v>7.98</v>
      </c>
      <c r="DT123" s="4">
        <v>8.0399999999999991</v>
      </c>
      <c r="DU123" s="4">
        <v>0</v>
      </c>
      <c r="DV123" s="4">
        <v>0.7</v>
      </c>
      <c r="DW123" s="4">
        <v>6.82</v>
      </c>
      <c r="DX123" s="4">
        <v>6.73</v>
      </c>
      <c r="DY123" s="4">
        <v>6.6</v>
      </c>
      <c r="DZ123" s="4">
        <v>6.47</v>
      </c>
      <c r="EA123" s="4">
        <v>6.53</v>
      </c>
      <c r="EB123" s="4">
        <v>0</v>
      </c>
      <c r="EC123" s="4">
        <v>0</v>
      </c>
      <c r="ED123" s="89">
        <v>0.7</v>
      </c>
      <c r="IL123" s="83" t="str">
        <f t="shared" si="434"/>
        <v/>
      </c>
      <c r="IM123" s="4" t="str">
        <f t="shared" si="435"/>
        <v/>
      </c>
      <c r="IN123" s="4" t="str">
        <f t="shared" si="436"/>
        <v/>
      </c>
      <c r="IO123" s="4" t="str">
        <f t="shared" si="437"/>
        <v/>
      </c>
      <c r="IP123" s="4" t="str">
        <f t="shared" si="438"/>
        <v/>
      </c>
      <c r="IQ123" s="4" t="str">
        <f t="shared" si="439"/>
        <v/>
      </c>
      <c r="IR123" s="4" t="str">
        <f t="shared" si="440"/>
        <v/>
      </c>
      <c r="IS123" s="4" t="str">
        <f t="shared" si="441"/>
        <v/>
      </c>
      <c r="IT123" s="4" t="str">
        <f t="shared" si="442"/>
        <v/>
      </c>
      <c r="IU123" s="4" t="str">
        <f t="shared" si="443"/>
        <v/>
      </c>
      <c r="IV123" s="4" t="str">
        <f t="shared" si="444"/>
        <v/>
      </c>
      <c r="IW123" s="4" t="str">
        <f t="shared" si="445"/>
        <v/>
      </c>
      <c r="IX123" s="4" t="str">
        <f t="shared" si="446"/>
        <v/>
      </c>
      <c r="IY123" s="4" t="str">
        <f t="shared" si="447"/>
        <v/>
      </c>
      <c r="IZ123" s="4" t="str">
        <f t="shared" si="448"/>
        <v/>
      </c>
      <c r="JA123" s="4" t="str">
        <f t="shared" si="449"/>
        <v/>
      </c>
      <c r="JB123" s="4" t="str">
        <f t="shared" si="450"/>
        <v/>
      </c>
      <c r="JC123" s="4" t="str">
        <f t="shared" si="451"/>
        <v/>
      </c>
      <c r="JD123" s="4" t="str">
        <f t="shared" si="452"/>
        <v/>
      </c>
      <c r="JE123" s="4" t="str">
        <f t="shared" si="453"/>
        <v/>
      </c>
      <c r="JF123" s="4" t="str">
        <f t="shared" si="454"/>
        <v/>
      </c>
      <c r="JG123" s="4" t="str">
        <f t="shared" si="455"/>
        <v/>
      </c>
      <c r="JH123" s="4" t="str">
        <f t="shared" si="456"/>
        <v/>
      </c>
      <c r="JI123" s="4" t="str">
        <f t="shared" si="457"/>
        <v/>
      </c>
      <c r="JJ123" s="4" t="str">
        <f t="shared" si="458"/>
        <v/>
      </c>
      <c r="JK123" s="4" t="str">
        <f t="shared" si="459"/>
        <v/>
      </c>
      <c r="JL123" s="4" t="str">
        <f t="shared" si="460"/>
        <v/>
      </c>
      <c r="JM123" s="4" t="str">
        <f t="shared" si="461"/>
        <v/>
      </c>
      <c r="JN123" s="4" t="str">
        <f t="shared" si="462"/>
        <v/>
      </c>
      <c r="JO123" s="4" t="str">
        <f t="shared" si="463"/>
        <v/>
      </c>
      <c r="JP123" s="4" t="str">
        <f t="shared" si="464"/>
        <v/>
      </c>
      <c r="JQ123" s="117" t="str">
        <f t="shared" si="465"/>
        <v/>
      </c>
      <c r="JR123" s="110" t="str">
        <f t="shared" si="466"/>
        <v/>
      </c>
      <c r="JS123" s="110" t="str">
        <f t="shared" si="467"/>
        <v/>
      </c>
      <c r="JT123" s="110" t="str">
        <f t="shared" si="468"/>
        <v/>
      </c>
      <c r="JU123" s="110" t="str">
        <f t="shared" si="469"/>
        <v/>
      </c>
      <c r="JV123" s="110" t="str">
        <f t="shared" si="470"/>
        <v/>
      </c>
      <c r="JW123" s="110" t="str">
        <f t="shared" si="471"/>
        <v/>
      </c>
      <c r="JX123" s="110" t="str">
        <f t="shared" si="472"/>
        <v/>
      </c>
      <c r="JY123" s="110" t="str">
        <f t="shared" si="473"/>
        <v/>
      </c>
      <c r="JZ123" s="110" t="str">
        <f t="shared" si="474"/>
        <v/>
      </c>
      <c r="KA123" s="110" t="str">
        <f t="shared" si="475"/>
        <v/>
      </c>
      <c r="KB123" s="110" t="str">
        <f t="shared" si="476"/>
        <v/>
      </c>
      <c r="KC123" s="110" t="str">
        <f t="shared" si="477"/>
        <v/>
      </c>
      <c r="KD123" s="110" t="str">
        <f t="shared" si="478"/>
        <v/>
      </c>
      <c r="KE123" s="110" t="str">
        <f t="shared" si="479"/>
        <v/>
      </c>
      <c r="KF123" s="110" t="str">
        <f t="shared" si="480"/>
        <v/>
      </c>
      <c r="KG123" s="121" t="str">
        <f t="shared" si="481"/>
        <v/>
      </c>
      <c r="KH123" s="83" t="str">
        <f t="shared" si="482"/>
        <v/>
      </c>
      <c r="KI123" s="4" t="str">
        <f t="shared" si="483"/>
        <v/>
      </c>
      <c r="KJ123" s="4" t="str">
        <f t="shared" si="484"/>
        <v/>
      </c>
      <c r="KK123" s="4" t="str">
        <f t="shared" si="485"/>
        <v/>
      </c>
      <c r="KL123" s="4" t="str">
        <f t="shared" si="486"/>
        <v/>
      </c>
      <c r="KM123" s="4" t="str">
        <f t="shared" si="487"/>
        <v/>
      </c>
      <c r="KN123" s="4" t="str">
        <f t="shared" si="488"/>
        <v/>
      </c>
      <c r="KO123" s="4" t="str">
        <f t="shared" si="489"/>
        <v/>
      </c>
      <c r="KP123" s="4" t="str">
        <f t="shared" si="490"/>
        <v/>
      </c>
      <c r="KQ123" s="4" t="str">
        <f t="shared" si="491"/>
        <v/>
      </c>
      <c r="KR123" s="4" t="str">
        <f t="shared" si="492"/>
        <v/>
      </c>
      <c r="KS123" s="4" t="str">
        <f t="shared" si="493"/>
        <v/>
      </c>
      <c r="KT123" s="4" t="str">
        <f t="shared" si="494"/>
        <v/>
      </c>
      <c r="KU123" s="4" t="str">
        <f t="shared" si="495"/>
        <v/>
      </c>
      <c r="KV123" s="4" t="str">
        <f t="shared" si="496"/>
        <v/>
      </c>
      <c r="KW123" s="4" t="str">
        <f t="shared" si="497"/>
        <v/>
      </c>
      <c r="KX123" s="4" t="str">
        <f t="shared" si="498"/>
        <v/>
      </c>
      <c r="KY123" s="4" t="str">
        <f t="shared" si="499"/>
        <v/>
      </c>
      <c r="KZ123" s="4" t="str">
        <f t="shared" si="500"/>
        <v/>
      </c>
      <c r="LA123" s="4" t="str">
        <f t="shared" si="501"/>
        <v/>
      </c>
      <c r="LB123" s="4" t="str">
        <f t="shared" si="502"/>
        <v/>
      </c>
      <c r="LC123" s="4" t="str">
        <f t="shared" si="503"/>
        <v/>
      </c>
      <c r="LD123" s="4" t="str">
        <f t="shared" si="504"/>
        <v/>
      </c>
      <c r="LE123" s="4" t="str">
        <f t="shared" si="505"/>
        <v/>
      </c>
      <c r="LF123" s="4" t="str">
        <f t="shared" si="506"/>
        <v/>
      </c>
      <c r="LG123" s="4" t="str">
        <f t="shared" si="507"/>
        <v/>
      </c>
      <c r="LH123" s="4" t="str">
        <f t="shared" si="508"/>
        <v/>
      </c>
      <c r="LI123" s="4" t="str">
        <f t="shared" si="509"/>
        <v/>
      </c>
      <c r="LJ123" s="4" t="str">
        <f t="shared" si="510"/>
        <v/>
      </c>
      <c r="LK123" s="4" t="str">
        <f t="shared" si="511"/>
        <v/>
      </c>
      <c r="LL123" s="4" t="str">
        <f t="shared" si="512"/>
        <v/>
      </c>
      <c r="LM123" s="4" t="str">
        <f t="shared" si="513"/>
        <v/>
      </c>
      <c r="LN123" s="4" t="str">
        <f t="shared" si="514"/>
        <v/>
      </c>
      <c r="LO123" s="4" t="str">
        <f t="shared" si="515"/>
        <v/>
      </c>
      <c r="LP123" s="4" t="str">
        <f t="shared" si="516"/>
        <v/>
      </c>
      <c r="LQ123" s="4" t="str">
        <f t="shared" si="517"/>
        <v/>
      </c>
      <c r="LR123" s="4" t="str">
        <f t="shared" si="518"/>
        <v/>
      </c>
      <c r="LS123" s="4" t="str">
        <f t="shared" si="519"/>
        <v/>
      </c>
      <c r="LT123" s="4" t="str">
        <f t="shared" si="520"/>
        <v/>
      </c>
      <c r="LU123" s="4" t="str">
        <f t="shared" si="521"/>
        <v/>
      </c>
      <c r="LV123" s="4" t="str">
        <f t="shared" si="522"/>
        <v/>
      </c>
      <c r="LW123" s="4" t="str">
        <f t="shared" si="523"/>
        <v/>
      </c>
      <c r="LX123" s="4" t="str">
        <f t="shared" si="524"/>
        <v/>
      </c>
      <c r="LY123" s="4" t="str">
        <f t="shared" si="525"/>
        <v/>
      </c>
      <c r="LZ123" s="4" t="str">
        <f t="shared" si="526"/>
        <v/>
      </c>
      <c r="MA123" s="4" t="str">
        <f t="shared" si="527"/>
        <v/>
      </c>
      <c r="MB123" s="4" t="str">
        <f t="shared" si="528"/>
        <v/>
      </c>
      <c r="MC123" s="4" t="str">
        <f t="shared" si="529"/>
        <v/>
      </c>
      <c r="MD123" s="4" t="str">
        <f t="shared" si="530"/>
        <v/>
      </c>
      <c r="ME123" s="4" t="str">
        <f t="shared" si="531"/>
        <v/>
      </c>
      <c r="MF123" s="4" t="str">
        <f t="shared" si="532"/>
        <v/>
      </c>
      <c r="MG123" s="4">
        <f t="shared" si="533"/>
        <v>0</v>
      </c>
    </row>
    <row r="124" spans="1:345" ht="26.25" customHeight="1" x14ac:dyDescent="0.2">
      <c r="A124" s="35">
        <v>41407</v>
      </c>
      <c r="B124" s="36" t="s">
        <v>170</v>
      </c>
      <c r="C124" s="36" t="s">
        <v>230</v>
      </c>
      <c r="D124" s="31" t="s">
        <v>111</v>
      </c>
      <c r="E124" s="4">
        <v>49</v>
      </c>
      <c r="F124" s="3">
        <v>23176</v>
      </c>
      <c r="G124" s="4" t="s">
        <v>87</v>
      </c>
      <c r="H124" s="4" t="s">
        <v>108</v>
      </c>
      <c r="I124" s="4">
        <v>1836935</v>
      </c>
      <c r="R124" s="33">
        <v>-0.5</v>
      </c>
      <c r="S124" s="33">
        <v>-0.51</v>
      </c>
      <c r="T124" s="39" t="s">
        <v>249</v>
      </c>
      <c r="U124" s="67">
        <v>22.5</v>
      </c>
      <c r="V124" s="124">
        <v>41394</v>
      </c>
      <c r="W124" s="67">
        <v>0.5</v>
      </c>
      <c r="X124" s="67">
        <v>1</v>
      </c>
      <c r="Y124" s="4">
        <v>175</v>
      </c>
      <c r="Z124" s="4">
        <v>20</v>
      </c>
      <c r="AA124" s="4">
        <v>15</v>
      </c>
      <c r="AC124" s="4">
        <v>22.7</v>
      </c>
      <c r="AD124" s="4">
        <v>11.8</v>
      </c>
      <c r="AE124" s="4">
        <v>4.62</v>
      </c>
      <c r="AF124" s="4">
        <v>2.2799999999999998</v>
      </c>
      <c r="AG124" s="4">
        <v>45</v>
      </c>
      <c r="AH124" s="4">
        <v>65</v>
      </c>
      <c r="AI124" s="4">
        <v>45.42</v>
      </c>
      <c r="AJ124" s="4">
        <v>155</v>
      </c>
      <c r="AK124" s="4">
        <v>0</v>
      </c>
      <c r="AL124" s="4" t="b">
        <f t="shared" si="406"/>
        <v>0</v>
      </c>
      <c r="AN124" s="51" t="s">
        <v>78</v>
      </c>
      <c r="BC124" s="4" t="str">
        <f>IF(ISNUMBER(AP124),AP124+0.5*AQ124,"")</f>
        <v/>
      </c>
      <c r="BD124" s="4" t="str">
        <f>IF(ISNUMBER(BC124),IF(ISNUMBER(S124),BC124-S124,"MISSING"),"")</f>
        <v/>
      </c>
      <c r="BE124" s="4" t="str">
        <f t="shared" si="407"/>
        <v/>
      </c>
      <c r="BF124" s="51" t="s">
        <v>501</v>
      </c>
      <c r="BU124" s="4" t="str">
        <f>IF(ISNUMBER(BH124),BH124+0.5*BI124,"")</f>
        <v/>
      </c>
      <c r="BV124" s="4" t="str">
        <f t="shared" si="408"/>
        <v/>
      </c>
      <c r="BW124" s="4" t="str">
        <f t="shared" si="409"/>
        <v/>
      </c>
      <c r="BX124" s="4">
        <f t="shared" si="403"/>
        <v>0</v>
      </c>
      <c r="BY124" s="4">
        <f t="shared" si="410"/>
        <v>0</v>
      </c>
      <c r="BZ124" s="4" t="str">
        <f t="shared" si="411"/>
        <v/>
      </c>
      <c r="CA124" s="4" t="str">
        <f t="shared" si="412"/>
        <v/>
      </c>
      <c r="CB124" s="4" t="str">
        <f t="shared" si="413"/>
        <v/>
      </c>
      <c r="CC124" s="53">
        <f t="shared" si="414"/>
        <v>0</v>
      </c>
      <c r="CD124" s="55" t="str">
        <f t="shared" si="415"/>
        <v/>
      </c>
      <c r="CE124" s="4" t="str">
        <f t="shared" si="416"/>
        <v/>
      </c>
      <c r="CF124" s="4" t="str">
        <f t="shared" si="417"/>
        <v/>
      </c>
      <c r="CG124" s="4" t="str">
        <f t="shared" si="418"/>
        <v/>
      </c>
      <c r="CH124" s="4" t="str">
        <f t="shared" si="419"/>
        <v/>
      </c>
      <c r="CI124" s="4" t="str">
        <f t="shared" si="420"/>
        <v/>
      </c>
      <c r="CJ124" s="4" t="str">
        <f t="shared" si="421"/>
        <v/>
      </c>
      <c r="CK124" s="93" t="str">
        <f t="shared" si="422"/>
        <v/>
      </c>
      <c r="CL124" s="83" t="str">
        <f t="shared" si="423"/>
        <v/>
      </c>
      <c r="CM124" s="4" t="str">
        <f t="shared" si="424"/>
        <v/>
      </c>
      <c r="CN124" s="96" t="str">
        <f t="shared" si="425"/>
        <v/>
      </c>
      <c r="CO124" s="96" t="str">
        <f t="shared" si="398"/>
        <v/>
      </c>
      <c r="CP124" s="127" t="str">
        <f t="shared" si="426"/>
        <v/>
      </c>
      <c r="CQ124" s="127" t="str">
        <f t="shared" si="427"/>
        <v/>
      </c>
      <c r="CR124" s="136" t="str">
        <f t="shared" si="428"/>
        <v/>
      </c>
      <c r="CS124" s="136" t="str">
        <f t="shared" si="429"/>
        <v/>
      </c>
      <c r="CT124" s="135" t="str">
        <f t="shared" si="430"/>
        <v/>
      </c>
      <c r="CU124" s="139" t="str">
        <f t="shared" si="431"/>
        <v/>
      </c>
      <c r="CV124" s="96" t="str">
        <f t="shared" si="432"/>
        <v/>
      </c>
      <c r="CW124" s="141" t="str">
        <f t="shared" si="433"/>
        <v/>
      </c>
      <c r="CX124">
        <v>7.51</v>
      </c>
      <c r="CY124" s="4">
        <v>7.55</v>
      </c>
      <c r="CZ124" s="4">
        <v>126.7</v>
      </c>
      <c r="DA124" s="4">
        <v>0.2</v>
      </c>
      <c r="DB124" s="4">
        <v>0.3</v>
      </c>
      <c r="DC124" s="4">
        <v>0.41</v>
      </c>
      <c r="DD124" s="4">
        <v>2.9</v>
      </c>
      <c r="DE124" s="4">
        <v>3.47</v>
      </c>
      <c r="DF124" s="4">
        <v>577</v>
      </c>
      <c r="DG124" s="4">
        <v>581</v>
      </c>
      <c r="DH124" s="4">
        <v>721</v>
      </c>
      <c r="DI124" s="4">
        <v>665</v>
      </c>
      <c r="DJ124" s="4">
        <v>699</v>
      </c>
      <c r="DK124" s="4">
        <v>658</v>
      </c>
      <c r="DL124" s="4">
        <v>574</v>
      </c>
      <c r="DM124" s="4">
        <v>-0.5</v>
      </c>
      <c r="DN124" s="4">
        <v>-0.25</v>
      </c>
      <c r="DO124" s="4">
        <v>7.54</v>
      </c>
      <c r="DP124" s="4">
        <v>7.53</v>
      </c>
      <c r="DQ124" s="4">
        <v>7.54</v>
      </c>
      <c r="DR124" s="4">
        <v>7.65</v>
      </c>
      <c r="DS124" s="4">
        <v>7.81</v>
      </c>
      <c r="DT124" s="4">
        <v>8.0399999999999991</v>
      </c>
      <c r="DU124" s="4">
        <v>0</v>
      </c>
      <c r="DV124" s="4">
        <v>1.6</v>
      </c>
      <c r="DW124" s="4">
        <v>5.97</v>
      </c>
      <c r="DX124" s="4">
        <v>5.94</v>
      </c>
      <c r="DY124" s="4">
        <v>6.08</v>
      </c>
      <c r="DZ124" s="4">
        <v>6.27</v>
      </c>
      <c r="EA124" s="4">
        <v>6.31</v>
      </c>
      <c r="EB124" s="4">
        <v>0</v>
      </c>
      <c r="EC124" s="4">
        <v>0</v>
      </c>
      <c r="ED124" s="89">
        <v>1.6</v>
      </c>
      <c r="IL124" s="83" t="str">
        <f t="shared" si="434"/>
        <v/>
      </c>
      <c r="IM124" s="4" t="str">
        <f t="shared" si="435"/>
        <v/>
      </c>
      <c r="IN124" s="4" t="str">
        <f t="shared" si="436"/>
        <v/>
      </c>
      <c r="IO124" s="4" t="str">
        <f t="shared" si="437"/>
        <v/>
      </c>
      <c r="IP124" s="4" t="str">
        <f t="shared" si="438"/>
        <v/>
      </c>
      <c r="IQ124" s="4" t="str">
        <f t="shared" si="439"/>
        <v/>
      </c>
      <c r="IR124" s="4" t="str">
        <f t="shared" si="440"/>
        <v/>
      </c>
      <c r="IS124" s="4" t="str">
        <f t="shared" si="441"/>
        <v/>
      </c>
      <c r="IT124" s="4" t="str">
        <f t="shared" si="442"/>
        <v/>
      </c>
      <c r="IU124" s="4" t="str">
        <f t="shared" si="443"/>
        <v/>
      </c>
      <c r="IV124" s="4" t="str">
        <f t="shared" si="444"/>
        <v/>
      </c>
      <c r="IW124" s="4" t="str">
        <f t="shared" si="445"/>
        <v/>
      </c>
      <c r="IX124" s="4" t="str">
        <f t="shared" si="446"/>
        <v/>
      </c>
      <c r="IY124" s="4" t="str">
        <f t="shared" si="447"/>
        <v/>
      </c>
      <c r="IZ124" s="4" t="str">
        <f t="shared" si="448"/>
        <v/>
      </c>
      <c r="JA124" s="4" t="str">
        <f t="shared" si="449"/>
        <v/>
      </c>
      <c r="JB124" s="4" t="str">
        <f t="shared" si="450"/>
        <v/>
      </c>
      <c r="JC124" s="4" t="str">
        <f t="shared" si="451"/>
        <v/>
      </c>
      <c r="JD124" s="4" t="str">
        <f t="shared" si="452"/>
        <v/>
      </c>
      <c r="JE124" s="4" t="str">
        <f t="shared" si="453"/>
        <v/>
      </c>
      <c r="JF124" s="4" t="str">
        <f t="shared" si="454"/>
        <v/>
      </c>
      <c r="JG124" s="4" t="str">
        <f t="shared" si="455"/>
        <v/>
      </c>
      <c r="JH124" s="4" t="str">
        <f t="shared" si="456"/>
        <v/>
      </c>
      <c r="JI124" s="4" t="str">
        <f t="shared" si="457"/>
        <v/>
      </c>
      <c r="JJ124" s="4" t="str">
        <f t="shared" si="458"/>
        <v/>
      </c>
      <c r="JK124" s="4" t="str">
        <f t="shared" si="459"/>
        <v/>
      </c>
      <c r="JL124" s="4" t="str">
        <f t="shared" si="460"/>
        <v/>
      </c>
      <c r="JM124" s="4" t="str">
        <f t="shared" si="461"/>
        <v/>
      </c>
      <c r="JN124" s="4" t="str">
        <f t="shared" si="462"/>
        <v/>
      </c>
      <c r="JO124" s="4" t="str">
        <f t="shared" si="463"/>
        <v/>
      </c>
      <c r="JP124" s="4" t="str">
        <f t="shared" si="464"/>
        <v/>
      </c>
      <c r="JQ124" s="117" t="str">
        <f t="shared" si="465"/>
        <v/>
      </c>
      <c r="JR124" s="110" t="str">
        <f t="shared" si="466"/>
        <v/>
      </c>
      <c r="JS124" s="110" t="str">
        <f t="shared" si="467"/>
        <v/>
      </c>
      <c r="JT124" s="110" t="str">
        <f t="shared" si="468"/>
        <v/>
      </c>
      <c r="JU124" s="110" t="str">
        <f t="shared" si="469"/>
        <v/>
      </c>
      <c r="JV124" s="110" t="str">
        <f t="shared" si="470"/>
        <v/>
      </c>
      <c r="JW124" s="110" t="str">
        <f t="shared" si="471"/>
        <v/>
      </c>
      <c r="JX124" s="110" t="str">
        <f t="shared" si="472"/>
        <v/>
      </c>
      <c r="JY124" s="110" t="str">
        <f t="shared" si="473"/>
        <v/>
      </c>
      <c r="JZ124" s="110" t="str">
        <f t="shared" si="474"/>
        <v/>
      </c>
      <c r="KA124" s="110" t="str">
        <f t="shared" si="475"/>
        <v/>
      </c>
      <c r="KB124" s="110" t="str">
        <f t="shared" si="476"/>
        <v/>
      </c>
      <c r="KC124" s="110" t="str">
        <f t="shared" si="477"/>
        <v/>
      </c>
      <c r="KD124" s="110" t="str">
        <f t="shared" si="478"/>
        <v/>
      </c>
      <c r="KE124" s="110" t="str">
        <f t="shared" si="479"/>
        <v/>
      </c>
      <c r="KF124" s="110" t="str">
        <f t="shared" si="480"/>
        <v/>
      </c>
      <c r="KG124" s="121" t="str">
        <f t="shared" si="481"/>
        <v/>
      </c>
      <c r="KH124" s="83" t="str">
        <f t="shared" si="482"/>
        <v/>
      </c>
      <c r="KI124" s="4" t="str">
        <f t="shared" si="483"/>
        <v/>
      </c>
      <c r="KJ124" s="4" t="str">
        <f t="shared" si="484"/>
        <v/>
      </c>
      <c r="KK124" s="4" t="str">
        <f t="shared" si="485"/>
        <v/>
      </c>
      <c r="KL124" s="4" t="str">
        <f t="shared" si="486"/>
        <v/>
      </c>
      <c r="KM124" s="4" t="str">
        <f t="shared" si="487"/>
        <v/>
      </c>
      <c r="KN124" s="4" t="str">
        <f t="shared" si="488"/>
        <v/>
      </c>
      <c r="KO124" s="4" t="str">
        <f t="shared" si="489"/>
        <v/>
      </c>
      <c r="KP124" s="4" t="str">
        <f t="shared" si="490"/>
        <v/>
      </c>
      <c r="KQ124" s="4" t="str">
        <f t="shared" si="491"/>
        <v/>
      </c>
      <c r="KR124" s="4" t="str">
        <f t="shared" si="492"/>
        <v/>
      </c>
      <c r="KS124" s="4" t="str">
        <f t="shared" si="493"/>
        <v/>
      </c>
      <c r="KT124" s="4" t="str">
        <f t="shared" si="494"/>
        <v/>
      </c>
      <c r="KU124" s="4" t="str">
        <f t="shared" si="495"/>
        <v/>
      </c>
      <c r="KV124" s="4" t="str">
        <f t="shared" si="496"/>
        <v/>
      </c>
      <c r="KW124" s="4" t="str">
        <f t="shared" si="497"/>
        <v/>
      </c>
      <c r="KX124" s="4" t="str">
        <f t="shared" si="498"/>
        <v/>
      </c>
      <c r="KY124" s="4" t="str">
        <f t="shared" si="499"/>
        <v/>
      </c>
      <c r="KZ124" s="4" t="str">
        <f t="shared" si="500"/>
        <v/>
      </c>
      <c r="LA124" s="4" t="str">
        <f t="shared" si="501"/>
        <v/>
      </c>
      <c r="LB124" s="4" t="str">
        <f t="shared" si="502"/>
        <v/>
      </c>
      <c r="LC124" s="4" t="str">
        <f t="shared" si="503"/>
        <v/>
      </c>
      <c r="LD124" s="4" t="str">
        <f t="shared" si="504"/>
        <v/>
      </c>
      <c r="LE124" s="4" t="str">
        <f t="shared" si="505"/>
        <v/>
      </c>
      <c r="LF124" s="4" t="str">
        <f t="shared" si="506"/>
        <v/>
      </c>
      <c r="LG124" s="4" t="str">
        <f t="shared" si="507"/>
        <v/>
      </c>
      <c r="LH124" s="4" t="str">
        <f t="shared" si="508"/>
        <v/>
      </c>
      <c r="LI124" s="4" t="str">
        <f t="shared" si="509"/>
        <v/>
      </c>
      <c r="LJ124" s="4" t="str">
        <f t="shared" si="510"/>
        <v/>
      </c>
      <c r="LK124" s="4" t="str">
        <f t="shared" si="511"/>
        <v/>
      </c>
      <c r="LL124" s="4" t="str">
        <f t="shared" si="512"/>
        <v/>
      </c>
      <c r="LM124" s="4" t="str">
        <f t="shared" si="513"/>
        <v/>
      </c>
      <c r="LN124" s="4" t="str">
        <f t="shared" si="514"/>
        <v/>
      </c>
      <c r="LO124" s="4" t="str">
        <f t="shared" si="515"/>
        <v/>
      </c>
      <c r="LP124" s="4" t="str">
        <f t="shared" si="516"/>
        <v/>
      </c>
      <c r="LQ124" s="4" t="str">
        <f t="shared" si="517"/>
        <v/>
      </c>
      <c r="LR124" s="4" t="str">
        <f t="shared" si="518"/>
        <v/>
      </c>
      <c r="LS124" s="4" t="str">
        <f t="shared" si="519"/>
        <v/>
      </c>
      <c r="LT124" s="4" t="str">
        <f t="shared" si="520"/>
        <v/>
      </c>
      <c r="LU124" s="4" t="str">
        <f t="shared" si="521"/>
        <v/>
      </c>
      <c r="LV124" s="4" t="str">
        <f t="shared" si="522"/>
        <v/>
      </c>
      <c r="LW124" s="4" t="str">
        <f t="shared" si="523"/>
        <v/>
      </c>
      <c r="LX124" s="4" t="str">
        <f t="shared" si="524"/>
        <v/>
      </c>
      <c r="LY124" s="4" t="str">
        <f t="shared" si="525"/>
        <v/>
      </c>
      <c r="LZ124" s="4" t="str">
        <f t="shared" si="526"/>
        <v/>
      </c>
      <c r="MA124" s="4" t="str">
        <f t="shared" si="527"/>
        <v/>
      </c>
      <c r="MB124" s="4" t="str">
        <f t="shared" si="528"/>
        <v/>
      </c>
      <c r="MC124" s="4" t="str">
        <f t="shared" si="529"/>
        <v/>
      </c>
      <c r="MD124" s="4" t="str">
        <f t="shared" si="530"/>
        <v/>
      </c>
      <c r="ME124" s="4" t="str">
        <f t="shared" si="531"/>
        <v/>
      </c>
      <c r="MF124" s="4" t="str">
        <f t="shared" si="532"/>
        <v/>
      </c>
      <c r="MG124" s="4">
        <f t="shared" si="533"/>
        <v>0</v>
      </c>
    </row>
    <row r="125" spans="1:345" ht="26.25" customHeight="1" x14ac:dyDescent="0.2">
      <c r="BX125" s="4">
        <f t="shared" si="403"/>
        <v>0</v>
      </c>
      <c r="BY125" s="4">
        <f t="shared" si="410"/>
        <v>0</v>
      </c>
      <c r="BZ125" s="4" t="str">
        <f t="shared" si="411"/>
        <v/>
      </c>
      <c r="CA125" s="4" t="str">
        <f t="shared" si="412"/>
        <v/>
      </c>
      <c r="CB125" s="4" t="str">
        <f t="shared" si="413"/>
        <v/>
      </c>
      <c r="CC125" s="53">
        <f t="shared" si="414"/>
        <v>0</v>
      </c>
      <c r="CD125" s="55" t="str">
        <f t="shared" si="415"/>
        <v/>
      </c>
      <c r="CE125" s="4" t="str">
        <f t="shared" si="416"/>
        <v/>
      </c>
      <c r="CF125" s="4" t="str">
        <f t="shared" si="417"/>
        <v/>
      </c>
      <c r="CG125" s="4" t="str">
        <f t="shared" si="418"/>
        <v/>
      </c>
      <c r="CH125" s="4" t="str">
        <f t="shared" si="419"/>
        <v/>
      </c>
      <c r="CI125" s="4" t="str">
        <f t="shared" si="420"/>
        <v/>
      </c>
      <c r="CJ125" s="4" t="str">
        <f t="shared" si="421"/>
        <v/>
      </c>
      <c r="CK125" s="93" t="str">
        <f t="shared" si="422"/>
        <v/>
      </c>
      <c r="CL125" s="83" t="str">
        <f t="shared" si="423"/>
        <v/>
      </c>
      <c r="CM125" s="4" t="str">
        <f t="shared" si="424"/>
        <v/>
      </c>
      <c r="CN125" s="96" t="str">
        <f t="shared" si="425"/>
        <v/>
      </c>
      <c r="CR125" s="136" t="str">
        <f t="shared" si="428"/>
        <v/>
      </c>
      <c r="CS125" s="136" t="str">
        <f t="shared" si="429"/>
        <v/>
      </c>
      <c r="CT125" s="135" t="str">
        <f t="shared" si="430"/>
        <v/>
      </c>
      <c r="CU125" s="139" t="str">
        <f t="shared" si="431"/>
        <v/>
      </c>
      <c r="CV125" s="96" t="str">
        <f t="shared" si="432"/>
        <v/>
      </c>
      <c r="CW125" s="141" t="str">
        <f t="shared" si="433"/>
        <v/>
      </c>
      <c r="JR125" s="110"/>
    </row>
    <row r="126" spans="1:345" ht="26.25" customHeight="1" x14ac:dyDescent="0.2">
      <c r="CU126" s="139" t="str">
        <f t="shared" si="431"/>
        <v/>
      </c>
      <c r="CV126" s="96" t="str">
        <f t="shared" si="432"/>
        <v/>
      </c>
    </row>
    <row r="127" spans="1:345" ht="26.25" customHeight="1" x14ac:dyDescent="0.2">
      <c r="CG127" s="4" t="str">
        <f>IF(AND(ISNUMBER(BQ127), ISNUMBER(AG127)), AVERAGE(BQ127,BS127)-AVERAGE(AG127,AI127),"")</f>
        <v/>
      </c>
      <c r="CS127" s="136" t="str">
        <f t="shared" ref="CS127:CS136" si="535">IF(ISNUMBER(CR127),PREOP_BCVA,"")</f>
        <v/>
      </c>
      <c r="CT127" s="135" t="str">
        <f>IF(AND(REF_TARGET&lt;=0,REF_TARGET&gt;-1),IF(ISNUMBER(UDVA_12),UDVA_12,IF(ISNUMBER(UDVA_6),UDVA_6,"")),"")</f>
        <v/>
      </c>
      <c r="CU127" s="139" t="str">
        <f t="shared" si="431"/>
        <v/>
      </c>
      <c r="CV127" s="96" t="str">
        <f t="shared" si="432"/>
        <v/>
      </c>
    </row>
    <row r="128" spans="1:345" ht="26.25" customHeight="1" x14ac:dyDescent="0.2">
      <c r="CG128" s="4" t="str">
        <f>IF(AND(ISNUMBER(BQ128), ISNUMBER(AG128)), AVERAGE(BQ128,BS128)-AVERAGE(AG128,AI128),"")</f>
        <v/>
      </c>
      <c r="CS128" s="136" t="str">
        <f t="shared" si="535"/>
        <v/>
      </c>
      <c r="CT128" s="135" t="str">
        <f t="shared" ref="CT128:CT135" si="536">IF(AND(S128&lt;=0,S128&gt;-1),IF(ISNUMBER(BG128),BG128,IF(ISNUMBER(AO128),AO128,"")),"")</f>
        <v/>
      </c>
      <c r="CV128" s="96" t="str">
        <f t="shared" si="432"/>
        <v/>
      </c>
    </row>
    <row r="129" spans="97:100" ht="26.25" customHeight="1" x14ac:dyDescent="0.2">
      <c r="CS129" s="136" t="str">
        <f t="shared" si="535"/>
        <v/>
      </c>
      <c r="CT129" s="135" t="str">
        <f t="shared" si="536"/>
        <v/>
      </c>
      <c r="CV129" s="96" t="str">
        <f t="shared" si="432"/>
        <v/>
      </c>
    </row>
    <row r="130" spans="97:100" ht="26.25" customHeight="1" x14ac:dyDescent="0.2">
      <c r="CS130" s="136" t="str">
        <f t="shared" si="535"/>
        <v/>
      </c>
      <c r="CT130" s="135" t="str">
        <f t="shared" si="536"/>
        <v/>
      </c>
      <c r="CV130" s="96" t="str">
        <f t="shared" si="432"/>
        <v/>
      </c>
    </row>
    <row r="131" spans="97:100" ht="26.25" customHeight="1" x14ac:dyDescent="0.2">
      <c r="CS131" s="136" t="str">
        <f t="shared" si="535"/>
        <v/>
      </c>
      <c r="CT131" s="135" t="str">
        <f t="shared" si="536"/>
        <v/>
      </c>
      <c r="CV131" s="96" t="str">
        <f t="shared" si="432"/>
        <v/>
      </c>
    </row>
    <row r="132" spans="97:100" ht="26.25" customHeight="1" x14ac:dyDescent="0.2">
      <c r="CS132" s="136" t="str">
        <f t="shared" si="535"/>
        <v/>
      </c>
      <c r="CT132" s="135" t="str">
        <f t="shared" si="536"/>
        <v/>
      </c>
      <c r="CV132" s="96" t="str">
        <f t="shared" si="432"/>
        <v/>
      </c>
    </row>
    <row r="133" spans="97:100" ht="26.25" customHeight="1" x14ac:dyDescent="0.2">
      <c r="CS133" s="136" t="str">
        <f t="shared" si="535"/>
        <v/>
      </c>
      <c r="CT133" s="135" t="str">
        <f t="shared" si="536"/>
        <v/>
      </c>
    </row>
    <row r="134" spans="97:100" ht="26.25" customHeight="1" x14ac:dyDescent="0.2">
      <c r="CS134" s="136" t="str">
        <f t="shared" si="535"/>
        <v/>
      </c>
      <c r="CT134" s="135" t="str">
        <f t="shared" si="536"/>
        <v/>
      </c>
    </row>
    <row r="135" spans="97:100" ht="26.25" customHeight="1" x14ac:dyDescent="0.2">
      <c r="CS135" s="136" t="str">
        <f t="shared" si="535"/>
        <v/>
      </c>
      <c r="CT135" s="135" t="str">
        <f t="shared" si="536"/>
        <v/>
      </c>
    </row>
    <row r="136" spans="97:100" ht="26.25" customHeight="1" x14ac:dyDescent="0.2">
      <c r="CS136" s="136" t="str">
        <f t="shared" si="535"/>
        <v/>
      </c>
      <c r="CT136" s="135" t="str">
        <f>IF(AND(S136&lt;=0,S136&gt;-1),IF(ISNUMBER(BC),BC,IF(ISNUMBER(AK),AK,"")),"")</f>
        <v/>
      </c>
    </row>
    <row r="137" spans="97:100" ht="26.25" customHeight="1" x14ac:dyDescent="0.2">
      <c r="CT137" s="135" t="str">
        <f>IF(AND(S137&lt;=0,S137&gt;-1),IF(ISNUMBER(BC),BC,IF(ISNUMBER(AK),AK,"")),"")</f>
        <v/>
      </c>
    </row>
    <row r="138" spans="97:100" ht="26.25" customHeight="1" x14ac:dyDescent="0.2">
      <c r="CT138" s="135" t="str">
        <f>IF(AND(S138&lt;=0,S138&gt;-1),IF(ISNUMBER(BC),BC,IF(ISNUMBER(AK),AK,"")),"")</f>
        <v/>
      </c>
    </row>
    <row r="139" spans="97:100" ht="26.25" customHeight="1" x14ac:dyDescent="0.2">
      <c r="CT139" s="135" t="str">
        <f>IF(AND(S139&lt;=0,S139&gt;-1),IF(ISNUMBER(BC),BC,IF(ISNUMBER(AK),AK,"")),"")</f>
        <v/>
      </c>
    </row>
    <row r="140" spans="97:100" ht="26.25" customHeight="1" x14ac:dyDescent="0.2">
      <c r="CT140" s="135" t="str">
        <f>IF(AND(S140&lt;=0,S140&gt;-1),IF(ISNUMBER(BC),BC,IF(ISNUMBER(AK),AK,"")),"")</f>
        <v/>
      </c>
    </row>
  </sheetData>
  <sortState ref="A2:MG140">
    <sortCondition descending="1" ref="BX2:BX140"/>
    <sortCondition ref="I2:I140"/>
  </sortState>
  <dataConsolidate/>
  <customSheetViews>
    <customSheetView guid="{54C114DD-C157-4E30-91DC-9B94C55E8054}" hiddenColumns="1">
      <pane ySplit="1" topLeftCell="A74" activePane="bottomLeft" state="frozen"/>
      <selection pane="bottomLeft" activeCell="BF84" sqref="BF84"/>
      <pageMargins left="0.75" right="0.75" top="1" bottom="1" header="0.5" footer="0.5"/>
      <pageSetup orientation="portrait" r:id="rId1"/>
      <headerFooter alignWithMargins="0"/>
    </customSheetView>
    <customSheetView guid="{9D4EC4DC-E305-42C0-86D3-802895C39393}" showPageBreaks="1" hiddenColumns="1">
      <selection activeCell="L56" sqref="L56"/>
      <pageMargins left="0.75" right="0.75" top="1" bottom="1" header="0.5" footer="0.5"/>
      <pageSetup orientation="portrait" r:id="rId2"/>
      <headerFooter alignWithMargins="0"/>
    </customSheetView>
  </customSheetViews>
  <phoneticPr fontId="23" type="noConversion"/>
  <conditionalFormatting sqref="BD1:BE2 BD3:BD16 BD103:BD105 BD107:BE65532 BW103:BW105 BW107:BW125 BD18:BD101 BW2:BW101 BE3:BE105">
    <cfRule type="cellIs" dxfId="40" priority="13" stopIfTrue="1" operator="equal">
      <formula>"MISSING"</formula>
    </cfRule>
  </conditionalFormatting>
  <conditionalFormatting sqref="BF2:BF16 BF103:BF105 BF107:BF118 BF18:BF101">
    <cfRule type="expression" dxfId="39" priority="10">
      <formula>(TODAY()-$A2)&gt;9*30</formula>
    </cfRule>
  </conditionalFormatting>
  <conditionalFormatting sqref="AN2:AN16 AN103:AN105 AN107:AN126 AN18:AN101">
    <cfRule type="expression" dxfId="38" priority="9">
      <formula>AND((TODAY()-$A2)&gt;6*30,(TODAY()-$A2)&lt;9*30)</formula>
    </cfRule>
  </conditionalFormatting>
  <conditionalFormatting sqref="BF103:BF105 BF107:BF65532 BF1:BF101">
    <cfRule type="expression" dxfId="37" priority="7" stopIfTrue="1">
      <formula>(TODAY()-BF1)&lt;1</formula>
    </cfRule>
    <cfRule type="expression" dxfId="36" priority="8" stopIfTrue="1">
      <formula>AND((BF1&gt;1),(TODAY()-BF1)&gt;1)</formula>
    </cfRule>
  </conditionalFormatting>
  <conditionalFormatting sqref="K105:Q105 K107:Q109 K3:Q3 K15:Q15 K11:M11 K23:Q25 Q21:Q22 K27:Q27 K31:Q31 K36:Q38 K41:Q41 K49:Q49 K52:Q62 K65:Q66 K70:Q71 K73:Q77 K83:Q84 K78:M78 K87:Q88 K91:Q93 K95:Q100 K103:M103 K111:Q65532">
    <cfRule type="duplicateValues" dxfId="35" priority="6"/>
  </conditionalFormatting>
  <conditionalFormatting sqref="T108:Z108 AF110:AL110 S1:AL1 S109:Z125 AA111:AL125 AA110:AD110 S126:AL65532 T2:AL2 S107:Z107 S103:AL105 AA107:AL109 S3:AL101">
    <cfRule type="containsBlanks" dxfId="34" priority="5">
      <formula>LEN(TRIM(S1))=0</formula>
    </cfRule>
  </conditionalFormatting>
  <conditionalFormatting sqref="I107:I1048576 I1:I105">
    <cfRule type="duplicateValues" dxfId="33" priority="2"/>
  </conditionalFormatting>
  <conditionalFormatting sqref="S2">
    <cfRule type="containsBlanks" dxfId="32" priority="1">
      <formula>LEN(TRIM(S2))=0</formula>
    </cfRule>
  </conditionalFormatting>
  <hyperlinks>
    <hyperlink ref="AN64710" r:id="rId3" display="CF@6in"/>
    <hyperlink ref="AU64737" r:id="rId4" display="HM@6in"/>
    <hyperlink ref="CZ64710" r:id="rId5" display="CF@3ft"/>
    <hyperlink ref="W64807" r:id="rId6" display="Cf@4ft"/>
    <hyperlink ref="AN64782" r:id="rId7" display="CF@ 2 ft"/>
    <hyperlink ref="AN64830" r:id="rId8" display="CF@3ft"/>
    <hyperlink ref="AN65048" r:id="rId9" display="CF@2ft"/>
    <hyperlink ref="DI64833" r:id="rId10" display="CF@3ft "/>
    <hyperlink ref="AN65068" r:id="rId11" display="CF@6in"/>
    <hyperlink ref="AU65095" r:id="rId12" display="HM@6in"/>
    <hyperlink ref="F64710" r:id="rId13" display="CF@3ft"/>
    <hyperlink ref="X64833" r:id="rId14" display="CF@3ft "/>
    <hyperlink ref="G64833" r:id="rId15" display="CF@3ft "/>
    <hyperlink ref="G64710" r:id="rId16" display="CF@3ft"/>
    <hyperlink ref="W64833" r:id="rId17" display="CF@3ft "/>
    <hyperlink ref="AB64739" r:id="rId18" display="HM@6in"/>
    <hyperlink ref="CF64712" r:id="rId19" display="CF@3ft"/>
    <hyperlink ref="I64809" r:id="rId20" display="Cf@4ft"/>
    <hyperlink ref="DB64835" r:id="rId21" display="CF@3ft "/>
    <hyperlink ref="AB65097" r:id="rId22" display="HM@6in"/>
    <hyperlink ref="A64712" r:id="rId23" display="CF@3ft"/>
    <hyperlink ref="AB64737" r:id="rId24" display="HM@6in"/>
    <hyperlink ref="CF64710" r:id="rId25" display="CF@3ft"/>
    <hyperlink ref="I64807" r:id="rId26" display="Cf@4ft"/>
    <hyperlink ref="DB64833" r:id="rId27" display="CF@3ft "/>
    <hyperlink ref="AB65095" r:id="rId28" display="HM@6in"/>
    <hyperlink ref="A64710" r:id="rId29" display="CF@3ft"/>
    <hyperlink ref="AA64710" r:id="rId30" display="CF@6in"/>
    <hyperlink ref="AS64737" r:id="rId31" display="HM@6in"/>
    <hyperlink ref="CM64710" r:id="rId32" display="CF@3ft"/>
    <hyperlink ref="V64807" r:id="rId33" display="Cf@4ft"/>
    <hyperlink ref="AA64782" r:id="rId34" display="CF@ 2 ft"/>
    <hyperlink ref="AA64830" r:id="rId35" display="CF@3ft"/>
    <hyperlink ref="AA65048" r:id="rId36" display="CF@2ft"/>
    <hyperlink ref="DG64833" r:id="rId37" display="CF@3ft "/>
    <hyperlink ref="AA65068" r:id="rId38" display="CF@6in"/>
    <hyperlink ref="AS65095" r:id="rId39" display="HM@6in"/>
    <hyperlink ref="E64833" r:id="rId40" display="CF@3ft "/>
    <hyperlink ref="E64710" r:id="rId41" display="CF@3ft"/>
    <hyperlink ref="V64833" r:id="rId42" display="CF@3ft "/>
    <hyperlink ref="S64712" r:id="rId43" display="CF@6in"/>
    <hyperlink ref="Z64739" r:id="rId44" display="HM@6in"/>
    <hyperlink ref="CD64712" r:id="rId45" display="CF@3ft"/>
    <hyperlink ref="G64809" r:id="rId46" display="Cf@4ft"/>
    <hyperlink ref="S64784" r:id="rId47" display="CF@ 2 ft"/>
    <hyperlink ref="S64832" r:id="rId48" display="CF@3ft"/>
    <hyperlink ref="S65050" r:id="rId49" display="CF@2ft"/>
    <hyperlink ref="CZ64835" r:id="rId50" display="CF@3ft "/>
    <hyperlink ref="S65070" r:id="rId51" display="CF@6in"/>
    <hyperlink ref="Z65097" r:id="rId52" display="HM@6in"/>
    <hyperlink ref="H64835" r:id="rId53" display="CF@3ft "/>
    <hyperlink ref="S64710" r:id="rId54" display="CF@6in"/>
    <hyperlink ref="Z64737" r:id="rId55" display="HM@6in"/>
    <hyperlink ref="CD64710" r:id="rId56" display="CF@3ft"/>
    <hyperlink ref="G64807" r:id="rId57" display="Cf@4ft"/>
    <hyperlink ref="S64782" r:id="rId58" display="CF@ 2 ft"/>
    <hyperlink ref="S64830" r:id="rId59" display="CF@3ft"/>
    <hyperlink ref="S65048" r:id="rId60" display="CF@2ft"/>
    <hyperlink ref="CZ64833" r:id="rId61" display="CF@3ft "/>
    <hyperlink ref="S65068" r:id="rId62" display="CF@6in"/>
    <hyperlink ref="Z65095" r:id="rId63" display="HM@6in"/>
    <hyperlink ref="H64833" r:id="rId64" display="CF@3ft "/>
    <hyperlink ref="AT6" r:id="rId65" display="HM@6in"/>
    <hyperlink ref="CY16" r:id="rId66" display="CF@3ft"/>
    <hyperlink ref="AB342" r:id="rId67" display="CF@2ft"/>
    <hyperlink ref="DH128" r:id="rId68" display="CF@3ft "/>
    <hyperlink ref="AB362" r:id="rId69" display="CF@6in"/>
    <hyperlink ref="AT389" r:id="rId70" display="HM@6in"/>
    <hyperlink ref="AB707" r:id="rId71" display="CF@2ft"/>
    <hyperlink ref="W128" r:id="rId72" display="CF@3ft "/>
    <hyperlink ref="AR6" r:id="rId73" display="HM@6in"/>
    <hyperlink ref="Z342" r:id="rId74" display="CF@2ft"/>
    <hyperlink ref="DF128" r:id="rId75" display="CF@3ft "/>
    <hyperlink ref="Z362" r:id="rId76" display="CF@6in"/>
    <hyperlink ref="AR389" r:id="rId77" display="HM@6in"/>
    <hyperlink ref="Z707" r:id="rId78" display="CF@2ft"/>
    <hyperlink ref="V128" r:id="rId79" display="CF@3ft "/>
    <hyperlink ref="AS90" r:id="rId80" display="CF@3ft"/>
    <hyperlink ref="BL128" r:id="rId81" display="CF@3ft "/>
    <hyperlink ref="B6" r:id="rId82" display="HM@6in"/>
    <hyperlink ref="AR90" r:id="rId83" display="CF@3ft"/>
    <hyperlink ref="BK128" r:id="rId84" display="CF@3ft "/>
    <hyperlink ref="B389" r:id="rId85" display="HM@6in"/>
    <hyperlink ref="C90" r:id="rId86" display="CF@3ft"/>
    <hyperlink ref="C6" r:id="rId87" display="CF@2ft"/>
    <hyperlink ref="C389" r:id="rId88" display="HM@6in"/>
    <hyperlink ref="AC64799" r:id="rId89" display="CF@6in"/>
    <hyperlink ref="AN64826" r:id="rId90" display="HM@6in"/>
    <hyperlink ref="BO64799" r:id="rId91" display="CF@3ft"/>
    <hyperlink ref="W64896" r:id="rId92" display="Cf@4ft"/>
    <hyperlink ref="AC64871" r:id="rId93" display="CF@3ft"/>
    <hyperlink ref="AC64918" r:id="rId94" display="CF@3ft"/>
    <hyperlink ref="AC65135" r:id="rId95" display="CF@2ft"/>
    <hyperlink ref="CD64921" r:id="rId96" display="CF@3ft "/>
    <hyperlink ref="AC65155" r:id="rId97" display="CF@6in"/>
    <hyperlink ref="AN65182" r:id="rId98" display="HM@6in"/>
    <hyperlink ref="AC65500" r:id="rId99" display="CF@2ft"/>
    <hyperlink ref="E64799" r:id="rId100" display="CF@3ft"/>
    <hyperlink ref="X64921" r:id="rId101" display="CF@3ft "/>
    <hyperlink ref="Z64799" r:id="rId102" display="CF@6in"/>
    <hyperlink ref="AH64826" r:id="rId103" display="HM@6in"/>
    <hyperlink ref="BL64799" r:id="rId104" display="CF@3ft"/>
    <hyperlink ref="R64896" r:id="rId105" display="Cf@4ft"/>
    <hyperlink ref="Z64871" r:id="rId106" display="CF@3ft"/>
    <hyperlink ref="Z64918" r:id="rId107" display="CF@3ft"/>
    <hyperlink ref="Z65135" r:id="rId108" display="CF@2ft"/>
    <hyperlink ref="BV64921" r:id="rId109" display="CF@3ft "/>
    <hyperlink ref="Z65155" r:id="rId110" display="CF@6in"/>
    <hyperlink ref="AH65182" r:id="rId111" display="HM@6in"/>
    <hyperlink ref="Z65500" r:id="rId112" display="CF@2ft"/>
    <hyperlink ref="B64799" r:id="rId113" display="CF@3ft"/>
    <hyperlink ref="S64921" r:id="rId114" display="CF@3ft "/>
    <hyperlink ref="AA64799" r:id="rId115" display="CF@6in"/>
    <hyperlink ref="AI64826" r:id="rId116" display="HM@6in"/>
    <hyperlink ref="BM64799" r:id="rId117" display="CF@3ft"/>
    <hyperlink ref="S64896" r:id="rId118" display="Cf@4ft"/>
    <hyperlink ref="AA64871" r:id="rId119" display="CF@3ft"/>
    <hyperlink ref="AA64918" r:id="rId120" display="CF@3ft"/>
    <hyperlink ref="AA65135" r:id="rId121" display="CF@2ft"/>
    <hyperlink ref="BX64921" r:id="rId122" display="CF@3ft "/>
    <hyperlink ref="AA65155" r:id="rId123" display="CF@6in"/>
    <hyperlink ref="AI65182" r:id="rId124" display="HM@6in"/>
    <hyperlink ref="AA65500" r:id="rId125" display="CF@2ft"/>
    <hyperlink ref="C64799" r:id="rId126" display="CF@3ft"/>
    <hyperlink ref="V64921" r:id="rId127" display="CF@3ft "/>
    <hyperlink ref="AC64740" r:id="rId128" display="CF@6in"/>
    <hyperlink ref="AN64767" r:id="rId129" display="HM@6in"/>
    <hyperlink ref="BO64740" r:id="rId130" display="CF@3ft"/>
    <hyperlink ref="W64837" r:id="rId131" display="Cf@4ft"/>
    <hyperlink ref="AC64812" r:id="rId132" display="CF@ 2 ft"/>
    <hyperlink ref="AC64859" r:id="rId133" display="CF@3ft"/>
    <hyperlink ref="AC65076" r:id="rId134" display="CF@2ft"/>
    <hyperlink ref="CD64862" r:id="rId135" display="CF@3ft "/>
    <hyperlink ref="AC65096" r:id="rId136" display="CF@6in"/>
    <hyperlink ref="AN65123" r:id="rId137" display="HM@6in"/>
    <hyperlink ref="AC65441" r:id="rId138" display="CF@2ft"/>
    <hyperlink ref="E64740" r:id="rId139" display="CF@3ft"/>
    <hyperlink ref="X64862" r:id="rId140" display="CF@3ft "/>
    <hyperlink ref="AA64740" r:id="rId141" display="CF@6in"/>
    <hyperlink ref="AI64767" r:id="rId142" display="HM@6in"/>
    <hyperlink ref="BM64740" r:id="rId143" display="CF@3ft"/>
    <hyperlink ref="S64837" r:id="rId144" display="Cf@4ft"/>
    <hyperlink ref="AA64812" r:id="rId145" display="CF@ 2 ft"/>
    <hyperlink ref="AA64859" r:id="rId146" display="CF@3ft"/>
    <hyperlink ref="AA65076" r:id="rId147" display="CF@2ft"/>
    <hyperlink ref="BX64862" r:id="rId148" display="CF@3ft "/>
    <hyperlink ref="AA65096" r:id="rId149" display="CF@6in"/>
    <hyperlink ref="AI65123" r:id="rId150" display="HM@6in"/>
    <hyperlink ref="AA65441" r:id="rId151" display="CF@2ft"/>
    <hyperlink ref="C64740" r:id="rId152" display="CF@3ft"/>
    <hyperlink ref="V64862" r:id="rId153" display="CF@3ft "/>
    <hyperlink ref="Z64740" r:id="rId154" display="CF@6in"/>
    <hyperlink ref="AH64767" r:id="rId155" display="HM@6in"/>
    <hyperlink ref="BL64740" r:id="rId156" display="CF@3ft"/>
    <hyperlink ref="R64837" r:id="rId157" display="Cf@4ft"/>
    <hyperlink ref="Z64812" r:id="rId158" display="CF@ 2 ft"/>
    <hyperlink ref="Z64859" r:id="rId159" display="CF@3ft"/>
    <hyperlink ref="Z65076" r:id="rId160" display="CF@2ft"/>
    <hyperlink ref="BV64862" r:id="rId161" display="CF@3ft "/>
    <hyperlink ref="Z65096" r:id="rId162" display="CF@6in"/>
    <hyperlink ref="AH65123" r:id="rId163" display="HM@6in"/>
    <hyperlink ref="Z65441" r:id="rId164" display="CF@2ft"/>
    <hyperlink ref="B64740" r:id="rId165" display="CF@3ft"/>
    <hyperlink ref="S64862" r:id="rId166" display="CF@3ft "/>
    <hyperlink ref="AC64776" r:id="rId167" display="CF@6in"/>
    <hyperlink ref="AN64803" r:id="rId168" display="HM@6in"/>
    <hyperlink ref="BO64776" r:id="rId169" display="CF@3ft"/>
    <hyperlink ref="W64873" r:id="rId170" display="Cf@4ft"/>
    <hyperlink ref="AC64848" r:id="rId171" display="CF@ 2 ft"/>
    <hyperlink ref="AC64895" r:id="rId172" display="CF@3ft"/>
    <hyperlink ref="AC65112" r:id="rId173" display="CF@2ft"/>
    <hyperlink ref="CD64898" r:id="rId174" display="CF@3ft "/>
    <hyperlink ref="AC65132" r:id="rId175" display="CF@6in"/>
    <hyperlink ref="AN65159" r:id="rId176" display="HM@6in"/>
    <hyperlink ref="AC65477" r:id="rId177" display="CF@2ft"/>
    <hyperlink ref="E64776" r:id="rId178" display="CF@3ft"/>
    <hyperlink ref="X64898" r:id="rId179" display="CF@3ft "/>
    <hyperlink ref="AA64776" r:id="rId180" display="CF@6in"/>
    <hyperlink ref="AI64803" r:id="rId181" display="HM@6in"/>
    <hyperlink ref="BM64776" r:id="rId182" display="CF@3ft"/>
    <hyperlink ref="S64873" r:id="rId183" display="Cf@4ft"/>
    <hyperlink ref="AA64848" r:id="rId184" display="CF@ 2 ft"/>
    <hyperlink ref="AA64895" r:id="rId185" display="CF@3ft"/>
    <hyperlink ref="AA65112" r:id="rId186" display="CF@2ft"/>
    <hyperlink ref="BX64898" r:id="rId187" display="CF@3ft "/>
    <hyperlink ref="AA65132" r:id="rId188" display="CF@6in"/>
    <hyperlink ref="AI65159" r:id="rId189" display="HM@6in"/>
    <hyperlink ref="AA65477" r:id="rId190" display="CF@2ft"/>
    <hyperlink ref="C64776" r:id="rId191" display="CF@3ft"/>
    <hyperlink ref="V64898" r:id="rId192" display="CF@3ft "/>
    <hyperlink ref="Z64776" r:id="rId193" display="CF@6in"/>
    <hyperlink ref="AH64803" r:id="rId194" display="HM@6in"/>
    <hyperlink ref="BL64776" r:id="rId195" display="CF@3ft"/>
    <hyperlink ref="R64873" r:id="rId196" display="Cf@4ft"/>
    <hyperlink ref="Z64848" r:id="rId197" display="CF@ 2 ft"/>
    <hyperlink ref="Z64895" r:id="rId198" display="CF@3ft"/>
    <hyperlink ref="Z65112" r:id="rId199" display="CF@2ft"/>
    <hyperlink ref="BV64898" r:id="rId200" display="CF@3ft "/>
    <hyperlink ref="Z65132" r:id="rId201" display="CF@6in"/>
    <hyperlink ref="AH65159" r:id="rId202" display="HM@6in"/>
    <hyperlink ref="Z65477" r:id="rId203" display="CF@2ft"/>
    <hyperlink ref="B64776" r:id="rId204" display="CF@3ft"/>
    <hyperlink ref="S64898" r:id="rId205" display="CF@3ft "/>
    <hyperlink ref="AC64752" r:id="rId206" display="CF@6in"/>
    <hyperlink ref="AN64779" r:id="rId207" display="HM@6in"/>
    <hyperlink ref="BO64752" r:id="rId208" display="CF@3ft"/>
    <hyperlink ref="W64849" r:id="rId209" display="Cf@4ft"/>
    <hyperlink ref="AC64824" r:id="rId210" display="CF@ 2 ft"/>
    <hyperlink ref="AC65088" r:id="rId211" display="CF@2ft"/>
    <hyperlink ref="CD64874" r:id="rId212" display="CF@3ft "/>
    <hyperlink ref="AC65108" r:id="rId213" display="CF@6in"/>
    <hyperlink ref="AN65135" r:id="rId214" display="HM@6in"/>
    <hyperlink ref="AC65453" r:id="rId215" display="CF@2ft"/>
    <hyperlink ref="E64752" r:id="rId216" display="CF@3ft"/>
    <hyperlink ref="X64874" r:id="rId217" display="CF@3ft "/>
    <hyperlink ref="AA64752" r:id="rId218" display="CF@6in"/>
    <hyperlink ref="AI64779" r:id="rId219" display="HM@6in"/>
    <hyperlink ref="BM64752" r:id="rId220" display="CF@3ft"/>
    <hyperlink ref="S64849" r:id="rId221" display="Cf@4ft"/>
    <hyperlink ref="AA64824" r:id="rId222" display="CF@ 2 ft"/>
    <hyperlink ref="AA65088" r:id="rId223" display="CF@2ft"/>
    <hyperlink ref="BX64874" r:id="rId224" display="CF@3ft "/>
    <hyperlink ref="AA65108" r:id="rId225" display="CF@6in"/>
    <hyperlink ref="AI65135" r:id="rId226" display="HM@6in"/>
    <hyperlink ref="AA65453" r:id="rId227" display="CF@2ft"/>
    <hyperlink ref="C64752" r:id="rId228" display="CF@3ft"/>
    <hyperlink ref="V64874" r:id="rId229" display="CF@3ft "/>
    <hyperlink ref="Z64752" r:id="rId230" display="CF@6in"/>
    <hyperlink ref="AH64779" r:id="rId231" display="HM@6in"/>
    <hyperlink ref="BL64752" r:id="rId232" display="CF@3ft"/>
    <hyperlink ref="R64849" r:id="rId233" display="Cf@4ft"/>
    <hyperlink ref="Z64824" r:id="rId234" display="CF@ 2 ft"/>
    <hyperlink ref="Z65088" r:id="rId235" display="CF@2ft"/>
    <hyperlink ref="BV64874" r:id="rId236" display="CF@3ft "/>
    <hyperlink ref="Z65108" r:id="rId237" display="CF@6in"/>
    <hyperlink ref="AH65135" r:id="rId238" display="HM@6in"/>
    <hyperlink ref="Z65453" r:id="rId239" display="CF@2ft"/>
    <hyperlink ref="B64752" r:id="rId240" display="CF@3ft"/>
    <hyperlink ref="S64874" r:id="rId241" display="CF@3ft "/>
    <hyperlink ref="AC64861" r:id="rId242" display="CF@6in"/>
    <hyperlink ref="AN64888" r:id="rId243" display="HM@6in"/>
    <hyperlink ref="BO64861" r:id="rId244" display="CF@3ft"/>
    <hyperlink ref="W64958" r:id="rId245" display="Cf@4ft"/>
    <hyperlink ref="AC64933" r:id="rId246" display="CF@ 2 ft"/>
    <hyperlink ref="AC64980" r:id="rId247" display="CF@3ft"/>
    <hyperlink ref="AC65197" r:id="rId248" display="CF@2ft"/>
    <hyperlink ref="CD64983" r:id="rId249" display="CF@3ft "/>
    <hyperlink ref="AC65217" r:id="rId250" display="CF@6in"/>
    <hyperlink ref="AN65244" r:id="rId251" display="HM@6in"/>
    <hyperlink ref="E64861" r:id="rId252" display="CF@3ft"/>
    <hyperlink ref="X64983" r:id="rId253" display="CF@3ft "/>
    <hyperlink ref="AA64861" r:id="rId254" display="CF@6in"/>
    <hyperlink ref="AI64888" r:id="rId255" display="HM@6in"/>
    <hyperlink ref="BM64861" r:id="rId256" display="CF@3ft"/>
    <hyperlink ref="S64958" r:id="rId257" display="Cf@4ft"/>
    <hyperlink ref="AA64933" r:id="rId258" display="CF@ 2 ft"/>
    <hyperlink ref="AA64980" r:id="rId259" display="CF@3ft"/>
    <hyperlink ref="AA65197" r:id="rId260" display="CF@2ft"/>
    <hyperlink ref="BX64983" r:id="rId261" display="CF@3ft "/>
    <hyperlink ref="AA65217" r:id="rId262" display="CF@6in"/>
    <hyperlink ref="AI65244" r:id="rId263" display="HM@6in"/>
    <hyperlink ref="C64861" r:id="rId264" display="CF@6in"/>
    <hyperlink ref="V64983" r:id="rId265" display="CF@3ft "/>
    <hyperlink ref="Z64861" r:id="rId266" display="CF@6in"/>
    <hyperlink ref="AH64888" r:id="rId267" display="HM@6in"/>
    <hyperlink ref="BL64861" r:id="rId268" display="CF@3ft"/>
    <hyperlink ref="R64958" r:id="rId269" display="Cf@4ft"/>
    <hyperlink ref="Z64933" r:id="rId270" display="CF@ 2 ft"/>
    <hyperlink ref="Z64980" r:id="rId271" display="CF@3ft"/>
    <hyperlink ref="Z65197" r:id="rId272" display="CF@2ft"/>
    <hyperlink ref="BV64983" r:id="rId273" display="CF@3ft "/>
    <hyperlink ref="Z65217" r:id="rId274" display="CF@6in"/>
    <hyperlink ref="AH65244" r:id="rId275" display="HM@6in"/>
    <hyperlink ref="B64861" r:id="rId276" display="CF@3ft"/>
    <hyperlink ref="S64983" r:id="rId277" display="CF@3ft "/>
    <hyperlink ref="I64888" r:id="rId278" display="HM@6in"/>
    <hyperlink ref="AS64861" r:id="rId279" display="CF@3ft"/>
    <hyperlink ref="C64933" r:id="rId280" display="CF@ 2 ft"/>
    <hyperlink ref="C64980" r:id="rId281" display="CF@3ft"/>
    <hyperlink ref="C65197" r:id="rId282" display="CF@2ft"/>
    <hyperlink ref="BB64983" r:id="rId283" display="CF@3ft "/>
    <hyperlink ref="C65217" r:id="rId284" display="CF@6in"/>
    <hyperlink ref="I65244" r:id="rId285" display="HM@6in"/>
    <hyperlink ref="C108" r:id="rId286" display="CF@2ft"/>
    <hyperlink ref="AC64882" r:id="rId287" display="CF@6in"/>
    <hyperlink ref="AN64909" r:id="rId288" display="HM@6in"/>
    <hyperlink ref="BO64882" r:id="rId289" display="CF@3ft"/>
    <hyperlink ref="W64979" r:id="rId290" display="Cf@4ft"/>
    <hyperlink ref="AC64954" r:id="rId291" display="CF@ 2 ft"/>
    <hyperlink ref="AC65001" r:id="rId292" display="CF@3ft"/>
    <hyperlink ref="AC65218" r:id="rId293" display="CF@2ft"/>
    <hyperlink ref="CD65004" r:id="rId294" display="CF@3ft "/>
    <hyperlink ref="AC65238" r:id="rId295" display="CF@6in"/>
    <hyperlink ref="AN65265" r:id="rId296" display="HM@6in"/>
    <hyperlink ref="AC105" r:id="rId297" display="CF@2ft"/>
    <hyperlink ref="E64882" r:id="rId298" display="CF@3ft"/>
    <hyperlink ref="X65004" r:id="rId299" display="CF@3ft "/>
    <hyperlink ref="AA64882" r:id="rId300" display="CF@6in"/>
    <hyperlink ref="AI64909" r:id="rId301" display="HM@6in"/>
    <hyperlink ref="BM64882" r:id="rId302" display="CF@3ft"/>
    <hyperlink ref="S64979" r:id="rId303" display="Cf@4ft"/>
    <hyperlink ref="AA64954" r:id="rId304" display="CF@ 2 ft"/>
    <hyperlink ref="AA65001" r:id="rId305" display="CF@3ft"/>
    <hyperlink ref="AA65218" r:id="rId306" display="CF@2ft"/>
    <hyperlink ref="BX65004" r:id="rId307" display="CF@3ft "/>
    <hyperlink ref="AA65238" r:id="rId308" display="CF@6in"/>
    <hyperlink ref="AI65265" r:id="rId309" display="HM@6in"/>
    <hyperlink ref="V65004" r:id="rId310" display="CF@3ft "/>
    <hyperlink ref="Z64882" r:id="rId311" display="CF@6in"/>
    <hyperlink ref="AH64909" r:id="rId312" display="HM@6in"/>
    <hyperlink ref="BL64882" r:id="rId313" display="CF@3ft"/>
    <hyperlink ref="R64979" r:id="rId314" display="Cf@4ft"/>
    <hyperlink ref="Z64954" r:id="rId315" display="CF@ 2 ft"/>
    <hyperlink ref="Z65001" r:id="rId316" display="CF@3ft"/>
    <hyperlink ref="Z65218" r:id="rId317" display="CF@2ft"/>
    <hyperlink ref="BV65004" r:id="rId318" display="CF@3ft "/>
    <hyperlink ref="Z65238" r:id="rId319" display="CF@6in"/>
    <hyperlink ref="AH65265" r:id="rId320" display="HM@6in"/>
    <hyperlink ref="B64882" r:id="rId321" display="CF@3ft"/>
    <hyperlink ref="S65004" r:id="rId322" display="CF@3ft "/>
    <hyperlink ref="C105" r:id="rId323" display="CF@2ft"/>
    <hyperlink ref="I65265" r:id="rId324" display="HM@6in"/>
    <hyperlink ref="C65238" r:id="rId325" display="CF@6in"/>
    <hyperlink ref="BB65004" r:id="rId326" display="CF@3ft "/>
    <hyperlink ref="C65218" r:id="rId327" display="CF@2ft"/>
    <hyperlink ref="C65001" r:id="rId328" display="CF@3ft"/>
    <hyperlink ref="C64954" r:id="rId329" display="CF@ 2 ft"/>
    <hyperlink ref="AS64882" r:id="rId330" display="CF@3ft"/>
    <hyperlink ref="I64909" r:id="rId331" display="HM@6in"/>
    <hyperlink ref="C64882" r:id="rId332" display="CF@6in"/>
    <hyperlink ref="AC64876" r:id="rId333" display="CF@6in"/>
    <hyperlink ref="AN64903" r:id="rId334" display="HM@6in"/>
    <hyperlink ref="BO64876" r:id="rId335" display="CF@3ft"/>
    <hyperlink ref="W64973" r:id="rId336" display="Cf@4ft"/>
    <hyperlink ref="AC64948" r:id="rId337" display="CF@ 2 ft"/>
    <hyperlink ref="AC64995" r:id="rId338" display="CF@3ft"/>
    <hyperlink ref="AC65212" r:id="rId339" display="CF@2ft"/>
    <hyperlink ref="CD64998" r:id="rId340" display="CF@3ft "/>
    <hyperlink ref="AC65232" r:id="rId341" display="CF@6in"/>
    <hyperlink ref="AN65259" r:id="rId342" display="HM@6in"/>
    <hyperlink ref="AC44" r:id="rId343" display="CF@2ft"/>
    <hyperlink ref="E64876" r:id="rId344" display="CF@3ft"/>
    <hyperlink ref="X64998" r:id="rId345" display="CF@3ft "/>
    <hyperlink ref="AA64876" r:id="rId346" display="CF@6in"/>
    <hyperlink ref="AI64903" r:id="rId347" display="HM@6in"/>
    <hyperlink ref="BM64876" r:id="rId348" display="CF@3ft"/>
    <hyperlink ref="S64973" r:id="rId349" display="Cf@4ft"/>
    <hyperlink ref="AA64948" r:id="rId350" display="CF@ 2 ft"/>
    <hyperlink ref="AA64995" r:id="rId351" display="CF@3ft"/>
    <hyperlink ref="AA65212" r:id="rId352" display="CF@2ft"/>
    <hyperlink ref="BX64998" r:id="rId353" display="CF@3ft "/>
    <hyperlink ref="AA65232" r:id="rId354" display="CF@6in"/>
    <hyperlink ref="AI65259" r:id="rId355" display="HM@6in"/>
    <hyperlink ref="C64876" r:id="rId356" display="CF@6in"/>
    <hyperlink ref="V64998" r:id="rId357" display="CF@3ft "/>
    <hyperlink ref="Z64876" r:id="rId358" display="CF@6in"/>
    <hyperlink ref="AH64903" r:id="rId359" display="HM@6in"/>
    <hyperlink ref="BL64876" r:id="rId360" display="CF@3ft"/>
    <hyperlink ref="R64973" r:id="rId361" display="Cf@4ft"/>
    <hyperlink ref="Z64948" r:id="rId362" display="CF@ 2 ft"/>
    <hyperlink ref="Z64995" r:id="rId363" display="CF@3ft"/>
    <hyperlink ref="Z65212" r:id="rId364" display="CF@2ft"/>
    <hyperlink ref="BV64998" r:id="rId365" display="CF@3ft "/>
    <hyperlink ref="Z65232" r:id="rId366" display="CF@6in"/>
    <hyperlink ref="AH65259" r:id="rId367" display="HM@6in"/>
    <hyperlink ref="B64876" r:id="rId368" display="CF@3ft"/>
    <hyperlink ref="S64998" r:id="rId369" display="CF@3ft "/>
    <hyperlink ref="I64903" r:id="rId370" display="HM@6in"/>
    <hyperlink ref="AS64876" r:id="rId371" display="CF@3ft"/>
    <hyperlink ref="C64948" r:id="rId372" display="CF@ 2 ft"/>
    <hyperlink ref="C64995" r:id="rId373" display="CF@3ft"/>
    <hyperlink ref="C65212" r:id="rId374" display="CF@2ft"/>
    <hyperlink ref="BB64998" r:id="rId375" display="CF@3ft "/>
    <hyperlink ref="C65232" r:id="rId376" display="CF@6in"/>
    <hyperlink ref="I65259" r:id="rId377" display="HM@6in"/>
    <hyperlink ref="C44" r:id="rId378" display="CF@2ft"/>
    <hyperlink ref="AC64875" r:id="rId379" display="CF@6in"/>
    <hyperlink ref="AN64902" r:id="rId380" display="HM@6in"/>
    <hyperlink ref="BO64875" r:id="rId381" display="CF@3ft"/>
    <hyperlink ref="W64972" r:id="rId382" display="Cf@4ft"/>
    <hyperlink ref="AC64947" r:id="rId383" display="CF@ 2 ft"/>
    <hyperlink ref="AC64994" r:id="rId384" display="CF@3ft"/>
    <hyperlink ref="AC65211" r:id="rId385" display="CF@2ft"/>
    <hyperlink ref="CD64997" r:id="rId386" display="CF@3ft "/>
    <hyperlink ref="AC65231" r:id="rId387" display="CF@6in"/>
    <hyperlink ref="AN65258" r:id="rId388" display="HM@6in"/>
    <hyperlink ref="AC20" r:id="rId389" display="CF@2ft"/>
    <hyperlink ref="E64875" r:id="rId390" display="CF@3ft"/>
    <hyperlink ref="X64997" r:id="rId391" display="CF@3ft "/>
    <hyperlink ref="AA64875" r:id="rId392" display="CF@6in"/>
    <hyperlink ref="AI64902" r:id="rId393" display="HM@6in"/>
    <hyperlink ref="BM64875" r:id="rId394" display="CF@3ft"/>
    <hyperlink ref="S64972" r:id="rId395" display="Cf@4ft"/>
    <hyperlink ref="AA64947" r:id="rId396" display="CF@ 2 ft"/>
    <hyperlink ref="AA64994" r:id="rId397" display="CF@3ft"/>
    <hyperlink ref="AA65211" r:id="rId398" display="CF@2ft"/>
    <hyperlink ref="BX64997" r:id="rId399" display="CF@3ft "/>
    <hyperlink ref="AA65231" r:id="rId400" display="CF@6in"/>
    <hyperlink ref="AI65258" r:id="rId401" display="HM@6in"/>
    <hyperlink ref="C64875" r:id="rId402" display="CF@6in"/>
    <hyperlink ref="V64997" r:id="rId403" display="CF@3ft "/>
    <hyperlink ref="Z64875" r:id="rId404" display="CF@6in"/>
    <hyperlink ref="AH64902" r:id="rId405" display="HM@6in"/>
    <hyperlink ref="BL64875" r:id="rId406" display="CF@3ft"/>
    <hyperlink ref="R64972" r:id="rId407" display="Cf@4ft"/>
    <hyperlink ref="Z64947" r:id="rId408" display="CF@ 2 ft"/>
    <hyperlink ref="Z64994" r:id="rId409" display="CF@3ft"/>
    <hyperlink ref="Z65211" r:id="rId410" display="CF@2ft"/>
    <hyperlink ref="BV64997" r:id="rId411" display="CF@3ft "/>
    <hyperlink ref="Z65231" r:id="rId412" display="CF@6in"/>
    <hyperlink ref="AH65258" r:id="rId413" display="HM@6in"/>
    <hyperlink ref="B64875" r:id="rId414" display="CF@3ft"/>
    <hyperlink ref="S64997" r:id="rId415" display="CF@3ft "/>
    <hyperlink ref="I64902" r:id="rId416" display="HM@6in"/>
    <hyperlink ref="AS64875" r:id="rId417" display="CF@3ft"/>
    <hyperlink ref="C64947" r:id="rId418" display="CF@ 2 ft"/>
    <hyperlink ref="C64994" r:id="rId419" display="CF@3ft"/>
    <hyperlink ref="C65211" r:id="rId420" display="CF@2ft"/>
    <hyperlink ref="BB64997" r:id="rId421" display="CF@3ft "/>
    <hyperlink ref="C65231" r:id="rId422" display="CF@6in"/>
    <hyperlink ref="I65258" r:id="rId423" display="HM@6in"/>
    <hyperlink ref="C20" r:id="rId424" display="CF@2ft"/>
    <hyperlink ref="AC64868" r:id="rId425" display="CF@6in"/>
    <hyperlink ref="AN64895" r:id="rId426" display="HM@6in"/>
    <hyperlink ref="BO64868" r:id="rId427" display="CF@3ft"/>
    <hyperlink ref="W64965" r:id="rId428" display="Cf@4ft"/>
    <hyperlink ref="AC64940" r:id="rId429" display="CF@ 2 ft"/>
    <hyperlink ref="AC64987" r:id="rId430" display="CF@3ft"/>
    <hyperlink ref="AC65204" r:id="rId431" display="CF@2ft"/>
    <hyperlink ref="CD64990" r:id="rId432" display="CF@3ft "/>
    <hyperlink ref="AC65224" r:id="rId433" display="CF@6in"/>
    <hyperlink ref="AN65251" r:id="rId434" display="HM@6in"/>
    <hyperlink ref="E64868" r:id="rId435" display="CF@3ft"/>
    <hyperlink ref="X64990" r:id="rId436" display="CF@3ft "/>
    <hyperlink ref="AA64868" r:id="rId437" display="CF@6in"/>
    <hyperlink ref="AI64895" r:id="rId438" display="HM@6in"/>
    <hyperlink ref="BM64868" r:id="rId439" display="CF@3ft"/>
    <hyperlink ref="S64965" r:id="rId440" display="Cf@4ft"/>
    <hyperlink ref="AA64940" r:id="rId441" display="CF@ 2 ft"/>
    <hyperlink ref="AA64987" r:id="rId442" display="CF@3ft"/>
    <hyperlink ref="AA65204" r:id="rId443" display="CF@2ft"/>
    <hyperlink ref="BX64990" r:id="rId444" display="CF@3ft "/>
    <hyperlink ref="AA65224" r:id="rId445" display="CF@6in"/>
    <hyperlink ref="AI65251" r:id="rId446" display="HM@6in"/>
    <hyperlink ref="C64868" r:id="rId447" display="CF@6in"/>
    <hyperlink ref="V64990" r:id="rId448" display="CF@3ft "/>
    <hyperlink ref="Z64868" r:id="rId449" display="CF@6in"/>
    <hyperlink ref="AH64895" r:id="rId450" display="HM@6in"/>
    <hyperlink ref="BL64868" r:id="rId451" display="CF@3ft"/>
    <hyperlink ref="R64965" r:id="rId452" display="Cf@4ft"/>
    <hyperlink ref="Z64940" r:id="rId453" display="CF@ 2 ft"/>
    <hyperlink ref="Z64987" r:id="rId454" display="CF@3ft"/>
    <hyperlink ref="Z65204" r:id="rId455" display="CF@2ft"/>
    <hyperlink ref="BV64990" r:id="rId456" display="CF@3ft "/>
    <hyperlink ref="Z65224" r:id="rId457" display="CF@6in"/>
    <hyperlink ref="AH65251" r:id="rId458" display="HM@6in"/>
    <hyperlink ref="B64868" r:id="rId459" display="CF@3ft"/>
    <hyperlink ref="S64990" r:id="rId460" display="CF@3ft "/>
    <hyperlink ref="I64895" r:id="rId461" display="HM@6in"/>
    <hyperlink ref="AS64868" r:id="rId462" display="CF@3ft"/>
    <hyperlink ref="C64940" r:id="rId463" display="CF@ 2 ft"/>
    <hyperlink ref="C64987" r:id="rId464" display="CF@3ft"/>
    <hyperlink ref="C65204" r:id="rId465" display="CF@2ft"/>
    <hyperlink ref="BB64990" r:id="rId466" display="CF@3ft "/>
    <hyperlink ref="C65224" r:id="rId467" display="CF@6in"/>
    <hyperlink ref="I65251" r:id="rId468" display="HM@6in"/>
  </hyperlinks>
  <pageMargins left="0.75" right="0.75" top="1" bottom="1" header="0.5" footer="0.5"/>
  <pageSetup orientation="portrait" r:id="rId469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G12"/>
  <sheetViews>
    <sheetView workbookViewId="0">
      <selection activeCell="J7" sqref="J7:MD7"/>
    </sheetView>
  </sheetViews>
  <sheetFormatPr defaultRowHeight="12.75" x14ac:dyDescent="0.2"/>
  <cols>
    <col min="1" max="1" width="13" customWidth="1"/>
    <col min="6" max="6" width="14.42578125" customWidth="1"/>
    <col min="13" max="13" width="13.28515625" customWidth="1"/>
    <col min="14" max="14" width="11.7109375" customWidth="1"/>
    <col min="19" max="19" width="15.42578125" customWidth="1"/>
    <col min="29" max="29" width="14.85546875" customWidth="1"/>
    <col min="46" max="46" width="13.42578125" customWidth="1"/>
  </cols>
  <sheetData>
    <row r="1" spans="1:345" s="4" customFormat="1" ht="76.5" x14ac:dyDescent="0.2">
      <c r="A1" s="41" t="s">
        <v>106</v>
      </c>
      <c r="B1" s="41" t="s">
        <v>101</v>
      </c>
      <c r="C1" s="41" t="s">
        <v>100</v>
      </c>
      <c r="D1" s="5" t="s">
        <v>109</v>
      </c>
      <c r="E1" s="2" t="s">
        <v>105</v>
      </c>
      <c r="F1" s="1" t="s">
        <v>103</v>
      </c>
      <c r="G1" s="2" t="s">
        <v>107</v>
      </c>
      <c r="H1" s="2" t="s">
        <v>104</v>
      </c>
      <c r="I1" s="6" t="s">
        <v>68</v>
      </c>
      <c r="J1" s="7" t="s">
        <v>252</v>
      </c>
      <c r="K1" s="7" t="s">
        <v>253</v>
      </c>
      <c r="L1" s="7" t="s">
        <v>248</v>
      </c>
      <c r="M1" s="8" t="s">
        <v>69</v>
      </c>
      <c r="N1" s="9" t="s">
        <v>71</v>
      </c>
      <c r="O1" s="10" t="s">
        <v>92</v>
      </c>
      <c r="P1" s="11" t="s">
        <v>93</v>
      </c>
      <c r="Q1" s="12" t="s">
        <v>0</v>
      </c>
      <c r="R1" s="12" t="s">
        <v>64</v>
      </c>
      <c r="S1" s="13" t="s">
        <v>65</v>
      </c>
      <c r="T1" s="14" t="s">
        <v>58</v>
      </c>
      <c r="U1" s="14" t="s">
        <v>273</v>
      </c>
      <c r="V1" s="14" t="s">
        <v>272</v>
      </c>
      <c r="W1" s="14" t="s">
        <v>271</v>
      </c>
      <c r="X1" s="14" t="s">
        <v>59</v>
      </c>
      <c r="Y1" s="13" t="s">
        <v>60</v>
      </c>
      <c r="Z1" s="13" t="s">
        <v>61</v>
      </c>
      <c r="AA1" s="13" t="s">
        <v>62</v>
      </c>
      <c r="AB1" s="14" t="s">
        <v>274</v>
      </c>
      <c r="AC1" s="15" t="s">
        <v>247</v>
      </c>
      <c r="AD1" s="21" t="s">
        <v>278</v>
      </c>
      <c r="AE1" s="16" t="s">
        <v>85</v>
      </c>
      <c r="AF1" s="17" t="s">
        <v>73</v>
      </c>
      <c r="AG1" s="18" t="s">
        <v>93</v>
      </c>
      <c r="AH1" s="19" t="s">
        <v>74</v>
      </c>
      <c r="AI1" s="19" t="s">
        <v>75</v>
      </c>
      <c r="AJ1" s="20" t="s">
        <v>76</v>
      </c>
      <c r="AK1" s="19" t="s">
        <v>77</v>
      </c>
      <c r="AL1" s="21" t="s">
        <v>58</v>
      </c>
      <c r="AM1" s="21" t="s">
        <v>242</v>
      </c>
      <c r="AN1" s="21" t="s">
        <v>59</v>
      </c>
      <c r="AO1" s="22" t="s">
        <v>60</v>
      </c>
      <c r="AP1" s="22" t="s">
        <v>61</v>
      </c>
      <c r="AQ1" s="22" t="s">
        <v>62</v>
      </c>
      <c r="AR1" s="21" t="s">
        <v>290</v>
      </c>
      <c r="AS1" s="21" t="s">
        <v>254</v>
      </c>
      <c r="AT1" s="23" t="s">
        <v>246</v>
      </c>
      <c r="AU1" s="30" t="s">
        <v>279</v>
      </c>
      <c r="AV1" s="24" t="s">
        <v>84</v>
      </c>
      <c r="AW1" s="25" t="s">
        <v>83</v>
      </c>
      <c r="AX1" s="26" t="s">
        <v>93</v>
      </c>
      <c r="AY1" s="27" t="s">
        <v>89</v>
      </c>
      <c r="AZ1" s="27" t="s">
        <v>70</v>
      </c>
      <c r="BA1" s="28" t="s">
        <v>72</v>
      </c>
      <c r="BB1" s="29" t="s">
        <v>80</v>
      </c>
      <c r="BC1" s="30" t="s">
        <v>58</v>
      </c>
      <c r="BD1" s="30" t="s">
        <v>242</v>
      </c>
      <c r="BE1" s="30" t="s">
        <v>59</v>
      </c>
      <c r="BF1" s="29" t="s">
        <v>60</v>
      </c>
      <c r="BG1" s="29" t="s">
        <v>61</v>
      </c>
      <c r="BH1" s="29" t="s">
        <v>62</v>
      </c>
      <c r="BI1" s="30" t="s">
        <v>291</v>
      </c>
      <c r="BJ1" s="30" t="s">
        <v>254</v>
      </c>
      <c r="BK1" s="52" t="s">
        <v>255</v>
      </c>
      <c r="BL1" s="52" t="s">
        <v>280</v>
      </c>
      <c r="BM1" s="52" t="s">
        <v>281</v>
      </c>
      <c r="BN1" s="52" t="s">
        <v>283</v>
      </c>
      <c r="BO1" s="52" t="s">
        <v>284</v>
      </c>
      <c r="BP1" s="52" t="s">
        <v>285</v>
      </c>
      <c r="BQ1" s="52" t="s">
        <v>292</v>
      </c>
    </row>
    <row r="2" spans="1:345" s="4" customFormat="1" ht="25.5" x14ac:dyDescent="0.2">
      <c r="A2" s="35">
        <v>41402</v>
      </c>
      <c r="B2" s="36" t="s">
        <v>188</v>
      </c>
      <c r="C2" s="36" t="s">
        <v>79</v>
      </c>
      <c r="D2" s="31" t="s">
        <v>110</v>
      </c>
      <c r="E2" s="4">
        <v>64</v>
      </c>
      <c r="F2" s="3">
        <v>17754</v>
      </c>
      <c r="G2" s="4" t="s">
        <v>87</v>
      </c>
      <c r="H2" s="4" t="s">
        <v>108</v>
      </c>
      <c r="I2" s="4">
        <v>1836327</v>
      </c>
      <c r="J2" s="33">
        <v>-2.5</v>
      </c>
      <c r="K2" s="33"/>
      <c r="L2" s="33"/>
      <c r="M2" s="3">
        <v>41323</v>
      </c>
      <c r="N2" s="4">
        <v>3.5</v>
      </c>
      <c r="O2" s="4">
        <v>-8</v>
      </c>
      <c r="P2" s="4">
        <v>92</v>
      </c>
      <c r="Q2" s="4">
        <v>300</v>
      </c>
      <c r="R2" s="4">
        <v>12</v>
      </c>
      <c r="S2" s="4">
        <v>634</v>
      </c>
      <c r="AB2" s="54" t="s">
        <v>293</v>
      </c>
      <c r="AC2" s="37">
        <v>41548</v>
      </c>
      <c r="AD2" s="59"/>
      <c r="AE2" s="4">
        <v>4.75</v>
      </c>
      <c r="AF2" s="4">
        <v>-1.75</v>
      </c>
      <c r="AG2" s="4">
        <v>135</v>
      </c>
      <c r="AH2" s="4">
        <v>60</v>
      </c>
      <c r="AI2" s="4">
        <v>12</v>
      </c>
      <c r="AJ2" s="4">
        <v>465</v>
      </c>
      <c r="AK2" s="4">
        <v>2476</v>
      </c>
      <c r="AR2" s="4">
        <f>IF(ISNUMBER(AE2),AE2+0.5*AF2,"")</f>
        <v>3.875</v>
      </c>
      <c r="AS2" s="4" t="str">
        <f>IF(ISNUMBER(AR2),IF(ISNUMBER(K2),AR2-K2,"MISSING"),"")</f>
        <v>MISSING</v>
      </c>
      <c r="AU2" s="56"/>
      <c r="BI2" s="4" t="str">
        <f>IF(ISNUMBER(AV2),AV2+0.5*AW2,"")</f>
        <v/>
      </c>
      <c r="BJ2" s="4" t="str">
        <f>IF(ISNUMBER(BI2),IF(ISNUMBER($K2),BI2-$K2,"MISSING"),"")</f>
        <v/>
      </c>
      <c r="BK2" s="4">
        <f>IF(AND(ISBLANK($AE2),ISBLANK($AV2)),0,1)</f>
        <v>1</v>
      </c>
      <c r="BL2" s="53">
        <f>IF(ISNUMBER(AT2),AT2-A2,IF(ISNUMBER(AC2),AC2-A2,0))</f>
        <v>146</v>
      </c>
      <c r="BM2" s="55">
        <f>IF(BL2&gt;0,BL2/30,"")</f>
        <v>4.8666666666666663</v>
      </c>
      <c r="BN2" s="4" t="str">
        <f>IF(AND(ISNUMBER(AR2),ISNUMBER(BI2)),ABS(BI2-AR2),"")</f>
        <v/>
      </c>
      <c r="BO2" s="4" t="str">
        <f>IF(AND(ISNUMBER(AP2), ISNUMBER(X2)), AVERAGE(AP2,AN2)-AVERAGE(X2,Z2),"")</f>
        <v/>
      </c>
      <c r="BP2" s="4" t="str">
        <f>IF(AND(ISNUMBER(BE2), ISNUMBER(X2)), AVERAGE(BE2,BG2)-AVERAGE(X2,Z2),"")</f>
        <v/>
      </c>
      <c r="BQ2" s="4">
        <f>IF(ISNUMBER(BI2),BI2,IF(ISNUMBER(AR2),AR2,""))</f>
        <v>3.875</v>
      </c>
    </row>
    <row r="3" spans="1:345" s="4" customFormat="1" ht="76.5" x14ac:dyDescent="0.2">
      <c r="A3" s="47">
        <v>41199</v>
      </c>
      <c r="B3" s="48" t="s">
        <v>225</v>
      </c>
      <c r="C3" s="48" t="s">
        <v>10</v>
      </c>
      <c r="D3" s="49" t="s">
        <v>111</v>
      </c>
      <c r="E3" s="48">
        <v>50</v>
      </c>
      <c r="F3" s="47">
        <v>22916</v>
      </c>
      <c r="G3" s="48" t="s">
        <v>87</v>
      </c>
      <c r="H3" s="48" t="s">
        <v>108</v>
      </c>
      <c r="I3" s="48">
        <v>1828985</v>
      </c>
      <c r="J3" s="48"/>
      <c r="K3" s="48"/>
      <c r="L3" s="48" t="s">
        <v>249</v>
      </c>
      <c r="M3" s="47">
        <v>41197</v>
      </c>
      <c r="N3" s="48">
        <v>-3.5</v>
      </c>
      <c r="O3" s="48">
        <v>2</v>
      </c>
      <c r="P3" s="48">
        <v>85</v>
      </c>
      <c r="Q3" s="48">
        <v>30</v>
      </c>
      <c r="R3" s="48">
        <v>10</v>
      </c>
      <c r="S3" s="48">
        <v>547</v>
      </c>
      <c r="T3" s="48">
        <v>24.57</v>
      </c>
      <c r="U3" s="48">
        <v>11.6</v>
      </c>
      <c r="V3" s="48">
        <v>4.46</v>
      </c>
      <c r="W3" s="48">
        <v>3.64</v>
      </c>
      <c r="X3" s="48">
        <v>42.4</v>
      </c>
      <c r="Y3" s="48">
        <v>155</v>
      </c>
      <c r="Z3" s="48">
        <v>44.88</v>
      </c>
      <c r="AA3" s="48">
        <v>65</v>
      </c>
      <c r="AB3" s="50" t="s">
        <v>277</v>
      </c>
      <c r="AC3" s="47">
        <v>41374</v>
      </c>
      <c r="AD3" s="57"/>
      <c r="AE3" s="48">
        <v>1.25</v>
      </c>
      <c r="AF3" s="48">
        <v>-1</v>
      </c>
      <c r="AG3" s="48">
        <v>133</v>
      </c>
      <c r="AH3" s="48">
        <v>25</v>
      </c>
      <c r="AI3" s="48">
        <v>9</v>
      </c>
      <c r="AJ3" s="48">
        <v>525</v>
      </c>
      <c r="AK3" s="48">
        <v>1692</v>
      </c>
      <c r="AL3" s="48"/>
      <c r="AM3" s="48"/>
      <c r="AN3" s="48"/>
      <c r="AO3" s="48"/>
      <c r="AP3" s="48"/>
      <c r="AQ3" s="48"/>
      <c r="AR3" s="48">
        <f>IF(ISNUMBER(AE3),AE3+0.5*AF3,"")</f>
        <v>0.75</v>
      </c>
      <c r="AS3" s="48" t="str">
        <f>IF(ISNUMBER(AR3),IF(ISNUMBER(K3),AR3-K3,"MISSING"),"")</f>
        <v>MISSING</v>
      </c>
      <c r="AT3" s="3">
        <v>41661</v>
      </c>
      <c r="AU3" s="56">
        <v>25</v>
      </c>
      <c r="AV3" s="67">
        <v>1</v>
      </c>
      <c r="AW3" s="67">
        <v>-0.75</v>
      </c>
      <c r="AX3" s="4">
        <v>150</v>
      </c>
      <c r="AY3" s="4">
        <v>25</v>
      </c>
      <c r="AZ3" s="4">
        <v>10</v>
      </c>
      <c r="BA3" s="4">
        <v>513</v>
      </c>
      <c r="BB3" s="48">
        <v>1695</v>
      </c>
      <c r="BC3" s="4">
        <v>24.71</v>
      </c>
      <c r="BD3" s="4">
        <v>2.4500000000000002</v>
      </c>
      <c r="BE3" s="4">
        <v>41.72</v>
      </c>
      <c r="BF3" s="4">
        <v>152</v>
      </c>
      <c r="BG3" s="4">
        <v>43.89</v>
      </c>
      <c r="BH3" s="4">
        <v>62</v>
      </c>
      <c r="BI3" s="48">
        <f>IF(ISNUMBER(AV3),AV3+0.5*AW3,"")</f>
        <v>0.625</v>
      </c>
      <c r="BJ3" s="48" t="str">
        <f>IF(ISNUMBER(BI3),IF(ISNUMBER($K3),BI3-$K3,"MISSING"),"")</f>
        <v>MISSING</v>
      </c>
      <c r="BK3" s="48">
        <f>IF(AND(ISBLANK($AE3),ISBLANK($AV3)),0,1)</f>
        <v>1</v>
      </c>
      <c r="BL3" s="53">
        <f>IF(ISNUMBER(AT3),AT3-A3,IF(ISNUMBER(AC3),AC3-A3,0))</f>
        <v>462</v>
      </c>
      <c r="BM3" s="55">
        <f>IF(BL3&gt;0,BL3/30,"")</f>
        <v>15.4</v>
      </c>
      <c r="BN3" s="4">
        <f>IF(AND(ISNUMBER(AR3),ISNUMBER(BI3)),ABS(BI3-AR3),"")</f>
        <v>0.125</v>
      </c>
      <c r="BO3" s="4" t="str">
        <f>IF(AND(ISNUMBER(AP3), ISNUMBER(X3)), AVERAGE(AP3,AN3)-AVERAGE(X3,Z3),"")</f>
        <v/>
      </c>
      <c r="BP3" s="4">
        <f>IF(AND(ISNUMBER(BE3), ISNUMBER(X3)), AVERAGE(BE3,BG3)-AVERAGE(X3,Z3),"")</f>
        <v>-0.83500000000000085</v>
      </c>
      <c r="BQ3" s="4">
        <f>IF(ISNUMBER(BI3),BI3,IF(ISNUMBER(AR3),AR3,""))</f>
        <v>0.625</v>
      </c>
    </row>
    <row r="4" spans="1:345" s="4" customFormat="1" ht="25.5" x14ac:dyDescent="0.2">
      <c r="A4" s="35">
        <v>41346</v>
      </c>
      <c r="B4" s="36" t="s">
        <v>188</v>
      </c>
      <c r="C4" s="36" t="s">
        <v>79</v>
      </c>
      <c r="D4" s="31" t="s">
        <v>111</v>
      </c>
      <c r="E4" s="4">
        <v>64</v>
      </c>
      <c r="F4" s="3">
        <v>17754</v>
      </c>
      <c r="G4" s="4" t="s">
        <v>87</v>
      </c>
      <c r="H4" s="4" t="s">
        <v>108</v>
      </c>
      <c r="I4" s="4">
        <v>1836327</v>
      </c>
      <c r="M4" s="3">
        <v>41323</v>
      </c>
      <c r="N4" s="4">
        <v>2.5</v>
      </c>
      <c r="O4" s="4">
        <v>-5.75</v>
      </c>
      <c r="P4" s="4">
        <v>20</v>
      </c>
      <c r="Q4" s="4">
        <v>70</v>
      </c>
      <c r="R4" s="4">
        <v>12</v>
      </c>
      <c r="S4" s="4">
        <v>645</v>
      </c>
      <c r="AB4" s="54" t="s">
        <v>293</v>
      </c>
      <c r="AC4" s="32">
        <v>41491</v>
      </c>
      <c r="AD4" s="60"/>
      <c r="AE4" s="4">
        <v>1.5</v>
      </c>
      <c r="AF4" s="4">
        <v>-0.5</v>
      </c>
      <c r="AG4" s="4">
        <v>120</v>
      </c>
      <c r="AH4" s="4">
        <v>30</v>
      </c>
      <c r="AI4" s="4">
        <v>14</v>
      </c>
      <c r="AJ4" s="4">
        <v>552</v>
      </c>
      <c r="AK4" s="4">
        <v>1835</v>
      </c>
      <c r="AR4" s="4">
        <f>IF(ISNUMBER(AE4),AE4+0.5*AF4,"")</f>
        <v>1.25</v>
      </c>
      <c r="AS4" s="4" t="str">
        <f>IF(ISNUMBER(AR4),IF(ISNUMBER(K4),AR4-K4,"MISSING"),"")</f>
        <v>MISSING</v>
      </c>
      <c r="AU4" s="56"/>
      <c r="BI4" s="4" t="str">
        <f>IF(ISNUMBER(AV4),AV4+0.5*AW4,"")</f>
        <v/>
      </c>
      <c r="BJ4" s="4" t="str">
        <f>IF(ISNUMBER(BI4),IF(ISNUMBER($K4),BI4-$K4,"MISSING"),"")</f>
        <v/>
      </c>
      <c r="BK4" s="4">
        <f>IF(AND(ISBLANK($AE4),ISBLANK($AV4)),0,1)</f>
        <v>1</v>
      </c>
      <c r="BL4" s="53">
        <f>IF(ISNUMBER(AT4),AT4-A4,IF(ISNUMBER(AC4),AC4-A4,0))</f>
        <v>145</v>
      </c>
      <c r="BM4" s="55">
        <f>IF(BL4&gt;0,BL4/30,"")</f>
        <v>4.833333333333333</v>
      </c>
      <c r="BN4" s="4" t="str">
        <f>IF(AND(ISNUMBER(AR4),ISNUMBER(BI4)),ABS(BI4-AR4),"")</f>
        <v/>
      </c>
      <c r="BO4" s="4" t="str">
        <f>IF(AND(ISNUMBER(AP4), ISNUMBER(X4)), AVERAGE(AP4,AN4)-AVERAGE(X4,Z4),"")</f>
        <v/>
      </c>
      <c r="BP4" s="4" t="str">
        <f>IF(AND(ISNUMBER(BE4), ISNUMBER(X4)), AVERAGE(BE4,BG4)-AVERAGE(X4,Z4),"")</f>
        <v/>
      </c>
      <c r="BQ4" s="4">
        <f>IF(ISNUMBER(BI4),BI4,IF(ISNUMBER(AR4),AR4,""))</f>
        <v>1.25</v>
      </c>
    </row>
    <row r="5" spans="1:345" s="4" customFormat="1" ht="25.5" x14ac:dyDescent="0.2">
      <c r="A5" s="35">
        <v>41339</v>
      </c>
      <c r="B5" s="36" t="s">
        <v>177</v>
      </c>
      <c r="C5" s="36" t="s">
        <v>41</v>
      </c>
      <c r="D5" s="31" t="s">
        <v>110</v>
      </c>
      <c r="E5" s="4">
        <v>58</v>
      </c>
      <c r="F5" s="3">
        <v>20151</v>
      </c>
      <c r="G5" s="4" t="s">
        <v>87</v>
      </c>
      <c r="H5" s="4" t="s">
        <v>108</v>
      </c>
      <c r="I5" s="4">
        <v>1835949</v>
      </c>
      <c r="M5" s="3">
        <v>41260</v>
      </c>
      <c r="N5" s="4">
        <v>-1</v>
      </c>
      <c r="O5" s="4">
        <v>0</v>
      </c>
      <c r="P5" s="4">
        <v>0</v>
      </c>
      <c r="Q5" s="4">
        <v>30</v>
      </c>
      <c r="R5" s="4">
        <v>15</v>
      </c>
      <c r="S5" s="4">
        <v>598</v>
      </c>
      <c r="AB5" s="43" t="s">
        <v>296</v>
      </c>
      <c r="AC5" s="4" t="s">
        <v>78</v>
      </c>
      <c r="AD5" s="56"/>
      <c r="AR5" s="4" t="str">
        <f>IF(ISNUMBER(AE5),AE5+0.5*AF5,"")</f>
        <v/>
      </c>
      <c r="AS5" s="4" t="str">
        <f>IF(ISNUMBER(AR5),IF(ISNUMBER(K5),AR5-K5,"MISSING"),"")</f>
        <v/>
      </c>
      <c r="AU5" s="56"/>
      <c r="BI5" s="4" t="str">
        <f>IF(ISNUMBER(AV5),AV5+0.5*AW5,"")</f>
        <v/>
      </c>
      <c r="BJ5" s="4" t="str">
        <f>IF(ISNUMBER(BI5),IF(ISNUMBER($K5),BI5-$K5,"MISSING"),"")</f>
        <v/>
      </c>
      <c r="BK5" s="4">
        <f>IF(AND(ISBLANK($AE5),ISBLANK($AV5)),0,1)</f>
        <v>0</v>
      </c>
      <c r="BL5" s="53">
        <f>IF(ISNUMBER(AT5),AT5-A5,IF(ISNUMBER(AC5),AC5-A5,0))</f>
        <v>0</v>
      </c>
      <c r="BM5" s="55" t="str">
        <f>IF(BL5&gt;0,BL5/30,"")</f>
        <v/>
      </c>
      <c r="BN5" s="4" t="str">
        <f>IF(AND(ISNUMBER(AR5),ISNUMBER(BI5)),ABS(BI5-AR5),"")</f>
        <v/>
      </c>
      <c r="BO5" s="4" t="str">
        <f>IF(AND(ISNUMBER(AP5), ISNUMBER(X5)), AVERAGE(AP5,AN5)-AVERAGE(X5,Z5),"")</f>
        <v/>
      </c>
      <c r="BP5" s="4" t="str">
        <f>IF(AND(ISNUMBER(BE5), ISNUMBER(X5)), AVERAGE(BE5,BG5)-AVERAGE(X5,Z5),"")</f>
        <v/>
      </c>
      <c r="BQ5" s="4" t="str">
        <f>IF(ISNUMBER(BI5),BI5,IF(ISNUMBER(AR5),AR5,""))</f>
        <v/>
      </c>
    </row>
    <row r="6" spans="1:345" s="4" customFormat="1" x14ac:dyDescent="0.2">
      <c r="A6" s="35">
        <v>41402</v>
      </c>
      <c r="B6" s="36" t="s">
        <v>200</v>
      </c>
      <c r="C6" s="36" t="s">
        <v>99</v>
      </c>
      <c r="D6" s="31" t="s">
        <v>110</v>
      </c>
      <c r="E6" s="4">
        <v>63</v>
      </c>
      <c r="F6" s="3">
        <v>18078</v>
      </c>
      <c r="G6" s="4" t="s">
        <v>87</v>
      </c>
      <c r="H6" s="4" t="s">
        <v>112</v>
      </c>
      <c r="I6" s="4">
        <v>1823117</v>
      </c>
      <c r="J6" s="33">
        <v>-0.5</v>
      </c>
      <c r="K6" s="33"/>
      <c r="L6" s="33"/>
      <c r="M6" s="3">
        <v>41400</v>
      </c>
      <c r="N6" s="67">
        <v>-1.5</v>
      </c>
      <c r="O6" s="67">
        <v>-1</v>
      </c>
      <c r="P6" s="4">
        <v>60</v>
      </c>
      <c r="Q6" s="4">
        <v>60</v>
      </c>
      <c r="R6" s="4">
        <v>19</v>
      </c>
      <c r="S6" s="4">
        <v>550</v>
      </c>
      <c r="AC6" s="43" t="s">
        <v>305</v>
      </c>
      <c r="AD6" s="4" t="s">
        <v>245</v>
      </c>
      <c r="AE6" s="56"/>
      <c r="AF6" s="67"/>
      <c r="AG6" s="67"/>
      <c r="AS6" s="4" t="str">
        <f>IF(ISNUMBER(AF6),AF6+0.5*AG6,"")</f>
        <v/>
      </c>
      <c r="AT6" s="4" t="str">
        <f>IF(ISNUMBER(AS6),IF(ISNUMBER(K6),AS6-K6,"MISSING"),"")</f>
        <v/>
      </c>
      <c r="AU6" s="4" t="str">
        <f>IF(AND(ISNUMBER(AK6),ISNUMBER(S6)),AK6-S6,IF(ISNUMBER(AK6),"MISSING",""))</f>
        <v/>
      </c>
      <c r="AW6" s="56"/>
      <c r="AX6" s="67"/>
      <c r="AY6" s="67"/>
      <c r="BK6" s="4" t="str">
        <f>IF(ISNUMBER(AX6),AX6+0.5*AY6,"")</f>
        <v/>
      </c>
      <c r="BL6" s="4" t="str">
        <f>IF(ISNUMBER(BK6),IF(ISNUMBER($K6),BK6-$K6,"MISSING"),"")</f>
        <v/>
      </c>
      <c r="BM6" s="4" t="str">
        <f>IF(AND(ISNUMBER(BC6),ISNUMBER($S6)),BC6-$S6,IF(ISNUMBER(BC6),"MISSING",""))</f>
        <v/>
      </c>
      <c r="BN6" s="4">
        <f>IF(AND(ISBLANK($AF6),ISBLANK($AX6)),0,1)</f>
        <v>0</v>
      </c>
      <c r="BO6" s="53">
        <f>IF(ISNUMBER(AV6),AV6-A6,IF(ISNUMBER(AD6),AD6-A6,0))</f>
        <v>0</v>
      </c>
      <c r="BP6" s="55" t="str">
        <f>IF(BO6&gt;0,BO6/30,"")</f>
        <v/>
      </c>
      <c r="BQ6" s="4" t="str">
        <f>IF(AND(ISNUMBER(AS6),ISNUMBER(BK6)),(BK6-AS6),"")</f>
        <v/>
      </c>
      <c r="BR6" s="4" t="str">
        <f>IF(AND(ISNUMBER(AQ6), ISNUMBER(X6)), AVERAGE(AQ6,AO6)-AVERAGE(X6,Z6),"")</f>
        <v/>
      </c>
      <c r="BS6" s="4" t="str">
        <f>IF(AND(ISNUMBER(BG6), ISNUMBER(X6)), AVERAGE(BG6,BI6)-AVERAGE(X6,Z6),"")</f>
        <v/>
      </c>
      <c r="BT6" s="4" t="str">
        <f>IF(ISNUMBER(BK6),BK6,IF(ISNUMBER(AS6),AS6,""))</f>
        <v/>
      </c>
      <c r="BU6" s="4" t="str">
        <f>IF(AND(ISNUMBER(BT6),ISNUMBER(K6)),K6-BT6,"")</f>
        <v/>
      </c>
    </row>
    <row r="7" spans="1:345" s="4" customFormat="1" ht="25.5" x14ac:dyDescent="0.2">
      <c r="A7" s="44">
        <v>41444</v>
      </c>
      <c r="B7" s="36" t="s">
        <v>265</v>
      </c>
      <c r="C7" s="36" t="s">
        <v>266</v>
      </c>
      <c r="D7" s="31" t="s">
        <v>110</v>
      </c>
      <c r="E7" s="4">
        <v>60</v>
      </c>
      <c r="F7" s="3">
        <v>19322</v>
      </c>
      <c r="G7" s="4" t="s">
        <v>87</v>
      </c>
      <c r="H7" s="4" t="s">
        <v>108</v>
      </c>
      <c r="I7" s="45">
        <v>1836853</v>
      </c>
      <c r="J7" s="33">
        <v>-0.5</v>
      </c>
      <c r="K7" s="33"/>
      <c r="M7" s="46"/>
      <c r="N7" s="67">
        <v>-0.5</v>
      </c>
      <c r="O7" s="67">
        <v>0</v>
      </c>
      <c r="P7" s="4">
        <v>0</v>
      </c>
      <c r="Q7" s="4">
        <v>200</v>
      </c>
      <c r="R7" s="4">
        <v>13</v>
      </c>
      <c r="S7" s="4">
        <v>535</v>
      </c>
      <c r="AC7" s="43" t="s">
        <v>312</v>
      </c>
      <c r="AD7" s="3">
        <v>41627</v>
      </c>
      <c r="AE7" s="56">
        <v>30</v>
      </c>
      <c r="AF7" s="67">
        <v>0.75</v>
      </c>
      <c r="AG7" s="67">
        <v>0.75</v>
      </c>
      <c r="AH7" s="4">
        <v>150</v>
      </c>
      <c r="AI7" s="4">
        <v>25</v>
      </c>
      <c r="AJ7" s="4">
        <v>13</v>
      </c>
      <c r="AK7" s="4">
        <v>431</v>
      </c>
      <c r="AL7" s="4">
        <v>1984</v>
      </c>
      <c r="AM7" s="4" t="s">
        <v>282</v>
      </c>
      <c r="AN7" s="4" t="s">
        <v>282</v>
      </c>
      <c r="AO7" s="4" t="s">
        <v>282</v>
      </c>
      <c r="AP7" s="4" t="s">
        <v>282</v>
      </c>
      <c r="AQ7" s="4" t="s">
        <v>282</v>
      </c>
      <c r="AR7" s="4" t="s">
        <v>282</v>
      </c>
      <c r="AS7" s="4">
        <f>IF(ISNUMBER(AF7),AF7+0.5*AG7,"")</f>
        <v>1.125</v>
      </c>
      <c r="AT7" s="4" t="str">
        <f>IF(ISNUMBER(AS7),IF(ISNUMBER(K7),AS7-K7,"MISSING"),"")</f>
        <v>MISSING</v>
      </c>
      <c r="AU7" s="4">
        <f>IF(AND(ISNUMBER(AK7),ISNUMBER(S7)),AK7-S7,IF(ISNUMBER(AK7),"MISSING",""))</f>
        <v>-104</v>
      </c>
      <c r="AW7" s="56"/>
      <c r="AX7" s="67"/>
      <c r="AY7" s="67"/>
      <c r="BL7" s="4" t="str">
        <f>IF(ISNUMBER(BK7),IF(ISNUMBER($K7),BK7-$K7,"MISSING"),"")</f>
        <v/>
      </c>
      <c r="BM7" s="4" t="str">
        <f>IF(AND(ISNUMBER(BC7),ISNUMBER($S7)),BC7-$S7,IF(ISNUMBER(BC7),"MISSING",""))</f>
        <v/>
      </c>
      <c r="BO7" s="53">
        <f>IF(ISNUMBER(AV7),AV7-A7,IF(ISNUMBER(AD7),AD7-A7,0))</f>
        <v>183</v>
      </c>
      <c r="BP7" s="55">
        <f>IF(BO7&gt;0,BO7/30,"")</f>
        <v>6.1</v>
      </c>
      <c r="BQ7" s="4" t="str">
        <f>IF(AND(ISNUMBER(AS7),ISNUMBER(BK7)),(BK7-AS7),"")</f>
        <v/>
      </c>
      <c r="BR7" s="4" t="str">
        <f>IF(AND(ISNUMBER(AQ7), ISNUMBER(X7)), AVERAGE(AQ7,AO7)-AVERAGE(X7,Z7),"")</f>
        <v/>
      </c>
      <c r="BS7" s="4" t="str">
        <f>IF(AND(ISNUMBER(BG7), ISNUMBER(X7)), AVERAGE(BG7,BI7)-AVERAGE(X7,Z7),"")</f>
        <v/>
      </c>
      <c r="BT7" s="4">
        <f>IF(ISNUMBER(BK7),BK7,IF(ISNUMBER(AS7),AS7,""))</f>
        <v>1.125</v>
      </c>
      <c r="BU7" s="4" t="str">
        <f>IF(AND(ISNUMBER(BT7),ISNUMBER(K7)),BT7-K7,"")</f>
        <v/>
      </c>
    </row>
    <row r="8" spans="1:345" s="4" customFormat="1" ht="26.25" customHeight="1" x14ac:dyDescent="0.2">
      <c r="A8" s="35">
        <v>41185</v>
      </c>
      <c r="B8" s="36" t="s">
        <v>178</v>
      </c>
      <c r="C8" s="36" t="s">
        <v>179</v>
      </c>
      <c r="D8" s="31" t="s">
        <v>110</v>
      </c>
      <c r="E8" s="4">
        <v>46</v>
      </c>
      <c r="F8" s="3">
        <v>24356</v>
      </c>
      <c r="G8" s="4" t="s">
        <v>87</v>
      </c>
      <c r="H8" s="4" t="s">
        <v>112</v>
      </c>
      <c r="I8" s="4">
        <v>1835332</v>
      </c>
      <c r="J8" s="4">
        <v>-0.5</v>
      </c>
      <c r="K8" s="4">
        <v>-0.57999999999999996</v>
      </c>
      <c r="L8" s="4" t="s">
        <v>249</v>
      </c>
      <c r="M8" s="124">
        <v>41109</v>
      </c>
      <c r="N8" s="67"/>
      <c r="O8" s="67"/>
      <c r="R8" s="4">
        <v>16</v>
      </c>
      <c r="S8" s="4">
        <v>854</v>
      </c>
      <c r="T8" s="4">
        <v>27.79</v>
      </c>
      <c r="U8" s="4">
        <v>12.4</v>
      </c>
      <c r="V8" s="4">
        <v>4.28</v>
      </c>
      <c r="W8" s="4">
        <v>3.95</v>
      </c>
      <c r="X8" s="4">
        <v>44.18</v>
      </c>
      <c r="Y8" s="4">
        <v>29</v>
      </c>
      <c r="Z8" s="4">
        <v>44.53</v>
      </c>
      <c r="AA8" s="4">
        <v>119</v>
      </c>
      <c r="AB8" s="43" t="s">
        <v>494</v>
      </c>
      <c r="AC8" s="32">
        <v>41375</v>
      </c>
      <c r="AD8" s="60">
        <v>30</v>
      </c>
      <c r="AE8" s="67">
        <v>0</v>
      </c>
      <c r="AF8" s="67">
        <v>0</v>
      </c>
      <c r="AG8" s="4">
        <v>0</v>
      </c>
      <c r="AH8" s="4">
        <v>30</v>
      </c>
      <c r="AI8" s="4">
        <v>25</v>
      </c>
      <c r="AJ8" s="4">
        <v>553</v>
      </c>
      <c r="AK8" s="4">
        <v>1600</v>
      </c>
      <c r="AR8" s="4">
        <f>IF(ISNUMBER(AE8),AE8+0.5*AF8,"")</f>
        <v>0</v>
      </c>
      <c r="AS8" s="4">
        <f>IF(ISNUMBER(AR8),IF(ISNUMBER(K8),AR8-K8,"MISSING"),"")</f>
        <v>0.57999999999999996</v>
      </c>
      <c r="AT8" s="4">
        <f>IF(AND(ISNUMBER(AJ8),ISNUMBER(S8)),AJ8-S8,IF(ISNUMBER(AJ8),"MISSING",""))</f>
        <v>-301</v>
      </c>
      <c r="AU8" s="3">
        <v>41638</v>
      </c>
      <c r="AV8" s="56">
        <v>30</v>
      </c>
      <c r="AW8" s="67">
        <v>-1.5</v>
      </c>
      <c r="AX8" s="67">
        <v>0.5</v>
      </c>
      <c r="AY8" s="4">
        <v>70</v>
      </c>
      <c r="AZ8" s="4">
        <v>20</v>
      </c>
      <c r="BA8" s="4">
        <v>24</v>
      </c>
      <c r="BB8" s="4">
        <v>548</v>
      </c>
      <c r="BC8" s="4">
        <v>1402</v>
      </c>
      <c r="BJ8" s="4">
        <f>IF(ISNUMBER(AW8),AW8+0.5*AX8,"")</f>
        <v>-1.25</v>
      </c>
      <c r="BK8" s="4">
        <f>IF(ISNUMBER(BJ8),IF(ISNUMBER($K8),BJ8-$K8,"MISSING"),"")</f>
        <v>-0.67</v>
      </c>
      <c r="BL8" s="4">
        <f>IF(AND(ISNUMBER(BB8),ISNUMBER($S8)),BB8-$S8,IF(ISNUMBER(BB8),"MISSING",""))</f>
        <v>-306</v>
      </c>
      <c r="BM8" s="4">
        <f>IF(AND(ISBLANK($AE8),ISBLANK($AW8)),0,1)</f>
        <v>1</v>
      </c>
      <c r="BN8" s="4">
        <f>IF(AND(ISNUMBER($AE8),ISNUMBER($AW8)),1,0)</f>
        <v>1</v>
      </c>
      <c r="BO8" s="4">
        <f>IF(BN8,SE_PREOP,"")</f>
        <v>1.5</v>
      </c>
      <c r="BP8" s="4">
        <f>IF(FU_6_AND_12,SE_6,"")</f>
        <v>0.5</v>
      </c>
      <c r="BQ8" s="4">
        <f>IF(FU_6_AND_12,SE_12,"")</f>
        <v>0.5</v>
      </c>
      <c r="BR8" s="53">
        <f>IF(AND(ISNUMBER(AU8),ISNUMBER(AW8)),AU8-A8,IF(ISNUMBER(AC8),AC8-A8,0))</f>
        <v>453</v>
      </c>
      <c r="BS8" s="55">
        <f>IF(BR8&gt;0,BR8/30,"")</f>
        <v>15.1</v>
      </c>
      <c r="BT8" s="4">
        <f>IF(AND(ISNUMBER(AR8),ISNUMBER(BJ8)),(BJ8-AR8),"")</f>
        <v>-1.25</v>
      </c>
      <c r="BU8" s="4" t="str">
        <f>IF(AND(ISNUMBER(AP8), ISNUMBER(X8)), AVERAGE(AP8,AN8)-AVERAGE(X8,Z8),"")</f>
        <v/>
      </c>
      <c r="BV8" s="4" t="str">
        <f>IF(AND(ISNUMBER(BF8), ISNUMBER(X8)), AVERAGE(BF8,BH8)-AVERAGE(X8,Z8),"")</f>
        <v/>
      </c>
      <c r="BW8" s="4" t="str">
        <f>IF(ISNUMBER(BV8),BV8,IF(ISNUMBER(BU8),BU8,""))</f>
        <v/>
      </c>
      <c r="BX8" s="4">
        <f>IF(AND(ISNUMBER(SPH_PREOP),ISNUMBER(SE_LAST_)),SPH_PREOP+CYL_PREOP/2,"")</f>
        <v>1.5</v>
      </c>
      <c r="BY8" s="4">
        <f>IF(ISNUMBER(SE_12),SE_12,IF(ISNUMBER(SE_6),SE_6,""))</f>
        <v>0.5</v>
      </c>
      <c r="BZ8" s="93">
        <f>IF(AND(ISNUMBER(SE_LAST_),ISNUMBER(REF_TARGET)),SE_LAST_-REF_TARGET,"")</f>
        <v>1.06</v>
      </c>
      <c r="CA8" s="83">
        <f>IF(ISNUMBER(S8),IF(ISNUMBER(BB8),BB8-S8,IF(ISNUMBER(AJ8),AJ8-S8,"")),"")</f>
        <v>-306</v>
      </c>
      <c r="CB8" s="4" t="str">
        <f>IF(ISNUMBER(T8),IF(ISNUMBER(AL8),AL8-T8,IF(ISNUMBER(BD8),BD8-T8,"")),"")</f>
        <v/>
      </c>
      <c r="CC8" s="96" t="str">
        <f>IF(AND(OR(ISNUMBER(AZ8),ISNUMBER(AH8)),ISNUMBER(Q8)),-LOG(20/Q8)--LOG(20/IF(ISNUMBER(AZ8),AZ8,AH8)),"")</f>
        <v/>
      </c>
      <c r="CD8" s="127">
        <f>IF(ISNUMBER(AX8),AX8,IF(ISNUMBER(AF8),AF8,""))</f>
        <v>0.5</v>
      </c>
      <c r="CE8" s="127" t="str">
        <f>IF(AND(ISNUMBER(CD8),ISNUMBER(O8)),CD8-O8,"")</f>
        <v/>
      </c>
      <c r="CF8" s="135">
        <f>IF(AND(REF_TARGET&lt;=0,REF_TARGET&gt;-1),IF(ISNUMBER(UDVA_12),UDVA_12,IF(ISNUMBER(UDVA_6),UDVA_6,"")),"")</f>
        <v>25</v>
      </c>
      <c r="CG8" s="96">
        <f>IF(ISNUMBER($CJ8),IF(ISNUMBER($AE8),IF(ISNUMBER($EF8),0,1),""),"")</f>
        <v>1</v>
      </c>
      <c r="CH8" s="96">
        <f>IF(ISNUMBER($CJ8),IF(ISNUMBER($AW8),IF(ISNUMBER($GB8),0,1),""),"")</f>
        <v>0</v>
      </c>
      <c r="CI8">
        <v>7.44</v>
      </c>
      <c r="CJ8" s="4">
        <v>7.71</v>
      </c>
      <c r="CK8" s="4">
        <v>62.4</v>
      </c>
      <c r="CL8" s="4">
        <v>1.6</v>
      </c>
      <c r="CM8" s="4">
        <v>0.88</v>
      </c>
      <c r="CN8" s="4">
        <v>0.83</v>
      </c>
      <c r="CO8" s="4">
        <v>2.97</v>
      </c>
      <c r="CP8" s="4">
        <v>3.82</v>
      </c>
      <c r="CQ8" s="4">
        <v>844</v>
      </c>
      <c r="CR8" s="4">
        <v>875</v>
      </c>
      <c r="CS8" s="4">
        <v>823</v>
      </c>
      <c r="CT8" s="4">
        <v>886</v>
      </c>
      <c r="CU8" s="4">
        <v>687</v>
      </c>
      <c r="CV8" s="4">
        <v>1022</v>
      </c>
      <c r="CW8" s="4">
        <v>668</v>
      </c>
      <c r="CX8" s="4">
        <v>-3.04</v>
      </c>
      <c r="CY8" s="4">
        <v>-1.49</v>
      </c>
      <c r="CZ8" s="4">
        <v>7.42</v>
      </c>
      <c r="DA8" s="4">
        <v>7.72</v>
      </c>
      <c r="DB8" s="4">
        <v>7.95</v>
      </c>
      <c r="DC8" s="4">
        <v>8.16</v>
      </c>
      <c r="DD8" s="4">
        <v>8.6300000000000008</v>
      </c>
      <c r="DE8" s="4">
        <v>8.94</v>
      </c>
      <c r="DF8" s="4">
        <v>0</v>
      </c>
      <c r="DG8" s="4">
        <v>0.5</v>
      </c>
      <c r="DH8" s="4">
        <v>7.54</v>
      </c>
      <c r="DI8" s="4">
        <v>7.1</v>
      </c>
      <c r="DJ8" s="4">
        <v>6.56</v>
      </c>
      <c r="DK8" s="4">
        <v>6.43</v>
      </c>
      <c r="DL8" s="4">
        <v>6.87</v>
      </c>
      <c r="DM8" s="4">
        <v>7.18</v>
      </c>
      <c r="DN8" s="4">
        <v>0</v>
      </c>
      <c r="DO8" s="89">
        <v>0.5</v>
      </c>
      <c r="DP8" s="110">
        <v>43.7</v>
      </c>
      <c r="DQ8" s="110">
        <v>45.3</v>
      </c>
      <c r="DR8" s="110">
        <v>44.5</v>
      </c>
      <c r="DS8" s="110">
        <v>62.4</v>
      </c>
      <c r="DT8" s="110">
        <v>1.6</v>
      </c>
      <c r="DU8" s="110">
        <v>-4.9000000000000004</v>
      </c>
      <c r="DV8" s="110">
        <v>-5.8</v>
      </c>
      <c r="DW8" s="110">
        <v>-5.3</v>
      </c>
      <c r="DX8" s="110">
        <v>43.1</v>
      </c>
      <c r="DY8" s="110">
        <v>0.9</v>
      </c>
      <c r="EA8" s="110">
        <v>5.9</v>
      </c>
      <c r="EB8" s="110">
        <v>16.7</v>
      </c>
      <c r="EC8" s="110">
        <v>34.4</v>
      </c>
      <c r="ED8" s="110">
        <v>81.5</v>
      </c>
      <c r="EE8" s="114">
        <v>50</v>
      </c>
      <c r="EF8" s="83"/>
      <c r="FL8" s="86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9"/>
      <c r="GB8" s="83">
        <v>8.1199999999999992</v>
      </c>
      <c r="GC8" s="4">
        <v>7.64</v>
      </c>
      <c r="GD8" s="4">
        <v>158.69999999999999</v>
      </c>
      <c r="GE8" s="4">
        <v>-2.6</v>
      </c>
      <c r="GF8" s="4">
        <v>0.15</v>
      </c>
      <c r="GG8" s="4">
        <v>0.18</v>
      </c>
      <c r="GH8" s="4">
        <v>-0.59</v>
      </c>
      <c r="GI8" s="4">
        <v>-0.08</v>
      </c>
      <c r="GJ8" s="4">
        <v>513</v>
      </c>
      <c r="GK8" s="4">
        <v>516</v>
      </c>
      <c r="GL8" s="4">
        <v>565</v>
      </c>
      <c r="GM8" s="4">
        <v>598</v>
      </c>
      <c r="GN8" s="4">
        <v>637</v>
      </c>
      <c r="GO8" s="4">
        <v>552</v>
      </c>
      <c r="GP8" s="4">
        <v>500</v>
      </c>
      <c r="GQ8" s="4">
        <v>1.23</v>
      </c>
      <c r="GR8" s="4">
        <v>1.04</v>
      </c>
      <c r="GS8" s="4">
        <v>7.85</v>
      </c>
      <c r="GT8" s="4">
        <v>7.87</v>
      </c>
      <c r="GU8" s="4">
        <v>7.91</v>
      </c>
      <c r="GV8" s="4">
        <v>7.91</v>
      </c>
      <c r="GW8" s="4">
        <v>8.02</v>
      </c>
      <c r="GX8" s="4">
        <v>8.3000000000000007</v>
      </c>
      <c r="GY8" s="4">
        <v>0</v>
      </c>
      <c r="GZ8" s="4">
        <v>1.2</v>
      </c>
      <c r="HA8" s="4">
        <v>6.52</v>
      </c>
      <c r="HB8" s="4">
        <v>6.38</v>
      </c>
      <c r="HC8" s="4">
        <v>6.32</v>
      </c>
      <c r="HD8" s="4">
        <v>6.46</v>
      </c>
      <c r="HE8" s="4">
        <v>6.84</v>
      </c>
      <c r="HF8" s="4">
        <v>0</v>
      </c>
      <c r="HG8" s="4">
        <v>0</v>
      </c>
      <c r="HH8" s="93">
        <v>1.2</v>
      </c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21"/>
      <c r="HX8" s="83">
        <f t="shared" ref="HX8:JS8" si="0">IF(ISNUMBER(GB8),GB8,IF(ISNUMBER(EF8),EF8,""))</f>
        <v>8.1199999999999992</v>
      </c>
      <c r="HY8" s="4">
        <f t="shared" si="0"/>
        <v>7.64</v>
      </c>
      <c r="HZ8" s="4">
        <f t="shared" si="0"/>
        <v>158.69999999999999</v>
      </c>
      <c r="IA8" s="4">
        <f t="shared" si="0"/>
        <v>-2.6</v>
      </c>
      <c r="IB8" s="4">
        <f t="shared" si="0"/>
        <v>0.15</v>
      </c>
      <c r="IC8" s="4">
        <f t="shared" si="0"/>
        <v>0.18</v>
      </c>
      <c r="ID8" s="4">
        <f t="shared" si="0"/>
        <v>-0.59</v>
      </c>
      <c r="IE8" s="4">
        <f t="shared" si="0"/>
        <v>-0.08</v>
      </c>
      <c r="IF8" s="4">
        <f t="shared" si="0"/>
        <v>513</v>
      </c>
      <c r="IG8" s="4">
        <f t="shared" si="0"/>
        <v>516</v>
      </c>
      <c r="IH8" s="4">
        <f t="shared" si="0"/>
        <v>565</v>
      </c>
      <c r="II8" s="4">
        <f t="shared" si="0"/>
        <v>598</v>
      </c>
      <c r="IJ8" s="4">
        <f t="shared" si="0"/>
        <v>637</v>
      </c>
      <c r="IK8" s="4">
        <f t="shared" si="0"/>
        <v>552</v>
      </c>
      <c r="IL8" s="4">
        <f t="shared" si="0"/>
        <v>500</v>
      </c>
      <c r="IM8" s="4">
        <f t="shared" si="0"/>
        <v>1.23</v>
      </c>
      <c r="IN8" s="4">
        <f t="shared" si="0"/>
        <v>1.04</v>
      </c>
      <c r="IO8" s="4">
        <f t="shared" si="0"/>
        <v>7.85</v>
      </c>
      <c r="IP8" s="4">
        <f t="shared" si="0"/>
        <v>7.87</v>
      </c>
      <c r="IQ8" s="4">
        <f t="shared" si="0"/>
        <v>7.91</v>
      </c>
      <c r="IR8" s="4">
        <f t="shared" si="0"/>
        <v>7.91</v>
      </c>
      <c r="IS8" s="4">
        <f t="shared" si="0"/>
        <v>8.02</v>
      </c>
      <c r="IT8" s="4">
        <f t="shared" si="0"/>
        <v>8.3000000000000007</v>
      </c>
      <c r="IU8" s="4">
        <f t="shared" si="0"/>
        <v>0</v>
      </c>
      <c r="IV8" s="4">
        <f t="shared" si="0"/>
        <v>1.2</v>
      </c>
      <c r="IW8" s="4">
        <f t="shared" si="0"/>
        <v>6.52</v>
      </c>
      <c r="IX8" s="4">
        <f t="shared" si="0"/>
        <v>6.38</v>
      </c>
      <c r="IY8" s="4">
        <f t="shared" si="0"/>
        <v>6.32</v>
      </c>
      <c r="IZ8" s="4">
        <f t="shared" si="0"/>
        <v>6.46</v>
      </c>
      <c r="JA8" s="4">
        <f t="shared" si="0"/>
        <v>6.84</v>
      </c>
      <c r="JB8" s="4">
        <f t="shared" si="0"/>
        <v>0</v>
      </c>
      <c r="JC8" s="117">
        <f t="shared" si="0"/>
        <v>0</v>
      </c>
      <c r="JD8" s="110">
        <f t="shared" si="0"/>
        <v>1.2</v>
      </c>
      <c r="JE8" s="110" t="str">
        <f t="shared" si="0"/>
        <v/>
      </c>
      <c r="JF8" s="110" t="str">
        <f t="shared" si="0"/>
        <v/>
      </c>
      <c r="JG8" s="110" t="str">
        <f t="shared" si="0"/>
        <v/>
      </c>
      <c r="JH8" s="110" t="str">
        <f t="shared" si="0"/>
        <v/>
      </c>
      <c r="JI8" s="110" t="str">
        <f t="shared" si="0"/>
        <v/>
      </c>
      <c r="JJ8" s="110" t="str">
        <f t="shared" si="0"/>
        <v/>
      </c>
      <c r="JK8" s="110" t="str">
        <f t="shared" si="0"/>
        <v/>
      </c>
      <c r="JL8" s="110" t="str">
        <f t="shared" si="0"/>
        <v/>
      </c>
      <c r="JM8" s="110" t="str">
        <f t="shared" si="0"/>
        <v/>
      </c>
      <c r="JN8" s="110" t="str">
        <f t="shared" si="0"/>
        <v/>
      </c>
      <c r="JO8" s="110" t="str">
        <f t="shared" si="0"/>
        <v/>
      </c>
      <c r="JP8" s="110" t="str">
        <f t="shared" si="0"/>
        <v/>
      </c>
      <c r="JQ8" s="110" t="str">
        <f t="shared" si="0"/>
        <v/>
      </c>
      <c r="JR8" s="110" t="str">
        <f t="shared" si="0"/>
        <v/>
      </c>
      <c r="JS8" s="121" t="str">
        <f t="shared" si="0"/>
        <v/>
      </c>
      <c r="JT8" s="83">
        <f t="shared" ref="JT8:LJ8" si="1">IF(AND(ISNUMBER(HX8),ISNUMBER(CI8)),HX8-CI8,"")</f>
        <v>0.67999999999999883</v>
      </c>
      <c r="JU8" s="4">
        <f t="shared" si="1"/>
        <v>-7.0000000000000284E-2</v>
      </c>
      <c r="JV8" s="4">
        <f t="shared" si="1"/>
        <v>96.299999999999983</v>
      </c>
      <c r="JW8" s="4">
        <f t="shared" si="1"/>
        <v>-4.2</v>
      </c>
      <c r="JX8" s="4">
        <f t="shared" si="1"/>
        <v>-0.73</v>
      </c>
      <c r="JY8" s="4">
        <f t="shared" si="1"/>
        <v>-0.64999999999999991</v>
      </c>
      <c r="JZ8" s="4">
        <f t="shared" si="1"/>
        <v>-3.56</v>
      </c>
      <c r="KA8" s="4">
        <f t="shared" si="1"/>
        <v>-3.9</v>
      </c>
      <c r="KB8" s="4">
        <f t="shared" si="1"/>
        <v>-331</v>
      </c>
      <c r="KC8" s="4">
        <f t="shared" si="1"/>
        <v>-359</v>
      </c>
      <c r="KD8" s="4">
        <f t="shared" si="1"/>
        <v>-258</v>
      </c>
      <c r="KE8" s="4">
        <f t="shared" si="1"/>
        <v>-288</v>
      </c>
      <c r="KF8" s="4">
        <f t="shared" si="1"/>
        <v>-50</v>
      </c>
      <c r="KG8" s="4">
        <f t="shared" si="1"/>
        <v>-470</v>
      </c>
      <c r="KH8" s="4">
        <f t="shared" si="1"/>
        <v>-168</v>
      </c>
      <c r="KI8" s="4">
        <f t="shared" si="1"/>
        <v>4.2699999999999996</v>
      </c>
      <c r="KJ8" s="4">
        <f t="shared" si="1"/>
        <v>2.5300000000000002</v>
      </c>
      <c r="KK8" s="4">
        <f t="shared" si="1"/>
        <v>0.42999999999999972</v>
      </c>
      <c r="KL8" s="4">
        <f t="shared" si="1"/>
        <v>0.15000000000000036</v>
      </c>
      <c r="KM8" s="4">
        <f t="shared" si="1"/>
        <v>-4.0000000000000036E-2</v>
      </c>
      <c r="KN8" s="4">
        <f t="shared" si="1"/>
        <v>-0.25</v>
      </c>
      <c r="KO8" s="4">
        <f t="shared" si="1"/>
        <v>-0.61000000000000121</v>
      </c>
      <c r="KP8" s="4">
        <f t="shared" si="1"/>
        <v>-0.63999999999999879</v>
      </c>
      <c r="KQ8" s="4">
        <f t="shared" si="1"/>
        <v>0</v>
      </c>
      <c r="KR8" s="4">
        <f t="shared" si="1"/>
        <v>0.7</v>
      </c>
      <c r="KS8" s="4">
        <f t="shared" si="1"/>
        <v>-1.0200000000000005</v>
      </c>
      <c r="KT8" s="4">
        <f t="shared" si="1"/>
        <v>-0.71999999999999975</v>
      </c>
      <c r="KU8" s="4">
        <f t="shared" si="1"/>
        <v>-0.23999999999999932</v>
      </c>
      <c r="KV8" s="4">
        <f t="shared" si="1"/>
        <v>3.0000000000000249E-2</v>
      </c>
      <c r="KW8" s="4">
        <f t="shared" si="1"/>
        <v>-3.0000000000000249E-2</v>
      </c>
      <c r="KX8" s="4">
        <f t="shared" si="1"/>
        <v>-7.18</v>
      </c>
      <c r="KY8" s="4">
        <f t="shared" si="1"/>
        <v>0</v>
      </c>
      <c r="KZ8" s="4">
        <f t="shared" si="1"/>
        <v>0.7</v>
      </c>
      <c r="LA8" s="4" t="str">
        <f t="shared" si="1"/>
        <v/>
      </c>
      <c r="LB8" s="4" t="str">
        <f t="shared" si="1"/>
        <v/>
      </c>
      <c r="LC8" s="4" t="str">
        <f t="shared" si="1"/>
        <v/>
      </c>
      <c r="LD8" s="4" t="str">
        <f t="shared" si="1"/>
        <v/>
      </c>
      <c r="LE8" s="4" t="str">
        <f t="shared" si="1"/>
        <v/>
      </c>
      <c r="LF8" s="4" t="str">
        <f t="shared" si="1"/>
        <v/>
      </c>
      <c r="LG8" s="4" t="str">
        <f t="shared" si="1"/>
        <v/>
      </c>
      <c r="LH8" s="4" t="str">
        <f t="shared" si="1"/>
        <v/>
      </c>
      <c r="LI8" s="4" t="str">
        <f t="shared" si="1"/>
        <v/>
      </c>
      <c r="LJ8" s="4" t="str">
        <f t="shared" si="1"/>
        <v/>
      </c>
      <c r="LK8" s="4" t="str">
        <f>IF(AND(ISNUMBER(JO8),ISNUMBER(EA8)),JO8-EA8,"")</f>
        <v/>
      </c>
      <c r="LL8" s="4" t="str">
        <f>IF(AND(ISNUMBER(JP8),ISNUMBER(EB8)),JP8-EB8,"")</f>
        <v/>
      </c>
      <c r="LM8" s="4" t="str">
        <f>IF(AND(ISNUMBER(JQ8),ISNUMBER(EC8)),JQ8-EC8,"")</f>
        <v/>
      </c>
      <c r="LN8" s="4" t="str">
        <f>IF(AND(ISNUMBER(JR8),ISNUMBER(ED8)),JR8-ED8,"")</f>
        <v/>
      </c>
      <c r="LO8" s="4" t="str">
        <f>IF(AND(ISNUMBER(JS8),ISNUMBER(EE8)),JS8-EE8,"")</f>
        <v/>
      </c>
      <c r="LP8" s="4" t="str">
        <f>IF(AND(ISNUMBER(HI8),ISNUMBER(FM8)),HI8-FM8,"")</f>
        <v/>
      </c>
      <c r="LQ8" s="4" t="str">
        <f>IF(AND(ISNUMBER(HJ8),ISNUMBER(FN8)),HJ8-FN8,"")</f>
        <v/>
      </c>
      <c r="LR8" s="4" t="str">
        <f>IF(AND(ISNUMBER(HN8),ISNUMBER(FR8)),HN8-FR8,"")</f>
        <v/>
      </c>
      <c r="LS8" s="4">
        <f>HO8-FS8</f>
        <v>0</v>
      </c>
    </row>
    <row r="9" spans="1:345" s="4" customFormat="1" ht="26.25" customHeight="1" x14ac:dyDescent="0.2">
      <c r="A9" s="35">
        <v>41178</v>
      </c>
      <c r="B9" s="36" t="s">
        <v>196</v>
      </c>
      <c r="C9" s="36" t="s">
        <v>90</v>
      </c>
      <c r="D9" s="31" t="s">
        <v>110</v>
      </c>
      <c r="E9" s="4">
        <v>62</v>
      </c>
      <c r="F9" s="3">
        <v>18491</v>
      </c>
      <c r="G9" s="4" t="s">
        <v>87</v>
      </c>
      <c r="H9" s="4" t="s">
        <v>112</v>
      </c>
      <c r="I9" s="4">
        <v>1829809</v>
      </c>
      <c r="J9" s="33">
        <v>-0.5</v>
      </c>
      <c r="K9" s="33">
        <v>-0.63</v>
      </c>
      <c r="L9" s="4" t="s">
        <v>249</v>
      </c>
      <c r="M9" s="124">
        <v>41176</v>
      </c>
      <c r="N9" s="67">
        <v>-1.25</v>
      </c>
      <c r="O9" s="67">
        <v>0.25</v>
      </c>
      <c r="P9" s="4">
        <v>145</v>
      </c>
      <c r="Q9" s="4">
        <v>20</v>
      </c>
      <c r="R9" s="4">
        <v>11</v>
      </c>
      <c r="S9" s="4">
        <v>564</v>
      </c>
      <c r="T9" s="4">
        <v>26.78</v>
      </c>
      <c r="W9" s="4">
        <v>3.82</v>
      </c>
      <c r="X9" s="4">
        <v>40.04</v>
      </c>
      <c r="Y9" s="4">
        <v>39</v>
      </c>
      <c r="Z9" s="4">
        <v>40.369999999999997</v>
      </c>
      <c r="AA9" s="4">
        <v>129</v>
      </c>
      <c r="AC9" s="43"/>
      <c r="AD9" s="32">
        <v>41374</v>
      </c>
      <c r="AE9" s="60"/>
      <c r="AF9" s="67">
        <v>-0.5</v>
      </c>
      <c r="AG9" s="67">
        <v>1</v>
      </c>
      <c r="AH9" s="4">
        <v>104</v>
      </c>
      <c r="AI9" s="4">
        <v>15</v>
      </c>
      <c r="AJ9" s="4">
        <v>10</v>
      </c>
      <c r="AK9" s="4">
        <v>454</v>
      </c>
      <c r="AL9" s="4">
        <v>2336</v>
      </c>
      <c r="AS9" s="4">
        <f t="shared" ref="AS9:AS10" si="2">IF(ISNUMBER(AF9),AF9+0.5*AG9,"")</f>
        <v>0</v>
      </c>
      <c r="AT9" s="4">
        <f>IF(ISNUMBER(AS9),IF(ISNUMBER(K9),AS9-K9,"MISSING"),"")</f>
        <v>0.63</v>
      </c>
      <c r="AU9" s="4">
        <f t="shared" ref="AU9:AU10" si="3">IF(AND(ISNUMBER(AK9),ISNUMBER(S9)),AK9-S9,IF(ISNUMBER(AK9),"MISSING",""))</f>
        <v>-110</v>
      </c>
      <c r="AV9" s="3">
        <v>41561</v>
      </c>
      <c r="AW9" s="56"/>
      <c r="AX9" s="67">
        <v>-0.5</v>
      </c>
      <c r="AY9" s="67">
        <v>1.25</v>
      </c>
      <c r="AZ9" s="4">
        <v>74</v>
      </c>
      <c r="BA9" s="4">
        <v>25</v>
      </c>
      <c r="BB9" s="4">
        <v>11</v>
      </c>
      <c r="BC9" s="4">
        <v>569</v>
      </c>
      <c r="BD9" s="4">
        <v>1724</v>
      </c>
      <c r="BE9" s="4">
        <v>26.8</v>
      </c>
      <c r="BF9" s="4" t="s">
        <v>282</v>
      </c>
      <c r="BG9" s="4">
        <v>38.14</v>
      </c>
      <c r="BH9" s="4">
        <v>5</v>
      </c>
      <c r="BI9" s="4">
        <v>38.31</v>
      </c>
      <c r="BJ9" s="4">
        <v>95</v>
      </c>
      <c r="BK9" s="4">
        <f t="shared" ref="BK9:BK10" si="4">IF(ISNUMBER(AX9),AX9+0.5*AY9,"")</f>
        <v>0.125</v>
      </c>
      <c r="BL9" s="4">
        <f>IF(ISNUMBER(BK9),IF(ISNUMBER($K9),BK9-$K9,"MISSING"),"")</f>
        <v>0.755</v>
      </c>
      <c r="BM9" s="4">
        <f>IF(AND(ISNUMBER(BC9),ISNUMBER($S9)),BC9-$S9,IF(ISNUMBER(BC9),"MISSING",""))</f>
        <v>5</v>
      </c>
      <c r="BN9" s="4">
        <f>IF(AND(ISBLANK($AF9),ISBLANK($AX9)),0,1)</f>
        <v>1</v>
      </c>
      <c r="BO9" s="4">
        <f>IF(AND(ISNUMBER($AF9),ISNUMBER($AX9)),1,0)</f>
        <v>1</v>
      </c>
      <c r="BP9" s="4">
        <f t="shared" ref="BP9:BP10" si="5">IF(BO9,SE_PREOP,"")</f>
        <v>2</v>
      </c>
      <c r="BQ9" s="4" t="str">
        <f t="shared" ref="BQ9:BQ10" si="6">IF(FU_6_AND_12,SE_6,"")</f>
        <v/>
      </c>
      <c r="BR9" s="4" t="str">
        <f t="shared" ref="BR9:BR10" si="7">IF(FU_6_AND_12,SE_12,"")</f>
        <v/>
      </c>
      <c r="BS9" s="53">
        <f>IF(AND(ISNUMBER(AV9),ISNUMBER(AX9)),AV9-A9,IF(ISNUMBER(AD9),AD9-A9,0))</f>
        <v>383</v>
      </c>
      <c r="BT9" s="55">
        <f t="shared" ref="BT9:BT10" si="8">IF(BS9&gt;0,BS9/30,"")</f>
        <v>12.766666666666667</v>
      </c>
      <c r="BU9" s="4">
        <f t="shared" ref="BU9:BU10" si="9">IF(AND(ISNUMBER(AS9),ISNUMBER(BK9)),(BK9-AS9),"")</f>
        <v>0.125</v>
      </c>
      <c r="BV9" s="4" t="str">
        <f t="shared" ref="BV9:BV10" si="10">IF(AND(ISNUMBER(AQ9), ISNUMBER(X9)), AVERAGE(AQ9,AO9)-AVERAGE(X9,Z9),"")</f>
        <v/>
      </c>
      <c r="BW9" s="4">
        <f t="shared" ref="BW9:BW10" si="11">IF(AND(ISNUMBER(BG9), ISNUMBER(X9)), AVERAGE(BG9,BI9)-AVERAGE(X9,Z9),"")</f>
        <v>-1.9799999999999969</v>
      </c>
      <c r="BX9" s="4">
        <f t="shared" ref="BX9:BX10" si="12">IF(ISNUMBER(BW9),BW9,IF(ISNUMBER(BV9),BV9,""))</f>
        <v>-1.9799999999999969</v>
      </c>
      <c r="BY9" s="4">
        <f t="shared" ref="BY9:BY10" si="13">IF(AND(ISNUMBER(SPH_PREOP),ISNUMBER(SE_LAST_)),SPH_PREOP+CYL_PREOP/2,"")</f>
        <v>2</v>
      </c>
      <c r="BZ9" s="4">
        <f t="shared" ref="BZ9:BZ10" si="14">IF(ISNUMBER(SE_12),SE_12,IF(ISNUMBER(SE_6),SE_6,""))</f>
        <v>-2.125</v>
      </c>
      <c r="CA9" s="93">
        <f t="shared" ref="CA9:CA10" si="15">IF(AND(ISNUMBER(SE_LAST_),ISNUMBER(REF_TARGET)),SE_LAST_-REF_TARGET,"")</f>
        <v>-1.595</v>
      </c>
      <c r="CB9" s="83">
        <f t="shared" ref="CB9:CB10" si="16">IF(ISNUMBER(S9),IF(ISNUMBER(BC9),BC9-S9,IF(ISNUMBER(AK9),AK9-S9,"")),"")</f>
        <v>5</v>
      </c>
      <c r="CC9" s="4">
        <f t="shared" ref="CC9:CC10" si="17">IF(ISNUMBER(T9),IF(ISNUMBER(AM9),AM9-T9,IF(ISNUMBER(BE9),BE9-T9,"")),"")</f>
        <v>1.9999999999999574E-2</v>
      </c>
      <c r="CD9" s="96">
        <f t="shared" ref="CD9:CD10" si="18">IF(ISNUMBER(LAST_SE_ERROR),REF_TARGET,"")</f>
        <v>-0.53</v>
      </c>
      <c r="CE9" s="96">
        <f>IF(AND(OR(ISNUMBER(BA9),ISNUMBER(AI9)),ISNUMBER(Q9)),-LOG(20/Q9)--LOG(20/IF(ISNUMBER(BA9),BA9,AI9)),"")</f>
        <v>-9.6910013008056392E-2</v>
      </c>
      <c r="CF9" s="127">
        <f t="shared" ref="CF9:CF10" si="19">IF(ISNUMBER(AY9),AY9,IF(ISNUMBER(AG9),AG9,""))</f>
        <v>1.25</v>
      </c>
      <c r="CG9" s="127">
        <f t="shared" ref="CG9:CG10" si="20">IF(AND(ISNUMBER(CF9),ISNUMBER(O9)),CF9-O9,"")</f>
        <v>1</v>
      </c>
      <c r="CH9" s="136">
        <f t="shared" ref="CH9:CH10" si="21">IF(ISNUMBER(BCVA_12),BCVA_12,IF(ISNUMBER(BCVA_6),BCVA_6,""))</f>
        <v>50</v>
      </c>
      <c r="CI9" s="135">
        <f t="shared" ref="CI9:CI10" si="22">IF(AND(REF_TARGET&lt;=0,REF_TARGET&gt;-1),IF(ISNUMBER(UDVA_12),UDVA_12,IF(ISNUMBER(UDVA_6),UDVA_6,"")),"")</f>
        <v>100</v>
      </c>
      <c r="CJ9" s="96">
        <f>IF(ISNUMBER($CM9),IF(ISNUMBER($AF9),IF(ISNUMBER($EH9),0,1),""),"")</f>
        <v>0</v>
      </c>
      <c r="CK9" s="96">
        <f>IF(ISNUMBER($CM9),IF(ISNUMBER($AX9),IF(ISNUMBER($GD9),0,1),""),"")</f>
        <v>0</v>
      </c>
      <c r="CL9">
        <v>9.02</v>
      </c>
      <c r="CM9" s="4">
        <v>8.65</v>
      </c>
      <c r="CN9" s="4">
        <v>3.5</v>
      </c>
      <c r="CO9" s="4">
        <v>-1.6</v>
      </c>
      <c r="CP9" s="4">
        <v>-0.94</v>
      </c>
      <c r="CQ9" s="4">
        <v>-0.81</v>
      </c>
      <c r="CR9" s="4">
        <v>3.19</v>
      </c>
      <c r="CS9" s="4">
        <v>3.76</v>
      </c>
      <c r="CT9" s="4">
        <v>568</v>
      </c>
      <c r="CU9" s="4">
        <v>565</v>
      </c>
      <c r="CV9" s="4">
        <v>623</v>
      </c>
      <c r="CW9" s="4">
        <v>647</v>
      </c>
      <c r="CX9" s="4">
        <v>641</v>
      </c>
      <c r="CY9" s="4">
        <v>636</v>
      </c>
      <c r="CZ9" s="4">
        <v>555</v>
      </c>
      <c r="DA9" s="4">
        <v>7.0000000000000007E-2</v>
      </c>
      <c r="DB9" s="4">
        <v>0.97</v>
      </c>
      <c r="DC9" s="4">
        <v>8.92</v>
      </c>
      <c r="DD9" s="4">
        <v>8.66</v>
      </c>
      <c r="DE9" s="4">
        <v>8.34</v>
      </c>
      <c r="DF9" s="4">
        <v>8.14</v>
      </c>
      <c r="DG9" s="4">
        <v>8.2799999999999994</v>
      </c>
      <c r="DH9" s="4">
        <v>8.57</v>
      </c>
      <c r="DI9" s="4">
        <v>0</v>
      </c>
      <c r="DJ9" s="4">
        <v>1.2</v>
      </c>
      <c r="DK9" s="4">
        <v>7.28</v>
      </c>
      <c r="DL9" s="4">
        <v>7.21</v>
      </c>
      <c r="DM9" s="4">
        <v>7.09</v>
      </c>
      <c r="DN9" s="4">
        <v>7</v>
      </c>
      <c r="DO9" s="4">
        <v>7.21</v>
      </c>
      <c r="DP9" s="4">
        <v>7.55</v>
      </c>
      <c r="DQ9" s="4">
        <v>0</v>
      </c>
      <c r="DR9" s="89">
        <v>1.2</v>
      </c>
      <c r="DS9" s="110">
        <v>37.4</v>
      </c>
      <c r="DT9" s="110">
        <v>39</v>
      </c>
      <c r="DU9" s="110">
        <v>38.200000000000003</v>
      </c>
      <c r="DV9" s="110">
        <v>3.5</v>
      </c>
      <c r="DW9" s="110">
        <v>1.6</v>
      </c>
      <c r="DX9" s="110">
        <v>-5.5</v>
      </c>
      <c r="DY9" s="110">
        <v>-5.5</v>
      </c>
      <c r="DZ9" s="110">
        <v>-5.5</v>
      </c>
      <c r="EA9" s="110">
        <v>165.8</v>
      </c>
      <c r="EB9" s="110">
        <v>0</v>
      </c>
      <c r="EC9" s="110">
        <v>4.0999999999999996</v>
      </c>
      <c r="ED9" s="110">
        <v>11.9</v>
      </c>
      <c r="EE9" s="110">
        <v>25</v>
      </c>
      <c r="EF9" s="110">
        <v>58.6</v>
      </c>
      <c r="EG9" s="114">
        <v>38</v>
      </c>
      <c r="EH9" s="83">
        <v>9</v>
      </c>
      <c r="EI9" s="4">
        <v>8.85</v>
      </c>
      <c r="EJ9" s="4">
        <v>160.4</v>
      </c>
      <c r="EK9" s="4">
        <v>-0.6</v>
      </c>
      <c r="EL9" s="4">
        <v>-0.85</v>
      </c>
      <c r="EM9" s="4">
        <v>-0.86</v>
      </c>
      <c r="EN9" s="4">
        <v>5.94</v>
      </c>
      <c r="EO9" s="4">
        <v>6.39</v>
      </c>
      <c r="EP9" s="4">
        <v>452</v>
      </c>
      <c r="EQ9" s="4">
        <v>453</v>
      </c>
      <c r="ER9" s="4">
        <v>638</v>
      </c>
      <c r="ES9" s="4">
        <v>537</v>
      </c>
      <c r="ET9" s="4">
        <v>605</v>
      </c>
      <c r="EU9" s="4">
        <v>527</v>
      </c>
      <c r="EV9" s="4">
        <v>439</v>
      </c>
      <c r="EW9" s="4">
        <v>0.79</v>
      </c>
      <c r="EX9" s="4">
        <v>-0.59</v>
      </c>
      <c r="EY9" s="4">
        <v>8.94</v>
      </c>
      <c r="EZ9" s="4">
        <v>8.86</v>
      </c>
      <c r="FA9" s="4">
        <v>8.59</v>
      </c>
      <c r="FB9" s="4">
        <v>8.26</v>
      </c>
      <c r="FC9" s="4">
        <v>8.23</v>
      </c>
      <c r="FD9" s="4">
        <v>8.3699999999999992</v>
      </c>
      <c r="FE9" s="4">
        <v>0</v>
      </c>
      <c r="FF9" s="4">
        <v>1.3</v>
      </c>
      <c r="FG9" s="4">
        <v>6.99</v>
      </c>
      <c r="FH9" s="4">
        <v>6.73</v>
      </c>
      <c r="FI9" s="4">
        <v>6.67</v>
      </c>
      <c r="FJ9" s="4">
        <v>6.77</v>
      </c>
      <c r="FK9" s="4">
        <v>6.96</v>
      </c>
      <c r="FL9" s="4">
        <v>0</v>
      </c>
      <c r="FM9" s="4">
        <v>0</v>
      </c>
      <c r="FN9" s="86">
        <v>1.3</v>
      </c>
      <c r="FO9" s="110">
        <v>37.5</v>
      </c>
      <c r="FP9" s="110">
        <v>38.1</v>
      </c>
      <c r="FQ9" s="110">
        <v>37.799999999999997</v>
      </c>
      <c r="FR9" s="110">
        <v>160.4</v>
      </c>
      <c r="FS9" s="110">
        <v>0.6</v>
      </c>
      <c r="FT9" s="110">
        <v>-5.5</v>
      </c>
      <c r="FU9" s="110">
        <v>-6</v>
      </c>
      <c r="FV9" s="110">
        <v>-5.8</v>
      </c>
      <c r="FW9" s="110">
        <v>168.6</v>
      </c>
      <c r="FX9" s="110">
        <v>0.5</v>
      </c>
      <c r="FY9" s="110">
        <v>3.3</v>
      </c>
      <c r="FZ9" s="110">
        <v>9.9</v>
      </c>
      <c r="GA9" s="110">
        <v>21.9</v>
      </c>
      <c r="GB9" s="110">
        <v>55.6</v>
      </c>
      <c r="GC9" s="119">
        <v>35</v>
      </c>
      <c r="GD9" s="83">
        <v>8.91</v>
      </c>
      <c r="GE9" s="4">
        <v>8.83</v>
      </c>
      <c r="GF9" s="4">
        <v>141.19999999999999</v>
      </c>
      <c r="GG9" s="4">
        <v>-0.3</v>
      </c>
      <c r="GH9" s="4">
        <v>-0.76</v>
      </c>
      <c r="GI9" s="4">
        <v>-0.78</v>
      </c>
      <c r="GJ9" s="4">
        <v>4.99</v>
      </c>
      <c r="GK9" s="4">
        <v>5.45</v>
      </c>
      <c r="GL9" s="4">
        <v>457</v>
      </c>
      <c r="GM9" s="4">
        <v>458</v>
      </c>
      <c r="GN9" s="4">
        <v>604</v>
      </c>
      <c r="GO9" s="4">
        <v>550</v>
      </c>
      <c r="GP9" s="4">
        <v>569</v>
      </c>
      <c r="GQ9" s="4">
        <v>560</v>
      </c>
      <c r="GR9" s="4">
        <v>453</v>
      </c>
      <c r="GS9" s="4">
        <v>0.26</v>
      </c>
      <c r="GT9" s="4">
        <v>-0.52</v>
      </c>
      <c r="GU9" s="4">
        <v>8.9</v>
      </c>
      <c r="GV9" s="4">
        <v>8.7899999999999991</v>
      </c>
      <c r="GW9" s="4">
        <v>8.57</v>
      </c>
      <c r="GX9" s="4">
        <v>8.31</v>
      </c>
      <c r="GY9" s="4">
        <v>8.34</v>
      </c>
      <c r="GZ9" s="4">
        <v>8.4700000000000006</v>
      </c>
      <c r="HA9" s="4">
        <v>0</v>
      </c>
      <c r="HB9" s="4">
        <v>1.3</v>
      </c>
      <c r="HC9" s="4">
        <v>7.01</v>
      </c>
      <c r="HD9" s="4">
        <v>6.84</v>
      </c>
      <c r="HE9" s="4">
        <v>6.78</v>
      </c>
      <c r="HF9" s="4">
        <v>6.77</v>
      </c>
      <c r="HG9" s="4">
        <v>6.94</v>
      </c>
      <c r="HH9" s="4">
        <v>0</v>
      </c>
      <c r="HI9" s="4">
        <v>0</v>
      </c>
      <c r="HJ9" s="93">
        <v>1.3</v>
      </c>
      <c r="HK9" s="110">
        <v>37.9</v>
      </c>
      <c r="HL9" s="110">
        <v>38.200000000000003</v>
      </c>
      <c r="HM9" s="110">
        <v>38</v>
      </c>
      <c r="HN9" s="110">
        <v>141.19999999999999</v>
      </c>
      <c r="HO9" s="110">
        <v>0.3</v>
      </c>
      <c r="HP9" s="110">
        <v>-5.7</v>
      </c>
      <c r="HQ9" s="110">
        <v>-5.8</v>
      </c>
      <c r="HR9" s="110">
        <v>-5.8</v>
      </c>
      <c r="HS9" s="110">
        <v>155.69999999999999</v>
      </c>
      <c r="HT9" s="110">
        <v>0.2</v>
      </c>
      <c r="HU9" s="110">
        <v>3.3</v>
      </c>
      <c r="HV9" s="110">
        <v>9.9</v>
      </c>
      <c r="HW9" s="110">
        <v>21.7</v>
      </c>
      <c r="HX9" s="110">
        <v>55</v>
      </c>
      <c r="HY9" s="121">
        <v>28</v>
      </c>
      <c r="HZ9" s="83">
        <f t="shared" ref="HZ9:II10" si="23">IF(ISNUMBER(GD9),GD9,IF(ISNUMBER(EH9),EH9,""))</f>
        <v>8.91</v>
      </c>
      <c r="IA9" s="4">
        <f t="shared" si="23"/>
        <v>8.83</v>
      </c>
      <c r="IB9" s="4">
        <f t="shared" si="23"/>
        <v>141.19999999999999</v>
      </c>
      <c r="IC9" s="4">
        <f t="shared" si="23"/>
        <v>-0.3</v>
      </c>
      <c r="ID9" s="4">
        <f t="shared" si="23"/>
        <v>-0.76</v>
      </c>
      <c r="IE9" s="4">
        <f t="shared" si="23"/>
        <v>-0.78</v>
      </c>
      <c r="IF9" s="4">
        <f t="shared" si="23"/>
        <v>4.99</v>
      </c>
      <c r="IG9" s="4">
        <f t="shared" si="23"/>
        <v>5.45</v>
      </c>
      <c r="IH9" s="4">
        <f t="shared" si="23"/>
        <v>457</v>
      </c>
      <c r="II9" s="4">
        <f t="shared" si="23"/>
        <v>458</v>
      </c>
      <c r="IJ9" s="4">
        <f t="shared" ref="IJ9:IS10" si="24">IF(ISNUMBER(GN9),GN9,IF(ISNUMBER(ER9),ER9,""))</f>
        <v>604</v>
      </c>
      <c r="IK9" s="4">
        <f t="shared" si="24"/>
        <v>550</v>
      </c>
      <c r="IL9" s="4">
        <f t="shared" si="24"/>
        <v>569</v>
      </c>
      <c r="IM9" s="4">
        <f t="shared" si="24"/>
        <v>560</v>
      </c>
      <c r="IN9" s="4">
        <f t="shared" si="24"/>
        <v>453</v>
      </c>
      <c r="IO9" s="4">
        <f t="shared" si="24"/>
        <v>0.26</v>
      </c>
      <c r="IP9" s="4">
        <f t="shared" si="24"/>
        <v>-0.52</v>
      </c>
      <c r="IQ9" s="4">
        <f t="shared" si="24"/>
        <v>8.9</v>
      </c>
      <c r="IR9" s="4">
        <f t="shared" si="24"/>
        <v>8.7899999999999991</v>
      </c>
      <c r="IS9" s="4">
        <f t="shared" si="24"/>
        <v>8.57</v>
      </c>
      <c r="IT9" s="4">
        <f t="shared" ref="IT9:JC10" si="25">IF(ISNUMBER(GX9),GX9,IF(ISNUMBER(FB9),FB9,""))</f>
        <v>8.31</v>
      </c>
      <c r="IU9" s="4">
        <f t="shared" si="25"/>
        <v>8.34</v>
      </c>
      <c r="IV9" s="4">
        <f t="shared" si="25"/>
        <v>8.4700000000000006</v>
      </c>
      <c r="IW9" s="4">
        <f t="shared" si="25"/>
        <v>0</v>
      </c>
      <c r="IX9" s="4">
        <f t="shared" si="25"/>
        <v>1.3</v>
      </c>
      <c r="IY9" s="4">
        <f t="shared" si="25"/>
        <v>7.01</v>
      </c>
      <c r="IZ9" s="4">
        <f t="shared" si="25"/>
        <v>6.84</v>
      </c>
      <c r="JA9" s="4">
        <f t="shared" si="25"/>
        <v>6.78</v>
      </c>
      <c r="JB9" s="4">
        <f t="shared" si="25"/>
        <v>6.77</v>
      </c>
      <c r="JC9" s="4">
        <f t="shared" si="25"/>
        <v>6.94</v>
      </c>
      <c r="JD9" s="4">
        <f t="shared" ref="JD9:JM10" si="26">IF(ISNUMBER(HH9),HH9,IF(ISNUMBER(FL9),FL9,""))</f>
        <v>0</v>
      </c>
      <c r="JE9" s="117">
        <f t="shared" si="26"/>
        <v>0</v>
      </c>
      <c r="JF9" s="110">
        <f t="shared" si="26"/>
        <v>1.3</v>
      </c>
      <c r="JG9" s="110">
        <f t="shared" si="26"/>
        <v>37.9</v>
      </c>
      <c r="JH9" s="110">
        <f t="shared" si="26"/>
        <v>38.200000000000003</v>
      </c>
      <c r="JI9" s="110">
        <f t="shared" si="26"/>
        <v>38</v>
      </c>
      <c r="JJ9" s="110">
        <f t="shared" si="26"/>
        <v>141.19999999999999</v>
      </c>
      <c r="JK9" s="110">
        <f t="shared" si="26"/>
        <v>0.3</v>
      </c>
      <c r="JL9" s="110">
        <f t="shared" si="26"/>
        <v>-5.7</v>
      </c>
      <c r="JM9" s="110">
        <f t="shared" si="26"/>
        <v>-5.8</v>
      </c>
      <c r="JN9" s="110">
        <f t="shared" ref="JN9:JU10" si="27">IF(ISNUMBER(HR9),HR9,IF(ISNUMBER(FV9),FV9,""))</f>
        <v>-5.8</v>
      </c>
      <c r="JO9" s="110">
        <f t="shared" si="27"/>
        <v>155.69999999999999</v>
      </c>
      <c r="JP9" s="110">
        <f t="shared" si="27"/>
        <v>0.2</v>
      </c>
      <c r="JQ9" s="110">
        <f t="shared" si="27"/>
        <v>3.3</v>
      </c>
      <c r="JR9" s="110">
        <f t="shared" si="27"/>
        <v>9.9</v>
      </c>
      <c r="JS9" s="110">
        <f t="shared" si="27"/>
        <v>21.7</v>
      </c>
      <c r="JT9" s="110">
        <f t="shared" si="27"/>
        <v>55</v>
      </c>
      <c r="JU9" s="121">
        <f t="shared" si="27"/>
        <v>28</v>
      </c>
      <c r="JV9" s="83">
        <f t="shared" ref="JV9:LQ10" si="28">IF(AND(ISNUMBER(HZ9),ISNUMBER(CL9)),HZ9-CL9,"")</f>
        <v>-0.10999999999999943</v>
      </c>
      <c r="JW9" s="4">
        <f t="shared" si="28"/>
        <v>0.17999999999999972</v>
      </c>
      <c r="JX9" s="4">
        <f t="shared" si="28"/>
        <v>137.69999999999999</v>
      </c>
      <c r="JY9" s="4">
        <f t="shared" si="28"/>
        <v>1.3</v>
      </c>
      <c r="JZ9" s="4">
        <f t="shared" si="28"/>
        <v>0.17999999999999994</v>
      </c>
      <c r="KA9" s="4">
        <f t="shared" si="28"/>
        <v>3.0000000000000027E-2</v>
      </c>
      <c r="KB9" s="4">
        <f t="shared" si="28"/>
        <v>1.8000000000000003</v>
      </c>
      <c r="KC9" s="4">
        <f t="shared" si="28"/>
        <v>1.6900000000000004</v>
      </c>
      <c r="KD9" s="4">
        <f t="shared" si="28"/>
        <v>-111</v>
      </c>
      <c r="KE9" s="4">
        <f t="shared" si="28"/>
        <v>-107</v>
      </c>
      <c r="KF9" s="4">
        <f t="shared" si="28"/>
        <v>-19</v>
      </c>
      <c r="KG9" s="4">
        <f t="shared" si="28"/>
        <v>-97</v>
      </c>
      <c r="KH9" s="4">
        <f t="shared" si="28"/>
        <v>-72</v>
      </c>
      <c r="KI9" s="4">
        <f t="shared" si="28"/>
        <v>-76</v>
      </c>
      <c r="KJ9" s="4">
        <f t="shared" si="28"/>
        <v>-102</v>
      </c>
      <c r="KK9" s="4">
        <f t="shared" si="28"/>
        <v>0.19</v>
      </c>
      <c r="KL9" s="4">
        <f t="shared" si="28"/>
        <v>-1.49</v>
      </c>
      <c r="KM9" s="4">
        <f t="shared" si="28"/>
        <v>-1.9999999999999574E-2</v>
      </c>
      <c r="KN9" s="4">
        <f t="shared" si="28"/>
        <v>0.12999999999999901</v>
      </c>
      <c r="KO9" s="4">
        <f t="shared" si="28"/>
        <v>0.23000000000000043</v>
      </c>
      <c r="KP9" s="4">
        <f t="shared" si="28"/>
        <v>0.16999999999999993</v>
      </c>
      <c r="KQ9" s="4">
        <f t="shared" si="28"/>
        <v>6.0000000000000497E-2</v>
      </c>
      <c r="KR9" s="4">
        <f t="shared" si="28"/>
        <v>-9.9999999999999645E-2</v>
      </c>
      <c r="KS9" s="4">
        <f t="shared" si="28"/>
        <v>0</v>
      </c>
      <c r="KT9" s="4">
        <f t="shared" si="28"/>
        <v>0.10000000000000009</v>
      </c>
      <c r="KU9" s="4">
        <f t="shared" si="28"/>
        <v>-0.27000000000000046</v>
      </c>
      <c r="KV9" s="4">
        <f t="shared" si="28"/>
        <v>-0.37000000000000011</v>
      </c>
      <c r="KW9" s="4">
        <f t="shared" si="28"/>
        <v>-0.30999999999999961</v>
      </c>
      <c r="KX9" s="4">
        <f t="shared" si="28"/>
        <v>-0.23000000000000043</v>
      </c>
      <c r="KY9" s="4">
        <f t="shared" si="28"/>
        <v>-0.26999999999999957</v>
      </c>
      <c r="KZ9" s="4">
        <f t="shared" si="28"/>
        <v>-7.55</v>
      </c>
      <c r="LA9" s="4">
        <f t="shared" si="28"/>
        <v>0</v>
      </c>
      <c r="LB9" s="4">
        <f t="shared" si="28"/>
        <v>0.10000000000000009</v>
      </c>
      <c r="LC9" s="4">
        <f t="shared" si="28"/>
        <v>0.5</v>
      </c>
      <c r="LD9" s="4">
        <f t="shared" si="28"/>
        <v>-0.79999999999999716</v>
      </c>
      <c r="LE9" s="4">
        <f t="shared" si="28"/>
        <v>-0.20000000000000284</v>
      </c>
      <c r="LF9" s="4">
        <f t="shared" si="28"/>
        <v>137.69999999999999</v>
      </c>
      <c r="LG9" s="4">
        <f t="shared" si="28"/>
        <v>-1.3</v>
      </c>
      <c r="LH9" s="4">
        <f t="shared" si="28"/>
        <v>-0.20000000000000018</v>
      </c>
      <c r="LI9" s="4">
        <f t="shared" si="28"/>
        <v>-0.29999999999999982</v>
      </c>
      <c r="LJ9" s="4">
        <f t="shared" si="28"/>
        <v>-0.29999999999999982</v>
      </c>
      <c r="LK9" s="4">
        <f t="shared" si="28"/>
        <v>-10.100000000000023</v>
      </c>
      <c r="LL9" s="4">
        <f t="shared" si="28"/>
        <v>0.2</v>
      </c>
      <c r="LM9" s="4">
        <f t="shared" si="28"/>
        <v>-0.79999999999999982</v>
      </c>
      <c r="LN9" s="4">
        <f t="shared" si="28"/>
        <v>-2</v>
      </c>
      <c r="LO9" s="4">
        <f t="shared" si="28"/>
        <v>-3.3000000000000007</v>
      </c>
      <c r="LP9" s="4">
        <f t="shared" si="28"/>
        <v>-3.6000000000000014</v>
      </c>
      <c r="LQ9" s="4">
        <f t="shared" si="28"/>
        <v>-10</v>
      </c>
      <c r="LR9" s="4">
        <f t="shared" ref="LR9:LS10" si="29">IF(AND(ISNUMBER(HK9),ISNUMBER(FO9)),HK9-FO9,"")</f>
        <v>0.39999999999999858</v>
      </c>
      <c r="LS9" s="4">
        <f t="shared" si="29"/>
        <v>0.10000000000000142</v>
      </c>
      <c r="LT9" s="4">
        <f t="shared" ref="LT9:LT10" si="30">IF(AND(ISNUMBER(HP9),ISNUMBER(FT9)),HP9-FT9,"")</f>
        <v>-0.20000000000000018</v>
      </c>
      <c r="LU9" s="4">
        <f t="shared" ref="LU9:LU10" si="31">HQ9-FU9</f>
        <v>0.20000000000000018</v>
      </c>
    </row>
    <row r="10" spans="1:345" s="4" customFormat="1" ht="26.25" customHeight="1" x14ac:dyDescent="0.2">
      <c r="A10" s="35">
        <v>41374</v>
      </c>
      <c r="B10" s="36" t="s">
        <v>155</v>
      </c>
      <c r="C10" s="36" t="s">
        <v>41</v>
      </c>
      <c r="D10" s="31" t="s">
        <v>111</v>
      </c>
      <c r="E10" s="4">
        <v>58</v>
      </c>
      <c r="F10" s="3">
        <v>20151</v>
      </c>
      <c r="G10" s="4" t="s">
        <v>87</v>
      </c>
      <c r="H10" s="4" t="s">
        <v>108</v>
      </c>
      <c r="I10" s="4">
        <v>1835949</v>
      </c>
      <c r="J10" s="33">
        <v>-0.5</v>
      </c>
      <c r="K10" s="33">
        <v>-0.54</v>
      </c>
      <c r="L10" s="33"/>
      <c r="M10" s="124">
        <v>41372</v>
      </c>
      <c r="N10" s="67" t="s">
        <v>91</v>
      </c>
      <c r="O10" s="67"/>
      <c r="R10" s="4">
        <v>12</v>
      </c>
      <c r="AC10" s="54" t="s">
        <v>301</v>
      </c>
      <c r="AD10" s="40">
        <v>41619</v>
      </c>
      <c r="AE10" s="58"/>
      <c r="AF10" s="67"/>
      <c r="AG10" s="67"/>
      <c r="AS10" s="4" t="str">
        <f t="shared" si="2"/>
        <v/>
      </c>
      <c r="AT10" s="4" t="str">
        <f>IF(ISNUMBER(AS10),IF(ISNUMBER(K10),AS10-K10,"MISSING"),"")</f>
        <v/>
      </c>
      <c r="AU10" s="4" t="str">
        <f t="shared" si="3"/>
        <v/>
      </c>
      <c r="AW10" s="56"/>
      <c r="AX10" s="67"/>
      <c r="AY10" s="67"/>
      <c r="BK10" s="4" t="str">
        <f t="shared" si="4"/>
        <v/>
      </c>
      <c r="BL10" s="4" t="str">
        <f>IF(ISNUMBER(BK10),IF(ISNUMBER($K10),BK10-$K10,"MISSING"),"")</f>
        <v/>
      </c>
      <c r="BM10" s="4" t="str">
        <f>IF(AND(ISNUMBER(BC10),ISNUMBER($S10)),BC10-$S10,IF(ISNUMBER(BC10),"MISSING",""))</f>
        <v/>
      </c>
      <c r="BN10" s="4">
        <f>IF(AND(ISBLANK($AF10),ISBLANK($AX10)),0,1)</f>
        <v>0</v>
      </c>
      <c r="BO10" s="4">
        <f>IF(AND(ISNUMBER($AF10),ISNUMBER($AX10)),1,0)</f>
        <v>0</v>
      </c>
      <c r="BP10" s="4" t="str">
        <f t="shared" si="5"/>
        <v/>
      </c>
      <c r="BQ10" s="4" t="str">
        <f t="shared" si="6"/>
        <v/>
      </c>
      <c r="BR10" s="4" t="str">
        <f t="shared" si="7"/>
        <v/>
      </c>
      <c r="BS10" s="53">
        <f>IF(AND(ISNUMBER(AV10),ISNUMBER(AX10)),AV10-A10,IF(ISNUMBER(AD10),AD10-A10,0))</f>
        <v>245</v>
      </c>
      <c r="BT10" s="55">
        <f t="shared" si="8"/>
        <v>8.1666666666666661</v>
      </c>
      <c r="BU10" s="4" t="str">
        <f t="shared" si="9"/>
        <v/>
      </c>
      <c r="BV10" s="4" t="str">
        <f t="shared" si="10"/>
        <v/>
      </c>
      <c r="BW10" s="4" t="str">
        <f t="shared" si="11"/>
        <v/>
      </c>
      <c r="BX10" s="4" t="str">
        <f t="shared" si="12"/>
        <v/>
      </c>
      <c r="BY10" s="4">
        <f t="shared" si="13"/>
        <v>-0.25</v>
      </c>
      <c r="BZ10" s="4">
        <f t="shared" si="14"/>
        <v>-0.75</v>
      </c>
      <c r="CA10" s="93">
        <f t="shared" si="15"/>
        <v>-0.16000000000000003</v>
      </c>
      <c r="CB10" s="83" t="str">
        <f t="shared" si="16"/>
        <v/>
      </c>
      <c r="CC10" s="4" t="str">
        <f t="shared" si="17"/>
        <v/>
      </c>
      <c r="CD10" s="96">
        <f t="shared" si="18"/>
        <v>-0.59</v>
      </c>
      <c r="CE10" s="96" t="str">
        <f t="shared" ref="CE10" si="32">IF(AND(OR(ISNUMBER(BA10),ISNUMBER(AI10)),ISNUMBER(Q10)),-LOG(20/Q10)--LOG(20/IF(ISNUMBER(BA10),BA10,AI10)),"")</f>
        <v/>
      </c>
      <c r="CF10" s="127" t="str">
        <f t="shared" si="19"/>
        <v/>
      </c>
      <c r="CG10" s="127" t="str">
        <f t="shared" si="20"/>
        <v/>
      </c>
      <c r="CH10" s="136">
        <f t="shared" si="21"/>
        <v>30</v>
      </c>
      <c r="CI10" s="135" t="str">
        <f t="shared" si="22"/>
        <v/>
      </c>
      <c r="CJ10" s="96" t="str">
        <f>IF(ISNUMBER($CM10),IF(ISNUMBER($AF10),IF(ISNUMBER($EH10),0,1),""),"")</f>
        <v/>
      </c>
      <c r="CK10" s="96" t="str">
        <f>IF(ISNUMBER($CM10),IF(ISNUMBER($AX10),IF(ISNUMBER($GD10),0,1),""),"")</f>
        <v/>
      </c>
      <c r="CL10">
        <v>7.92</v>
      </c>
      <c r="CM10" s="4">
        <v>7.69</v>
      </c>
      <c r="CN10" s="4">
        <v>17</v>
      </c>
      <c r="CO10" s="4">
        <v>-1.3</v>
      </c>
      <c r="CP10" s="4">
        <v>0.8</v>
      </c>
      <c r="CQ10" s="4">
        <v>0.77</v>
      </c>
      <c r="CR10" s="4">
        <v>4.7300000000000004</v>
      </c>
      <c r="CS10" s="4">
        <v>5.27</v>
      </c>
      <c r="CT10" s="4">
        <v>537</v>
      </c>
      <c r="CU10" s="4">
        <v>536</v>
      </c>
      <c r="CV10" s="4">
        <v>633</v>
      </c>
      <c r="CW10" s="4">
        <v>615</v>
      </c>
      <c r="CX10" s="4">
        <v>642</v>
      </c>
      <c r="CY10" s="4">
        <v>579</v>
      </c>
      <c r="CZ10" s="4">
        <v>524</v>
      </c>
      <c r="DA10" s="4">
        <v>1.28</v>
      </c>
      <c r="DB10" s="4">
        <v>-0.06</v>
      </c>
      <c r="DC10" s="4">
        <v>7.86</v>
      </c>
      <c r="DD10" s="4">
        <v>7.77</v>
      </c>
      <c r="DE10" s="4">
        <v>7.97</v>
      </c>
      <c r="DF10" s="4">
        <v>8.2899999999999991</v>
      </c>
      <c r="DG10" s="4">
        <v>8.51</v>
      </c>
      <c r="DH10" s="4">
        <v>8.27</v>
      </c>
      <c r="DI10" s="4">
        <v>0</v>
      </c>
      <c r="DJ10" s="4">
        <v>1</v>
      </c>
      <c r="DK10" s="4">
        <v>6.68</v>
      </c>
      <c r="DL10" s="4">
        <v>6.47</v>
      </c>
      <c r="DM10" s="4">
        <v>6.47</v>
      </c>
      <c r="DN10" s="4">
        <v>6.7</v>
      </c>
      <c r="DO10" s="4">
        <v>6.7</v>
      </c>
      <c r="DP10" s="4">
        <v>0</v>
      </c>
      <c r="DQ10" s="4">
        <v>0</v>
      </c>
      <c r="DR10" s="89">
        <v>1</v>
      </c>
      <c r="DS10" s="110">
        <v>42.1</v>
      </c>
      <c r="DT10" s="110">
        <v>42.2</v>
      </c>
      <c r="DU10" s="110">
        <v>42.2</v>
      </c>
      <c r="DV10" s="110">
        <v>41.6</v>
      </c>
      <c r="DW10" s="110">
        <v>0</v>
      </c>
      <c r="DX10" s="110">
        <v>-5.7</v>
      </c>
      <c r="DY10" s="110">
        <v>-5.8</v>
      </c>
      <c r="DZ10" s="110">
        <v>-5.7</v>
      </c>
      <c r="EA10" s="110">
        <v>38.4</v>
      </c>
      <c r="EB10" s="110">
        <v>0.1</v>
      </c>
      <c r="EC10" s="110">
        <v>4.0999999999999996</v>
      </c>
      <c r="ED10" s="110">
        <v>11.8</v>
      </c>
      <c r="EE10" s="110">
        <v>25.1</v>
      </c>
      <c r="EF10" s="110">
        <v>60.7</v>
      </c>
      <c r="EG10" s="114">
        <v>9</v>
      </c>
      <c r="EH10" s="83"/>
      <c r="FN10" s="86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9"/>
      <c r="GD10" s="83"/>
      <c r="HJ10" s="93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21"/>
      <c r="HZ10" s="83" t="str">
        <f t="shared" si="23"/>
        <v/>
      </c>
      <c r="IA10" s="4" t="str">
        <f t="shared" si="23"/>
        <v/>
      </c>
      <c r="IB10" s="4" t="str">
        <f t="shared" si="23"/>
        <v/>
      </c>
      <c r="IC10" s="4" t="str">
        <f t="shared" si="23"/>
        <v/>
      </c>
      <c r="ID10" s="4" t="str">
        <f t="shared" si="23"/>
        <v/>
      </c>
      <c r="IE10" s="4" t="str">
        <f t="shared" si="23"/>
        <v/>
      </c>
      <c r="IF10" s="4" t="str">
        <f t="shared" si="23"/>
        <v/>
      </c>
      <c r="IG10" s="4" t="str">
        <f t="shared" si="23"/>
        <v/>
      </c>
      <c r="IH10" s="4" t="str">
        <f t="shared" si="23"/>
        <v/>
      </c>
      <c r="II10" s="4" t="str">
        <f t="shared" si="23"/>
        <v/>
      </c>
      <c r="IJ10" s="4" t="str">
        <f t="shared" si="24"/>
        <v/>
      </c>
      <c r="IK10" s="4" t="str">
        <f t="shared" si="24"/>
        <v/>
      </c>
      <c r="IL10" s="4" t="str">
        <f t="shared" si="24"/>
        <v/>
      </c>
      <c r="IM10" s="4" t="str">
        <f t="shared" si="24"/>
        <v/>
      </c>
      <c r="IN10" s="4" t="str">
        <f t="shared" si="24"/>
        <v/>
      </c>
      <c r="IO10" s="4" t="str">
        <f t="shared" si="24"/>
        <v/>
      </c>
      <c r="IP10" s="4" t="str">
        <f t="shared" si="24"/>
        <v/>
      </c>
      <c r="IQ10" s="4" t="str">
        <f t="shared" si="24"/>
        <v/>
      </c>
      <c r="IR10" s="4" t="str">
        <f t="shared" si="24"/>
        <v/>
      </c>
      <c r="IS10" s="4" t="str">
        <f t="shared" si="24"/>
        <v/>
      </c>
      <c r="IT10" s="4" t="str">
        <f t="shared" si="25"/>
        <v/>
      </c>
      <c r="IU10" s="4" t="str">
        <f t="shared" si="25"/>
        <v/>
      </c>
      <c r="IV10" s="4" t="str">
        <f t="shared" si="25"/>
        <v/>
      </c>
      <c r="IW10" s="4" t="str">
        <f t="shared" si="25"/>
        <v/>
      </c>
      <c r="IX10" s="4" t="str">
        <f t="shared" si="25"/>
        <v/>
      </c>
      <c r="IY10" s="4" t="str">
        <f t="shared" si="25"/>
        <v/>
      </c>
      <c r="IZ10" s="4" t="str">
        <f t="shared" si="25"/>
        <v/>
      </c>
      <c r="JA10" s="4" t="str">
        <f t="shared" si="25"/>
        <v/>
      </c>
      <c r="JB10" s="4" t="str">
        <f t="shared" si="25"/>
        <v/>
      </c>
      <c r="JC10" s="4" t="str">
        <f t="shared" si="25"/>
        <v/>
      </c>
      <c r="JD10" s="4" t="str">
        <f t="shared" si="26"/>
        <v/>
      </c>
      <c r="JE10" s="117" t="str">
        <f t="shared" si="26"/>
        <v/>
      </c>
      <c r="JF10" s="110" t="str">
        <f t="shared" si="26"/>
        <v/>
      </c>
      <c r="JG10" s="110" t="str">
        <f t="shared" si="26"/>
        <v/>
      </c>
      <c r="JH10" s="110" t="str">
        <f t="shared" si="26"/>
        <v/>
      </c>
      <c r="JI10" s="110" t="str">
        <f t="shared" si="26"/>
        <v/>
      </c>
      <c r="JJ10" s="110" t="str">
        <f t="shared" si="26"/>
        <v/>
      </c>
      <c r="JK10" s="110" t="str">
        <f t="shared" si="26"/>
        <v/>
      </c>
      <c r="JL10" s="110" t="str">
        <f t="shared" si="26"/>
        <v/>
      </c>
      <c r="JM10" s="110" t="str">
        <f t="shared" si="26"/>
        <v/>
      </c>
      <c r="JN10" s="110" t="str">
        <f t="shared" si="27"/>
        <v/>
      </c>
      <c r="JO10" s="110" t="str">
        <f t="shared" si="27"/>
        <v/>
      </c>
      <c r="JP10" s="110" t="str">
        <f t="shared" si="27"/>
        <v/>
      </c>
      <c r="JQ10" s="110" t="str">
        <f t="shared" si="27"/>
        <v/>
      </c>
      <c r="JR10" s="110" t="str">
        <f t="shared" si="27"/>
        <v/>
      </c>
      <c r="JS10" s="110" t="str">
        <f t="shared" si="27"/>
        <v/>
      </c>
      <c r="JT10" s="110" t="str">
        <f t="shared" si="27"/>
        <v/>
      </c>
      <c r="JU10" s="121" t="str">
        <f t="shared" si="27"/>
        <v/>
      </c>
      <c r="JV10" s="83" t="str">
        <f t="shared" si="28"/>
        <v/>
      </c>
      <c r="JW10" s="4" t="str">
        <f t="shared" si="28"/>
        <v/>
      </c>
      <c r="JX10" s="4" t="str">
        <f t="shared" si="28"/>
        <v/>
      </c>
      <c r="JY10" s="4" t="str">
        <f t="shared" si="28"/>
        <v/>
      </c>
      <c r="JZ10" s="4" t="str">
        <f t="shared" si="28"/>
        <v/>
      </c>
      <c r="KA10" s="4" t="str">
        <f t="shared" si="28"/>
        <v/>
      </c>
      <c r="KB10" s="4" t="str">
        <f t="shared" si="28"/>
        <v/>
      </c>
      <c r="KC10" s="4" t="str">
        <f t="shared" si="28"/>
        <v/>
      </c>
      <c r="KD10" s="4" t="str">
        <f t="shared" si="28"/>
        <v/>
      </c>
      <c r="KE10" s="4" t="str">
        <f t="shared" si="28"/>
        <v/>
      </c>
      <c r="KF10" s="4" t="str">
        <f t="shared" si="28"/>
        <v/>
      </c>
      <c r="KG10" s="4" t="str">
        <f t="shared" si="28"/>
        <v/>
      </c>
      <c r="KH10" s="4" t="str">
        <f t="shared" si="28"/>
        <v/>
      </c>
      <c r="KI10" s="4" t="str">
        <f t="shared" si="28"/>
        <v/>
      </c>
      <c r="KJ10" s="4" t="str">
        <f t="shared" si="28"/>
        <v/>
      </c>
      <c r="KK10" s="4" t="str">
        <f t="shared" si="28"/>
        <v/>
      </c>
      <c r="KL10" s="4" t="str">
        <f t="shared" si="28"/>
        <v/>
      </c>
      <c r="KM10" s="4" t="str">
        <f t="shared" si="28"/>
        <v/>
      </c>
      <c r="KN10" s="4" t="str">
        <f t="shared" si="28"/>
        <v/>
      </c>
      <c r="KO10" s="4" t="str">
        <f t="shared" si="28"/>
        <v/>
      </c>
      <c r="KP10" s="4" t="str">
        <f t="shared" si="28"/>
        <v/>
      </c>
      <c r="KQ10" s="4" t="str">
        <f t="shared" si="28"/>
        <v/>
      </c>
      <c r="KR10" s="4" t="str">
        <f t="shared" si="28"/>
        <v/>
      </c>
      <c r="KS10" s="4" t="str">
        <f t="shared" si="28"/>
        <v/>
      </c>
      <c r="KT10" s="4" t="str">
        <f t="shared" si="28"/>
        <v/>
      </c>
      <c r="KU10" s="4" t="str">
        <f t="shared" si="28"/>
        <v/>
      </c>
      <c r="KV10" s="4" t="str">
        <f t="shared" si="28"/>
        <v/>
      </c>
      <c r="KW10" s="4" t="str">
        <f t="shared" si="28"/>
        <v/>
      </c>
      <c r="KX10" s="4" t="str">
        <f t="shared" si="28"/>
        <v/>
      </c>
      <c r="KY10" s="4" t="str">
        <f t="shared" si="28"/>
        <v/>
      </c>
      <c r="KZ10" s="4" t="str">
        <f t="shared" si="28"/>
        <v/>
      </c>
      <c r="LA10" s="4" t="str">
        <f t="shared" si="28"/>
        <v/>
      </c>
      <c r="LB10" s="4" t="str">
        <f t="shared" si="28"/>
        <v/>
      </c>
      <c r="LC10" s="4" t="str">
        <f t="shared" si="28"/>
        <v/>
      </c>
      <c r="LD10" s="4" t="str">
        <f t="shared" si="28"/>
        <v/>
      </c>
      <c r="LE10" s="4" t="str">
        <f t="shared" si="28"/>
        <v/>
      </c>
      <c r="LF10" s="4" t="str">
        <f t="shared" si="28"/>
        <v/>
      </c>
      <c r="LG10" s="4" t="str">
        <f t="shared" si="28"/>
        <v/>
      </c>
      <c r="LH10" s="4" t="str">
        <f t="shared" si="28"/>
        <v/>
      </c>
      <c r="LI10" s="4" t="str">
        <f t="shared" si="28"/>
        <v/>
      </c>
      <c r="LJ10" s="4" t="str">
        <f t="shared" si="28"/>
        <v/>
      </c>
      <c r="LK10" s="4" t="str">
        <f t="shared" si="28"/>
        <v/>
      </c>
      <c r="LL10" s="4" t="str">
        <f t="shared" si="28"/>
        <v/>
      </c>
      <c r="LM10" s="4" t="str">
        <f t="shared" si="28"/>
        <v/>
      </c>
      <c r="LN10" s="4" t="str">
        <f t="shared" si="28"/>
        <v/>
      </c>
      <c r="LO10" s="4" t="str">
        <f t="shared" si="28"/>
        <v/>
      </c>
      <c r="LP10" s="4" t="str">
        <f t="shared" si="28"/>
        <v/>
      </c>
      <c r="LQ10" s="4" t="str">
        <f t="shared" si="28"/>
        <v/>
      </c>
      <c r="LR10" s="4" t="str">
        <f t="shared" si="29"/>
        <v/>
      </c>
      <c r="LS10" s="4" t="str">
        <f t="shared" si="29"/>
        <v/>
      </c>
      <c r="LT10" s="4" t="str">
        <f t="shared" si="30"/>
        <v/>
      </c>
      <c r="LU10" s="4">
        <f t="shared" si="31"/>
        <v>0</v>
      </c>
    </row>
    <row r="11" spans="1:345" s="48" customFormat="1" ht="26.25" customHeight="1" x14ac:dyDescent="0.2">
      <c r="A11" s="35">
        <v>41374</v>
      </c>
      <c r="B11" s="36" t="s">
        <v>150</v>
      </c>
      <c r="C11" s="36" t="s">
        <v>48</v>
      </c>
      <c r="D11" s="31" t="s">
        <v>111</v>
      </c>
      <c r="E11" s="4">
        <v>22</v>
      </c>
      <c r="F11" s="3">
        <v>33227</v>
      </c>
      <c r="G11" s="4" t="s">
        <v>87</v>
      </c>
      <c r="H11" s="4" t="s">
        <v>108</v>
      </c>
      <c r="I11" s="4">
        <v>1836229</v>
      </c>
      <c r="J11" s="33">
        <v>-0.5</v>
      </c>
      <c r="K11" s="33">
        <v>-0.46</v>
      </c>
      <c r="L11" s="33"/>
      <c r="M11" s="124">
        <v>41361</v>
      </c>
      <c r="N11" s="67" t="s">
        <v>91</v>
      </c>
      <c r="O11" s="67"/>
      <c r="P11" s="4"/>
      <c r="Q11" s="4"/>
      <c r="R11" s="4">
        <v>11</v>
      </c>
      <c r="S11" s="4">
        <v>543</v>
      </c>
      <c r="T11" s="4"/>
      <c r="U11" s="4"/>
      <c r="V11" s="4"/>
      <c r="W11" s="4"/>
      <c r="X11" s="4"/>
      <c r="Y11" s="4"/>
      <c r="Z11" s="4"/>
      <c r="AA11" s="4"/>
      <c r="AB11" s="4">
        <v>1</v>
      </c>
      <c r="AC11" s="4" t="b">
        <f>IF(AND(ISNUMBER(SK),SK&gt;0),TRUE,FALSE)</f>
        <v>1</v>
      </c>
      <c r="AD11" s="54" t="s">
        <v>299</v>
      </c>
      <c r="AE11" s="32">
        <v>41526</v>
      </c>
      <c r="AF11" s="60"/>
      <c r="AG11" s="67">
        <v>-0.75</v>
      </c>
      <c r="AH11" s="67">
        <v>1</v>
      </c>
      <c r="AI11" s="4">
        <v>95</v>
      </c>
      <c r="AJ11" s="4">
        <v>25</v>
      </c>
      <c r="AK11" s="4">
        <v>15</v>
      </c>
      <c r="AL11" s="4">
        <v>504</v>
      </c>
      <c r="AM11" s="4">
        <v>1618</v>
      </c>
      <c r="AN11" s="4"/>
      <c r="AO11" s="4"/>
      <c r="AP11" s="4"/>
      <c r="AQ11" s="4"/>
      <c r="AR11" s="4"/>
      <c r="AS11" s="4"/>
      <c r="AT11" s="4">
        <f>IF(ISNUMBER(AG11),AG11+0.5*AH11,"")</f>
        <v>-0.25</v>
      </c>
      <c r="AU11" s="4">
        <f>IF(ISNUMBER(AT11),IF(ISNUMBER(K11),AT11-K11,"MISSING"),"")</f>
        <v>0.21000000000000002</v>
      </c>
      <c r="AV11" s="4">
        <f>IF(AND(ISNUMBER(AL11),ISNUMBER(S11)),AL11-S11,IF(ISNUMBER(AL11),"MISSING",""))</f>
        <v>-39</v>
      </c>
      <c r="AW11" s="51" t="s">
        <v>501</v>
      </c>
      <c r="AX11" s="56"/>
      <c r="AY11" s="67"/>
      <c r="AZ11" s="67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 t="str">
        <f>IF(ISNUMBER(AY11),AY11+0.5*AZ11,"")</f>
        <v/>
      </c>
      <c r="BM11" s="4" t="str">
        <f>IF(ISNUMBER(BL11),IF(ISNUMBER($K11),BL11-$K11,"MISSING"),"")</f>
        <v/>
      </c>
      <c r="BN11" s="4" t="str">
        <f>IF(AND(ISNUMBER(BD11),ISNUMBER($S11)),BD11-$S11,IF(ISNUMBER(BD11),"MISSING",""))</f>
        <v/>
      </c>
      <c r="BO11" s="4">
        <f>IF(AND(ISBLANK($AG11),ISBLANK($AY11)),0,1)</f>
        <v>1</v>
      </c>
      <c r="BP11" s="4">
        <f>IF(AND(ISNUMBER($AG11),ISNUMBER($AY11)),1,0)</f>
        <v>0</v>
      </c>
      <c r="BQ11" s="4" t="str">
        <f>IF(BP11,SE_PREOP,"")</f>
        <v/>
      </c>
      <c r="BR11" s="4">
        <f>IF(FU_6_AND_12,SE_6,"")</f>
        <v>-2.5</v>
      </c>
      <c r="BS11" s="4">
        <f>IF(FU_6_AND_12,SE_12,"")</f>
        <v>-2.75</v>
      </c>
      <c r="BT11" s="53">
        <f>IF(AND(ISNUMBER(AW11),ISNUMBER(AY11)),AW11-A11,IF(ISNUMBER(AE11),AE11-A11,0))</f>
        <v>152</v>
      </c>
      <c r="BU11" s="55">
        <f>IF(BT11&gt;0,BT11/30,"")</f>
        <v>5.0666666666666664</v>
      </c>
      <c r="BV11" s="4" t="str">
        <f>IF(AND(ISNUMBER(AT11),ISNUMBER(BL11)),(BL11-AT11),"")</f>
        <v/>
      </c>
      <c r="BW11" s="4" t="str">
        <f>IF(AND(ISNUMBER(AR11), ISNUMBER(X11)), AVERAGE(AR11,AP11)-AVERAGE(X11,Z11),"")</f>
        <v/>
      </c>
      <c r="BX11" s="4" t="str">
        <f>IF(AND(ISNUMBER(BH11), ISNUMBER(X11)), AVERAGE(BH11,BJ11)-AVERAGE(X11,Z11),"")</f>
        <v/>
      </c>
      <c r="BY11" s="4" t="str">
        <f>IF(ISNUMBER(BX11),BX11,IF(ISNUMBER(BW11),BW11,""))</f>
        <v/>
      </c>
      <c r="BZ11" s="4">
        <f>IF(AND(ISNUMBER(SPH_PREOP),ISNUMBER(SE_LAST_)),SPH_PREOP+CYL_PREOP/2,"")</f>
        <v>0.375</v>
      </c>
      <c r="CA11" s="4">
        <f>IF(ISNUMBER(SE_12),SE_12,IF(ISNUMBER(SE_6),SE_6,""))</f>
        <v>-2.75</v>
      </c>
      <c r="CB11" s="93">
        <f>IF(AND(ISNUMBER(SE_LAST_),ISNUMBER(REF_TARGET)),SE_LAST_-REF_TARGET,"")</f>
        <v>-2.23</v>
      </c>
      <c r="CC11" s="83">
        <f>IF(ISNUMBER(S11),IF(ISNUMBER(BD11),BD11-S11,IF(ISNUMBER(AL11),AL11-S11,"")),"")</f>
        <v>-39</v>
      </c>
      <c r="CD11" s="4" t="str">
        <f>IF(ISNUMBER(T11),IF(ISNUMBER(AN11),AN11-T11,IF(ISNUMBER(BF11),BF11-T11,"")),"")</f>
        <v/>
      </c>
      <c r="CE11" s="96">
        <f>IF(ISNUMBER(LAST_SE_ERROR),REF_TARGET,"")</f>
        <v>-0.52</v>
      </c>
      <c r="CF11" s="96" t="str">
        <f>IF(AND(OR(ISNUMBER(BB11),ISNUMBER(AJ11)),ISNUMBER(Q11)),-LOG(20/Q11)--LOG(20/IF(ISNUMBER(BB11),BB11,AJ11)),"")</f>
        <v/>
      </c>
      <c r="CG11" s="127">
        <f>IF(ISNUMBER(AZ11),AZ11,IF(ISNUMBER(AH11),AH11,""))</f>
        <v>1</v>
      </c>
      <c r="CH11" s="127" t="str">
        <f>IF(AND(ISNUMBER(CG11),ISNUMBER(O11)),CG11-O11,"")</f>
        <v/>
      </c>
      <c r="CI11" s="136">
        <f>IF(ISNUMBER(BCVA_12),BCVA_12,IF(ISNUMBER(BCVA_6),BCVA_6,""))</f>
        <v>30</v>
      </c>
      <c r="CJ11" s="136">
        <f>IF(ISNUMBER(CI11),PREOP_BCVA,"")</f>
        <v>60</v>
      </c>
      <c r="CK11" s="135">
        <f>IF(AND(REF_TARGET&lt;=0,REF_TARGET&gt;-1),IF(ISNUMBER(UDVA_12),UDVA_12,IF(ISNUMBER(UDVA_6),UDVA_6,"")),"")</f>
        <v>40</v>
      </c>
      <c r="CL11" s="96">
        <f>IF(ISNUMBER($CP11),IF(ISNUMBER($AG11),IF(ISNUMBER($EK11),0,1),""),"")</f>
        <v>1</v>
      </c>
      <c r="CM11" s="96" t="str">
        <f>IF(ISNUMBER($CP11),IF(ISNUMBER($AY11),IF(ISNUMBER($GG11),0,1),""),"")</f>
        <v/>
      </c>
      <c r="CN11" s="96" t="str">
        <f>IF(OR(ISNUMBER(MISSING_PENT_6),ISNUMBER(MISSING_PENT_12)),AND(MISSING_PENT_6,MISSING_PENT_12),"")</f>
        <v/>
      </c>
      <c r="CO11" s="130">
        <v>7.85</v>
      </c>
      <c r="CP11" s="4">
        <v>7.54</v>
      </c>
      <c r="CQ11" s="4">
        <v>3.6</v>
      </c>
      <c r="CR11" s="4">
        <v>-1.7</v>
      </c>
      <c r="CS11" s="4">
        <v>0.69</v>
      </c>
      <c r="CT11" s="4">
        <v>0.78</v>
      </c>
      <c r="CU11" s="4">
        <v>2.71</v>
      </c>
      <c r="CV11" s="4">
        <v>3.27</v>
      </c>
      <c r="CW11" s="4">
        <v>561</v>
      </c>
      <c r="CX11" s="4">
        <v>560</v>
      </c>
      <c r="CY11" s="4">
        <v>657</v>
      </c>
      <c r="CZ11" s="4">
        <v>605</v>
      </c>
      <c r="DA11" s="4">
        <v>633</v>
      </c>
      <c r="DB11" s="4">
        <v>578</v>
      </c>
      <c r="DC11" s="4">
        <v>559</v>
      </c>
      <c r="DD11" s="4">
        <v>-0.22</v>
      </c>
      <c r="DE11" s="4">
        <v>0.57999999999999996</v>
      </c>
      <c r="DF11" s="4">
        <v>7.69</v>
      </c>
      <c r="DG11" s="4">
        <v>7.72</v>
      </c>
      <c r="DH11" s="4">
        <v>7.86</v>
      </c>
      <c r="DI11" s="4">
        <v>8.17</v>
      </c>
      <c r="DJ11" s="4">
        <v>8.6</v>
      </c>
      <c r="DK11" s="4">
        <v>9.15</v>
      </c>
      <c r="DL11" s="4">
        <v>9.5500000000000007</v>
      </c>
      <c r="DM11" s="4">
        <v>0.8</v>
      </c>
      <c r="DN11" s="4">
        <v>6.81</v>
      </c>
      <c r="DO11" s="4">
        <v>6.61</v>
      </c>
      <c r="DP11" s="4">
        <v>6.58</v>
      </c>
      <c r="DQ11" s="4">
        <v>6.94</v>
      </c>
      <c r="DR11" s="4">
        <v>7.57</v>
      </c>
      <c r="DS11" s="4">
        <v>8.19</v>
      </c>
      <c r="DT11" s="4">
        <v>0</v>
      </c>
      <c r="DU11" s="89">
        <v>0.8</v>
      </c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4"/>
      <c r="EK11" s="83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86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9"/>
      <c r="GG11" s="83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93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21"/>
      <c r="IC11" s="83" t="str">
        <f t="shared" ref="IC11:JX12" si="33">IF(ISNUMBER(GG11),GG11,IF(ISNUMBER(EK11),EK11,""))</f>
        <v/>
      </c>
      <c r="ID11" s="4" t="str">
        <f t="shared" si="33"/>
        <v/>
      </c>
      <c r="IE11" s="4" t="str">
        <f t="shared" si="33"/>
        <v/>
      </c>
      <c r="IF11" s="4" t="str">
        <f t="shared" si="33"/>
        <v/>
      </c>
      <c r="IG11" s="4" t="str">
        <f t="shared" si="33"/>
        <v/>
      </c>
      <c r="IH11" s="4" t="str">
        <f t="shared" si="33"/>
        <v/>
      </c>
      <c r="II11" s="4" t="str">
        <f t="shared" si="33"/>
        <v/>
      </c>
      <c r="IJ11" s="4" t="str">
        <f t="shared" si="33"/>
        <v/>
      </c>
      <c r="IK11" s="4" t="str">
        <f t="shared" si="33"/>
        <v/>
      </c>
      <c r="IL11" s="4" t="str">
        <f t="shared" si="33"/>
        <v/>
      </c>
      <c r="IM11" s="4" t="str">
        <f t="shared" si="33"/>
        <v/>
      </c>
      <c r="IN11" s="4" t="str">
        <f t="shared" si="33"/>
        <v/>
      </c>
      <c r="IO11" s="4" t="str">
        <f t="shared" si="33"/>
        <v/>
      </c>
      <c r="IP11" s="4" t="str">
        <f t="shared" si="33"/>
        <v/>
      </c>
      <c r="IQ11" s="4" t="str">
        <f t="shared" si="33"/>
        <v/>
      </c>
      <c r="IR11" s="4" t="str">
        <f t="shared" si="33"/>
        <v/>
      </c>
      <c r="IS11" s="4" t="str">
        <f t="shared" si="33"/>
        <v/>
      </c>
      <c r="IT11" s="4" t="str">
        <f t="shared" si="33"/>
        <v/>
      </c>
      <c r="IU11" s="4" t="str">
        <f t="shared" si="33"/>
        <v/>
      </c>
      <c r="IV11" s="4" t="str">
        <f t="shared" si="33"/>
        <v/>
      </c>
      <c r="IW11" s="4" t="str">
        <f t="shared" si="33"/>
        <v/>
      </c>
      <c r="IX11" s="4" t="str">
        <f t="shared" si="33"/>
        <v/>
      </c>
      <c r="IY11" s="4" t="str">
        <f t="shared" si="33"/>
        <v/>
      </c>
      <c r="IZ11" s="4" t="str">
        <f t="shared" si="33"/>
        <v/>
      </c>
      <c r="JA11" s="4" t="str">
        <f t="shared" si="33"/>
        <v/>
      </c>
      <c r="JB11" s="4" t="str">
        <f t="shared" si="33"/>
        <v/>
      </c>
      <c r="JC11" s="4" t="str">
        <f t="shared" si="33"/>
        <v/>
      </c>
      <c r="JD11" s="4" t="str">
        <f t="shared" si="33"/>
        <v/>
      </c>
      <c r="JE11" s="4" t="str">
        <f t="shared" si="33"/>
        <v/>
      </c>
      <c r="JF11" s="4" t="str">
        <f t="shared" si="33"/>
        <v/>
      </c>
      <c r="JG11" s="4" t="str">
        <f t="shared" si="33"/>
        <v/>
      </c>
      <c r="JH11" s="117" t="str">
        <f t="shared" si="33"/>
        <v/>
      </c>
      <c r="JI11" s="110" t="str">
        <f t="shared" si="33"/>
        <v/>
      </c>
      <c r="JJ11" s="110" t="str">
        <f t="shared" si="33"/>
        <v/>
      </c>
      <c r="JK11" s="110" t="str">
        <f t="shared" si="33"/>
        <v/>
      </c>
      <c r="JL11" s="110" t="str">
        <f t="shared" si="33"/>
        <v/>
      </c>
      <c r="JM11" s="110" t="str">
        <f t="shared" si="33"/>
        <v/>
      </c>
      <c r="JN11" s="110" t="str">
        <f t="shared" si="33"/>
        <v/>
      </c>
      <c r="JO11" s="110" t="str">
        <f t="shared" si="33"/>
        <v/>
      </c>
      <c r="JP11" s="110" t="str">
        <f t="shared" si="33"/>
        <v/>
      </c>
      <c r="JQ11" s="110" t="str">
        <f t="shared" si="33"/>
        <v/>
      </c>
      <c r="JR11" s="110" t="str">
        <f t="shared" si="33"/>
        <v/>
      </c>
      <c r="JS11" s="110" t="str">
        <f t="shared" si="33"/>
        <v/>
      </c>
      <c r="JT11" s="110" t="str">
        <f t="shared" si="33"/>
        <v/>
      </c>
      <c r="JU11" s="110" t="str">
        <f t="shared" si="33"/>
        <v/>
      </c>
      <c r="JV11" s="110" t="str">
        <f t="shared" si="33"/>
        <v/>
      </c>
      <c r="JW11" s="110" t="str">
        <f t="shared" si="33"/>
        <v/>
      </c>
      <c r="JX11" s="121" t="str">
        <f t="shared" si="33"/>
        <v/>
      </c>
      <c r="JY11" s="83" t="str">
        <f t="shared" ref="JY11:LT12" si="34">IF(AND(ISNUMBER(IC11),ISNUMBER(CO11)),IC11-CO11,"")</f>
        <v/>
      </c>
      <c r="JZ11" s="4" t="str">
        <f t="shared" si="34"/>
        <v/>
      </c>
      <c r="KA11" s="4" t="str">
        <f t="shared" si="34"/>
        <v/>
      </c>
      <c r="KB11" s="4" t="str">
        <f t="shared" si="34"/>
        <v/>
      </c>
      <c r="KC11" s="4" t="str">
        <f t="shared" si="34"/>
        <v/>
      </c>
      <c r="KD11" s="4" t="str">
        <f t="shared" si="34"/>
        <v/>
      </c>
      <c r="KE11" s="4" t="str">
        <f t="shared" si="34"/>
        <v/>
      </c>
      <c r="KF11" s="4" t="str">
        <f t="shared" si="34"/>
        <v/>
      </c>
      <c r="KG11" s="4" t="str">
        <f t="shared" si="34"/>
        <v/>
      </c>
      <c r="KH11" s="4" t="str">
        <f t="shared" si="34"/>
        <v/>
      </c>
      <c r="KI11" s="4" t="str">
        <f t="shared" si="34"/>
        <v/>
      </c>
      <c r="KJ11" s="4" t="str">
        <f t="shared" si="34"/>
        <v/>
      </c>
      <c r="KK11" s="4" t="str">
        <f t="shared" si="34"/>
        <v/>
      </c>
      <c r="KL11" s="4" t="str">
        <f t="shared" si="34"/>
        <v/>
      </c>
      <c r="KM11" s="4" t="str">
        <f t="shared" si="34"/>
        <v/>
      </c>
      <c r="KN11" s="4" t="str">
        <f t="shared" si="34"/>
        <v/>
      </c>
      <c r="KO11" s="4" t="str">
        <f t="shared" si="34"/>
        <v/>
      </c>
      <c r="KP11" s="4" t="str">
        <f t="shared" si="34"/>
        <v/>
      </c>
      <c r="KQ11" s="4" t="str">
        <f t="shared" si="34"/>
        <v/>
      </c>
      <c r="KR11" s="4" t="str">
        <f t="shared" si="34"/>
        <v/>
      </c>
      <c r="KS11" s="4" t="str">
        <f t="shared" si="34"/>
        <v/>
      </c>
      <c r="KT11" s="4" t="str">
        <f t="shared" si="34"/>
        <v/>
      </c>
      <c r="KU11" s="4" t="str">
        <f t="shared" si="34"/>
        <v/>
      </c>
      <c r="KV11" s="4" t="str">
        <f t="shared" si="34"/>
        <v/>
      </c>
      <c r="KW11" s="4" t="str">
        <f t="shared" si="34"/>
        <v/>
      </c>
      <c r="KX11" s="4" t="str">
        <f t="shared" si="34"/>
        <v/>
      </c>
      <c r="KY11" s="4" t="str">
        <f t="shared" si="34"/>
        <v/>
      </c>
      <c r="KZ11" s="4" t="str">
        <f t="shared" si="34"/>
        <v/>
      </c>
      <c r="LA11" s="4" t="str">
        <f t="shared" si="34"/>
        <v/>
      </c>
      <c r="LB11" s="4" t="str">
        <f t="shared" si="34"/>
        <v/>
      </c>
      <c r="LC11" s="4" t="str">
        <f t="shared" si="34"/>
        <v/>
      </c>
      <c r="LD11" s="4" t="str">
        <f t="shared" si="34"/>
        <v/>
      </c>
      <c r="LE11" s="4" t="str">
        <f t="shared" si="34"/>
        <v/>
      </c>
      <c r="LF11" s="4" t="str">
        <f t="shared" si="34"/>
        <v/>
      </c>
      <c r="LG11" s="4" t="str">
        <f t="shared" si="34"/>
        <v/>
      </c>
      <c r="LH11" s="4" t="str">
        <f t="shared" si="34"/>
        <v/>
      </c>
      <c r="LI11" s="4" t="str">
        <f t="shared" si="34"/>
        <v/>
      </c>
      <c r="LJ11" s="4" t="str">
        <f t="shared" si="34"/>
        <v/>
      </c>
      <c r="LK11" s="4" t="str">
        <f t="shared" si="34"/>
        <v/>
      </c>
      <c r="LL11" s="4" t="str">
        <f t="shared" si="34"/>
        <v/>
      </c>
      <c r="LM11" s="4" t="str">
        <f t="shared" si="34"/>
        <v/>
      </c>
      <c r="LN11" s="4" t="str">
        <f t="shared" si="34"/>
        <v/>
      </c>
      <c r="LO11" s="4" t="str">
        <f t="shared" si="34"/>
        <v/>
      </c>
      <c r="LP11" s="4" t="str">
        <f t="shared" si="34"/>
        <v/>
      </c>
      <c r="LQ11" s="4" t="str">
        <f t="shared" si="34"/>
        <v/>
      </c>
      <c r="LR11" s="4" t="str">
        <f t="shared" si="34"/>
        <v/>
      </c>
      <c r="LS11" s="4" t="str">
        <f t="shared" si="34"/>
        <v/>
      </c>
      <c r="LT11" s="4" t="str">
        <f t="shared" si="34"/>
        <v/>
      </c>
      <c r="LU11" s="4" t="str">
        <f>IF(AND(ISNUMBER(HN11),ISNUMBER(FR11)),HN11-FR11,"")</f>
        <v/>
      </c>
      <c r="LV11" s="4" t="str">
        <f>IF(AND(ISNUMBER(HO11),ISNUMBER(FS11)),HO11-FS11,"")</f>
        <v/>
      </c>
      <c r="LW11" s="4" t="str">
        <f>IF(AND(ISNUMBER(HS11),ISNUMBER(FW11)),HS11-FW11,"")</f>
        <v/>
      </c>
      <c r="LX11" s="4">
        <f>HT11-FX11</f>
        <v>0</v>
      </c>
    </row>
    <row r="12" spans="1:345" s="4" customFormat="1" ht="26.25" customHeight="1" x14ac:dyDescent="0.2">
      <c r="A12" s="44">
        <v>41437</v>
      </c>
      <c r="B12" s="36" t="s">
        <v>263</v>
      </c>
      <c r="C12" s="36" t="s">
        <v>81</v>
      </c>
      <c r="D12" s="31" t="s">
        <v>110</v>
      </c>
      <c r="E12" s="4">
        <v>69</v>
      </c>
      <c r="F12" s="3">
        <v>16070</v>
      </c>
      <c r="G12" s="4" t="s">
        <v>87</v>
      </c>
      <c r="H12" s="4" t="s">
        <v>108</v>
      </c>
      <c r="I12" s="45">
        <v>1836983</v>
      </c>
      <c r="J12" s="45"/>
      <c r="K12" s="250"/>
      <c r="L12" s="251"/>
      <c r="M12" s="251"/>
      <c r="N12" s="251"/>
      <c r="O12" s="250"/>
      <c r="P12" s="251"/>
      <c r="Q12" s="251"/>
      <c r="R12" s="33">
        <v>-0.5</v>
      </c>
      <c r="S12" s="33">
        <v>-0.67</v>
      </c>
      <c r="T12" s="4" t="s">
        <v>249</v>
      </c>
      <c r="U12" s="67">
        <v>15.5</v>
      </c>
      <c r="V12" s="125">
        <v>41428</v>
      </c>
      <c r="W12" s="67">
        <v>-5</v>
      </c>
      <c r="X12" s="67">
        <v>2</v>
      </c>
      <c r="Y12" s="4">
        <v>100</v>
      </c>
      <c r="Z12" s="4">
        <v>40</v>
      </c>
      <c r="AA12" s="4">
        <v>15</v>
      </c>
      <c r="AB12" s="4">
        <v>582</v>
      </c>
      <c r="AC12" s="4">
        <v>25.51</v>
      </c>
      <c r="AD12" s="4">
        <v>11.9</v>
      </c>
      <c r="AE12" s="4">
        <v>4.87</v>
      </c>
      <c r="AF12" s="4">
        <v>3.57</v>
      </c>
      <c r="AG12" s="4">
        <v>42.51</v>
      </c>
      <c r="AH12" s="4">
        <v>178</v>
      </c>
      <c r="AI12" s="4">
        <v>44.53</v>
      </c>
      <c r="AJ12" s="4">
        <v>88</v>
      </c>
      <c r="AK12" s="4">
        <v>0</v>
      </c>
      <c r="AL12" s="4" t="b">
        <f t="shared" ref="AL12" si="35">IF(AND(ISNUMBER(SK),SK&gt;0),TRUE,FALSE)</f>
        <v>0</v>
      </c>
      <c r="AM12" s="43"/>
      <c r="AN12" s="3">
        <v>41648</v>
      </c>
      <c r="AO12" s="56">
        <v>50</v>
      </c>
      <c r="AP12" s="67">
        <v>-1.5</v>
      </c>
      <c r="AQ12" s="67">
        <v>1.25</v>
      </c>
      <c r="AR12" s="4">
        <v>75</v>
      </c>
      <c r="AS12" s="4">
        <v>20</v>
      </c>
      <c r="AT12" s="4">
        <v>11</v>
      </c>
      <c r="AU12" s="4">
        <v>564</v>
      </c>
      <c r="BC12" s="4">
        <f t="shared" ref="BC12" si="36">IF(ISNUMBER(AP12),AP12+0.5*AQ12,"")</f>
        <v>-0.875</v>
      </c>
      <c r="BD12" s="4">
        <f t="shared" ref="BD12" si="37">IF(ISNUMBER(BC12),IF(ISNUMBER(S12),BC12-S12,"MISSING"),"")</f>
        <v>-0.20499999999999996</v>
      </c>
      <c r="BE12" s="4">
        <f t="shared" ref="BE12" si="38">IF(AND(ISNUMBER(AU12),ISNUMBER(AB12)),AU12-AB12,IF(ISNUMBER(AU12),"MISSING",""))</f>
        <v>-18</v>
      </c>
      <c r="BF12" s="137">
        <v>41709</v>
      </c>
      <c r="BG12" s="56"/>
      <c r="BH12" s="67"/>
      <c r="BI12" s="67"/>
      <c r="BV12" s="4" t="str">
        <f t="shared" ref="BV12" si="39">IF(ISNUMBER(BU12),IF(ISNUMBER($S12),BU12-$S12,"MISSING"),"")</f>
        <v/>
      </c>
      <c r="BW12" s="4" t="str">
        <f t="shared" ref="BW12" si="40">IF(AND(ISNUMBER(BM12),ISNUMBER($AB12)),BM12-$AB12,IF(ISNUMBER(BM12),"MISSING",""))</f>
        <v/>
      </c>
      <c r="BX12" s="4">
        <f t="shared" ref="BX12" si="41">IF(AND(ISBLANK(SPH_6),ISBLANK(SPH_12)),0,1)</f>
        <v>1</v>
      </c>
      <c r="BY12" s="4">
        <f t="shared" ref="BY12" si="42">IF(AND(ISNUMBER($AP12),ISNUMBER($BH12)),1,0)</f>
        <v>0</v>
      </c>
      <c r="BZ12" s="4" t="str">
        <f t="shared" ref="BZ12" si="43">IF(BY12,SE_PREOP,"")</f>
        <v/>
      </c>
      <c r="CA12" s="4" t="str">
        <f t="shared" ref="CA12" si="44">IF(FU_6_AND_12,SE_6,"")</f>
        <v/>
      </c>
      <c r="CB12" s="4" t="str">
        <f t="shared" ref="CB12" si="45">IF(FU_6_AND_12,SE_12,"")</f>
        <v/>
      </c>
      <c r="CC12" s="53">
        <f>IF(AND(ISNUMBER(BF12),ISNUMBER(BH12)),BF12-A12,IF(ISNUMBER(AN12),AN12-A12,0))</f>
        <v>211</v>
      </c>
      <c r="CD12" s="55">
        <f t="shared" ref="CD12" si="46">IF(CC12&gt;0,CC12/30,"")</f>
        <v>7.0333333333333332</v>
      </c>
      <c r="CE12" s="4" t="str">
        <f t="shared" ref="CE12" si="47">IF(AND(ISNUMBER(BC12),ISNUMBER(BU12)),(BU12-BC12),"")</f>
        <v/>
      </c>
      <c r="CF12" s="4" t="str">
        <f t="shared" ref="CF12" si="48">IF(AND(ISNUMBER(BA12), ISNUMBER(AG12)), AVERAGE(BA12,AY12)-AVERAGE(AG12,AI12),"")</f>
        <v/>
      </c>
      <c r="CG12" s="4" t="str">
        <f t="shared" ref="CG12" si="49">IF(AND(ISNUMBER(BQ12), ISNUMBER(AG12)), AVERAGE(BQ12,BS12)-AVERAGE(AG12,AI12),"")</f>
        <v/>
      </c>
      <c r="CH12" s="4" t="str">
        <f t="shared" ref="CH12" si="50">IF(ISNUMBER(CG12),CG12,IF(ISNUMBER(CF12),CF12,""))</f>
        <v/>
      </c>
      <c r="CI12" s="4">
        <f t="shared" ref="CI12" si="51">IF(AND(ISNUMBER(SPH_PREOP),ISNUMBER(SE_LAST_)),SPH_PREOP+CYL_PREOP/2,"")</f>
        <v>-2.25</v>
      </c>
      <c r="CJ12" s="4">
        <f t="shared" ref="CJ12" si="52">IF(ISNUMBER(SE_12),SE_12,IF(ISNUMBER(SE_6),SE_6,""))</f>
        <v>0</v>
      </c>
      <c r="CK12" s="93">
        <f t="shared" ref="CK12" si="53">IF(AND(ISNUMBER(SE_LAST_),ISNUMBER(REF_TARGET)),SE_LAST_-REF_TARGET,"")</f>
        <v>0.48</v>
      </c>
      <c r="CL12" s="83">
        <f t="shared" ref="CL12" si="54">IF(ISNUMBER(AB12),IF(ISNUMBER(BM12),BM12-AB12,IF(ISNUMBER(AU12),AU12-AB12,"")),"")</f>
        <v>-18</v>
      </c>
      <c r="CM12" s="4" t="str">
        <f t="shared" ref="CM12" si="55">IF(ISNUMBER(AC12),IF(ISNUMBER(AW12),AW12-AC12,IF(ISNUMBER(BO12),BO12-AC12,"")),"")</f>
        <v/>
      </c>
      <c r="CN12" s="96">
        <f t="shared" ref="CN12" si="56">IF(ISNUMBER(LAST_SE_ERROR),REF_TARGET,"")</f>
        <v>-0.48</v>
      </c>
      <c r="CO12" s="96">
        <f t="shared" ref="CO12" si="57">IF(AND(OR(ISNUMBER(BK12),ISNUMBER(AS12)),ISNUMBER(Z12)),-LOG(20/Z12)--LOG(20/IF(ISNUMBER(BK12),BK12,AS12)),"")</f>
        <v>0.3010299956639812</v>
      </c>
      <c r="CP12" s="127">
        <f t="shared" ref="CP12" si="58">IF(ISNUMBER(BI12),BI12,IF(ISNUMBER(AQ12),AQ12,""))</f>
        <v>1.25</v>
      </c>
      <c r="CQ12" s="127">
        <f t="shared" ref="CQ12" si="59">IF(AND(ISNUMBER(CP12),ISNUMBER(X12)),CP12-X12,"")</f>
        <v>-0.75</v>
      </c>
      <c r="CR12" s="136">
        <f t="shared" ref="CR12" si="60">IF(ISNUMBER(BCVA_12),BCVA_12,IF(ISNUMBER(BCVA_6),BCVA_6,""))</f>
        <v>25</v>
      </c>
      <c r="CS12" s="136">
        <f t="shared" ref="CS12" si="61">IF(ISNUMBER(CR12),PREOP_BCVA,"")</f>
        <v>30</v>
      </c>
      <c r="CT12" s="135">
        <f t="shared" ref="CT12" si="62">IF(AND(REF_TARGET&lt;=0,REF_TARGET&gt;-1),IF(ISNUMBER(UDVA_12),UDVA_12,IF(ISNUMBER(UDVA_6),UDVA_6,"")),"")</f>
        <v>30</v>
      </c>
      <c r="CU12" s="139">
        <f t="shared" ref="CU12" si="63">IF(ISNUMBER(PREOP_PENTACAM_RV),IF(ISNUMBER(SPH_6),IF(ISNUMBER($ET12),0,1),""),"")</f>
        <v>1</v>
      </c>
      <c r="CV12" s="96" t="str">
        <f t="shared" ref="CV12" si="64">IF(ISNUMBER(PREOP_PENTACAM_RV),IF(ISNUMBER(SPH_12),IF(ISNUMBER($GP12),0,1),""),"")</f>
        <v/>
      </c>
      <c r="CW12" s="141" t="b">
        <f t="shared" ref="CW12" si="65">IF(OR(ISNUMBER(MISSING_PENT_6),ISNUMBER(MISSING_PENT_12)),IF(AND(ISNUMBER(MISSING_PENT_6),ISNUMBER(MISSING_PENT_12)),AND(MISSING_PENT_6,MISSING_PENT_12),IF(ISNUMBER(MISSING_PENT_6),INT(MISSING_PENT_6)&gt;0,INT(MISSING_PENT_12)&gt;0)),"")</f>
        <v>0</v>
      </c>
      <c r="CX12">
        <v>8</v>
      </c>
      <c r="CY12" s="4">
        <v>7.62</v>
      </c>
      <c r="CZ12" s="4">
        <v>5.0999999999999996</v>
      </c>
      <c r="DA12" s="4">
        <v>-2.1</v>
      </c>
      <c r="DB12" s="4">
        <v>0.5</v>
      </c>
      <c r="DC12" s="4">
        <v>0.57999999999999996</v>
      </c>
      <c r="DD12" s="4">
        <v>2.66</v>
      </c>
      <c r="DE12" s="4">
        <v>3.25</v>
      </c>
      <c r="DF12" s="4">
        <v>588</v>
      </c>
      <c r="DG12" s="4">
        <v>585</v>
      </c>
      <c r="DH12" s="4">
        <v>667</v>
      </c>
      <c r="DI12" s="4">
        <v>672</v>
      </c>
      <c r="DJ12" s="4">
        <v>648</v>
      </c>
      <c r="DK12" s="4">
        <v>656</v>
      </c>
      <c r="DL12" s="4">
        <v>584</v>
      </c>
      <c r="DM12" s="4">
        <v>0.74</v>
      </c>
      <c r="DN12" s="4">
        <v>-0.14000000000000001</v>
      </c>
      <c r="DO12" s="4">
        <v>7.81</v>
      </c>
      <c r="DP12" s="4">
        <v>7.77</v>
      </c>
      <c r="DQ12" s="4">
        <v>7.79</v>
      </c>
      <c r="DR12" s="4">
        <v>7.98</v>
      </c>
      <c r="DS12" s="4">
        <v>8.19</v>
      </c>
      <c r="DT12" s="4">
        <v>8.41</v>
      </c>
      <c r="DU12" s="4">
        <v>0</v>
      </c>
      <c r="DV12" s="4">
        <v>1.4</v>
      </c>
      <c r="DW12" s="4">
        <v>6.39</v>
      </c>
      <c r="DX12" s="4">
        <v>6.42</v>
      </c>
      <c r="DY12" s="4">
        <v>6.52</v>
      </c>
      <c r="DZ12" s="4">
        <v>6.54</v>
      </c>
      <c r="EA12" s="4">
        <v>6.69</v>
      </c>
      <c r="EB12" s="4">
        <v>0</v>
      </c>
      <c r="EC12" s="4">
        <v>0</v>
      </c>
      <c r="ED12" s="89">
        <v>1.4</v>
      </c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4"/>
      <c r="ET12" s="83"/>
      <c r="FZ12" s="86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9"/>
      <c r="GP12" s="83"/>
      <c r="HV12" s="93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21"/>
      <c r="IL12" s="83" t="str">
        <f t="shared" si="33"/>
        <v/>
      </c>
      <c r="IM12" s="4" t="str">
        <f t="shared" si="33"/>
        <v/>
      </c>
      <c r="IN12" s="4" t="str">
        <f t="shared" si="33"/>
        <v/>
      </c>
      <c r="IO12" s="4" t="str">
        <f t="shared" si="33"/>
        <v/>
      </c>
      <c r="IP12" s="4" t="str">
        <f t="shared" si="33"/>
        <v/>
      </c>
      <c r="IQ12" s="4" t="str">
        <f t="shared" si="33"/>
        <v/>
      </c>
      <c r="IR12" s="4" t="str">
        <f t="shared" si="33"/>
        <v/>
      </c>
      <c r="IS12" s="4" t="str">
        <f t="shared" si="33"/>
        <v/>
      </c>
      <c r="IT12" s="4" t="str">
        <f t="shared" si="33"/>
        <v/>
      </c>
      <c r="IU12" s="4" t="str">
        <f t="shared" si="33"/>
        <v/>
      </c>
      <c r="IV12" s="4" t="str">
        <f t="shared" si="33"/>
        <v/>
      </c>
      <c r="IW12" s="4" t="str">
        <f t="shared" si="33"/>
        <v/>
      </c>
      <c r="IX12" s="4" t="str">
        <f t="shared" si="33"/>
        <v/>
      </c>
      <c r="IY12" s="4" t="str">
        <f t="shared" si="33"/>
        <v/>
      </c>
      <c r="IZ12" s="4" t="str">
        <f t="shared" si="33"/>
        <v/>
      </c>
      <c r="JA12" s="4" t="str">
        <f t="shared" si="33"/>
        <v/>
      </c>
      <c r="JB12" s="4" t="str">
        <f t="shared" si="33"/>
        <v/>
      </c>
      <c r="JC12" s="4" t="str">
        <f t="shared" si="33"/>
        <v/>
      </c>
      <c r="JD12" s="4" t="str">
        <f t="shared" si="33"/>
        <v/>
      </c>
      <c r="JE12" s="4" t="str">
        <f t="shared" si="33"/>
        <v/>
      </c>
      <c r="JF12" s="4" t="str">
        <f t="shared" si="33"/>
        <v/>
      </c>
      <c r="JG12" s="4" t="str">
        <f t="shared" si="33"/>
        <v/>
      </c>
      <c r="JH12" s="4" t="str">
        <f t="shared" si="33"/>
        <v/>
      </c>
      <c r="JI12" s="4" t="str">
        <f t="shared" si="33"/>
        <v/>
      </c>
      <c r="JJ12" s="4" t="str">
        <f t="shared" si="33"/>
        <v/>
      </c>
      <c r="JK12" s="4" t="str">
        <f t="shared" si="33"/>
        <v/>
      </c>
      <c r="JL12" s="4" t="str">
        <f t="shared" si="33"/>
        <v/>
      </c>
      <c r="JM12" s="4" t="str">
        <f t="shared" si="33"/>
        <v/>
      </c>
      <c r="JN12" s="4" t="str">
        <f t="shared" si="33"/>
        <v/>
      </c>
      <c r="JO12" s="4" t="str">
        <f t="shared" si="33"/>
        <v/>
      </c>
      <c r="JP12" s="4" t="str">
        <f t="shared" si="33"/>
        <v/>
      </c>
      <c r="JQ12" s="117" t="str">
        <f t="shared" si="33"/>
        <v/>
      </c>
      <c r="JR12" s="110" t="str">
        <f t="shared" si="33"/>
        <v/>
      </c>
      <c r="JS12" s="110" t="str">
        <f t="shared" si="33"/>
        <v/>
      </c>
      <c r="JT12" s="110" t="str">
        <f t="shared" si="33"/>
        <v/>
      </c>
      <c r="JU12" s="110" t="str">
        <f t="shared" si="33"/>
        <v/>
      </c>
      <c r="JV12" s="110" t="str">
        <f t="shared" si="33"/>
        <v/>
      </c>
      <c r="JW12" s="110" t="str">
        <f t="shared" si="33"/>
        <v/>
      </c>
      <c r="JX12" s="110" t="str">
        <f t="shared" si="33"/>
        <v/>
      </c>
      <c r="JY12" s="110" t="str">
        <f t="shared" ref="JY12:KG12" si="66">IF(ISNUMBER(IC12),IC12,IF(ISNUMBER(GG12),GG12,""))</f>
        <v/>
      </c>
      <c r="JZ12" s="110" t="str">
        <f t="shared" si="66"/>
        <v/>
      </c>
      <c r="KA12" s="110" t="str">
        <f t="shared" si="66"/>
        <v/>
      </c>
      <c r="KB12" s="110" t="str">
        <f t="shared" si="66"/>
        <v/>
      </c>
      <c r="KC12" s="110" t="str">
        <f t="shared" si="66"/>
        <v/>
      </c>
      <c r="KD12" s="110" t="str">
        <f t="shared" si="66"/>
        <v/>
      </c>
      <c r="KE12" s="110" t="str">
        <f t="shared" si="66"/>
        <v/>
      </c>
      <c r="KF12" s="110" t="str">
        <f t="shared" si="66"/>
        <v/>
      </c>
      <c r="KG12" s="121" t="str">
        <f t="shared" si="66"/>
        <v/>
      </c>
      <c r="KH12" s="83" t="str">
        <f t="shared" si="34"/>
        <v/>
      </c>
      <c r="KI12" s="4" t="str">
        <f t="shared" si="34"/>
        <v/>
      </c>
      <c r="KJ12" s="4" t="str">
        <f t="shared" si="34"/>
        <v/>
      </c>
      <c r="KK12" s="4" t="str">
        <f t="shared" si="34"/>
        <v/>
      </c>
      <c r="KL12" s="4" t="str">
        <f t="shared" si="34"/>
        <v/>
      </c>
      <c r="KM12" s="4" t="str">
        <f t="shared" si="34"/>
        <v/>
      </c>
      <c r="KN12" s="4" t="str">
        <f t="shared" si="34"/>
        <v/>
      </c>
      <c r="KO12" s="4" t="str">
        <f t="shared" si="34"/>
        <v/>
      </c>
      <c r="KP12" s="4" t="str">
        <f t="shared" si="34"/>
        <v/>
      </c>
      <c r="KQ12" s="4" t="str">
        <f t="shared" si="34"/>
        <v/>
      </c>
      <c r="KR12" s="4" t="str">
        <f t="shared" si="34"/>
        <v/>
      </c>
      <c r="KS12" s="4" t="str">
        <f t="shared" si="34"/>
        <v/>
      </c>
      <c r="KT12" s="4" t="str">
        <f t="shared" si="34"/>
        <v/>
      </c>
      <c r="KU12" s="4" t="str">
        <f t="shared" si="34"/>
        <v/>
      </c>
      <c r="KV12" s="4" t="str">
        <f t="shared" si="34"/>
        <v/>
      </c>
      <c r="KW12" s="4" t="str">
        <f t="shared" si="34"/>
        <v/>
      </c>
      <c r="KX12" s="4" t="str">
        <f t="shared" si="34"/>
        <v/>
      </c>
      <c r="KY12" s="4" t="str">
        <f t="shared" si="34"/>
        <v/>
      </c>
      <c r="KZ12" s="4" t="str">
        <f t="shared" si="34"/>
        <v/>
      </c>
      <c r="LA12" s="4" t="str">
        <f t="shared" si="34"/>
        <v/>
      </c>
      <c r="LB12" s="4" t="str">
        <f t="shared" si="34"/>
        <v/>
      </c>
      <c r="LC12" s="4" t="str">
        <f t="shared" si="34"/>
        <v/>
      </c>
      <c r="LD12" s="4" t="str">
        <f t="shared" si="34"/>
        <v/>
      </c>
      <c r="LE12" s="4" t="str">
        <f t="shared" si="34"/>
        <v/>
      </c>
      <c r="LF12" s="4" t="str">
        <f t="shared" si="34"/>
        <v/>
      </c>
      <c r="LG12" s="4" t="str">
        <f t="shared" si="34"/>
        <v/>
      </c>
      <c r="LH12" s="4" t="str">
        <f t="shared" si="34"/>
        <v/>
      </c>
      <c r="LI12" s="4" t="str">
        <f t="shared" si="34"/>
        <v/>
      </c>
      <c r="LJ12" s="4" t="str">
        <f t="shared" si="34"/>
        <v/>
      </c>
      <c r="LK12" s="4" t="str">
        <f t="shared" si="34"/>
        <v/>
      </c>
      <c r="LL12" s="4" t="str">
        <f t="shared" si="34"/>
        <v/>
      </c>
      <c r="LM12" s="4" t="str">
        <f t="shared" si="34"/>
        <v/>
      </c>
      <c r="LN12" s="4" t="str">
        <f t="shared" si="34"/>
        <v/>
      </c>
      <c r="LO12" s="4" t="str">
        <f t="shared" si="34"/>
        <v/>
      </c>
      <c r="LP12" s="4" t="str">
        <f t="shared" si="34"/>
        <v/>
      </c>
      <c r="LQ12" s="4" t="str">
        <f t="shared" si="34"/>
        <v/>
      </c>
      <c r="LR12" s="4" t="str">
        <f t="shared" si="34"/>
        <v/>
      </c>
      <c r="LS12" s="4" t="str">
        <f t="shared" si="34"/>
        <v/>
      </c>
      <c r="LT12" s="4" t="str">
        <f t="shared" si="34"/>
        <v/>
      </c>
      <c r="LU12" s="4" t="str">
        <f t="shared" ref="LU12:MC12" si="67">IF(AND(ISNUMBER(JY12),ISNUMBER(EK12)),JY12-EK12,"")</f>
        <v/>
      </c>
      <c r="LV12" s="4" t="str">
        <f t="shared" si="67"/>
        <v/>
      </c>
      <c r="LW12" s="4" t="str">
        <f t="shared" si="67"/>
        <v/>
      </c>
      <c r="LX12" s="4" t="str">
        <f t="shared" si="67"/>
        <v/>
      </c>
      <c r="LY12" s="4" t="str">
        <f t="shared" si="67"/>
        <v/>
      </c>
      <c r="LZ12" s="4" t="str">
        <f t="shared" si="67"/>
        <v/>
      </c>
      <c r="MA12" s="4" t="str">
        <f t="shared" si="67"/>
        <v/>
      </c>
      <c r="MB12" s="4" t="str">
        <f t="shared" si="67"/>
        <v/>
      </c>
      <c r="MC12" s="4" t="str">
        <f t="shared" si="67"/>
        <v/>
      </c>
      <c r="MD12" s="4" t="str">
        <f t="shared" ref="MD12:ME12" si="68">IF(AND(ISNUMBER(HW12),ISNUMBER(GA12)),HW12-GA12,"")</f>
        <v/>
      </c>
      <c r="ME12" s="4" t="str">
        <f t="shared" si="68"/>
        <v/>
      </c>
      <c r="MF12" s="4" t="str">
        <f t="shared" ref="MF12" si="69">IF(AND(ISNUMBER(IB12),ISNUMBER(GF12)),IB12-GF12,"")</f>
        <v/>
      </c>
      <c r="MG12" s="4">
        <f t="shared" ref="MG12" si="70">IC12-GG12</f>
        <v>0</v>
      </c>
    </row>
  </sheetData>
  <customSheetViews>
    <customSheetView guid="{54C114DD-C157-4E30-91DC-9B94C55E8054}">
      <selection activeCell="J7" sqref="J7:MD7"/>
      <pageMargins left="0.7" right="0.7" top="0.75" bottom="0.75" header="0.3" footer="0.3"/>
    </customSheetView>
    <customSheetView guid="{9D4EC4DC-E305-42C0-86D3-802895C39393}">
      <selection activeCell="G22" sqref="G22"/>
      <pageMargins left="0.7" right="0.7" top="0.75" bottom="0.75" header="0.3" footer="0.3"/>
    </customSheetView>
  </customSheetViews>
  <phoneticPr fontId="27" type="noConversion"/>
  <conditionalFormatting sqref="AS1">
    <cfRule type="cellIs" dxfId="31" priority="27" stopIfTrue="1" operator="equal">
      <formula>"MISSING"</formula>
    </cfRule>
  </conditionalFormatting>
  <conditionalFormatting sqref="AS2">
    <cfRule type="cellIs" dxfId="30" priority="26" stopIfTrue="1" operator="equal">
      <formula>"MISSING"</formula>
    </cfRule>
  </conditionalFormatting>
  <conditionalFormatting sqref="BJ2">
    <cfRule type="cellIs" dxfId="29" priority="25" stopIfTrue="1" operator="equal">
      <formula>"MISSING"</formula>
    </cfRule>
  </conditionalFormatting>
  <conditionalFormatting sqref="AS3">
    <cfRule type="cellIs" dxfId="28" priority="24" stopIfTrue="1" operator="equal">
      <formula>"MISSING"</formula>
    </cfRule>
  </conditionalFormatting>
  <conditionalFormatting sqref="BJ3">
    <cfRule type="cellIs" dxfId="27" priority="23" stopIfTrue="1" operator="equal">
      <formula>"MISSING"</formula>
    </cfRule>
  </conditionalFormatting>
  <conditionalFormatting sqref="AS4">
    <cfRule type="cellIs" dxfId="26" priority="22" stopIfTrue="1" operator="equal">
      <formula>"MISSING"</formula>
    </cfRule>
  </conditionalFormatting>
  <conditionalFormatting sqref="BJ4">
    <cfRule type="cellIs" dxfId="25" priority="21" stopIfTrue="1" operator="equal">
      <formula>"MISSING"</formula>
    </cfRule>
  </conditionalFormatting>
  <conditionalFormatting sqref="AC5">
    <cfRule type="expression" dxfId="24" priority="17">
      <formula>(TODAY()-$A5)&gt;6*30</formula>
    </cfRule>
  </conditionalFormatting>
  <conditionalFormatting sqref="AS5">
    <cfRule type="cellIs" dxfId="23" priority="20" stopIfTrue="1" operator="equal">
      <formula>"MISSING"</formula>
    </cfRule>
  </conditionalFormatting>
  <conditionalFormatting sqref="BJ5">
    <cfRule type="cellIs" dxfId="22" priority="19" stopIfTrue="1" operator="equal">
      <formula>"MISSING"</formula>
    </cfRule>
  </conditionalFormatting>
  <conditionalFormatting sqref="AT5">
    <cfRule type="expression" dxfId="21" priority="18">
      <formula>(TODAY()-$A5)&gt;9*30</formula>
    </cfRule>
  </conditionalFormatting>
  <conditionalFormatting sqref="BM6">
    <cfRule type="cellIs" dxfId="20" priority="8" stopIfTrue="1" operator="equal">
      <formula>"MISSING"</formula>
    </cfRule>
  </conditionalFormatting>
  <conditionalFormatting sqref="AT6:AU6">
    <cfRule type="cellIs" dxfId="19" priority="16" stopIfTrue="1" operator="equal">
      <formula>"MISSING"</formula>
    </cfRule>
  </conditionalFormatting>
  <conditionalFormatting sqref="BL6">
    <cfRule type="cellIs" dxfId="18" priority="15" stopIfTrue="1" operator="equal">
      <formula>"MISSING"</formula>
    </cfRule>
  </conditionalFormatting>
  <conditionalFormatting sqref="AV6">
    <cfRule type="expression" dxfId="17" priority="14">
      <formula>(TODAY()-$A6)&gt;9*30</formula>
    </cfRule>
  </conditionalFormatting>
  <conditionalFormatting sqref="AD6">
    <cfRule type="expression" dxfId="16" priority="13">
      <formula>AND((TODAY()-$A6)&gt;6*30,(TODAY()-$A6)&lt;9*30)</formula>
    </cfRule>
  </conditionalFormatting>
  <conditionalFormatting sqref="AV6">
    <cfRule type="expression" dxfId="15" priority="11" stopIfTrue="1">
      <formula>(TODAY()-AV6)&lt;1</formula>
    </cfRule>
    <cfRule type="expression" dxfId="14" priority="12" stopIfTrue="1">
      <formula>AND((AV6&gt;1),(TODAY()-AV6)&gt;1)</formula>
    </cfRule>
  </conditionalFormatting>
  <conditionalFormatting sqref="I6">
    <cfRule type="duplicateValues" dxfId="13" priority="10"/>
  </conditionalFormatting>
  <conditionalFormatting sqref="K6:AB6">
    <cfRule type="containsBlanks" dxfId="12" priority="9">
      <formula>LEN(TRIM(K6))=0</formula>
    </cfRule>
  </conditionalFormatting>
  <conditionalFormatting sqref="AT7:AU7">
    <cfRule type="cellIs" dxfId="11" priority="7" stopIfTrue="1" operator="equal">
      <formula>"MISSING"</formula>
    </cfRule>
  </conditionalFormatting>
  <conditionalFormatting sqref="AD7">
    <cfRule type="expression" dxfId="10" priority="6">
      <formula>AND((TODAY()-$A7)&gt;6*30,(TODAY()-$A7)&lt;9*30)</formula>
    </cfRule>
  </conditionalFormatting>
  <conditionalFormatting sqref="AV7">
    <cfRule type="expression" dxfId="9" priority="4" stopIfTrue="1">
      <formula>(TODAY()-AV7)&lt;1</formula>
    </cfRule>
    <cfRule type="expression" dxfId="8" priority="5" stopIfTrue="1">
      <formula>AND((AV7&gt;1),(TODAY()-AV7)&gt;1)</formula>
    </cfRule>
  </conditionalFormatting>
  <conditionalFormatting sqref="I7">
    <cfRule type="duplicateValues" dxfId="7" priority="3"/>
  </conditionalFormatting>
  <conditionalFormatting sqref="K7:AB7">
    <cfRule type="containsBlanks" dxfId="6" priority="2">
      <formula>LEN(TRIM(K7))=0</formula>
    </cfRule>
  </conditionalFormatting>
  <conditionalFormatting sqref="BM7">
    <cfRule type="cellIs" dxfId="5" priority="1" stopIfTrue="1" operator="equal">
      <formula>"MISSING"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31"/>
  <sheetViews>
    <sheetView workbookViewId="0">
      <selection activeCell="Q27" sqref="Q27"/>
    </sheetView>
  </sheetViews>
  <sheetFormatPr defaultRowHeight="12.75" x14ac:dyDescent="0.2"/>
  <cols>
    <col min="1" max="1" width="9.140625" style="4"/>
    <col min="2" max="2" width="15.5703125" style="4" customWidth="1"/>
    <col min="3" max="4" width="9.140625" style="4"/>
  </cols>
  <sheetData>
    <row r="1" spans="1:4" ht="51" x14ac:dyDescent="0.2">
      <c r="A1" s="6" t="s">
        <v>68</v>
      </c>
      <c r="B1" s="72" t="s">
        <v>298</v>
      </c>
      <c r="C1" s="13" t="s">
        <v>65</v>
      </c>
      <c r="D1" s="14" t="s">
        <v>58</v>
      </c>
    </row>
    <row r="2" spans="1:4" x14ac:dyDescent="0.2">
      <c r="A2" s="4">
        <v>1835988</v>
      </c>
      <c r="B2" s="4">
        <v>-2.2050000000000001</v>
      </c>
      <c r="C2" s="4">
        <v>656</v>
      </c>
      <c r="D2" s="4">
        <v>24.48</v>
      </c>
    </row>
    <row r="3" spans="1:4" x14ac:dyDescent="0.2">
      <c r="A3" s="4">
        <v>1828136</v>
      </c>
      <c r="B3" s="4">
        <v>-2.1800000000000002</v>
      </c>
      <c r="C3" s="4">
        <v>684</v>
      </c>
      <c r="D3" s="4">
        <v>23.02</v>
      </c>
    </row>
    <row r="4" spans="1:4" x14ac:dyDescent="0.2">
      <c r="A4" s="4">
        <v>1835988</v>
      </c>
      <c r="B4" s="4">
        <v>-2.0499999999999998</v>
      </c>
      <c r="C4" s="4">
        <v>681</v>
      </c>
      <c r="D4" s="4">
        <v>24.34</v>
      </c>
    </row>
    <row r="5" spans="1:4" x14ac:dyDescent="0.2">
      <c r="A5" s="4">
        <v>1835069</v>
      </c>
      <c r="B5" s="4">
        <v>-1.69</v>
      </c>
      <c r="C5" s="4">
        <v>566</v>
      </c>
      <c r="D5" s="4">
        <v>22.5</v>
      </c>
    </row>
    <row r="6" spans="1:4" x14ac:dyDescent="0.2">
      <c r="A6" s="4">
        <v>1827528</v>
      </c>
      <c r="B6" s="4">
        <v>-1.4849999999999999</v>
      </c>
      <c r="C6" s="4">
        <v>516</v>
      </c>
      <c r="D6" s="4">
        <v>22.7</v>
      </c>
    </row>
    <row r="7" spans="1:4" x14ac:dyDescent="0.2">
      <c r="A7" s="4">
        <v>1835069</v>
      </c>
      <c r="B7" s="4">
        <v>-1.1400000000000001</v>
      </c>
      <c r="C7" s="4">
        <v>582</v>
      </c>
      <c r="D7" s="4">
        <v>22.45</v>
      </c>
    </row>
    <row r="8" spans="1:4" x14ac:dyDescent="0.2">
      <c r="A8" s="4">
        <v>1834781</v>
      </c>
      <c r="B8" s="4">
        <v>-1.075</v>
      </c>
      <c r="C8" s="4">
        <v>613</v>
      </c>
      <c r="D8" s="4">
        <v>24.13</v>
      </c>
    </row>
    <row r="9" spans="1:4" x14ac:dyDescent="0.2">
      <c r="A9" s="4">
        <v>1836425</v>
      </c>
      <c r="B9" s="4">
        <v>-1.05</v>
      </c>
    </row>
    <row r="10" spans="1:4" x14ac:dyDescent="0.2">
      <c r="A10" s="36">
        <v>1836165</v>
      </c>
      <c r="B10" s="4">
        <v>-0.88500000000000001</v>
      </c>
      <c r="C10" s="36">
        <v>517</v>
      </c>
      <c r="D10" s="4">
        <v>23.37</v>
      </c>
    </row>
    <row r="11" spans="1:4" x14ac:dyDescent="0.2">
      <c r="A11" s="4">
        <v>1835205</v>
      </c>
      <c r="B11" s="4">
        <v>-0.73</v>
      </c>
      <c r="C11" s="4">
        <v>600</v>
      </c>
      <c r="D11" s="4">
        <v>26.59</v>
      </c>
    </row>
    <row r="12" spans="1:4" x14ac:dyDescent="0.2">
      <c r="A12" s="4">
        <v>1836026</v>
      </c>
      <c r="B12" s="4">
        <v>-0.7200000000000002</v>
      </c>
      <c r="D12" s="4">
        <v>22.25</v>
      </c>
    </row>
    <row r="13" spans="1:4" x14ac:dyDescent="0.2">
      <c r="A13" s="4">
        <v>1835691</v>
      </c>
      <c r="B13" s="4">
        <v>-0.72</v>
      </c>
      <c r="C13" s="4">
        <v>819</v>
      </c>
      <c r="D13" s="4">
        <v>21.48</v>
      </c>
    </row>
    <row r="14" spans="1:4" x14ac:dyDescent="0.2">
      <c r="A14" s="4">
        <v>1836425</v>
      </c>
      <c r="B14" s="4">
        <v>-0.39</v>
      </c>
      <c r="C14" s="4">
        <v>680</v>
      </c>
    </row>
    <row r="15" spans="1:4" x14ac:dyDescent="0.2">
      <c r="A15" s="4">
        <v>1835205</v>
      </c>
      <c r="B15" s="4">
        <v>-0.36500000000000021</v>
      </c>
      <c r="C15" s="4">
        <v>599</v>
      </c>
      <c r="D15" s="4">
        <v>26.53</v>
      </c>
    </row>
    <row r="16" spans="1:4" x14ac:dyDescent="0.2">
      <c r="A16" s="4">
        <v>1835663</v>
      </c>
      <c r="B16" s="4">
        <v>-0.36</v>
      </c>
      <c r="C16" s="4">
        <v>697</v>
      </c>
      <c r="D16" s="4">
        <v>23.83</v>
      </c>
    </row>
    <row r="17" spans="1:4" x14ac:dyDescent="0.2">
      <c r="A17" s="36">
        <v>1834386</v>
      </c>
      <c r="B17" s="4">
        <v>-0.34499999999999997</v>
      </c>
      <c r="C17" s="4">
        <v>569</v>
      </c>
      <c r="D17" s="4">
        <v>24.64</v>
      </c>
    </row>
    <row r="18" spans="1:4" x14ac:dyDescent="0.2">
      <c r="A18" s="4">
        <v>1833733</v>
      </c>
      <c r="B18" s="4">
        <v>-0.28999999999999998</v>
      </c>
    </row>
    <row r="19" spans="1:4" x14ac:dyDescent="0.2">
      <c r="A19" s="4">
        <v>1835959</v>
      </c>
      <c r="B19" s="4">
        <v>-0.22999999999999998</v>
      </c>
      <c r="C19" s="4">
        <v>646</v>
      </c>
      <c r="D19" s="4">
        <v>43.55</v>
      </c>
    </row>
    <row r="20" spans="1:4" x14ac:dyDescent="0.2">
      <c r="A20" s="4">
        <v>1836533</v>
      </c>
      <c r="B20" s="4">
        <v>-0.22999999999999998</v>
      </c>
      <c r="C20" s="4">
        <v>631</v>
      </c>
      <c r="D20" s="4">
        <v>23.74</v>
      </c>
    </row>
    <row r="21" spans="1:4" x14ac:dyDescent="0.2">
      <c r="A21" s="4">
        <v>1835772</v>
      </c>
      <c r="B21" s="4">
        <v>-0.21999999999999997</v>
      </c>
      <c r="D21" s="4">
        <v>25.33</v>
      </c>
    </row>
    <row r="22" spans="1:4" x14ac:dyDescent="0.2">
      <c r="A22" s="4">
        <v>1828136</v>
      </c>
      <c r="B22" s="4">
        <v>-0.20999999999999996</v>
      </c>
      <c r="C22" s="4">
        <v>647</v>
      </c>
      <c r="D22" s="4">
        <v>22.95</v>
      </c>
    </row>
    <row r="23" spans="1:4" x14ac:dyDescent="0.2">
      <c r="A23" s="4">
        <v>1835804</v>
      </c>
      <c r="B23" s="4">
        <v>-0.18000000000000005</v>
      </c>
      <c r="C23" s="4">
        <v>659</v>
      </c>
      <c r="D23" s="4">
        <v>22.64</v>
      </c>
    </row>
    <row r="24" spans="1:4" x14ac:dyDescent="0.2">
      <c r="A24" s="4">
        <v>1836300</v>
      </c>
      <c r="B24" s="4">
        <v>-0.17000000000000004</v>
      </c>
      <c r="C24" s="4">
        <v>594</v>
      </c>
      <c r="D24" s="4">
        <v>24.91</v>
      </c>
    </row>
    <row r="25" spans="1:4" x14ac:dyDescent="0.2">
      <c r="A25" s="4">
        <v>1836315</v>
      </c>
      <c r="B25" s="4">
        <v>-0.1549999999999998</v>
      </c>
      <c r="C25" s="4">
        <v>599</v>
      </c>
      <c r="D25" s="4">
        <v>24.55</v>
      </c>
    </row>
    <row r="26" spans="1:4" x14ac:dyDescent="0.2">
      <c r="A26" s="4">
        <v>1835272</v>
      </c>
      <c r="B26" s="4">
        <v>-0.14500000000000002</v>
      </c>
      <c r="C26" s="4">
        <v>566</v>
      </c>
      <c r="D26" s="4">
        <v>23.34</v>
      </c>
    </row>
    <row r="27" spans="1:4" x14ac:dyDescent="0.2">
      <c r="A27" s="4">
        <v>1831350</v>
      </c>
      <c r="B27" s="4">
        <v>-0.10499999999999998</v>
      </c>
      <c r="C27" s="4">
        <v>644</v>
      </c>
      <c r="D27" s="4">
        <v>23.13</v>
      </c>
    </row>
    <row r="28" spans="1:4" x14ac:dyDescent="0.2">
      <c r="A28" s="4">
        <v>1834124</v>
      </c>
      <c r="B28" s="4">
        <v>-0.10499999999999998</v>
      </c>
      <c r="C28" s="4">
        <v>601</v>
      </c>
    </row>
    <row r="29" spans="1:4" x14ac:dyDescent="0.2">
      <c r="A29" s="4">
        <v>1832258</v>
      </c>
      <c r="B29" s="4">
        <v>-5.0000000000000044E-3</v>
      </c>
      <c r="C29" s="4">
        <v>593</v>
      </c>
      <c r="D29" s="4">
        <v>23.41</v>
      </c>
    </row>
    <row r="30" spans="1:4" x14ac:dyDescent="0.2">
      <c r="A30" s="4">
        <v>1834364</v>
      </c>
      <c r="B30" s="4">
        <v>2.0000000000000018E-2</v>
      </c>
      <c r="C30" s="4">
        <v>589</v>
      </c>
      <c r="D30" s="4">
        <v>25.59</v>
      </c>
    </row>
    <row r="31" spans="1:4" x14ac:dyDescent="0.2">
      <c r="A31" s="4">
        <v>1805730</v>
      </c>
      <c r="B31" s="4">
        <v>5.0000000000000044E-2</v>
      </c>
      <c r="C31" s="4">
        <v>599</v>
      </c>
      <c r="D31" s="4">
        <v>25.07</v>
      </c>
    </row>
    <row r="32" spans="1:4" x14ac:dyDescent="0.2">
      <c r="A32" s="4">
        <v>1835815</v>
      </c>
      <c r="B32" s="4">
        <v>5.0000000000000044E-2</v>
      </c>
      <c r="C32" s="4">
        <v>610</v>
      </c>
      <c r="D32" s="4">
        <v>24.04</v>
      </c>
    </row>
    <row r="33" spans="1:4" x14ac:dyDescent="0.2">
      <c r="A33" s="4">
        <v>1831717</v>
      </c>
      <c r="B33" s="4">
        <v>7.999999999999996E-2</v>
      </c>
      <c r="C33" s="4">
        <v>613</v>
      </c>
      <c r="D33" s="4">
        <v>24.03</v>
      </c>
    </row>
    <row r="34" spans="1:4" x14ac:dyDescent="0.2">
      <c r="A34" s="4">
        <v>1836088</v>
      </c>
      <c r="B34" s="4">
        <v>0.125</v>
      </c>
      <c r="C34" s="4">
        <v>602</v>
      </c>
      <c r="D34" s="4">
        <v>22.38</v>
      </c>
    </row>
    <row r="35" spans="1:4" x14ac:dyDescent="0.2">
      <c r="A35" s="4">
        <v>1836549</v>
      </c>
      <c r="B35" s="4">
        <v>0.15500000000000003</v>
      </c>
      <c r="C35" s="4">
        <v>619</v>
      </c>
      <c r="D35" s="4">
        <v>26.17</v>
      </c>
    </row>
    <row r="36" spans="1:4" x14ac:dyDescent="0.2">
      <c r="A36" s="4">
        <v>1835157</v>
      </c>
      <c r="B36" s="4">
        <v>0.19999999999999996</v>
      </c>
      <c r="C36" s="4">
        <v>684</v>
      </c>
      <c r="D36" s="4">
        <v>24.86</v>
      </c>
    </row>
    <row r="37" spans="1:4" x14ac:dyDescent="0.2">
      <c r="A37" s="4">
        <v>1836229</v>
      </c>
      <c r="B37" s="4">
        <v>0.21000000000000002</v>
      </c>
    </row>
    <row r="38" spans="1:4" x14ac:dyDescent="0.2">
      <c r="A38" s="4">
        <v>1829809</v>
      </c>
      <c r="B38" s="4">
        <v>0.255</v>
      </c>
      <c r="C38" s="4">
        <v>564</v>
      </c>
      <c r="D38" s="4">
        <v>26.78</v>
      </c>
    </row>
    <row r="39" spans="1:4" x14ac:dyDescent="0.2">
      <c r="A39" s="4">
        <v>1824933</v>
      </c>
      <c r="B39" s="4">
        <v>0.33500000000000002</v>
      </c>
      <c r="C39" s="4">
        <v>615</v>
      </c>
      <c r="D39" s="4">
        <v>24.04</v>
      </c>
    </row>
    <row r="40" spans="1:4" x14ac:dyDescent="0.2">
      <c r="A40" s="4">
        <v>1835115</v>
      </c>
      <c r="B40" s="4">
        <v>0.4</v>
      </c>
      <c r="D40" s="4">
        <v>24.64</v>
      </c>
    </row>
    <row r="41" spans="1:4" x14ac:dyDescent="0.2">
      <c r="A41" s="4">
        <v>1828940</v>
      </c>
      <c r="B41" s="4">
        <v>0.42</v>
      </c>
      <c r="C41" s="4">
        <v>553</v>
      </c>
      <c r="D41" s="4">
        <v>23.91</v>
      </c>
    </row>
    <row r="42" spans="1:4" x14ac:dyDescent="0.2">
      <c r="A42" s="4">
        <v>1835985</v>
      </c>
      <c r="B42" s="4">
        <v>0.44</v>
      </c>
      <c r="C42" s="4">
        <v>624</v>
      </c>
      <c r="D42" s="4">
        <v>25.29</v>
      </c>
    </row>
    <row r="43" spans="1:4" x14ac:dyDescent="0.2">
      <c r="A43" s="4">
        <v>1835985</v>
      </c>
      <c r="B43" s="4">
        <v>0.46</v>
      </c>
      <c r="C43" s="4">
        <v>656</v>
      </c>
      <c r="D43" s="4">
        <v>24.97</v>
      </c>
    </row>
    <row r="44" spans="1:4" x14ac:dyDescent="0.2">
      <c r="A44" s="4">
        <v>1836414</v>
      </c>
      <c r="B44" s="4">
        <v>0.48499999999999999</v>
      </c>
      <c r="C44" s="4">
        <v>564</v>
      </c>
      <c r="D44" s="4">
        <v>22.83</v>
      </c>
    </row>
    <row r="45" spans="1:4" x14ac:dyDescent="0.2">
      <c r="A45" s="36">
        <v>1835596</v>
      </c>
      <c r="B45" s="4">
        <v>0.59499999999999997</v>
      </c>
      <c r="C45" s="36">
        <v>606</v>
      </c>
      <c r="D45" s="4">
        <v>24.02</v>
      </c>
    </row>
    <row r="46" spans="1:4" x14ac:dyDescent="0.2">
      <c r="A46" s="4">
        <v>1835250</v>
      </c>
      <c r="B46" s="4">
        <v>0.65500000000000003</v>
      </c>
      <c r="C46" s="4">
        <v>580</v>
      </c>
      <c r="D46" s="4">
        <v>22.51</v>
      </c>
    </row>
    <row r="47" spans="1:4" x14ac:dyDescent="0.2">
      <c r="A47" s="4">
        <v>1834076</v>
      </c>
      <c r="B47" s="4">
        <v>0.69499999999999995</v>
      </c>
      <c r="C47" s="4">
        <v>528</v>
      </c>
      <c r="D47" s="4">
        <v>23.65</v>
      </c>
    </row>
    <row r="48" spans="1:4" x14ac:dyDescent="0.2">
      <c r="A48" s="4">
        <v>1836378</v>
      </c>
      <c r="B48" s="73">
        <v>0.71</v>
      </c>
      <c r="C48" s="4">
        <v>589</v>
      </c>
      <c r="D48" s="4">
        <v>23.01</v>
      </c>
    </row>
    <row r="49" spans="1:4" x14ac:dyDescent="0.2">
      <c r="A49" s="4">
        <v>1834099</v>
      </c>
      <c r="B49" s="73">
        <v>0.73</v>
      </c>
      <c r="C49" s="4">
        <v>552</v>
      </c>
      <c r="D49" s="4">
        <v>23.62</v>
      </c>
    </row>
    <row r="50" spans="1:4" x14ac:dyDescent="0.2">
      <c r="A50" s="4">
        <v>1834566</v>
      </c>
      <c r="B50" s="73">
        <v>0.75</v>
      </c>
      <c r="C50" s="4">
        <v>696</v>
      </c>
      <c r="D50" s="4">
        <v>23.04</v>
      </c>
    </row>
    <row r="51" spans="1:4" x14ac:dyDescent="0.2">
      <c r="A51" s="4">
        <v>1835684</v>
      </c>
      <c r="B51" s="4">
        <v>0.76</v>
      </c>
      <c r="C51" s="4">
        <v>522</v>
      </c>
      <c r="D51" s="4">
        <v>25.73</v>
      </c>
    </row>
    <row r="52" spans="1:4" x14ac:dyDescent="0.2">
      <c r="A52" s="4">
        <v>1836088</v>
      </c>
      <c r="B52" s="4">
        <v>0.76</v>
      </c>
      <c r="C52" s="4">
        <v>598</v>
      </c>
      <c r="D52" s="4">
        <v>22.56</v>
      </c>
    </row>
    <row r="53" spans="1:4" x14ac:dyDescent="0.2">
      <c r="A53" s="4">
        <v>1834654</v>
      </c>
      <c r="B53" s="73">
        <v>0.77500000000000002</v>
      </c>
      <c r="C53" s="4">
        <v>637</v>
      </c>
      <c r="D53" s="4">
        <v>26.41</v>
      </c>
    </row>
    <row r="54" spans="1:4" x14ac:dyDescent="0.2">
      <c r="A54" s="4">
        <v>1824311</v>
      </c>
      <c r="B54" s="73">
        <v>0.79500000000000004</v>
      </c>
      <c r="C54" s="4">
        <v>605</v>
      </c>
      <c r="D54" s="4">
        <v>25.32</v>
      </c>
    </row>
    <row r="55" spans="1:4" x14ac:dyDescent="0.2">
      <c r="A55" s="4">
        <v>1832657</v>
      </c>
      <c r="B55" s="4">
        <v>0.81</v>
      </c>
      <c r="C55" s="4">
        <v>564</v>
      </c>
      <c r="D55" s="4">
        <v>22.56</v>
      </c>
    </row>
    <row r="56" spans="1:4" x14ac:dyDescent="0.2">
      <c r="A56" s="4">
        <v>1835958</v>
      </c>
      <c r="B56" s="73">
        <v>0.96499999999999997</v>
      </c>
      <c r="C56" s="4">
        <v>664</v>
      </c>
      <c r="D56" s="4">
        <v>23.46</v>
      </c>
    </row>
    <row r="57" spans="1:4" x14ac:dyDescent="0.2">
      <c r="A57" s="4">
        <v>1827255</v>
      </c>
      <c r="B57" s="4">
        <v>1.01</v>
      </c>
      <c r="C57" s="4">
        <v>664</v>
      </c>
      <c r="D57" s="4">
        <v>23.22</v>
      </c>
    </row>
    <row r="58" spans="1:4" x14ac:dyDescent="0.2">
      <c r="A58" s="4">
        <v>1836590</v>
      </c>
      <c r="B58" s="4">
        <v>1.05</v>
      </c>
      <c r="C58" s="4">
        <v>762</v>
      </c>
      <c r="D58" s="4">
        <v>23.97</v>
      </c>
    </row>
    <row r="59" spans="1:4" x14ac:dyDescent="0.2">
      <c r="A59" s="4">
        <v>1829576</v>
      </c>
      <c r="B59" s="73">
        <v>1.06</v>
      </c>
      <c r="D59" s="4">
        <v>26.19</v>
      </c>
    </row>
    <row r="60" spans="1:4" x14ac:dyDescent="0.2">
      <c r="A60" s="4">
        <v>1836345</v>
      </c>
      <c r="B60" s="4">
        <v>1.08</v>
      </c>
      <c r="C60" s="4">
        <v>645</v>
      </c>
      <c r="D60" s="4">
        <v>25.34</v>
      </c>
    </row>
    <row r="61" spans="1:4" x14ac:dyDescent="0.2">
      <c r="A61" s="4">
        <v>1837142</v>
      </c>
      <c r="B61" s="4">
        <v>1.08</v>
      </c>
      <c r="C61" s="4">
        <v>543</v>
      </c>
      <c r="D61" s="4">
        <v>22.91</v>
      </c>
    </row>
    <row r="62" spans="1:4" x14ac:dyDescent="0.2">
      <c r="A62" s="4">
        <v>1836414</v>
      </c>
      <c r="B62" s="4">
        <v>1.165</v>
      </c>
      <c r="C62" s="4">
        <v>583</v>
      </c>
      <c r="D62" s="4">
        <v>22.9</v>
      </c>
    </row>
    <row r="63" spans="1:4" x14ac:dyDescent="0.2">
      <c r="A63" s="4">
        <v>1836239</v>
      </c>
      <c r="B63" s="4">
        <v>1.1850000000000001</v>
      </c>
      <c r="C63" s="4">
        <v>625</v>
      </c>
      <c r="D63" s="4">
        <v>22.3</v>
      </c>
    </row>
    <row r="64" spans="1:4" x14ac:dyDescent="0.2">
      <c r="A64" s="4">
        <v>1834781</v>
      </c>
      <c r="B64" s="4">
        <v>1.2050000000000001</v>
      </c>
      <c r="C64" s="4">
        <v>646</v>
      </c>
      <c r="D64" s="4">
        <v>24.21</v>
      </c>
    </row>
    <row r="65" spans="1:4" x14ac:dyDescent="0.2">
      <c r="A65" s="4">
        <v>1834776</v>
      </c>
      <c r="B65" s="4">
        <v>1.28</v>
      </c>
      <c r="C65" s="4">
        <v>623</v>
      </c>
      <c r="D65" s="4">
        <v>23.48</v>
      </c>
    </row>
    <row r="66" spans="1:4" x14ac:dyDescent="0.2">
      <c r="A66" s="4">
        <v>1835804</v>
      </c>
      <c r="B66" s="4">
        <v>1.2949999999999999</v>
      </c>
      <c r="C66" s="4">
        <v>649</v>
      </c>
      <c r="D66" s="4">
        <v>22.64</v>
      </c>
    </row>
    <row r="67" spans="1:4" x14ac:dyDescent="0.2">
      <c r="A67" s="4">
        <v>1836453</v>
      </c>
      <c r="B67" s="4">
        <v>1.31</v>
      </c>
      <c r="C67" s="4">
        <v>592</v>
      </c>
      <c r="D67" s="4">
        <v>26.11</v>
      </c>
    </row>
    <row r="68" spans="1:4" x14ac:dyDescent="0.2">
      <c r="A68" s="36">
        <v>1831459</v>
      </c>
      <c r="B68" s="4">
        <v>1.35</v>
      </c>
      <c r="C68" s="4">
        <v>586</v>
      </c>
      <c r="D68" s="4">
        <v>25.84</v>
      </c>
    </row>
    <row r="69" spans="1:4" x14ac:dyDescent="0.2">
      <c r="A69" s="4">
        <v>1833803</v>
      </c>
      <c r="B69" s="4">
        <v>1.355</v>
      </c>
      <c r="C69" s="4">
        <v>659</v>
      </c>
      <c r="D69" s="4">
        <v>22.07</v>
      </c>
    </row>
    <row r="70" spans="1:4" x14ac:dyDescent="0.2">
      <c r="A70" s="4">
        <v>1836234</v>
      </c>
      <c r="B70" s="4">
        <v>1.4649999999999999</v>
      </c>
      <c r="C70" s="4">
        <v>696</v>
      </c>
      <c r="D70" s="4">
        <v>24.2</v>
      </c>
    </row>
    <row r="71" spans="1:4" x14ac:dyDescent="0.2">
      <c r="A71" s="4">
        <v>1832657</v>
      </c>
      <c r="B71" s="4">
        <v>1.4649999999999999</v>
      </c>
      <c r="C71" s="4">
        <v>565</v>
      </c>
      <c r="D71" s="4">
        <v>22.53</v>
      </c>
    </row>
    <row r="72" spans="1:4" x14ac:dyDescent="0.2">
      <c r="A72" s="4">
        <v>1832606</v>
      </c>
      <c r="B72" s="4">
        <v>1.7</v>
      </c>
      <c r="C72" s="4">
        <v>679</v>
      </c>
      <c r="D72" s="4">
        <v>25.58</v>
      </c>
    </row>
    <row r="73" spans="1:4" x14ac:dyDescent="0.2">
      <c r="A73" s="4">
        <v>1835204</v>
      </c>
      <c r="B73" s="4">
        <v>1.74</v>
      </c>
      <c r="C73" s="4">
        <v>650</v>
      </c>
      <c r="D73" s="4">
        <v>26.97</v>
      </c>
    </row>
    <row r="74" spans="1:4" x14ac:dyDescent="0.2">
      <c r="A74" s="4">
        <v>1835189</v>
      </c>
      <c r="B74" s="4">
        <v>1.925</v>
      </c>
      <c r="C74" s="4">
        <v>639</v>
      </c>
      <c r="D74" s="4">
        <v>23.38</v>
      </c>
    </row>
    <row r="75" spans="1:4" x14ac:dyDescent="0.2">
      <c r="A75" s="4">
        <v>1834859</v>
      </c>
      <c r="B75" s="4">
        <v>1.9449999999999998</v>
      </c>
      <c r="C75" s="4">
        <v>771</v>
      </c>
      <c r="D75" s="4">
        <v>20.239999999999998</v>
      </c>
    </row>
    <row r="76" spans="1:4" x14ac:dyDescent="0.2">
      <c r="A76" s="4">
        <v>1835204</v>
      </c>
      <c r="B76" s="4">
        <v>2.0049999999999999</v>
      </c>
      <c r="C76" s="4">
        <v>624</v>
      </c>
      <c r="D76" s="4">
        <v>27.66</v>
      </c>
    </row>
    <row r="77" spans="1:4" x14ac:dyDescent="0.2">
      <c r="A77" s="4">
        <v>1823726</v>
      </c>
      <c r="B77" s="4" t="s">
        <v>294</v>
      </c>
      <c r="C77" s="4">
        <v>630</v>
      </c>
    </row>
    <row r="78" spans="1:4" x14ac:dyDescent="0.2">
      <c r="A78" s="4">
        <v>1830080</v>
      </c>
      <c r="B78" s="4" t="s">
        <v>294</v>
      </c>
      <c r="C78" s="4">
        <v>617</v>
      </c>
    </row>
    <row r="79" spans="1:4" x14ac:dyDescent="0.2">
      <c r="A79" s="4">
        <v>1833735</v>
      </c>
      <c r="B79" s="4" t="s">
        <v>294</v>
      </c>
      <c r="C79" s="4">
        <v>586</v>
      </c>
    </row>
    <row r="80" spans="1:4" x14ac:dyDescent="0.2">
      <c r="A80" s="4">
        <v>1834930</v>
      </c>
      <c r="B80" s="4" t="s">
        <v>294</v>
      </c>
      <c r="C80" s="4">
        <v>603</v>
      </c>
    </row>
    <row r="81" spans="1:4" x14ac:dyDescent="0.2">
      <c r="A81" s="4">
        <v>1834953</v>
      </c>
      <c r="B81" s="4" t="s">
        <v>294</v>
      </c>
      <c r="C81" s="4">
        <v>587</v>
      </c>
    </row>
    <row r="82" spans="1:4" x14ac:dyDescent="0.2">
      <c r="A82" s="4">
        <v>1835010</v>
      </c>
      <c r="B82" s="4" t="s">
        <v>294</v>
      </c>
      <c r="C82" s="4">
        <v>615</v>
      </c>
      <c r="D82" s="4">
        <v>23.6</v>
      </c>
    </row>
    <row r="83" spans="1:4" x14ac:dyDescent="0.2">
      <c r="A83" s="45">
        <v>1835182</v>
      </c>
      <c r="B83" s="4" t="s">
        <v>294</v>
      </c>
      <c r="C83" s="4">
        <v>594</v>
      </c>
    </row>
    <row r="84" spans="1:4" x14ac:dyDescent="0.2">
      <c r="A84" s="4">
        <v>1835423</v>
      </c>
      <c r="B84" s="4" t="s">
        <v>294</v>
      </c>
      <c r="C84" s="4">
        <v>617</v>
      </c>
    </row>
    <row r="85" spans="1:4" x14ac:dyDescent="0.2">
      <c r="A85" s="4">
        <v>1835472</v>
      </c>
      <c r="B85" s="4" t="s">
        <v>294</v>
      </c>
      <c r="C85" s="4">
        <v>741</v>
      </c>
    </row>
    <row r="86" spans="1:4" x14ac:dyDescent="0.2">
      <c r="A86" s="45">
        <v>1835573</v>
      </c>
      <c r="B86" s="4" t="s">
        <v>294</v>
      </c>
      <c r="C86" s="4">
        <v>506</v>
      </c>
    </row>
    <row r="87" spans="1:4" x14ac:dyDescent="0.2">
      <c r="A87" s="4">
        <v>1835596</v>
      </c>
      <c r="B87" s="4" t="s">
        <v>294</v>
      </c>
      <c r="C87" s="4">
        <v>600</v>
      </c>
    </row>
    <row r="88" spans="1:4" x14ac:dyDescent="0.2">
      <c r="A88" s="45">
        <v>1835693</v>
      </c>
      <c r="B88" s="4" t="s">
        <v>294</v>
      </c>
      <c r="C88" s="4">
        <v>530</v>
      </c>
    </row>
    <row r="89" spans="1:4" x14ac:dyDescent="0.2">
      <c r="A89" s="4">
        <v>1835813</v>
      </c>
      <c r="B89" s="4" t="s">
        <v>294</v>
      </c>
      <c r="C89" s="4">
        <v>590</v>
      </c>
    </row>
    <row r="90" spans="1:4" x14ac:dyDescent="0.2">
      <c r="A90" s="4">
        <v>1835949</v>
      </c>
      <c r="B90" s="4" t="s">
        <v>294</v>
      </c>
    </row>
    <row r="91" spans="1:4" x14ac:dyDescent="0.2">
      <c r="A91" s="4">
        <v>1836293</v>
      </c>
      <c r="B91" s="4" t="s">
        <v>294</v>
      </c>
      <c r="C91" s="4">
        <v>810</v>
      </c>
    </row>
    <row r="92" spans="1:4" x14ac:dyDescent="0.2">
      <c r="A92" s="4">
        <v>1836310</v>
      </c>
      <c r="B92" s="4" t="s">
        <v>294</v>
      </c>
      <c r="C92" s="4">
        <v>681</v>
      </c>
    </row>
    <row r="93" spans="1:4" x14ac:dyDescent="0.2">
      <c r="A93" s="4">
        <v>1836345</v>
      </c>
      <c r="B93" s="4" t="s">
        <v>294</v>
      </c>
      <c r="C93" s="4">
        <v>657</v>
      </c>
    </row>
    <row r="94" spans="1:4" x14ac:dyDescent="0.2">
      <c r="A94" s="4">
        <v>1836353</v>
      </c>
      <c r="B94" s="4" t="s">
        <v>294</v>
      </c>
      <c r="C94" s="4">
        <v>595</v>
      </c>
    </row>
    <row r="95" spans="1:4" x14ac:dyDescent="0.2">
      <c r="A95" s="4">
        <v>1836477</v>
      </c>
      <c r="B95" s="4" t="s">
        <v>294</v>
      </c>
    </row>
    <row r="96" spans="1:4" x14ac:dyDescent="0.2">
      <c r="A96" s="4">
        <v>1836535</v>
      </c>
      <c r="B96" s="4" t="s">
        <v>294</v>
      </c>
      <c r="C96" s="4">
        <v>663</v>
      </c>
      <c r="D96" s="4">
        <v>24.65</v>
      </c>
    </row>
    <row r="97" spans="1:3" x14ac:dyDescent="0.2">
      <c r="A97" s="4">
        <v>1836540</v>
      </c>
      <c r="B97" s="4" t="s">
        <v>294</v>
      </c>
      <c r="C97" s="4">
        <v>554</v>
      </c>
    </row>
    <row r="98" spans="1:3" x14ac:dyDescent="0.2">
      <c r="A98" s="4">
        <v>1836623</v>
      </c>
      <c r="B98" s="4" t="s">
        <v>294</v>
      </c>
      <c r="C98" s="4">
        <v>607</v>
      </c>
    </row>
    <row r="99" spans="1:3" x14ac:dyDescent="0.2">
      <c r="A99" s="45">
        <v>1836709</v>
      </c>
      <c r="B99" s="4" t="s">
        <v>294</v>
      </c>
      <c r="C99" s="4">
        <v>651</v>
      </c>
    </row>
    <row r="100" spans="1:3" x14ac:dyDescent="0.2">
      <c r="A100" s="4">
        <v>1836712</v>
      </c>
      <c r="B100" s="4" t="s">
        <v>294</v>
      </c>
      <c r="C100" s="4">
        <v>606</v>
      </c>
    </row>
    <row r="101" spans="1:3" x14ac:dyDescent="0.2">
      <c r="A101" s="4">
        <v>1836787</v>
      </c>
      <c r="B101" s="4" t="s">
        <v>294</v>
      </c>
      <c r="C101" s="4">
        <v>731</v>
      </c>
    </row>
    <row r="102" spans="1:3" x14ac:dyDescent="0.2">
      <c r="A102" s="45">
        <v>1836794</v>
      </c>
      <c r="B102" s="4" t="s">
        <v>294</v>
      </c>
      <c r="C102" s="4">
        <v>604</v>
      </c>
    </row>
    <row r="103" spans="1:3" x14ac:dyDescent="0.2">
      <c r="A103" s="4">
        <v>1836935</v>
      </c>
      <c r="B103" s="4" t="s">
        <v>294</v>
      </c>
    </row>
    <row r="104" spans="1:3" x14ac:dyDescent="0.2">
      <c r="A104" s="45">
        <v>1836982</v>
      </c>
      <c r="B104" s="4" t="s">
        <v>294</v>
      </c>
      <c r="C104" s="4">
        <v>648</v>
      </c>
    </row>
    <row r="105" spans="1:3" x14ac:dyDescent="0.2">
      <c r="A105" s="4">
        <v>1823117</v>
      </c>
      <c r="B105" s="4" t="s">
        <v>294</v>
      </c>
      <c r="C105" s="4">
        <v>550</v>
      </c>
    </row>
    <row r="106" spans="1:3" x14ac:dyDescent="0.2">
      <c r="A106" s="4">
        <v>1824933</v>
      </c>
      <c r="B106" s="4" t="s">
        <v>294</v>
      </c>
      <c r="C106" s="4">
        <v>618</v>
      </c>
    </row>
    <row r="107" spans="1:3" x14ac:dyDescent="0.2">
      <c r="A107" s="4">
        <v>1827255</v>
      </c>
      <c r="B107" s="4" t="s">
        <v>294</v>
      </c>
      <c r="C107" s="4">
        <v>661</v>
      </c>
    </row>
    <row r="108" spans="1:3" x14ac:dyDescent="0.2">
      <c r="A108" s="4">
        <v>1834065</v>
      </c>
      <c r="B108" s="4" t="s">
        <v>294</v>
      </c>
    </row>
    <row r="109" spans="1:3" x14ac:dyDescent="0.2">
      <c r="A109" s="4">
        <v>1835332</v>
      </c>
      <c r="B109" s="4" t="s">
        <v>294</v>
      </c>
      <c r="C109" s="4">
        <v>854</v>
      </c>
    </row>
    <row r="110" spans="1:3" x14ac:dyDescent="0.2">
      <c r="A110" s="4">
        <v>1835477</v>
      </c>
      <c r="B110" s="4" t="s">
        <v>294</v>
      </c>
      <c r="C110" s="4">
        <v>569</v>
      </c>
    </row>
    <row r="111" spans="1:3" x14ac:dyDescent="0.2">
      <c r="A111" s="4">
        <v>1835496</v>
      </c>
      <c r="B111" s="4" t="s">
        <v>294</v>
      </c>
      <c r="C111" s="4">
        <v>557</v>
      </c>
    </row>
    <row r="112" spans="1:3" x14ac:dyDescent="0.2">
      <c r="A112" s="4">
        <v>1835552</v>
      </c>
      <c r="B112" s="4" t="s">
        <v>294</v>
      </c>
      <c r="C112" s="4">
        <v>564</v>
      </c>
    </row>
    <row r="113" spans="1:4" x14ac:dyDescent="0.2">
      <c r="A113" s="4">
        <v>1835684</v>
      </c>
      <c r="B113" s="4" t="s">
        <v>294</v>
      </c>
      <c r="C113" s="4">
        <v>516</v>
      </c>
    </row>
    <row r="114" spans="1:4" x14ac:dyDescent="0.2">
      <c r="A114" s="4">
        <v>1835693</v>
      </c>
      <c r="B114" s="4" t="s">
        <v>294</v>
      </c>
      <c r="C114" s="4">
        <v>535</v>
      </c>
      <c r="D114" s="4">
        <v>23.15</v>
      </c>
    </row>
    <row r="115" spans="1:4" x14ac:dyDescent="0.2">
      <c r="A115" s="4">
        <v>1835717</v>
      </c>
      <c r="B115" s="4" t="s">
        <v>294</v>
      </c>
      <c r="C115" s="4">
        <v>600</v>
      </c>
    </row>
    <row r="116" spans="1:4" x14ac:dyDescent="0.2">
      <c r="A116" s="4">
        <v>1835813</v>
      </c>
      <c r="B116" s="4" t="s">
        <v>294</v>
      </c>
      <c r="C116" s="4">
        <v>599</v>
      </c>
    </row>
    <row r="117" spans="1:4" x14ac:dyDescent="0.2">
      <c r="A117" s="4">
        <v>1835821</v>
      </c>
      <c r="B117" s="4" t="s">
        <v>294</v>
      </c>
      <c r="C117" s="4">
        <v>679</v>
      </c>
    </row>
    <row r="118" spans="1:4" x14ac:dyDescent="0.2">
      <c r="A118" s="4">
        <v>1835845</v>
      </c>
      <c r="B118" s="4" t="s">
        <v>294</v>
      </c>
      <c r="C118" s="4">
        <v>598</v>
      </c>
    </row>
    <row r="119" spans="1:4" x14ac:dyDescent="0.2">
      <c r="A119" s="4">
        <v>1835859</v>
      </c>
      <c r="B119" s="4" t="s">
        <v>294</v>
      </c>
      <c r="C119" s="4">
        <v>612</v>
      </c>
    </row>
    <row r="120" spans="1:4" x14ac:dyDescent="0.2">
      <c r="A120" s="4">
        <v>1835885</v>
      </c>
      <c r="B120" s="4" t="s">
        <v>294</v>
      </c>
      <c r="C120" s="4">
        <v>636</v>
      </c>
    </row>
    <row r="121" spans="1:4" x14ac:dyDescent="0.2">
      <c r="A121" s="4">
        <v>1836019</v>
      </c>
      <c r="B121" s="4" t="s">
        <v>294</v>
      </c>
      <c r="C121" s="4">
        <v>568</v>
      </c>
    </row>
    <row r="122" spans="1:4" x14ac:dyDescent="0.2">
      <c r="A122" s="4">
        <v>1836066</v>
      </c>
      <c r="B122" s="4" t="s">
        <v>294</v>
      </c>
    </row>
    <row r="123" spans="1:4" x14ac:dyDescent="0.2">
      <c r="A123" s="4">
        <v>1836270</v>
      </c>
      <c r="B123" s="4" t="s">
        <v>294</v>
      </c>
      <c r="C123" s="4">
        <v>616</v>
      </c>
    </row>
    <row r="124" spans="1:4" x14ac:dyDescent="0.2">
      <c r="A124" s="4">
        <v>1836293</v>
      </c>
      <c r="B124" s="4" t="s">
        <v>294</v>
      </c>
      <c r="C124" s="4">
        <v>504</v>
      </c>
    </row>
    <row r="125" spans="1:4" x14ac:dyDescent="0.2">
      <c r="A125" s="4">
        <v>1836353</v>
      </c>
      <c r="B125" s="4" t="s">
        <v>294</v>
      </c>
      <c r="C125" s="4">
        <v>573</v>
      </c>
    </row>
    <row r="126" spans="1:4" x14ac:dyDescent="0.2">
      <c r="A126" s="4">
        <v>1836436</v>
      </c>
      <c r="B126" s="4" t="s">
        <v>294</v>
      </c>
      <c r="C126" s="4">
        <v>656</v>
      </c>
    </row>
    <row r="127" spans="1:4" x14ac:dyDescent="0.2">
      <c r="A127" s="4">
        <v>1836477</v>
      </c>
      <c r="B127" s="4" t="s">
        <v>294</v>
      </c>
      <c r="C127" s="4">
        <v>583</v>
      </c>
    </row>
    <row r="128" spans="1:4" x14ac:dyDescent="0.2">
      <c r="A128" s="45">
        <v>1836592</v>
      </c>
      <c r="B128" s="4" t="s">
        <v>294</v>
      </c>
      <c r="C128" s="4">
        <v>629</v>
      </c>
    </row>
    <row r="129" spans="1:3" x14ac:dyDescent="0.2">
      <c r="A129" s="45">
        <v>1836853</v>
      </c>
      <c r="B129" s="4" t="s">
        <v>294</v>
      </c>
      <c r="C129" s="4">
        <v>535</v>
      </c>
    </row>
    <row r="130" spans="1:3" x14ac:dyDescent="0.2">
      <c r="A130" s="45">
        <v>1836983</v>
      </c>
      <c r="B130" s="4" t="s">
        <v>294</v>
      </c>
      <c r="C130" s="4">
        <v>582</v>
      </c>
    </row>
    <row r="131" spans="1:3" x14ac:dyDescent="0.2">
      <c r="A131" s="4">
        <v>1822626</v>
      </c>
      <c r="C131" s="4">
        <v>614</v>
      </c>
    </row>
  </sheetData>
  <customSheetViews>
    <customSheetView guid="{54C114DD-C157-4E30-91DC-9B94C55E8054}">
      <selection activeCell="Q27" sqref="Q27"/>
      <pageMargins left="0.7" right="0.7" top="0.75" bottom="0.75" header="0.3" footer="0.3"/>
    </customSheetView>
    <customSheetView guid="{9D4EC4DC-E305-42C0-86D3-802895C39393}">
      <selection activeCell="Q27" sqref="Q27"/>
      <pageMargins left="0.7" right="0.7" top="0.75" bottom="0.75" header="0.3" footer="0.3"/>
    </customSheetView>
  </customSheetViews>
  <phoneticPr fontId="27" type="noConversion"/>
  <conditionalFormatting sqref="B2:B17 B19:B122">
    <cfRule type="expression" dxfId="4" priority="4">
      <formula>(TODAY()-$A2)&gt;9*30</formula>
    </cfRule>
  </conditionalFormatting>
  <conditionalFormatting sqref="B1:B1048576">
    <cfRule type="expression" dxfId="3" priority="2" stopIfTrue="1">
      <formula>(TODAY()-B1)&lt;1</formula>
    </cfRule>
    <cfRule type="expression" dxfId="2" priority="3" stopIfTrue="1">
      <formula>AND((B1&gt;1),(TODAY()-B1)&gt;1)</formula>
    </cfRule>
  </conditionalFormatting>
  <conditionalFormatting sqref="A1:A1048576">
    <cfRule type="duplicateValues" dxfId="1" priority="1"/>
  </conditionalFormatting>
  <hyperlinks>
    <hyperlink ref="A64815" r:id="rId1" display="Cf@4ft"/>
    <hyperlink ref="A64813" r:id="rId2" display="Cf@4ft"/>
    <hyperlink ref="A64894" r:id="rId3" display="HM@6in"/>
    <hyperlink ref="A65250" r:id="rId4" display="HM@6in"/>
    <hyperlink ref="A65271" r:id="rId5" display="HM@6in"/>
    <hyperlink ref="A64915" r:id="rId6" display="HM@6in"/>
    <hyperlink ref="A64909" r:id="rId7" display="HM@6in"/>
    <hyperlink ref="A65265" r:id="rId8" display="HM@6in"/>
    <hyperlink ref="A64908" r:id="rId9" display="HM@6in"/>
    <hyperlink ref="A65264" r:id="rId10" display="HM@6in"/>
    <hyperlink ref="A64901" r:id="rId11" display="HM@6in"/>
    <hyperlink ref="A65257" r:id="rId12" display="HM@6in"/>
    <hyperlink ref="C64745" r:id="rId13" display="HM@6in"/>
    <hyperlink ref="C65103" r:id="rId14" display="HM@6in"/>
    <hyperlink ref="C64743" r:id="rId15" display="HM@6in"/>
    <hyperlink ref="C65101" r:id="rId16" display="HM@6in"/>
    <hyperlink ref="C348" r:id="rId17" display="CF@2ft"/>
    <hyperlink ref="C368" r:id="rId18" display="CF@6in"/>
    <hyperlink ref="C713" r:id="rId19" display="CF@2ft"/>
    <hyperlink ref="D64805" r:id="rId20" display="CF@6in"/>
    <hyperlink ref="D64877" r:id="rId21" display="CF@3ft"/>
    <hyperlink ref="D64924" r:id="rId22" display="CF@3ft"/>
    <hyperlink ref="D65141" r:id="rId23" display="CF@2ft"/>
    <hyperlink ref="D65161" r:id="rId24" display="CF@6in"/>
    <hyperlink ref="D65506" r:id="rId25" display="CF@2ft"/>
    <hyperlink ref="D64746" r:id="rId26" display="CF@6in"/>
    <hyperlink ref="D64818" r:id="rId27" display="CF@ 2 ft"/>
    <hyperlink ref="D64865" r:id="rId28" display="CF@3ft"/>
    <hyperlink ref="D65082" r:id="rId29" display="CF@2ft"/>
    <hyperlink ref="D65102" r:id="rId30" display="CF@6in"/>
    <hyperlink ref="D65447" r:id="rId31" display="CF@2ft"/>
    <hyperlink ref="D64782" r:id="rId32" display="CF@6in"/>
    <hyperlink ref="D64854" r:id="rId33" display="CF@ 2 ft"/>
    <hyperlink ref="D64901" r:id="rId34" display="CF@3ft"/>
    <hyperlink ref="D65118" r:id="rId35" display="CF@2ft"/>
    <hyperlink ref="D65138" r:id="rId36" display="CF@6in"/>
    <hyperlink ref="D65483" r:id="rId37" display="CF@2ft"/>
    <hyperlink ref="D64758" r:id="rId38" display="CF@6in"/>
    <hyperlink ref="D64830" r:id="rId39" display="CF@ 2 ft"/>
    <hyperlink ref="D65094" r:id="rId40" display="CF@2ft"/>
    <hyperlink ref="D65114" r:id="rId41" display="CF@6in"/>
    <hyperlink ref="D65459" r:id="rId42" display="CF@2ft"/>
    <hyperlink ref="D64867" r:id="rId43" display="CF@6in"/>
    <hyperlink ref="D64939" r:id="rId44" display="CF@ 2 ft"/>
    <hyperlink ref="D64986" r:id="rId45" display="CF@3ft"/>
    <hyperlink ref="D65203" r:id="rId46" display="CF@2ft"/>
    <hyperlink ref="D65223" r:id="rId47" display="CF@6in"/>
    <hyperlink ref="D64888" r:id="rId48" display="CF@6in"/>
    <hyperlink ref="D64960" r:id="rId49" display="CF@ 2 ft"/>
    <hyperlink ref="D65007" r:id="rId50" display="CF@3ft"/>
    <hyperlink ref="D65224" r:id="rId51" display="CF@2ft"/>
    <hyperlink ref="D65244" r:id="rId52" display="CF@6in"/>
    <hyperlink ref="D116" r:id="rId53" display="CF@2ft"/>
    <hyperlink ref="D64882" r:id="rId54" display="CF@6in"/>
    <hyperlink ref="D64954" r:id="rId55" display="CF@ 2 ft"/>
    <hyperlink ref="D65001" r:id="rId56" display="CF@3ft"/>
    <hyperlink ref="D65218" r:id="rId57" display="CF@2ft"/>
    <hyperlink ref="D65238" r:id="rId58" display="CF@6in"/>
    <hyperlink ref="D26" r:id="rId59" display="CF@2ft"/>
    <hyperlink ref="D64881" r:id="rId60" display="CF@6in"/>
    <hyperlink ref="D64953" r:id="rId61" display="CF@ 2 ft"/>
    <hyperlink ref="D65000" r:id="rId62" display="CF@3ft"/>
    <hyperlink ref="D65217" r:id="rId63" display="CF@2ft"/>
    <hyperlink ref="D65237" r:id="rId64" display="CF@6in"/>
    <hyperlink ref="D71" r:id="rId65" display="CF@2ft"/>
    <hyperlink ref="D64874" r:id="rId66" display="CF@6in"/>
    <hyperlink ref="D64946" r:id="rId67" display="CF@ 2 ft"/>
    <hyperlink ref="D64993" r:id="rId68" display="CF@3ft"/>
    <hyperlink ref="D65210" r:id="rId69" display="CF@2ft"/>
    <hyperlink ref="D65230" r:id="rId70" display="CF@6in"/>
    <hyperlink ref="D106" r:id="rId71" display="CF@2ft"/>
  </hyperlinks>
  <pageMargins left="0.7" right="0.7" top="0.75" bottom="0.75" header="0.3" footer="0.3"/>
  <drawing r:id="rId7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2"/>
  <sheetViews>
    <sheetView workbookViewId="0">
      <selection activeCell="B12" sqref="B12"/>
    </sheetView>
  </sheetViews>
  <sheetFormatPr defaultRowHeight="12.75" x14ac:dyDescent="0.2"/>
  <cols>
    <col min="1" max="1" width="38.7109375" bestFit="1" customWidth="1"/>
  </cols>
  <sheetData>
    <row r="1" spans="1:2" x14ac:dyDescent="0.2">
      <c r="A1" s="63" t="s">
        <v>286</v>
      </c>
    </row>
    <row r="2" spans="1:2" x14ac:dyDescent="0.2">
      <c r="A2" s="63" t="s">
        <v>287</v>
      </c>
    </row>
    <row r="3" spans="1:2" x14ac:dyDescent="0.2">
      <c r="A3" s="63" t="s">
        <v>288</v>
      </c>
    </row>
    <row r="4" spans="1:2" x14ac:dyDescent="0.2">
      <c r="A4" s="63" t="s">
        <v>289</v>
      </c>
    </row>
    <row r="6" spans="1:2" x14ac:dyDescent="0.2">
      <c r="A6" s="63" t="s">
        <v>421</v>
      </c>
    </row>
    <row r="8" spans="1:2" x14ac:dyDescent="0.2">
      <c r="A8" s="63" t="s">
        <v>433</v>
      </c>
      <c r="B8" s="63" t="s">
        <v>432</v>
      </c>
    </row>
    <row r="9" spans="1:2" x14ac:dyDescent="0.2">
      <c r="A9" s="63" t="s">
        <v>434</v>
      </c>
      <c r="B9" s="63" t="s">
        <v>435</v>
      </c>
    </row>
    <row r="10" spans="1:2" x14ac:dyDescent="0.2">
      <c r="A10" s="63" t="s">
        <v>436</v>
      </c>
      <c r="B10" s="63" t="s">
        <v>437</v>
      </c>
    </row>
    <row r="12" spans="1:2" x14ac:dyDescent="0.2">
      <c r="A12" s="63" t="s">
        <v>439</v>
      </c>
      <c r="B12" s="63" t="s">
        <v>440</v>
      </c>
    </row>
  </sheetData>
  <customSheetViews>
    <customSheetView guid="{54C114DD-C157-4E30-91DC-9B94C55E8054}">
      <selection activeCell="B12" sqref="B12"/>
      <pageMargins left="0.75" right="0.75" top="1" bottom="1" header="0.5" footer="0.5"/>
      <headerFooter alignWithMargins="0"/>
    </customSheetView>
    <customSheetView guid="{9D4EC4DC-E305-42C0-86D3-802895C39393}">
      <selection activeCell="B12" sqref="B12"/>
      <pageMargins left="0.75" right="0.75" top="1" bottom="1" header="0.5" footer="0.5"/>
      <headerFooter alignWithMargins="0"/>
    </customSheetView>
  </customSheetViews>
  <phoneticPr fontId="2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6"/>
  <sheetViews>
    <sheetView workbookViewId="0">
      <selection activeCell="A2" sqref="A2"/>
    </sheetView>
  </sheetViews>
  <sheetFormatPr defaultRowHeight="12.75" x14ac:dyDescent="0.2"/>
  <cols>
    <col min="2" max="2" width="14.5703125" customWidth="1"/>
    <col min="6" max="6" width="16.85546875" customWidth="1"/>
  </cols>
  <sheetData>
    <row r="1" spans="1:8" ht="39" thickBot="1" x14ac:dyDescent="0.25">
      <c r="A1" s="98" t="s">
        <v>68</v>
      </c>
      <c r="B1" s="99" t="s">
        <v>247</v>
      </c>
      <c r="C1" s="99" t="s">
        <v>109</v>
      </c>
      <c r="D1" s="99" t="s">
        <v>422</v>
      </c>
      <c r="E1" s="98" t="s">
        <v>68</v>
      </c>
      <c r="F1" s="99" t="s">
        <v>297</v>
      </c>
      <c r="G1" s="99" t="s">
        <v>109</v>
      </c>
      <c r="H1" s="99" t="s">
        <v>422</v>
      </c>
    </row>
    <row r="2" spans="1:8" ht="13.5" thickBot="1" x14ac:dyDescent="0.25">
      <c r="A2" s="100">
        <v>1805730</v>
      </c>
      <c r="B2" s="101">
        <v>41526</v>
      </c>
      <c r="C2" s="102" t="s">
        <v>110</v>
      </c>
      <c r="D2" s="103"/>
      <c r="E2" s="104">
        <v>1805730</v>
      </c>
      <c r="F2" s="105">
        <v>41722</v>
      </c>
      <c r="G2" s="99" t="s">
        <v>110</v>
      </c>
      <c r="H2" s="106"/>
    </row>
    <row r="3" spans="1:8" ht="13.5" thickBot="1" x14ac:dyDescent="0.25">
      <c r="A3" s="100">
        <v>1822626</v>
      </c>
      <c r="B3" s="101">
        <v>41631</v>
      </c>
      <c r="C3" s="102" t="s">
        <v>110</v>
      </c>
      <c r="D3" s="102">
        <v>25</v>
      </c>
    </row>
    <row r="4" spans="1:8" ht="13.5" thickBot="1" x14ac:dyDescent="0.25">
      <c r="A4" s="100">
        <v>1824311</v>
      </c>
      <c r="B4" s="101">
        <v>41334</v>
      </c>
      <c r="C4" s="102" t="s">
        <v>110</v>
      </c>
      <c r="D4" s="102">
        <v>40</v>
      </c>
      <c r="E4" s="100">
        <v>1824311</v>
      </c>
      <c r="F4" s="101">
        <v>41561</v>
      </c>
      <c r="G4" s="102" t="s">
        <v>110</v>
      </c>
      <c r="H4" s="102">
        <v>25</v>
      </c>
    </row>
    <row r="5" spans="1:8" ht="13.5" thickBot="1" x14ac:dyDescent="0.25">
      <c r="A5" s="100">
        <v>1824933</v>
      </c>
      <c r="B5" s="101">
        <v>41360</v>
      </c>
      <c r="C5" s="102" t="s">
        <v>111</v>
      </c>
      <c r="D5" s="102">
        <v>30</v>
      </c>
      <c r="E5" s="100">
        <v>1824933</v>
      </c>
      <c r="F5" s="101">
        <v>41549</v>
      </c>
      <c r="G5" s="102" t="s">
        <v>111</v>
      </c>
      <c r="H5" s="102" t="s">
        <v>423</v>
      </c>
    </row>
    <row r="6" spans="1:8" ht="13.5" thickBot="1" x14ac:dyDescent="0.25">
      <c r="A6" s="100">
        <v>1827255</v>
      </c>
      <c r="B6" s="101">
        <v>41318</v>
      </c>
      <c r="C6" s="102" t="s">
        <v>110</v>
      </c>
      <c r="D6" s="102">
        <v>40</v>
      </c>
      <c r="E6" s="100">
        <v>1824933</v>
      </c>
      <c r="F6" s="101">
        <v>41549</v>
      </c>
      <c r="G6" s="102" t="s">
        <v>110</v>
      </c>
      <c r="H6" s="102" t="s">
        <v>425</v>
      </c>
    </row>
    <row r="7" spans="1:8" ht="13.5" thickBot="1" x14ac:dyDescent="0.25">
      <c r="A7" s="100">
        <v>1827255</v>
      </c>
      <c r="B7" s="101">
        <v>41381</v>
      </c>
      <c r="C7" s="102" t="s">
        <v>111</v>
      </c>
      <c r="D7" s="102">
        <v>25</v>
      </c>
      <c r="E7" s="100">
        <v>1827255</v>
      </c>
      <c r="F7" s="101">
        <v>41562</v>
      </c>
      <c r="G7" s="102" t="s">
        <v>111</v>
      </c>
      <c r="H7" s="103"/>
    </row>
    <row r="8" spans="1:8" ht="13.5" thickBot="1" x14ac:dyDescent="0.25">
      <c r="A8" s="100">
        <v>1827528</v>
      </c>
      <c r="B8" s="101">
        <v>41409</v>
      </c>
      <c r="C8" s="102" t="s">
        <v>111</v>
      </c>
      <c r="D8" s="102">
        <v>200</v>
      </c>
      <c r="E8" s="100">
        <v>1827255</v>
      </c>
      <c r="F8" s="101">
        <v>41562</v>
      </c>
      <c r="G8" s="102" t="s">
        <v>110</v>
      </c>
      <c r="H8" s="103"/>
    </row>
    <row r="9" spans="1:8" ht="13.5" thickBot="1" x14ac:dyDescent="0.25">
      <c r="A9" s="100">
        <v>1828136</v>
      </c>
      <c r="B9" s="101">
        <v>41365</v>
      </c>
      <c r="C9" s="102" t="s">
        <v>110</v>
      </c>
      <c r="D9" s="102">
        <v>40</v>
      </c>
      <c r="E9" s="100">
        <v>1827528</v>
      </c>
      <c r="F9" s="101">
        <v>41563</v>
      </c>
      <c r="G9" s="102" t="s">
        <v>111</v>
      </c>
      <c r="H9" s="102">
        <v>100</v>
      </c>
    </row>
    <row r="10" spans="1:8" ht="13.5" thickBot="1" x14ac:dyDescent="0.25">
      <c r="A10" s="100">
        <v>1828136</v>
      </c>
      <c r="B10" s="101">
        <v>41562</v>
      </c>
      <c r="C10" s="102" t="s">
        <v>111</v>
      </c>
      <c r="D10" s="103"/>
      <c r="E10" s="100">
        <v>1828136</v>
      </c>
      <c r="F10" s="101">
        <v>41562</v>
      </c>
      <c r="G10" s="102" t="s">
        <v>110</v>
      </c>
      <c r="H10" s="103"/>
    </row>
    <row r="11" spans="1:8" ht="13.5" thickBot="1" x14ac:dyDescent="0.25">
      <c r="A11" s="100">
        <v>1828940</v>
      </c>
      <c r="B11" s="101">
        <v>41561</v>
      </c>
      <c r="C11" s="102" t="s">
        <v>110</v>
      </c>
      <c r="D11" s="102">
        <v>30</v>
      </c>
      <c r="E11" s="100">
        <v>1828136</v>
      </c>
      <c r="F11" s="101">
        <v>41758</v>
      </c>
      <c r="G11" s="102" t="s">
        <v>111</v>
      </c>
      <c r="H11" s="103"/>
    </row>
    <row r="12" spans="1:8" ht="13.5" thickBot="1" x14ac:dyDescent="0.25">
      <c r="A12" s="100">
        <v>1829576</v>
      </c>
      <c r="B12" s="101">
        <v>41380</v>
      </c>
      <c r="C12" s="102" t="s">
        <v>111</v>
      </c>
      <c r="D12" s="102">
        <v>30</v>
      </c>
      <c r="E12" s="100">
        <v>1828940</v>
      </c>
      <c r="F12" s="101">
        <v>41743</v>
      </c>
      <c r="G12" s="102" t="s">
        <v>110</v>
      </c>
      <c r="H12" s="103"/>
    </row>
    <row r="13" spans="1:8" ht="13.5" thickBot="1" x14ac:dyDescent="0.25">
      <c r="A13" s="100">
        <v>1829809</v>
      </c>
      <c r="B13" s="101">
        <v>41374</v>
      </c>
      <c r="C13" s="102" t="s">
        <v>110</v>
      </c>
      <c r="D13" s="103"/>
      <c r="E13" s="100">
        <v>1829576</v>
      </c>
      <c r="F13" s="101">
        <v>41562</v>
      </c>
      <c r="G13" s="102" t="s">
        <v>111</v>
      </c>
      <c r="H13" s="102">
        <v>20</v>
      </c>
    </row>
    <row r="14" spans="1:8" ht="13.5" thickBot="1" x14ac:dyDescent="0.25">
      <c r="A14" s="100">
        <v>1831350</v>
      </c>
      <c r="B14" s="101">
        <v>41324</v>
      </c>
      <c r="C14" s="102" t="s">
        <v>111</v>
      </c>
      <c r="D14" s="102">
        <v>25</v>
      </c>
      <c r="E14" s="100">
        <v>1829809</v>
      </c>
      <c r="F14" s="101">
        <v>41561</v>
      </c>
      <c r="G14" s="102" t="s">
        <v>110</v>
      </c>
      <c r="H14" s="103"/>
    </row>
    <row r="15" spans="1:8" ht="13.5" thickBot="1" x14ac:dyDescent="0.25">
      <c r="A15" s="100">
        <v>1831459</v>
      </c>
      <c r="B15" s="101">
        <v>41366</v>
      </c>
      <c r="C15" s="102" t="s">
        <v>111</v>
      </c>
      <c r="D15" s="103"/>
      <c r="E15" s="100">
        <v>1831350</v>
      </c>
      <c r="F15" s="101">
        <v>41542</v>
      </c>
      <c r="G15" s="102" t="s">
        <v>111</v>
      </c>
      <c r="H15" s="102" t="s">
        <v>424</v>
      </c>
    </row>
    <row r="16" spans="1:8" ht="13.5" thickBot="1" x14ac:dyDescent="0.25">
      <c r="A16" s="100">
        <v>1831717</v>
      </c>
      <c r="B16" s="101">
        <v>41373</v>
      </c>
      <c r="C16" s="102" t="s">
        <v>111</v>
      </c>
      <c r="D16" s="103"/>
      <c r="E16" s="100">
        <v>1831459</v>
      </c>
      <c r="F16" s="101">
        <v>41551</v>
      </c>
      <c r="G16" s="102" t="s">
        <v>111</v>
      </c>
      <c r="H16" s="102" t="s">
        <v>426</v>
      </c>
    </row>
    <row r="17" spans="1:8" ht="13.5" thickBot="1" x14ac:dyDescent="0.25">
      <c r="A17" s="100">
        <v>1832258</v>
      </c>
      <c r="B17" s="101">
        <v>41541</v>
      </c>
      <c r="C17" s="102" t="s">
        <v>110</v>
      </c>
      <c r="D17" s="102">
        <v>25</v>
      </c>
      <c r="E17" s="100">
        <v>1831717</v>
      </c>
      <c r="F17" s="101">
        <v>41562</v>
      </c>
      <c r="G17" s="102" t="s">
        <v>111</v>
      </c>
      <c r="H17" s="103"/>
    </row>
    <row r="18" spans="1:8" ht="13.5" thickBot="1" x14ac:dyDescent="0.25">
      <c r="A18" s="100">
        <v>1832606</v>
      </c>
      <c r="B18" s="101">
        <v>41534</v>
      </c>
      <c r="C18" s="102" t="s">
        <v>111</v>
      </c>
      <c r="D18" s="103"/>
      <c r="E18" s="100">
        <v>1832258</v>
      </c>
      <c r="F18" s="101">
        <v>41773</v>
      </c>
      <c r="G18" s="102" t="s">
        <v>110</v>
      </c>
      <c r="H18" s="103"/>
    </row>
    <row r="19" spans="1:8" ht="13.5" thickBot="1" x14ac:dyDescent="0.25">
      <c r="A19" s="100">
        <v>1832657</v>
      </c>
      <c r="B19" s="101">
        <v>41477</v>
      </c>
      <c r="C19" s="102" t="s">
        <v>111</v>
      </c>
      <c r="D19" s="102">
        <v>25</v>
      </c>
      <c r="E19" s="100">
        <v>1832606</v>
      </c>
      <c r="F19" s="101">
        <v>41704</v>
      </c>
      <c r="G19" s="102" t="s">
        <v>111</v>
      </c>
      <c r="H19" s="103"/>
    </row>
    <row r="20" spans="1:8" ht="13.5" thickBot="1" x14ac:dyDescent="0.25">
      <c r="A20" s="100">
        <v>1832657</v>
      </c>
      <c r="B20" s="101">
        <v>41477</v>
      </c>
      <c r="C20" s="102" t="s">
        <v>110</v>
      </c>
      <c r="D20" s="102">
        <v>25</v>
      </c>
      <c r="E20" s="100">
        <v>1832657</v>
      </c>
      <c r="F20" s="101">
        <v>41579</v>
      </c>
      <c r="G20" s="102" t="s">
        <v>111</v>
      </c>
      <c r="H20" s="102" t="s">
        <v>424</v>
      </c>
    </row>
    <row r="21" spans="1:8" ht="13.5" thickBot="1" x14ac:dyDescent="0.25">
      <c r="A21" s="100">
        <v>1833733</v>
      </c>
      <c r="B21" s="101">
        <v>41550</v>
      </c>
      <c r="C21" s="102" t="s">
        <v>111</v>
      </c>
      <c r="D21" s="103"/>
      <c r="E21" s="100">
        <v>1832657</v>
      </c>
      <c r="F21" s="101">
        <v>41579</v>
      </c>
      <c r="G21" s="102" t="s">
        <v>110</v>
      </c>
      <c r="H21" s="102">
        <v>25</v>
      </c>
    </row>
    <row r="22" spans="1:8" ht="13.5" thickBot="1" x14ac:dyDescent="0.25">
      <c r="A22" s="100">
        <v>1833803</v>
      </c>
      <c r="B22" s="101">
        <v>41415</v>
      </c>
      <c r="C22" s="102" t="s">
        <v>110</v>
      </c>
      <c r="D22" s="103"/>
      <c r="E22" s="100">
        <v>1834076</v>
      </c>
      <c r="F22" s="101">
        <v>41676</v>
      </c>
      <c r="G22" s="102" t="s">
        <v>111</v>
      </c>
      <c r="H22" s="103"/>
    </row>
    <row r="23" spans="1:8" ht="13.5" thickBot="1" x14ac:dyDescent="0.25">
      <c r="A23" s="100">
        <v>1834076</v>
      </c>
      <c r="B23" s="101">
        <v>41514</v>
      </c>
      <c r="C23" s="102" t="s">
        <v>111</v>
      </c>
      <c r="D23" s="103"/>
      <c r="E23" s="100">
        <v>1834124</v>
      </c>
      <c r="F23" s="101">
        <v>41565</v>
      </c>
      <c r="G23" s="102" t="s">
        <v>110</v>
      </c>
      <c r="H23" s="102">
        <v>30</v>
      </c>
    </row>
    <row r="24" spans="1:8" ht="13.5" thickBot="1" x14ac:dyDescent="0.25">
      <c r="A24" s="100">
        <v>1834099</v>
      </c>
      <c r="B24" s="101">
        <v>41576</v>
      </c>
      <c r="C24" s="102" t="s">
        <v>110</v>
      </c>
      <c r="D24" s="103"/>
      <c r="E24" s="100">
        <v>1834364</v>
      </c>
      <c r="F24" s="101">
        <v>41544</v>
      </c>
      <c r="G24" s="102" t="s">
        <v>111</v>
      </c>
      <c r="H24" s="103"/>
    </row>
    <row r="25" spans="1:8" ht="13.5" thickBot="1" x14ac:dyDescent="0.25">
      <c r="A25" s="100">
        <v>1834124</v>
      </c>
      <c r="B25" s="101">
        <v>41425</v>
      </c>
      <c r="C25" s="102" t="s">
        <v>110</v>
      </c>
      <c r="D25" s="102">
        <v>30</v>
      </c>
      <c r="E25" s="100">
        <v>1834386</v>
      </c>
      <c r="F25" s="101">
        <v>41578</v>
      </c>
      <c r="G25" s="102" t="s">
        <v>111</v>
      </c>
      <c r="H25" s="103"/>
    </row>
    <row r="26" spans="1:8" ht="13.5" thickBot="1" x14ac:dyDescent="0.25">
      <c r="A26" s="100">
        <v>1834364</v>
      </c>
      <c r="B26" s="101">
        <v>41383</v>
      </c>
      <c r="C26" s="102" t="s">
        <v>111</v>
      </c>
      <c r="D26" s="102">
        <v>50</v>
      </c>
      <c r="E26" s="100">
        <v>1834566</v>
      </c>
      <c r="F26" s="101">
        <v>41698</v>
      </c>
      <c r="G26" s="102" t="s">
        <v>110</v>
      </c>
      <c r="H26" s="103"/>
    </row>
    <row r="27" spans="1:8" ht="13.5" thickBot="1" x14ac:dyDescent="0.25">
      <c r="A27" s="100">
        <v>1834386</v>
      </c>
      <c r="B27" s="101">
        <v>41415</v>
      </c>
      <c r="C27" s="102" t="s">
        <v>111</v>
      </c>
      <c r="D27" s="102">
        <v>50</v>
      </c>
      <c r="E27" s="100">
        <v>1834776</v>
      </c>
      <c r="F27" s="101">
        <v>41753</v>
      </c>
      <c r="G27" s="102" t="s">
        <v>111</v>
      </c>
      <c r="H27" s="103"/>
    </row>
    <row r="28" spans="1:8" ht="13.5" thickBot="1" x14ac:dyDescent="0.25">
      <c r="A28" s="100">
        <v>1834566</v>
      </c>
      <c r="B28" s="101">
        <v>41512</v>
      </c>
      <c r="C28" s="102" t="s">
        <v>110</v>
      </c>
      <c r="D28" s="103"/>
      <c r="E28" s="100">
        <v>1834781</v>
      </c>
      <c r="F28" s="101">
        <v>41674</v>
      </c>
      <c r="G28" s="102" t="s">
        <v>111</v>
      </c>
      <c r="H28" s="103"/>
    </row>
    <row r="29" spans="1:8" ht="13.5" thickBot="1" x14ac:dyDescent="0.25">
      <c r="A29" s="100">
        <v>1834654</v>
      </c>
      <c r="B29" s="101">
        <v>41593</v>
      </c>
      <c r="C29" s="102" t="s">
        <v>110</v>
      </c>
      <c r="D29" s="102">
        <v>20</v>
      </c>
      <c r="E29" s="100">
        <v>1834781</v>
      </c>
      <c r="F29" s="101">
        <v>41674</v>
      </c>
      <c r="G29" s="102" t="s">
        <v>110</v>
      </c>
      <c r="H29" s="103"/>
    </row>
    <row r="30" spans="1:8" ht="13.5" thickBot="1" x14ac:dyDescent="0.25">
      <c r="A30" s="100">
        <v>1834776</v>
      </c>
      <c r="B30" s="101">
        <v>41554</v>
      </c>
      <c r="C30" s="102" t="s">
        <v>111</v>
      </c>
      <c r="D30" s="102">
        <v>30</v>
      </c>
      <c r="E30" s="100">
        <v>1834859</v>
      </c>
      <c r="F30" s="101">
        <v>41577</v>
      </c>
      <c r="G30" s="102" t="s">
        <v>111</v>
      </c>
      <c r="H30" s="102" t="s">
        <v>428</v>
      </c>
    </row>
    <row r="31" spans="1:8" ht="13.5" thickBot="1" x14ac:dyDescent="0.25">
      <c r="A31" s="100">
        <v>1834781</v>
      </c>
      <c r="B31" s="101">
        <v>41407</v>
      </c>
      <c r="C31" s="102" t="s">
        <v>111</v>
      </c>
      <c r="D31" s="102">
        <v>40</v>
      </c>
      <c r="E31" s="100">
        <v>1835069</v>
      </c>
      <c r="F31" s="101">
        <v>41501</v>
      </c>
      <c r="G31" s="102" t="s">
        <v>111</v>
      </c>
      <c r="H31" s="103"/>
    </row>
    <row r="32" spans="1:8" ht="13.5" thickBot="1" x14ac:dyDescent="0.25">
      <c r="A32" s="100">
        <v>1834781</v>
      </c>
      <c r="B32" s="101">
        <v>41492</v>
      </c>
      <c r="C32" s="102" t="s">
        <v>110</v>
      </c>
      <c r="D32" s="103"/>
      <c r="E32" s="100">
        <v>1835069</v>
      </c>
      <c r="F32" s="101">
        <v>41668</v>
      </c>
      <c r="G32" s="102" t="s">
        <v>110</v>
      </c>
      <c r="H32" s="103"/>
    </row>
    <row r="33" spans="1:8" ht="13.5" thickBot="1" x14ac:dyDescent="0.25">
      <c r="A33" s="100">
        <v>1834859</v>
      </c>
      <c r="B33" s="101">
        <v>41408</v>
      </c>
      <c r="C33" s="102" t="s">
        <v>111</v>
      </c>
      <c r="D33" s="102">
        <v>40</v>
      </c>
      <c r="E33" s="100">
        <v>1835115</v>
      </c>
      <c r="F33" s="101">
        <v>41603</v>
      </c>
      <c r="G33" s="102" t="s">
        <v>110</v>
      </c>
      <c r="H33" s="102">
        <v>25</v>
      </c>
    </row>
    <row r="34" spans="1:8" ht="13.5" thickBot="1" x14ac:dyDescent="0.25">
      <c r="A34" s="100">
        <v>1835069</v>
      </c>
      <c r="B34" s="101">
        <v>41319</v>
      </c>
      <c r="C34" s="102" t="s">
        <v>111</v>
      </c>
      <c r="D34" s="102">
        <v>70</v>
      </c>
      <c r="E34" s="100">
        <v>1835157</v>
      </c>
      <c r="F34" s="101">
        <v>41554</v>
      </c>
      <c r="G34" s="102" t="s">
        <v>110</v>
      </c>
      <c r="H34" s="102">
        <v>40</v>
      </c>
    </row>
    <row r="35" spans="1:8" ht="13.5" thickBot="1" x14ac:dyDescent="0.25">
      <c r="A35" s="100">
        <v>1835069</v>
      </c>
      <c r="B35" s="101">
        <v>41319</v>
      </c>
      <c r="C35" s="102" t="s">
        <v>110</v>
      </c>
      <c r="D35" s="102">
        <v>70</v>
      </c>
      <c r="E35" s="100">
        <v>1835189</v>
      </c>
      <c r="F35" s="101">
        <v>41575</v>
      </c>
      <c r="G35" s="102" t="s">
        <v>111</v>
      </c>
      <c r="H35" s="103"/>
    </row>
    <row r="36" spans="1:8" ht="13.5" thickBot="1" x14ac:dyDescent="0.25">
      <c r="A36" s="100">
        <v>1835115</v>
      </c>
      <c r="B36" s="101">
        <v>41416</v>
      </c>
      <c r="C36" s="102" t="s">
        <v>110</v>
      </c>
      <c r="D36" s="102">
        <v>25</v>
      </c>
      <c r="E36" s="100">
        <v>1835204</v>
      </c>
      <c r="F36" s="101">
        <v>41590</v>
      </c>
      <c r="G36" s="102" t="s">
        <v>111</v>
      </c>
      <c r="H36" s="103"/>
    </row>
    <row r="37" spans="1:8" ht="13.5" thickBot="1" x14ac:dyDescent="0.25">
      <c r="A37" s="100">
        <v>1835157</v>
      </c>
      <c r="B37" s="101">
        <v>41400</v>
      </c>
      <c r="C37" s="102" t="s">
        <v>110</v>
      </c>
      <c r="D37" s="102">
        <v>40</v>
      </c>
      <c r="E37" s="100">
        <v>1835204</v>
      </c>
      <c r="F37" s="101">
        <v>41590</v>
      </c>
      <c r="G37" s="102" t="s">
        <v>110</v>
      </c>
      <c r="H37" s="103"/>
    </row>
    <row r="38" spans="1:8" ht="13.5" thickBot="1" x14ac:dyDescent="0.25">
      <c r="A38" s="100">
        <v>1835189</v>
      </c>
      <c r="B38" s="101">
        <v>41302</v>
      </c>
      <c r="C38" s="102" t="s">
        <v>111</v>
      </c>
      <c r="D38" s="102">
        <v>30</v>
      </c>
      <c r="E38" s="100">
        <v>1835205</v>
      </c>
      <c r="F38" s="101">
        <v>41570</v>
      </c>
      <c r="G38" s="102" t="s">
        <v>111</v>
      </c>
      <c r="H38" s="102">
        <v>100</v>
      </c>
    </row>
    <row r="39" spans="1:8" ht="13.5" thickBot="1" x14ac:dyDescent="0.25">
      <c r="A39" s="100">
        <v>1835204</v>
      </c>
      <c r="B39" s="101">
        <v>41374</v>
      </c>
      <c r="C39" s="102" t="s">
        <v>111</v>
      </c>
      <c r="D39" s="102">
        <v>60</v>
      </c>
      <c r="E39" s="100">
        <v>1835205</v>
      </c>
      <c r="F39" s="101">
        <v>41570</v>
      </c>
      <c r="G39" s="102" t="s">
        <v>110</v>
      </c>
      <c r="H39" s="102" t="s">
        <v>427</v>
      </c>
    </row>
    <row r="40" spans="1:8" ht="13.5" thickBot="1" x14ac:dyDescent="0.25">
      <c r="A40" s="100">
        <v>1835204</v>
      </c>
      <c r="B40" s="101">
        <v>41464</v>
      </c>
      <c r="C40" s="102" t="s">
        <v>110</v>
      </c>
      <c r="D40" s="102">
        <v>30</v>
      </c>
      <c r="E40" s="100">
        <v>1835272</v>
      </c>
      <c r="F40" s="101">
        <v>41604</v>
      </c>
      <c r="G40" s="102" t="s">
        <v>111</v>
      </c>
      <c r="H40" s="103"/>
    </row>
    <row r="41" spans="1:8" ht="13.5" thickBot="1" x14ac:dyDescent="0.25">
      <c r="A41" s="100">
        <v>1835205</v>
      </c>
      <c r="B41" s="101">
        <v>41361</v>
      </c>
      <c r="C41" s="102" t="s">
        <v>111</v>
      </c>
      <c r="D41" s="103"/>
      <c r="E41" s="100">
        <v>1835332</v>
      </c>
      <c r="F41" s="101">
        <v>41638</v>
      </c>
      <c r="G41" s="102" t="s">
        <v>110</v>
      </c>
      <c r="H41" s="102" t="s">
        <v>431</v>
      </c>
    </row>
    <row r="42" spans="1:8" ht="13.5" thickBot="1" x14ac:dyDescent="0.25">
      <c r="A42" s="100">
        <v>1835205</v>
      </c>
      <c r="B42" s="101">
        <v>41361</v>
      </c>
      <c r="C42" s="102" t="s">
        <v>110</v>
      </c>
      <c r="D42" s="103"/>
      <c r="E42" s="100">
        <v>1835691</v>
      </c>
      <c r="F42" s="101">
        <v>41599</v>
      </c>
      <c r="G42" s="102" t="s">
        <v>111</v>
      </c>
      <c r="H42" s="103"/>
    </row>
    <row r="43" spans="1:8" ht="13.5" thickBot="1" x14ac:dyDescent="0.25">
      <c r="A43" s="100">
        <v>1835250</v>
      </c>
      <c r="B43" s="101">
        <v>41478</v>
      </c>
      <c r="C43" s="102" t="s">
        <v>111</v>
      </c>
      <c r="D43" s="102">
        <v>50</v>
      </c>
      <c r="E43" s="100">
        <v>1835693</v>
      </c>
      <c r="F43" s="101">
        <v>41647</v>
      </c>
      <c r="G43" s="102" t="s">
        <v>110</v>
      </c>
      <c r="H43" s="103"/>
    </row>
    <row r="44" spans="1:8" ht="13.5" thickBot="1" x14ac:dyDescent="0.25">
      <c r="A44" s="100">
        <v>1835272</v>
      </c>
      <c r="B44" s="101">
        <v>41417</v>
      </c>
      <c r="C44" s="102" t="s">
        <v>111</v>
      </c>
      <c r="D44" s="102">
        <v>100</v>
      </c>
      <c r="E44" s="100">
        <v>1835772</v>
      </c>
      <c r="F44" s="101">
        <v>41656</v>
      </c>
      <c r="G44" s="102" t="s">
        <v>110</v>
      </c>
      <c r="H44" s="103"/>
    </row>
    <row r="45" spans="1:8" ht="13.5" thickBot="1" x14ac:dyDescent="0.25">
      <c r="A45" s="100">
        <v>1835332</v>
      </c>
      <c r="B45" s="101">
        <v>41375</v>
      </c>
      <c r="C45" s="102" t="s">
        <v>110</v>
      </c>
      <c r="D45" s="102">
        <v>30</v>
      </c>
      <c r="E45" s="100">
        <v>1835804</v>
      </c>
      <c r="F45" s="101">
        <v>41604</v>
      </c>
      <c r="G45" s="102" t="s">
        <v>110</v>
      </c>
      <c r="H45" s="102">
        <v>30</v>
      </c>
    </row>
    <row r="46" spans="1:8" ht="13.5" thickBot="1" x14ac:dyDescent="0.25">
      <c r="A46" s="100">
        <v>1835477</v>
      </c>
      <c r="B46" s="101">
        <v>41317</v>
      </c>
      <c r="C46" s="102" t="s">
        <v>110</v>
      </c>
      <c r="D46" s="103"/>
      <c r="E46" s="100">
        <v>1835815</v>
      </c>
      <c r="F46" s="101">
        <v>41603</v>
      </c>
      <c r="G46" s="102" t="s">
        <v>110</v>
      </c>
      <c r="H46" s="102" t="s">
        <v>429</v>
      </c>
    </row>
    <row r="47" spans="1:8" ht="13.5" thickBot="1" x14ac:dyDescent="0.25">
      <c r="A47" s="100">
        <v>1835552</v>
      </c>
      <c r="B47" s="101">
        <v>41390</v>
      </c>
      <c r="C47" s="102" t="s">
        <v>110</v>
      </c>
      <c r="D47" s="103"/>
      <c r="E47" s="100">
        <v>1835958</v>
      </c>
      <c r="F47" s="101">
        <v>41682</v>
      </c>
      <c r="G47" s="102" t="s">
        <v>110</v>
      </c>
      <c r="H47" s="103"/>
    </row>
    <row r="48" spans="1:8" ht="13.5" thickBot="1" x14ac:dyDescent="0.25">
      <c r="A48" s="100">
        <v>1835663</v>
      </c>
      <c r="B48" s="101">
        <v>41340</v>
      </c>
      <c r="C48" s="102" t="s">
        <v>110</v>
      </c>
      <c r="D48" s="102">
        <v>40</v>
      </c>
      <c r="E48" s="100">
        <v>1835959</v>
      </c>
      <c r="F48" s="101">
        <v>41610</v>
      </c>
      <c r="G48" s="102" t="s">
        <v>111</v>
      </c>
      <c r="H48" s="103"/>
    </row>
    <row r="49" spans="1:8" ht="13.5" thickBot="1" x14ac:dyDescent="0.25">
      <c r="A49" s="100">
        <v>1835691</v>
      </c>
      <c r="B49" s="101">
        <v>41417</v>
      </c>
      <c r="C49" s="102" t="s">
        <v>111</v>
      </c>
      <c r="D49" s="102">
        <v>40</v>
      </c>
      <c r="E49" s="100">
        <v>1835985</v>
      </c>
      <c r="F49" s="101">
        <v>41674</v>
      </c>
      <c r="G49" s="102" t="s">
        <v>111</v>
      </c>
      <c r="H49" s="103"/>
    </row>
    <row r="50" spans="1:8" ht="13.5" thickBot="1" x14ac:dyDescent="0.25">
      <c r="A50" s="100">
        <v>1835693</v>
      </c>
      <c r="B50" s="101">
        <v>41389</v>
      </c>
      <c r="C50" s="102" t="s">
        <v>110</v>
      </c>
      <c r="D50" s="102">
        <v>60</v>
      </c>
      <c r="E50" s="100">
        <v>1835985</v>
      </c>
      <c r="F50" s="101">
        <v>41674</v>
      </c>
      <c r="G50" s="102" t="s">
        <v>110</v>
      </c>
      <c r="H50" s="103"/>
    </row>
    <row r="51" spans="1:8" ht="13.5" thickBot="1" x14ac:dyDescent="0.25">
      <c r="A51" s="100">
        <v>1835772</v>
      </c>
      <c r="B51" s="101">
        <v>41435</v>
      </c>
      <c r="C51" s="102" t="s">
        <v>110</v>
      </c>
      <c r="D51" s="102">
        <v>25</v>
      </c>
      <c r="E51" s="100">
        <v>1835988</v>
      </c>
      <c r="F51" s="101">
        <v>41760</v>
      </c>
      <c r="G51" s="102" t="s">
        <v>111</v>
      </c>
      <c r="H51" s="103"/>
    </row>
    <row r="52" spans="1:8" ht="13.5" thickBot="1" x14ac:dyDescent="0.25">
      <c r="A52" s="100">
        <v>1835804</v>
      </c>
      <c r="B52" s="101">
        <v>41407</v>
      </c>
      <c r="C52" s="102" t="s">
        <v>110</v>
      </c>
      <c r="D52" s="102">
        <v>20</v>
      </c>
      <c r="E52" s="100">
        <v>1836088</v>
      </c>
      <c r="F52" s="101">
        <v>41717</v>
      </c>
      <c r="G52" s="102" t="s">
        <v>111</v>
      </c>
      <c r="H52" s="103"/>
    </row>
    <row r="53" spans="1:8" ht="13.5" thickBot="1" x14ac:dyDescent="0.25">
      <c r="A53" s="100">
        <v>1835804</v>
      </c>
      <c r="B53" s="101">
        <v>41604</v>
      </c>
      <c r="C53" s="102" t="s">
        <v>111</v>
      </c>
      <c r="D53" s="102">
        <v>30</v>
      </c>
      <c r="E53" s="100">
        <v>1836088</v>
      </c>
      <c r="F53" s="101">
        <v>41717</v>
      </c>
      <c r="G53" s="102" t="s">
        <v>110</v>
      </c>
      <c r="H53" s="103"/>
    </row>
    <row r="54" spans="1:8" ht="13.5" thickBot="1" x14ac:dyDescent="0.25">
      <c r="A54" s="100">
        <v>1835815</v>
      </c>
      <c r="B54" s="101">
        <v>41428</v>
      </c>
      <c r="C54" s="102" t="s">
        <v>110</v>
      </c>
      <c r="D54" s="103"/>
      <c r="E54" s="100">
        <v>1836234</v>
      </c>
      <c r="F54" s="101">
        <v>41696</v>
      </c>
      <c r="G54" s="102" t="s">
        <v>111</v>
      </c>
      <c r="H54" s="103"/>
    </row>
    <row r="55" spans="1:8" ht="13.5" thickBot="1" x14ac:dyDescent="0.25">
      <c r="A55" s="100">
        <v>1835949</v>
      </c>
      <c r="B55" s="101">
        <v>41619</v>
      </c>
      <c r="C55" s="102" t="s">
        <v>111</v>
      </c>
      <c r="D55" s="103"/>
      <c r="E55" s="100">
        <v>1836239</v>
      </c>
      <c r="F55" s="101">
        <v>41611</v>
      </c>
      <c r="G55" s="102" t="s">
        <v>110</v>
      </c>
      <c r="H55" s="102" t="s">
        <v>430</v>
      </c>
    </row>
    <row r="56" spans="1:8" ht="13.5" thickBot="1" x14ac:dyDescent="0.25">
      <c r="A56" s="100">
        <v>1835958</v>
      </c>
      <c r="B56" s="101">
        <v>41444</v>
      </c>
      <c r="C56" s="102" t="s">
        <v>110</v>
      </c>
      <c r="D56" s="102">
        <v>50</v>
      </c>
      <c r="E56" s="100">
        <v>1836300</v>
      </c>
      <c r="F56" s="101">
        <v>41717</v>
      </c>
      <c r="G56" s="102" t="s">
        <v>111</v>
      </c>
      <c r="H56" s="103"/>
    </row>
    <row r="57" spans="1:8" ht="13.5" thickBot="1" x14ac:dyDescent="0.25">
      <c r="A57" s="100">
        <v>1835959</v>
      </c>
      <c r="B57" s="101">
        <v>41438</v>
      </c>
      <c r="C57" s="102" t="s">
        <v>111</v>
      </c>
      <c r="D57" s="102">
        <v>200</v>
      </c>
      <c r="E57" s="100">
        <v>1836378</v>
      </c>
      <c r="F57" s="101">
        <v>41761</v>
      </c>
      <c r="G57" s="102" t="s">
        <v>111</v>
      </c>
      <c r="H57" s="103"/>
    </row>
    <row r="58" spans="1:8" ht="13.5" thickBot="1" x14ac:dyDescent="0.25">
      <c r="A58" s="100">
        <v>1835985</v>
      </c>
      <c r="B58" s="101">
        <v>41485</v>
      </c>
      <c r="C58" s="102" t="s">
        <v>111</v>
      </c>
      <c r="D58" s="103"/>
      <c r="E58" s="100">
        <v>1836414</v>
      </c>
      <c r="F58" s="101">
        <v>41717</v>
      </c>
      <c r="G58" s="102" t="s">
        <v>111</v>
      </c>
      <c r="H58" s="103"/>
    </row>
    <row r="59" spans="1:8" ht="13.5" thickBot="1" x14ac:dyDescent="0.25">
      <c r="A59" s="100">
        <v>1835985</v>
      </c>
      <c r="B59" s="101">
        <v>41485</v>
      </c>
      <c r="C59" s="102" t="s">
        <v>110</v>
      </c>
      <c r="D59" s="103"/>
      <c r="E59" s="100">
        <v>1836425</v>
      </c>
      <c r="F59" s="101">
        <v>41716</v>
      </c>
      <c r="G59" s="102" t="s">
        <v>110</v>
      </c>
      <c r="H59" s="103"/>
    </row>
    <row r="60" spans="1:8" ht="13.5" thickBot="1" x14ac:dyDescent="0.25">
      <c r="A60" s="100">
        <v>1835988</v>
      </c>
      <c r="B60" s="101">
        <v>41429</v>
      </c>
      <c r="C60" s="102" t="s">
        <v>111</v>
      </c>
      <c r="D60" s="102">
        <v>200</v>
      </c>
      <c r="E60" s="100">
        <v>1836535</v>
      </c>
      <c r="F60" s="101">
        <v>41752</v>
      </c>
      <c r="G60" s="102" t="s">
        <v>111</v>
      </c>
      <c r="H60" s="103"/>
    </row>
    <row r="61" spans="1:8" ht="13.5" thickBot="1" x14ac:dyDescent="0.25">
      <c r="A61" s="100">
        <v>1835988</v>
      </c>
      <c r="B61" s="101">
        <v>41597</v>
      </c>
      <c r="C61" s="102" t="s">
        <v>110</v>
      </c>
      <c r="D61" s="102">
        <v>40</v>
      </c>
    </row>
    <row r="62" spans="1:8" ht="13.5" thickBot="1" x14ac:dyDescent="0.25">
      <c r="A62" s="100">
        <v>1836026</v>
      </c>
      <c r="B62" s="101">
        <v>41407</v>
      </c>
      <c r="C62" s="102" t="s">
        <v>110</v>
      </c>
      <c r="D62" s="102">
        <v>200</v>
      </c>
    </row>
    <row r="63" spans="1:8" ht="13.5" thickBot="1" x14ac:dyDescent="0.25">
      <c r="A63" s="100">
        <v>1836088</v>
      </c>
      <c r="B63" s="101">
        <v>41569</v>
      </c>
      <c r="C63" s="102" t="s">
        <v>110</v>
      </c>
      <c r="D63" s="102">
        <v>30</v>
      </c>
    </row>
    <row r="64" spans="1:8" ht="13.5" thickBot="1" x14ac:dyDescent="0.25">
      <c r="A64" s="100">
        <v>1836088</v>
      </c>
      <c r="B64" s="101">
        <v>41570</v>
      </c>
      <c r="C64" s="102" t="s">
        <v>111</v>
      </c>
      <c r="D64" s="103"/>
    </row>
    <row r="65" spans="1:4" ht="13.5" thickBot="1" x14ac:dyDescent="0.25">
      <c r="A65" s="100">
        <v>1836165</v>
      </c>
      <c r="B65" s="101">
        <v>41591</v>
      </c>
      <c r="C65" s="102" t="s">
        <v>111</v>
      </c>
      <c r="D65" s="103"/>
    </row>
    <row r="66" spans="1:4" ht="13.5" thickBot="1" x14ac:dyDescent="0.25">
      <c r="A66" s="100">
        <v>1836229</v>
      </c>
      <c r="B66" s="101">
        <v>41526</v>
      </c>
      <c r="C66" s="102" t="s">
        <v>111</v>
      </c>
      <c r="D66" s="103"/>
    </row>
    <row r="67" spans="1:4" ht="13.5" thickBot="1" x14ac:dyDescent="0.25">
      <c r="A67" s="100">
        <v>1836234</v>
      </c>
      <c r="B67" s="101">
        <v>41541</v>
      </c>
      <c r="C67" s="102" t="s">
        <v>111</v>
      </c>
      <c r="D67" s="102">
        <v>40</v>
      </c>
    </row>
    <row r="68" spans="1:4" ht="13.5" thickBot="1" x14ac:dyDescent="0.25">
      <c r="A68" s="100">
        <v>1836239</v>
      </c>
      <c r="B68" s="101">
        <v>41501</v>
      </c>
      <c r="C68" s="102" t="s">
        <v>110</v>
      </c>
      <c r="D68" s="103"/>
    </row>
    <row r="69" spans="1:4" ht="13.5" thickBot="1" x14ac:dyDescent="0.25">
      <c r="A69" s="100">
        <v>1836300</v>
      </c>
      <c r="B69" s="101">
        <v>41570</v>
      </c>
      <c r="C69" s="102" t="s">
        <v>111</v>
      </c>
      <c r="D69" s="103"/>
    </row>
    <row r="70" spans="1:4" ht="13.5" thickBot="1" x14ac:dyDescent="0.25">
      <c r="A70" s="100">
        <v>1836315</v>
      </c>
      <c r="B70" s="101">
        <v>41470</v>
      </c>
      <c r="C70" s="102" t="s">
        <v>111</v>
      </c>
      <c r="D70" s="102">
        <v>40</v>
      </c>
    </row>
    <row r="71" spans="1:4" ht="13.5" thickBot="1" x14ac:dyDescent="0.25">
      <c r="A71" s="100">
        <v>1836345</v>
      </c>
      <c r="B71" s="101">
        <v>41556</v>
      </c>
      <c r="C71" s="102" t="s">
        <v>111</v>
      </c>
      <c r="D71" s="103"/>
    </row>
    <row r="72" spans="1:4" ht="13.5" thickBot="1" x14ac:dyDescent="0.25">
      <c r="A72" s="100">
        <v>1836345</v>
      </c>
      <c r="B72" s="101">
        <v>41556</v>
      </c>
      <c r="C72" s="102" t="s">
        <v>110</v>
      </c>
      <c r="D72" s="103"/>
    </row>
    <row r="73" spans="1:4" ht="13.5" thickBot="1" x14ac:dyDescent="0.25">
      <c r="A73" s="100">
        <v>1836353</v>
      </c>
      <c r="B73" s="101">
        <v>41487</v>
      </c>
      <c r="C73" s="102" t="s">
        <v>110</v>
      </c>
      <c r="D73" s="103"/>
    </row>
    <row r="74" spans="1:4" ht="13.5" thickBot="1" x14ac:dyDescent="0.25">
      <c r="A74" s="100">
        <v>1836378</v>
      </c>
      <c r="B74" s="101">
        <v>41550</v>
      </c>
      <c r="C74" s="102" t="s">
        <v>111</v>
      </c>
      <c r="D74" s="102">
        <v>30</v>
      </c>
    </row>
    <row r="75" spans="1:4" ht="13.5" thickBot="1" x14ac:dyDescent="0.25">
      <c r="A75" s="100">
        <v>1836414</v>
      </c>
      <c r="B75" s="101">
        <v>41507</v>
      </c>
      <c r="C75" s="102" t="s">
        <v>111</v>
      </c>
      <c r="D75" s="102">
        <v>40</v>
      </c>
    </row>
    <row r="76" spans="1:4" ht="13.5" thickBot="1" x14ac:dyDescent="0.25">
      <c r="A76" s="100">
        <v>1836414</v>
      </c>
      <c r="B76" s="101">
        <v>41605</v>
      </c>
      <c r="C76" s="102" t="s">
        <v>110</v>
      </c>
      <c r="D76" s="102">
        <v>40</v>
      </c>
    </row>
    <row r="77" spans="1:4" ht="13.5" thickBot="1" x14ac:dyDescent="0.25">
      <c r="A77" s="100">
        <v>1836425</v>
      </c>
      <c r="B77" s="101">
        <v>41534</v>
      </c>
      <c r="C77" s="102" t="s">
        <v>111</v>
      </c>
      <c r="D77" s="102">
        <v>30</v>
      </c>
    </row>
    <row r="78" spans="1:4" ht="13.5" thickBot="1" x14ac:dyDescent="0.25">
      <c r="A78" s="100">
        <v>1836425</v>
      </c>
      <c r="B78" s="101">
        <v>41534</v>
      </c>
      <c r="C78" s="102" t="s">
        <v>110</v>
      </c>
      <c r="D78" s="102">
        <v>60</v>
      </c>
    </row>
    <row r="79" spans="1:4" ht="13.5" thickBot="1" x14ac:dyDescent="0.25">
      <c r="A79" s="100">
        <v>1836453</v>
      </c>
      <c r="B79" s="101">
        <v>41563</v>
      </c>
      <c r="C79" s="102" t="s">
        <v>110</v>
      </c>
      <c r="D79" s="103"/>
    </row>
    <row r="80" spans="1:4" ht="13.5" thickBot="1" x14ac:dyDescent="0.25">
      <c r="A80" s="100">
        <v>1836533</v>
      </c>
      <c r="B80" s="101">
        <v>41403</v>
      </c>
      <c r="C80" s="102" t="s">
        <v>111</v>
      </c>
      <c r="D80" s="103"/>
    </row>
    <row r="81" spans="1:4" ht="13.5" thickBot="1" x14ac:dyDescent="0.25">
      <c r="A81" s="100">
        <v>1836535</v>
      </c>
      <c r="B81" s="101">
        <v>41555</v>
      </c>
      <c r="C81" s="102" t="s">
        <v>111</v>
      </c>
      <c r="D81" s="103"/>
    </row>
    <row r="82" spans="1:4" ht="13.5" thickBot="1" x14ac:dyDescent="0.25">
      <c r="A82" s="100">
        <v>1836540</v>
      </c>
      <c r="B82" s="101">
        <v>41569</v>
      </c>
      <c r="C82" s="102" t="s">
        <v>111</v>
      </c>
      <c r="D82" s="103"/>
    </row>
    <row r="83" spans="1:4" ht="13.5" thickBot="1" x14ac:dyDescent="0.25">
      <c r="A83" s="100">
        <v>1836549</v>
      </c>
      <c r="B83" s="101">
        <v>41562</v>
      </c>
      <c r="C83" s="102" t="s">
        <v>110</v>
      </c>
      <c r="D83" s="103"/>
    </row>
    <row r="84" spans="1:4" ht="13.5" thickBot="1" x14ac:dyDescent="0.25">
      <c r="A84" s="100">
        <v>1836590</v>
      </c>
      <c r="B84" s="101">
        <v>41589</v>
      </c>
      <c r="C84" s="102" t="s">
        <v>111</v>
      </c>
      <c r="D84" s="103"/>
    </row>
    <row r="85" spans="1:4" ht="13.5" thickBot="1" x14ac:dyDescent="0.25">
      <c r="A85" s="100">
        <v>1836623</v>
      </c>
      <c r="B85" s="101">
        <v>41586</v>
      </c>
      <c r="C85" s="102" t="s">
        <v>111</v>
      </c>
      <c r="D85" s="102">
        <v>40</v>
      </c>
    </row>
    <row r="86" spans="1:4" ht="13.5" thickBot="1" x14ac:dyDescent="0.25">
      <c r="A86" s="100">
        <v>1837142</v>
      </c>
      <c r="B86" s="101">
        <v>41611</v>
      </c>
      <c r="C86" s="102" t="s">
        <v>110</v>
      </c>
      <c r="D86" s="102">
        <v>30</v>
      </c>
    </row>
  </sheetData>
  <sortState ref="A2:D86">
    <sortCondition ref="A2:A86"/>
  </sortState>
  <customSheetViews>
    <customSheetView guid="{54C114DD-C157-4E30-91DC-9B94C55E8054}">
      <selection activeCell="A2" sqref="A2"/>
      <pageMargins left="0.7" right="0.7" top="0.75" bottom="0.75" header="0.3" footer="0.3"/>
      <pageSetup orientation="portrait" r:id="rId1"/>
    </customSheetView>
    <customSheetView guid="{9D4EC4DC-E305-42C0-86D3-802895C39393}">
      <selection activeCell="A2" sqref="A2"/>
      <pageMargins left="0.7" right="0.7" top="0.75" bottom="0.75" header="0.3" footer="0.3"/>
      <pageSetup orientation="portrait" r:id="rId2"/>
    </customSheetView>
  </customSheetViews>
  <conditionalFormatting sqref="E1:E100">
    <cfRule type="expression" dxfId="0" priority="29">
      <formula>IF($A1=$E1,1,0)</formula>
    </cfRule>
  </conditionalFormatting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9"/>
  <sheetViews>
    <sheetView workbookViewId="0">
      <selection sqref="A1:D59"/>
    </sheetView>
  </sheetViews>
  <sheetFormatPr defaultRowHeight="12.75" x14ac:dyDescent="0.2"/>
  <cols>
    <col min="2" max="2" width="12.5703125" customWidth="1"/>
  </cols>
  <sheetData>
    <row r="1" spans="1:4" ht="39" thickBot="1" x14ac:dyDescent="0.25">
      <c r="A1" s="98" t="s">
        <v>68</v>
      </c>
      <c r="B1" s="99" t="s">
        <v>297</v>
      </c>
      <c r="C1" s="99" t="s">
        <v>109</v>
      </c>
      <c r="D1" s="99" t="s">
        <v>422</v>
      </c>
    </row>
    <row r="2" spans="1:4" ht="13.5" thickBot="1" x14ac:dyDescent="0.25">
      <c r="A2" s="104">
        <v>1805730</v>
      </c>
      <c r="B2" s="105">
        <v>41722</v>
      </c>
      <c r="C2" s="99" t="s">
        <v>110</v>
      </c>
      <c r="D2" s="106"/>
    </row>
    <row r="3" spans="1:4" ht="13.5" thickBot="1" x14ac:dyDescent="0.25">
      <c r="A3" s="100">
        <v>1824311</v>
      </c>
      <c r="B3" s="101">
        <v>41561</v>
      </c>
      <c r="C3" s="102" t="s">
        <v>110</v>
      </c>
      <c r="D3" s="102">
        <v>25</v>
      </c>
    </row>
    <row r="4" spans="1:4" ht="13.5" thickBot="1" x14ac:dyDescent="0.25">
      <c r="A4" s="100">
        <v>1824933</v>
      </c>
      <c r="B4" s="101">
        <v>41549</v>
      </c>
      <c r="C4" s="102" t="s">
        <v>111</v>
      </c>
      <c r="D4" s="102" t="s">
        <v>423</v>
      </c>
    </row>
    <row r="5" spans="1:4" ht="13.5" thickBot="1" x14ac:dyDescent="0.25">
      <c r="A5" s="100">
        <v>1824933</v>
      </c>
      <c r="B5" s="101">
        <v>41549</v>
      </c>
      <c r="C5" s="102" t="s">
        <v>110</v>
      </c>
      <c r="D5" s="102" t="s">
        <v>425</v>
      </c>
    </row>
    <row r="6" spans="1:4" ht="13.5" thickBot="1" x14ac:dyDescent="0.25">
      <c r="A6" s="100">
        <v>1827255</v>
      </c>
      <c r="B6" s="101">
        <v>41562</v>
      </c>
      <c r="C6" s="102" t="s">
        <v>111</v>
      </c>
      <c r="D6" s="103"/>
    </row>
    <row r="7" spans="1:4" ht="13.5" thickBot="1" x14ac:dyDescent="0.25">
      <c r="A7" s="100">
        <v>1827255</v>
      </c>
      <c r="B7" s="101">
        <v>41562</v>
      </c>
      <c r="C7" s="102" t="s">
        <v>110</v>
      </c>
      <c r="D7" s="103"/>
    </row>
    <row r="8" spans="1:4" ht="13.5" thickBot="1" x14ac:dyDescent="0.25">
      <c r="A8" s="100">
        <v>1827528</v>
      </c>
      <c r="B8" s="101">
        <v>41563</v>
      </c>
      <c r="C8" s="102" t="s">
        <v>111</v>
      </c>
      <c r="D8" s="102">
        <v>100</v>
      </c>
    </row>
    <row r="9" spans="1:4" ht="13.5" thickBot="1" x14ac:dyDescent="0.25">
      <c r="A9" s="100">
        <v>1828136</v>
      </c>
      <c r="B9" s="101">
        <v>41562</v>
      </c>
      <c r="C9" s="102" t="s">
        <v>110</v>
      </c>
      <c r="D9" s="103"/>
    </row>
    <row r="10" spans="1:4" ht="13.5" thickBot="1" x14ac:dyDescent="0.25">
      <c r="A10" s="100">
        <v>1828136</v>
      </c>
      <c r="B10" s="101">
        <v>41758</v>
      </c>
      <c r="C10" s="102" t="s">
        <v>111</v>
      </c>
      <c r="D10" s="103"/>
    </row>
    <row r="11" spans="1:4" ht="13.5" thickBot="1" x14ac:dyDescent="0.25">
      <c r="A11" s="100">
        <v>1828940</v>
      </c>
      <c r="B11" s="101">
        <v>41743</v>
      </c>
      <c r="C11" s="102" t="s">
        <v>110</v>
      </c>
      <c r="D11" s="103"/>
    </row>
    <row r="12" spans="1:4" ht="13.5" thickBot="1" x14ac:dyDescent="0.25">
      <c r="A12" s="100">
        <v>1829576</v>
      </c>
      <c r="B12" s="101">
        <v>41562</v>
      </c>
      <c r="C12" s="102" t="s">
        <v>111</v>
      </c>
      <c r="D12" s="102">
        <v>20</v>
      </c>
    </row>
    <row r="13" spans="1:4" ht="13.5" thickBot="1" x14ac:dyDescent="0.25">
      <c r="A13" s="100">
        <v>1829809</v>
      </c>
      <c r="B13" s="101">
        <v>41561</v>
      </c>
      <c r="C13" s="102" t="s">
        <v>110</v>
      </c>
      <c r="D13" s="103"/>
    </row>
    <row r="14" spans="1:4" ht="13.5" thickBot="1" x14ac:dyDescent="0.25">
      <c r="A14" s="100">
        <v>1831350</v>
      </c>
      <c r="B14" s="101">
        <v>41542</v>
      </c>
      <c r="C14" s="102" t="s">
        <v>111</v>
      </c>
      <c r="D14" s="102" t="s">
        <v>424</v>
      </c>
    </row>
    <row r="15" spans="1:4" ht="13.5" thickBot="1" x14ac:dyDescent="0.25">
      <c r="A15" s="100">
        <v>1831459</v>
      </c>
      <c r="B15" s="101">
        <v>41551</v>
      </c>
      <c r="C15" s="102" t="s">
        <v>111</v>
      </c>
      <c r="D15" s="102" t="s">
        <v>426</v>
      </c>
    </row>
    <row r="16" spans="1:4" ht="13.5" thickBot="1" x14ac:dyDescent="0.25">
      <c r="A16" s="100">
        <v>1831717</v>
      </c>
      <c r="B16" s="101">
        <v>41562</v>
      </c>
      <c r="C16" s="102" t="s">
        <v>111</v>
      </c>
      <c r="D16" s="103"/>
    </row>
    <row r="17" spans="1:4" ht="13.5" thickBot="1" x14ac:dyDescent="0.25">
      <c r="A17" s="100">
        <v>1832258</v>
      </c>
      <c r="B17" s="101">
        <v>41773</v>
      </c>
      <c r="C17" s="102" t="s">
        <v>110</v>
      </c>
      <c r="D17" s="103"/>
    </row>
    <row r="18" spans="1:4" ht="13.5" thickBot="1" x14ac:dyDescent="0.25">
      <c r="A18" s="100">
        <v>1832606</v>
      </c>
      <c r="B18" s="101">
        <v>41704</v>
      </c>
      <c r="C18" s="102" t="s">
        <v>111</v>
      </c>
      <c r="D18" s="103"/>
    </row>
    <row r="19" spans="1:4" ht="13.5" thickBot="1" x14ac:dyDescent="0.25">
      <c r="A19" s="100">
        <v>1832657</v>
      </c>
      <c r="B19" s="101">
        <v>41579</v>
      </c>
      <c r="C19" s="102" t="s">
        <v>111</v>
      </c>
      <c r="D19" s="102" t="s">
        <v>424</v>
      </c>
    </row>
    <row r="20" spans="1:4" ht="13.5" thickBot="1" x14ac:dyDescent="0.25">
      <c r="A20" s="100">
        <v>1832657</v>
      </c>
      <c r="B20" s="101">
        <v>41579</v>
      </c>
      <c r="C20" s="102" t="s">
        <v>110</v>
      </c>
      <c r="D20" s="102">
        <v>25</v>
      </c>
    </row>
    <row r="21" spans="1:4" ht="13.5" thickBot="1" x14ac:dyDescent="0.25">
      <c r="A21" s="100">
        <v>1834076</v>
      </c>
      <c r="B21" s="101">
        <v>41676</v>
      </c>
      <c r="C21" s="102" t="s">
        <v>111</v>
      </c>
      <c r="D21" s="103"/>
    </row>
    <row r="22" spans="1:4" ht="13.5" thickBot="1" x14ac:dyDescent="0.25">
      <c r="A22" s="100">
        <v>1834124</v>
      </c>
      <c r="B22" s="101">
        <v>41565</v>
      </c>
      <c r="C22" s="102" t="s">
        <v>110</v>
      </c>
      <c r="D22" s="102">
        <v>30</v>
      </c>
    </row>
    <row r="23" spans="1:4" ht="13.5" thickBot="1" x14ac:dyDescent="0.25">
      <c r="A23" s="100">
        <v>1834364</v>
      </c>
      <c r="B23" s="101">
        <v>41544</v>
      </c>
      <c r="C23" s="102" t="s">
        <v>111</v>
      </c>
      <c r="D23" s="103"/>
    </row>
    <row r="24" spans="1:4" ht="13.5" thickBot="1" x14ac:dyDescent="0.25">
      <c r="A24" s="100">
        <v>1834386</v>
      </c>
      <c r="B24" s="101">
        <v>41578</v>
      </c>
      <c r="C24" s="102" t="s">
        <v>111</v>
      </c>
      <c r="D24" s="103"/>
    </row>
    <row r="25" spans="1:4" ht="13.5" thickBot="1" x14ac:dyDescent="0.25">
      <c r="A25" s="100">
        <v>1834566</v>
      </c>
      <c r="B25" s="101">
        <v>41698</v>
      </c>
      <c r="C25" s="102" t="s">
        <v>110</v>
      </c>
      <c r="D25" s="103"/>
    </row>
    <row r="26" spans="1:4" ht="13.5" thickBot="1" x14ac:dyDescent="0.25">
      <c r="A26" s="100">
        <v>1834776</v>
      </c>
      <c r="B26" s="101">
        <v>41753</v>
      </c>
      <c r="C26" s="102" t="s">
        <v>111</v>
      </c>
      <c r="D26" s="103"/>
    </row>
    <row r="27" spans="1:4" ht="13.5" thickBot="1" x14ac:dyDescent="0.25">
      <c r="A27" s="100">
        <v>1834781</v>
      </c>
      <c r="B27" s="101">
        <v>41674</v>
      </c>
      <c r="C27" s="102" t="s">
        <v>111</v>
      </c>
      <c r="D27" s="103"/>
    </row>
    <row r="28" spans="1:4" ht="13.5" thickBot="1" x14ac:dyDescent="0.25">
      <c r="A28" s="100">
        <v>1834781</v>
      </c>
      <c r="B28" s="101">
        <v>41674</v>
      </c>
      <c r="C28" s="102" t="s">
        <v>110</v>
      </c>
      <c r="D28" s="103"/>
    </row>
    <row r="29" spans="1:4" ht="13.5" thickBot="1" x14ac:dyDescent="0.25">
      <c r="A29" s="100">
        <v>1834859</v>
      </c>
      <c r="B29" s="101">
        <v>41577</v>
      </c>
      <c r="C29" s="102" t="s">
        <v>111</v>
      </c>
      <c r="D29" s="102" t="s">
        <v>428</v>
      </c>
    </row>
    <row r="30" spans="1:4" ht="13.5" thickBot="1" x14ac:dyDescent="0.25">
      <c r="A30" s="100">
        <v>1835069</v>
      </c>
      <c r="B30" s="101">
        <v>41501</v>
      </c>
      <c r="C30" s="102" t="s">
        <v>111</v>
      </c>
      <c r="D30" s="103"/>
    </row>
    <row r="31" spans="1:4" ht="13.5" thickBot="1" x14ac:dyDescent="0.25">
      <c r="A31" s="100">
        <v>1835069</v>
      </c>
      <c r="B31" s="101">
        <v>41668</v>
      </c>
      <c r="C31" s="102" t="s">
        <v>110</v>
      </c>
      <c r="D31" s="103"/>
    </row>
    <row r="32" spans="1:4" ht="13.5" thickBot="1" x14ac:dyDescent="0.25">
      <c r="A32" s="100">
        <v>1835115</v>
      </c>
      <c r="B32" s="101">
        <v>41603</v>
      </c>
      <c r="C32" s="102" t="s">
        <v>110</v>
      </c>
      <c r="D32" s="102">
        <v>25</v>
      </c>
    </row>
    <row r="33" spans="1:4" ht="13.5" thickBot="1" x14ac:dyDescent="0.25">
      <c r="A33" s="100">
        <v>1835157</v>
      </c>
      <c r="B33" s="101">
        <v>41554</v>
      </c>
      <c r="C33" s="102" t="s">
        <v>110</v>
      </c>
      <c r="D33" s="102">
        <v>40</v>
      </c>
    </row>
    <row r="34" spans="1:4" ht="13.5" thickBot="1" x14ac:dyDescent="0.25">
      <c r="A34" s="100">
        <v>1835189</v>
      </c>
      <c r="B34" s="101">
        <v>41575</v>
      </c>
      <c r="C34" s="102" t="s">
        <v>111</v>
      </c>
      <c r="D34" s="103"/>
    </row>
    <row r="35" spans="1:4" ht="13.5" thickBot="1" x14ac:dyDescent="0.25">
      <c r="A35" s="100">
        <v>1835204</v>
      </c>
      <c r="B35" s="101">
        <v>41590</v>
      </c>
      <c r="C35" s="102" t="s">
        <v>111</v>
      </c>
      <c r="D35" s="103"/>
    </row>
    <row r="36" spans="1:4" ht="13.5" thickBot="1" x14ac:dyDescent="0.25">
      <c r="A36" s="100">
        <v>1835204</v>
      </c>
      <c r="B36" s="101">
        <v>41590</v>
      </c>
      <c r="C36" s="102" t="s">
        <v>110</v>
      </c>
      <c r="D36" s="103"/>
    </row>
    <row r="37" spans="1:4" ht="13.5" thickBot="1" x14ac:dyDescent="0.25">
      <c r="A37" s="100">
        <v>1835205</v>
      </c>
      <c r="B37" s="101">
        <v>41570</v>
      </c>
      <c r="C37" s="102" t="s">
        <v>111</v>
      </c>
      <c r="D37" s="102">
        <v>100</v>
      </c>
    </row>
    <row r="38" spans="1:4" ht="13.5" thickBot="1" x14ac:dyDescent="0.25">
      <c r="A38" s="100">
        <v>1835205</v>
      </c>
      <c r="B38" s="101">
        <v>41570</v>
      </c>
      <c r="C38" s="102" t="s">
        <v>110</v>
      </c>
      <c r="D38" s="102" t="s">
        <v>427</v>
      </c>
    </row>
    <row r="39" spans="1:4" ht="13.5" thickBot="1" x14ac:dyDescent="0.25">
      <c r="A39" s="100">
        <v>1835272</v>
      </c>
      <c r="B39" s="101">
        <v>41604</v>
      </c>
      <c r="C39" s="102" t="s">
        <v>111</v>
      </c>
      <c r="D39" s="103"/>
    </row>
    <row r="40" spans="1:4" ht="13.5" thickBot="1" x14ac:dyDescent="0.25">
      <c r="A40" s="100">
        <v>1835332</v>
      </c>
      <c r="B40" s="101">
        <v>41638</v>
      </c>
      <c r="C40" s="102" t="s">
        <v>110</v>
      </c>
      <c r="D40" s="102" t="s">
        <v>431</v>
      </c>
    </row>
    <row r="41" spans="1:4" ht="13.5" thickBot="1" x14ac:dyDescent="0.25">
      <c r="A41" s="100">
        <v>1835691</v>
      </c>
      <c r="B41" s="101">
        <v>41599</v>
      </c>
      <c r="C41" s="102" t="s">
        <v>111</v>
      </c>
      <c r="D41" s="103"/>
    </row>
    <row r="42" spans="1:4" ht="13.5" thickBot="1" x14ac:dyDescent="0.25">
      <c r="A42" s="100">
        <v>1835693</v>
      </c>
      <c r="B42" s="101">
        <v>41647</v>
      </c>
      <c r="C42" s="102" t="s">
        <v>110</v>
      </c>
      <c r="D42" s="103"/>
    </row>
    <row r="43" spans="1:4" ht="13.5" thickBot="1" x14ac:dyDescent="0.25">
      <c r="A43" s="100">
        <v>1835772</v>
      </c>
      <c r="B43" s="101">
        <v>41656</v>
      </c>
      <c r="C43" s="102" t="s">
        <v>110</v>
      </c>
      <c r="D43" s="103"/>
    </row>
    <row r="44" spans="1:4" ht="13.5" thickBot="1" x14ac:dyDescent="0.25">
      <c r="A44" s="100">
        <v>1835804</v>
      </c>
      <c r="B44" s="101">
        <v>41604</v>
      </c>
      <c r="C44" s="102" t="s">
        <v>110</v>
      </c>
      <c r="D44" s="102">
        <v>30</v>
      </c>
    </row>
    <row r="45" spans="1:4" ht="13.5" thickBot="1" x14ac:dyDescent="0.25">
      <c r="A45" s="100">
        <v>1835815</v>
      </c>
      <c r="B45" s="101">
        <v>41603</v>
      </c>
      <c r="C45" s="102" t="s">
        <v>110</v>
      </c>
      <c r="D45" s="102" t="s">
        <v>429</v>
      </c>
    </row>
    <row r="46" spans="1:4" ht="13.5" thickBot="1" x14ac:dyDescent="0.25">
      <c r="A46" s="100">
        <v>1835958</v>
      </c>
      <c r="B46" s="101">
        <v>41682</v>
      </c>
      <c r="C46" s="102" t="s">
        <v>110</v>
      </c>
      <c r="D46" s="103"/>
    </row>
    <row r="47" spans="1:4" ht="13.5" thickBot="1" x14ac:dyDescent="0.25">
      <c r="A47" s="100">
        <v>1835959</v>
      </c>
      <c r="B47" s="101">
        <v>41610</v>
      </c>
      <c r="C47" s="102" t="s">
        <v>111</v>
      </c>
      <c r="D47" s="103"/>
    </row>
    <row r="48" spans="1:4" ht="13.5" thickBot="1" x14ac:dyDescent="0.25">
      <c r="A48" s="100">
        <v>1835985</v>
      </c>
      <c r="B48" s="101">
        <v>41674</v>
      </c>
      <c r="C48" s="102" t="s">
        <v>111</v>
      </c>
      <c r="D48" s="103"/>
    </row>
    <row r="49" spans="1:4" ht="13.5" thickBot="1" x14ac:dyDescent="0.25">
      <c r="A49" s="100">
        <v>1835985</v>
      </c>
      <c r="B49" s="101">
        <v>41674</v>
      </c>
      <c r="C49" s="102" t="s">
        <v>110</v>
      </c>
      <c r="D49" s="103"/>
    </row>
    <row r="50" spans="1:4" ht="13.5" thickBot="1" x14ac:dyDescent="0.25">
      <c r="A50" s="100">
        <v>1835988</v>
      </c>
      <c r="B50" s="101">
        <v>41760</v>
      </c>
      <c r="C50" s="102" t="s">
        <v>111</v>
      </c>
      <c r="D50" s="103"/>
    </row>
    <row r="51" spans="1:4" ht="13.5" thickBot="1" x14ac:dyDescent="0.25">
      <c r="A51" s="100">
        <v>1836088</v>
      </c>
      <c r="B51" s="101">
        <v>41717</v>
      </c>
      <c r="C51" s="102" t="s">
        <v>111</v>
      </c>
      <c r="D51" s="103"/>
    </row>
    <row r="52" spans="1:4" ht="13.5" thickBot="1" x14ac:dyDescent="0.25">
      <c r="A52" s="100">
        <v>1836088</v>
      </c>
      <c r="B52" s="101">
        <v>41717</v>
      </c>
      <c r="C52" s="102" t="s">
        <v>110</v>
      </c>
      <c r="D52" s="103"/>
    </row>
    <row r="53" spans="1:4" ht="13.5" thickBot="1" x14ac:dyDescent="0.25">
      <c r="A53" s="100">
        <v>1836234</v>
      </c>
      <c r="B53" s="101">
        <v>41696</v>
      </c>
      <c r="C53" s="102" t="s">
        <v>111</v>
      </c>
      <c r="D53" s="103"/>
    </row>
    <row r="54" spans="1:4" ht="13.5" thickBot="1" x14ac:dyDescent="0.25">
      <c r="A54" s="100">
        <v>1836239</v>
      </c>
      <c r="B54" s="101">
        <v>41611</v>
      </c>
      <c r="C54" s="102" t="s">
        <v>110</v>
      </c>
      <c r="D54" s="102" t="s">
        <v>430</v>
      </c>
    </row>
    <row r="55" spans="1:4" ht="13.5" thickBot="1" x14ac:dyDescent="0.25">
      <c r="A55" s="100">
        <v>1836300</v>
      </c>
      <c r="B55" s="101">
        <v>41717</v>
      </c>
      <c r="C55" s="102" t="s">
        <v>111</v>
      </c>
      <c r="D55" s="103"/>
    </row>
    <row r="56" spans="1:4" ht="13.5" thickBot="1" x14ac:dyDescent="0.25">
      <c r="A56" s="100">
        <v>1836378</v>
      </c>
      <c r="B56" s="101">
        <v>41761</v>
      </c>
      <c r="C56" s="102" t="s">
        <v>111</v>
      </c>
      <c r="D56" s="103"/>
    </row>
    <row r="57" spans="1:4" ht="13.5" thickBot="1" x14ac:dyDescent="0.25">
      <c r="A57" s="100">
        <v>1836414</v>
      </c>
      <c r="B57" s="101">
        <v>41717</v>
      </c>
      <c r="C57" s="102" t="s">
        <v>111</v>
      </c>
      <c r="D57" s="103"/>
    </row>
    <row r="58" spans="1:4" ht="13.5" thickBot="1" x14ac:dyDescent="0.25">
      <c r="A58" s="100">
        <v>1836425</v>
      </c>
      <c r="B58" s="101">
        <v>41716</v>
      </c>
      <c r="C58" s="102" t="s">
        <v>110</v>
      </c>
      <c r="D58" s="103"/>
    </row>
    <row r="59" spans="1:4" ht="13.5" thickBot="1" x14ac:dyDescent="0.25">
      <c r="A59" s="100">
        <v>1836535</v>
      </c>
      <c r="B59" s="101">
        <v>41752</v>
      </c>
      <c r="C59" s="102" t="s">
        <v>111</v>
      </c>
      <c r="D59" s="103"/>
    </row>
  </sheetData>
  <sortState ref="A2:D59">
    <sortCondition ref="A2:A59"/>
  </sortState>
  <customSheetViews>
    <customSheetView guid="{54C114DD-C157-4E30-91DC-9B94C55E8054}">
      <selection sqref="A1:D59"/>
      <pageMargins left="0.7" right="0.7" top="0.75" bottom="0.75" header="0.3" footer="0.3"/>
    </customSheetView>
    <customSheetView guid="{9D4EC4DC-E305-42C0-86D3-802895C39393}" topLeftCell="A46">
      <selection sqref="A1:D5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wsSortMap1.xml><?xml version="1.0" encoding="utf-8"?>
<worksheetSortMap xmlns="http://schemas.microsoft.com/office/excel/2006/main">
  <rowSortMap ref="A2:XFD126" count="116">
    <row newVal="1" oldVal="76"/>
    <row newVal="2" oldVal="53"/>
    <row newVal="4" oldVal="17"/>
    <row newVal="5" oldVal="37"/>
    <row newVal="6" oldVal="23"/>
    <row newVal="7" oldVal="18"/>
    <row newVal="8" oldVal="59"/>
    <row newVal="9" oldVal="60"/>
    <row newVal="10" oldVal="21"/>
    <row newVal="11" oldVal="38"/>
    <row newVal="12" oldVal="29"/>
    <row newVal="13" oldVal="26"/>
    <row newVal="14" oldVal="2"/>
    <row newVal="16" oldVal="48"/>
    <row newVal="17" oldVal="55"/>
    <row newVal="18" oldVal="22"/>
    <row newVal="19" oldVal="10"/>
    <row newVal="20" oldVal="47"/>
    <row newVal="21" oldVal="67"/>
    <row newVal="22" oldVal="42"/>
    <row newVal="23" oldVal="68"/>
    <row newVal="24" oldVal="28"/>
    <row newVal="25" oldVal="12"/>
    <row newVal="26" oldVal="6"/>
    <row newVal="27" oldVal="51"/>
    <row newVal="28" oldVal="70"/>
    <row newVal="29" oldVal="61"/>
    <row newVal="30" oldVal="34"/>
    <row newVal="31" oldVal="39"/>
    <row newVal="32" oldVal="1"/>
    <row newVal="33" oldVal="31"/>
    <row newVal="34" oldVal="7"/>
    <row newVal="35" oldVal="11"/>
    <row newVal="36" oldVal="9"/>
    <row newVal="37" oldVal="19"/>
    <row newVal="38" oldVal="20"/>
    <row newVal="39" oldVal="25"/>
    <row newVal="41" oldVal="33"/>
    <row newVal="42" oldVal="65"/>
    <row newVal="43" oldVal="8"/>
    <row newVal="44" oldVal="75"/>
    <row newVal="45" oldVal="78"/>
    <row newVal="46" oldVal="27"/>
    <row newVal="47" oldVal="24"/>
    <row newVal="48" oldVal="66"/>
    <row newVal="49" oldVal="4"/>
    <row newVal="50" oldVal="5"/>
    <row newVal="51" oldVal="52"/>
    <row newVal="52" oldVal="13"/>
    <row newVal="53" oldVal="54"/>
    <row newVal="54" oldVal="14"/>
    <row newVal="55" oldVal="71"/>
    <row newVal="56" oldVal="49"/>
    <row newVal="57" oldVal="46"/>
    <row newVal="58" oldVal="45"/>
    <row newVal="59" oldVal="79"/>
    <row newVal="60" oldVal="80"/>
    <row newVal="61" oldVal="32"/>
    <row newVal="62" oldVal="36"/>
    <row newVal="63" oldVal="43"/>
    <row newVal="64" oldVal="57"/>
    <row newVal="65" oldVal="16"/>
    <row newVal="66" oldVal="41"/>
    <row newVal="67" oldVal="44"/>
    <row newVal="68" oldVal="69"/>
    <row newVal="69" oldVal="56"/>
    <row newVal="70" oldVal="72"/>
    <row newVal="71" oldVal="62"/>
    <row newVal="72" oldVal="73"/>
    <row newVal="73" oldVal="64"/>
    <row newVal="75" oldVal="77"/>
    <row newVal="76" oldVal="113"/>
    <row newVal="77" oldVal="116"/>
    <row newVal="78" oldVal="50"/>
    <row newVal="79" oldVal="58"/>
    <row newVal="80" oldVal="30"/>
    <row newVal="81" oldVal="118"/>
    <row newVal="82" oldVal="81"/>
    <row newVal="83" oldVal="124"/>
    <row newVal="84" oldVal="63"/>
    <row newVal="85" oldVal="82"/>
    <row newVal="86" oldVal="83"/>
    <row newVal="87" oldVal="84"/>
    <row newVal="88" oldVal="85"/>
    <row newVal="89" oldVal="86"/>
    <row newVal="90" oldVal="87"/>
    <row newVal="91" oldVal="88"/>
    <row newVal="92" oldVal="89"/>
    <row newVal="93" oldVal="90"/>
    <row newVal="94" oldVal="91"/>
    <row newVal="95" oldVal="92"/>
    <row newVal="96" oldVal="93"/>
    <row newVal="97" oldVal="94"/>
    <row newVal="98" oldVal="95"/>
    <row newVal="99" oldVal="35"/>
    <row newVal="100" oldVal="96"/>
    <row newVal="101" oldVal="97"/>
    <row newVal="102" oldVal="98"/>
    <row newVal="103" oldVal="99"/>
    <row newVal="104" oldVal="100"/>
    <row newVal="105" oldVal="101"/>
    <row newVal="106" oldVal="102"/>
    <row newVal="107" oldVal="103"/>
    <row newVal="108" oldVal="104"/>
    <row newVal="109" oldVal="105"/>
    <row newVal="110" oldVal="107"/>
    <row newVal="111" oldVal="108"/>
    <row newVal="112" oldVal="109"/>
    <row newVal="113" oldVal="110"/>
    <row newVal="114" oldVal="111"/>
    <row newVal="115" oldVal="112"/>
    <row newVal="116" oldVal="114"/>
    <row newVal="117" oldVal="115"/>
    <row newVal="118" oldVal="117"/>
    <row newVal="124" oldVal="125"/>
    <row newVal="125" oldVal="106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Data</vt:lpstr>
      <vt:lpstr>Excluded Data</vt:lpstr>
      <vt:lpstr>scratch space</vt:lpstr>
      <vt:lpstr>unknowns</vt:lpstr>
      <vt:lpstr>UCVA #1</vt:lpstr>
      <vt:lpstr>Sheet2</vt:lpstr>
      <vt:lpstr>BCVA_12</vt:lpstr>
      <vt:lpstr>BCVA_6</vt:lpstr>
      <vt:lpstr>BCVA_PREOP</vt:lpstr>
      <vt:lpstr>CYL_LAST</vt:lpstr>
      <vt:lpstr>CYL_PREOP</vt:lpstr>
      <vt:lpstr>FOLLOWUP_MONTHS</vt:lpstr>
      <vt:lpstr>FU_6_AND_12</vt:lpstr>
      <vt:lpstr>K1_12</vt:lpstr>
      <vt:lpstr>LAST_CDVA</vt:lpstr>
      <vt:lpstr>LAST_CHANGE_CDVA</vt:lpstr>
      <vt:lpstr>LAST_SE_ERROR</vt:lpstr>
      <vt:lpstr>LAST_UDVA_DIST</vt:lpstr>
      <vt:lpstr>MISSING_PENT_12</vt:lpstr>
      <vt:lpstr>MISSING_PENT_6</vt:lpstr>
      <vt:lpstr>PREOP</vt:lpstr>
      <vt:lpstr>PREOP_BCVA</vt:lpstr>
      <vt:lpstr>PREOP_CDVA_IF_LAST_KNOWN</vt:lpstr>
      <vt:lpstr>PREOP_PENTACAM_RV</vt:lpstr>
      <vt:lpstr>REF_TARGET</vt:lpstr>
      <vt:lpstr>REF_TARGET_IF_SE_KNOWN</vt:lpstr>
      <vt:lpstr>SE_12</vt:lpstr>
      <vt:lpstr>SE_12_IF_6_12</vt:lpstr>
      <vt:lpstr>SE_6</vt:lpstr>
      <vt:lpstr>SE_6_IF_6_12</vt:lpstr>
      <vt:lpstr>SE_ERROR_12</vt:lpstr>
      <vt:lpstr>SE_LAST_</vt:lpstr>
      <vt:lpstr>SE_PREOP</vt:lpstr>
      <vt:lpstr>SE_preop_IF_6_12</vt:lpstr>
      <vt:lpstr>SK</vt:lpstr>
      <vt:lpstr>SPH_12</vt:lpstr>
      <vt:lpstr>SPH_6</vt:lpstr>
      <vt:lpstr>SPH_PREOP</vt:lpstr>
      <vt:lpstr>UDVA_12</vt:lpstr>
      <vt:lpstr>UDVA_6</vt:lpstr>
    </vt:vector>
  </TitlesOfParts>
  <Company>Corneal Consultants of Indiana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jaleemiller</dc:creator>
  <cp:lastModifiedBy>Evan D. Schoenberg, M.D.</cp:lastModifiedBy>
  <dcterms:created xsi:type="dcterms:W3CDTF">2013-10-10T13:32:27Z</dcterms:created>
  <dcterms:modified xsi:type="dcterms:W3CDTF">2014-03-31T17:48:37Z</dcterms:modified>
</cp:coreProperties>
</file>