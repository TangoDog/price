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worksheets/wsSortMap1.xml" ContentType="application/vnd.ms-excel.wsSortMap+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95.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26.xml" ContentType="application/vnd.openxmlformats-officedocument.spreadsheetml.revisionLog+xml"/>
  <Override PartName="/xl/revisions/revisionLog39.xml" ContentType="application/vnd.openxmlformats-officedocument.spreadsheetml.revisionLog+xml"/>
  <Override PartName="/xl/revisions/revisionLog21.xml" ContentType="application/vnd.openxmlformats-officedocument.spreadsheetml.revisionLog+xml"/>
  <Override PartName="/xl/revisions/revisionLog34.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50.xml" ContentType="application/vnd.openxmlformats-officedocument.spreadsheetml.revisionLog+xml"/>
  <Override PartName="/xl/revisions/revisionLog55.xml" ContentType="application/vnd.openxmlformats-officedocument.spreadsheetml.revisionLog+xml"/>
  <Override PartName="/xl/revisions/revisionLog63.xml" ContentType="application/vnd.openxmlformats-officedocument.spreadsheetml.revisionLog+xml"/>
  <Override PartName="/xl/revisions/revisionLog68.xml" ContentType="application/vnd.openxmlformats-officedocument.spreadsheetml.revisionLog+xml"/>
  <Override PartName="/xl/revisions/revisionLog76.xml" ContentType="application/vnd.openxmlformats-officedocument.spreadsheetml.revisionLog+xml"/>
  <Override PartName="/xl/revisions/revisionLog84.xml" ContentType="application/vnd.openxmlformats-officedocument.spreadsheetml.revisionLog+xml"/>
  <Override PartName="/xl/revisions/revisionLog89.xml" ContentType="application/vnd.openxmlformats-officedocument.spreadsheetml.revisionLog+xml"/>
  <Override PartName="/xl/revisions/revisionLog7.xml" ContentType="application/vnd.openxmlformats-officedocument.spreadsheetml.revisionLog+xml"/>
  <Override PartName="/xl/revisions/revisionLog71.xml" ContentType="application/vnd.openxmlformats-officedocument.spreadsheetml.revisionLog+xml"/>
  <Override PartName="/xl/revisions/revisionLog92.xml" ContentType="application/vnd.openxmlformats-officedocument.spreadsheetml.revisionLog+xml"/>
  <Override PartName="/xl/revisions/revisionLog2.xml" ContentType="application/vnd.openxmlformats-officedocument.spreadsheetml.revisionLog+xml"/>
  <Override PartName="/xl/revisions/revisionLog16.xml" ContentType="application/vnd.openxmlformats-officedocument.spreadsheetml.revisionLog+xml"/>
  <Override PartName="/xl/revisions/revisionLog29.xml" ContentType="application/vnd.openxmlformats-officedocument.spreadsheetml.revisionLog+xml"/>
  <Override PartName="/xl/revisions/revisionLog11.xml" ContentType="application/vnd.openxmlformats-officedocument.spreadsheetml.revisionLog+xml"/>
  <Override PartName="/xl/revisions/revisionLog24.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53.xml" ContentType="application/vnd.openxmlformats-officedocument.spreadsheetml.revisionLog+xml"/>
  <Override PartName="/xl/revisions/revisionLog58.xml" ContentType="application/vnd.openxmlformats-officedocument.spreadsheetml.revisionLog+xml"/>
  <Override PartName="/xl/revisions/revisionLog66.xml" ContentType="application/vnd.openxmlformats-officedocument.spreadsheetml.revisionLog+xml"/>
  <Override PartName="/xl/revisions/revisionLog74.xml" ContentType="application/vnd.openxmlformats-officedocument.spreadsheetml.revisionLog+xml"/>
  <Override PartName="/xl/revisions/revisionLog79.xml" ContentType="application/vnd.openxmlformats-officedocument.spreadsheetml.revisionLog+xml"/>
  <Override PartName="/xl/revisions/revisionLog87.xml" ContentType="application/vnd.openxmlformats-officedocument.spreadsheetml.revisionLog+xml"/>
  <Override PartName="/xl/revisions/revisionLog5.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90.xml" ContentType="application/vnd.openxmlformats-officedocument.spreadsheetml.revisionLog+xml"/>
  <Override PartName="/xl/revisions/revisionLog19.xml" ContentType="application/vnd.openxmlformats-officedocument.spreadsheetml.revisionLog+xml"/>
  <Override PartName="/xl/revisions/revisionLog14.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43.xml" ContentType="application/vnd.openxmlformats-officedocument.spreadsheetml.revisionLog+xml"/>
  <Override PartName="/xl/revisions/revisionLog48.xml" ContentType="application/vnd.openxmlformats-officedocument.spreadsheetml.revisionLog+xml"/>
  <Override PartName="/xl/revisions/revisionLog56.xml" ContentType="application/vnd.openxmlformats-officedocument.spreadsheetml.revisionLog+xml"/>
  <Override PartName="/xl/revisions/revisionLog64.xml" ContentType="application/vnd.openxmlformats-officedocument.spreadsheetml.revisionLog+xml"/>
  <Override PartName="/xl/revisions/revisionLog69.xml" ContentType="application/vnd.openxmlformats-officedocument.spreadsheetml.revisionLog+xml"/>
  <Override PartName="/xl/revisions/revisionLog77.xml" ContentType="application/vnd.openxmlformats-officedocument.spreadsheetml.revisionLog+xml"/>
  <Override PartName="/xl/revisions/revisionLog8.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80.xml" ContentType="application/vnd.openxmlformats-officedocument.spreadsheetml.revisionLog+xml"/>
  <Override PartName="/xl/revisions/revisionLog85.xml" ContentType="application/vnd.openxmlformats-officedocument.spreadsheetml.revisionLog+xml"/>
  <Override PartName="/xl/revisions/revisionLog93.xml" ContentType="application/vnd.openxmlformats-officedocument.spreadsheetml.revisionLog+xml"/>
  <Override PartName="/xl/revisions/revisionLog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5.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6.xml" ContentType="application/vnd.openxmlformats-officedocument.spreadsheetml.revisionLog+xml"/>
  <Override PartName="/xl/revisions/revisionLog59.xml" ContentType="application/vnd.openxmlformats-officedocument.spreadsheetml.revisionLog+xml"/>
  <Override PartName="/xl/revisions/revisionLog67.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54.xml" ContentType="application/vnd.openxmlformats-officedocument.spreadsheetml.revisionLog+xml"/>
  <Override PartName="/xl/revisions/revisionLog62.xml" ContentType="application/vnd.openxmlformats-officedocument.spreadsheetml.revisionLog+xml"/>
  <Override PartName="/xl/revisions/revisionLog70.xml" ContentType="application/vnd.openxmlformats-officedocument.spreadsheetml.revisionLog+xml"/>
  <Override PartName="/xl/revisions/revisionLog75.xml" ContentType="application/vnd.openxmlformats-officedocument.spreadsheetml.revisionLog+xml"/>
  <Override PartName="/xl/revisions/revisionLog83.xml" ContentType="application/vnd.openxmlformats-officedocument.spreadsheetml.revisionLog+xml"/>
  <Override PartName="/xl/revisions/revisionLog88.xml" ContentType="application/vnd.openxmlformats-officedocument.spreadsheetml.revisionLog+xml"/>
  <Override PartName="/xl/revisions/revisionLog91.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36.xml" ContentType="application/vnd.openxmlformats-officedocument.spreadsheetml.revisionLog+xml"/>
  <Override PartName="/xl/revisions/revisionLog49.xml" ContentType="application/vnd.openxmlformats-officedocument.spreadsheetml.revisionLog+xml"/>
  <Override PartName="/xl/revisions/revisionLog57.xml" ContentType="application/vnd.openxmlformats-officedocument.spreadsheetml.revisionLog+xml"/>
  <Override PartName="/xl/revisions/revisionLog10.xml" ContentType="application/vnd.openxmlformats-officedocument.spreadsheetml.revisionLog+xml"/>
  <Override PartName="/xl/revisions/revisionLog31.xml" ContentType="application/vnd.openxmlformats-officedocument.spreadsheetml.revisionLog+xml"/>
  <Override PartName="/xl/revisions/revisionLog44.xml" ContentType="application/vnd.openxmlformats-officedocument.spreadsheetml.revisionLog+xml"/>
  <Override PartName="/xl/revisions/revisionLog52.xml" ContentType="application/vnd.openxmlformats-officedocument.spreadsheetml.revisionLog+xml"/>
  <Override PartName="/xl/revisions/revisionLog60.xml" ContentType="application/vnd.openxmlformats-officedocument.spreadsheetml.revisionLog+xml"/>
  <Override PartName="/xl/revisions/revisionLog65.xml" ContentType="application/vnd.openxmlformats-officedocument.spreadsheetml.revisionLog+xml"/>
  <Override PartName="/xl/revisions/revisionLog73.xml" ContentType="application/vnd.openxmlformats-officedocument.spreadsheetml.revisionLog+xml"/>
  <Override PartName="/xl/revisions/revisionLog78.xml" ContentType="application/vnd.openxmlformats-officedocument.spreadsheetml.revisionLog+xml"/>
  <Override PartName="/xl/revisions/revisionLog81.xml" ContentType="application/vnd.openxmlformats-officedocument.spreadsheetml.revisionLog+xml"/>
  <Override PartName="/xl/revisions/revisionLog86.xml" ContentType="application/vnd.openxmlformats-officedocument.spreadsheetml.revisionLog+xml"/>
  <Override PartName="/xl/revisions/revisionLog94.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7845" windowWidth="23745" windowHeight="3960" tabRatio="997"/>
  </bookViews>
  <sheets>
    <sheet name="Data" sheetId="1" r:id="rId1"/>
    <sheet name="Excluded Data" sheetId="2" r:id="rId2"/>
    <sheet name="scratch space" sheetId="3" r:id="rId3"/>
    <sheet name="unknowns" sheetId="4" r:id="rId4"/>
    <sheet name="UCVA #1" sheetId="5" r:id="rId5"/>
    <sheet name="Sheet2" sheetId="6" r:id="rId6"/>
  </sheets>
  <definedNames>
    <definedName name="BCVA_12">Data!$BI:$BI</definedName>
    <definedName name="BCVA_6">Data!$AQ:$AQ</definedName>
    <definedName name="BCVA_PREOP">Data!$X:$X</definedName>
    <definedName name="CYL_LAST">Data!$CN:$CN</definedName>
    <definedName name="CYL_PREOP">Data!$V:$V</definedName>
    <definedName name="FOLLOWUP_MONTHS">Data!$CB:$CB</definedName>
    <definedName name="FU_6_AND_12">Data!$BW:$BW</definedName>
    <definedName name="K1_12">Data!$BO:$BO</definedName>
    <definedName name="LAST_CDVA">Data!$CP:$CP</definedName>
    <definedName name="LAST_CHANGE_CDVA">Data!$CM:$CM</definedName>
    <definedName name="LAST_SE_ERROR">Data!$CI:$CI</definedName>
    <definedName name="LAST_UDVA_DIST">Data!$CR:$CR</definedName>
    <definedName name="MISSING_PENT_12">Data!$CT:$CT</definedName>
    <definedName name="MISSING_PENT_6">Data!$CS:$CS</definedName>
    <definedName name="PREOP">Data!$T:$T</definedName>
    <definedName name="PREOP_BCVA">Data!$X:$X</definedName>
    <definedName name="PREOP_CDVA_IF_LAST_KNOWN">Data!$CQ:$CQ</definedName>
    <definedName name="PREOP_PENTACAM_RV">Data!$CW:$CW</definedName>
    <definedName name="REF_TARGET">Data!$Q:$Q</definedName>
    <definedName name="REF_TARGET_IF_SE_KNOWN">Data!$CL:$CL</definedName>
    <definedName name="SE_12">Data!$BS:$BS</definedName>
    <definedName name="SE_12_IF_6_12">Data!$BZ:$BZ</definedName>
    <definedName name="SE_6">Data!$BA:$BA</definedName>
    <definedName name="SE_6_IF_6_12">Data!$BY:$BY</definedName>
    <definedName name="SE_ERROR_12">Data!$BT:$BT</definedName>
    <definedName name="SE_LAST_">Data!$CH:$CH</definedName>
    <definedName name="SE_PREOP">Data!$CG:$CG</definedName>
    <definedName name="SE_preop_IF_6_12">Data!$BX:$BX</definedName>
    <definedName name="SK">Data!$AI:$AI</definedName>
    <definedName name="SPH_12">Data!$BF:$BF</definedName>
    <definedName name="SPH_6">Data!$AN:$AN</definedName>
    <definedName name="SPH_PREOP">Data!$U:$U</definedName>
    <definedName name="UDVA_12">Data!$BE:$BE</definedName>
    <definedName name="UDVA_6">Data!$AM:$AM</definedName>
    <definedName name="Z_54C114DD_C157_4E30_91DC_9B94C55E8054_.wvu.Cols" localSheetId="0" hidden="1">Data!$E:$H,Data!$J:$P,Data!$T:$T</definedName>
    <definedName name="Z_9D4EC4DC_E305_42C0_86D3_802895C39393_.wvu.Cols" localSheetId="0" hidden="1">Data!$CJ:$CK,Data!$ER:$HT</definedName>
  </definedNames>
  <calcPr calcId="145621"/>
  <customWorkbookViews>
    <customWorkbookView name="Jalee Miller - Personal View" guid="{9D4EC4DC-E305-42C0-86D3-802895C39393}" autoUpdate="1" mergeInterval="15" personalView="1" maximized="1" windowWidth="1024" windowHeight="549" tabRatio="997" activeSheetId="1"/>
    <customWorkbookView name="Evan D. Schoenberg, M.D. - Personal View" guid="{54C114DD-C157-4E30-91DC-9B94C55E8054}" mergeInterval="0" personalView="1" maximized="1" windowWidth="595" windowHeight="786" activeSheetId="1"/>
  </customWorkbookViews>
</workbook>
</file>

<file path=xl/calcChain.xml><?xml version="1.0" encoding="utf-8"?>
<calcChain xmlns="http://schemas.openxmlformats.org/spreadsheetml/2006/main">
  <c r="CE126" i="1" l="1"/>
  <c r="CF126" i="1" s="1"/>
  <c r="CD126" i="1"/>
  <c r="CC126" i="1"/>
  <c r="CK126" i="1"/>
  <c r="CJ126" i="1"/>
  <c r="CG126" i="1"/>
  <c r="CA126" i="1"/>
  <c r="CB126" i="1" s="1"/>
  <c r="BV126" i="1"/>
  <c r="BV125" i="1"/>
  <c r="BV124" i="1"/>
  <c r="BV123" i="1"/>
  <c r="BV122" i="1"/>
  <c r="BV121" i="1"/>
  <c r="BV120" i="1"/>
  <c r="BV119" i="1"/>
  <c r="BV118" i="1"/>
  <c r="BV117" i="1"/>
  <c r="BV116" i="1"/>
  <c r="BV115" i="1"/>
  <c r="BV114" i="1"/>
  <c r="BV113" i="1"/>
  <c r="BV112" i="1"/>
  <c r="BV111" i="1"/>
  <c r="BV110" i="1"/>
  <c r="BV109" i="1"/>
  <c r="BV108" i="1"/>
  <c r="BV107" i="1"/>
  <c r="BV106" i="1"/>
  <c r="BV105" i="1"/>
  <c r="BV104" i="1"/>
  <c r="BV103" i="1"/>
  <c r="BV102" i="1"/>
  <c r="BV101" i="1"/>
  <c r="BV100" i="1"/>
  <c r="BV99" i="1"/>
  <c r="BV98" i="1"/>
  <c r="BV97" i="1"/>
  <c r="BV96" i="1"/>
  <c r="BV95" i="1"/>
  <c r="BV94" i="1"/>
  <c r="BV93" i="1"/>
  <c r="BV92" i="1"/>
  <c r="BV91" i="1"/>
  <c r="BV90" i="1"/>
  <c r="BV89" i="1"/>
  <c r="BV88" i="1"/>
  <c r="BV87" i="1"/>
  <c r="BV86" i="1"/>
  <c r="BV85" i="1"/>
  <c r="BV84" i="1"/>
  <c r="BV83" i="1"/>
  <c r="BV82" i="1"/>
  <c r="BV81" i="1"/>
  <c r="BV80" i="1"/>
  <c r="BV79" i="1"/>
  <c r="BV78" i="1"/>
  <c r="BV77" i="1"/>
  <c r="BV76" i="1"/>
  <c r="BV75" i="1"/>
  <c r="BV74" i="1"/>
  <c r="BV73" i="1"/>
  <c r="BV72" i="1"/>
  <c r="BV71" i="1"/>
  <c r="BV70" i="1"/>
  <c r="BV69" i="1"/>
  <c r="BV68" i="1"/>
  <c r="BV67" i="1"/>
  <c r="BV66" i="1"/>
  <c r="BV65" i="1"/>
  <c r="BV64" i="1"/>
  <c r="BV63" i="1"/>
  <c r="BV62" i="1"/>
  <c r="BV61" i="1"/>
  <c r="BV60" i="1"/>
  <c r="BV59" i="1"/>
  <c r="BV58" i="1"/>
  <c r="BV57" i="1"/>
  <c r="BV56" i="1"/>
  <c r="BV55" i="1"/>
  <c r="BV54" i="1"/>
  <c r="BV53" i="1"/>
  <c r="BV52" i="1"/>
  <c r="BV51" i="1"/>
  <c r="BV50" i="1"/>
  <c r="BV49" i="1"/>
  <c r="BV48" i="1"/>
  <c r="BV47" i="1"/>
  <c r="BV46" i="1"/>
  <c r="BV45" i="1"/>
  <c r="BV44" i="1"/>
  <c r="BV43" i="1"/>
  <c r="BV42" i="1"/>
  <c r="BV41" i="1"/>
  <c r="BV40" i="1"/>
  <c r="BV39" i="1"/>
  <c r="BV38" i="1"/>
  <c r="BV37" i="1"/>
  <c r="BV36" i="1"/>
  <c r="BV35" i="1"/>
  <c r="BV34" i="1"/>
  <c r="BV33" i="1"/>
  <c r="BV32" i="1"/>
  <c r="BV31" i="1"/>
  <c r="BV30" i="1"/>
  <c r="BV29" i="1"/>
  <c r="BV28" i="1"/>
  <c r="BV27" i="1"/>
  <c r="BV26" i="1"/>
  <c r="BV25" i="1"/>
  <c r="BV24" i="1"/>
  <c r="BV23" i="1"/>
  <c r="BV22" i="1"/>
  <c r="BV21" i="1"/>
  <c r="BV20" i="1"/>
  <c r="BV19" i="1"/>
  <c r="BV18" i="1"/>
  <c r="BV17" i="1"/>
  <c r="BV16" i="1"/>
  <c r="BV15" i="1"/>
  <c r="BV14" i="1"/>
  <c r="BV13" i="1"/>
  <c r="BV12" i="1"/>
  <c r="BV11" i="1"/>
  <c r="BV10" i="1"/>
  <c r="BV9" i="1"/>
  <c r="BV8" i="1"/>
  <c r="CT75" i="1" l="1"/>
  <c r="CT93" i="1"/>
  <c r="CT44" i="1"/>
  <c r="CT91" i="1"/>
  <c r="CT97" i="1"/>
  <c r="CT92" i="1"/>
  <c r="CT67" i="1"/>
  <c r="CT88" i="1"/>
  <c r="CT42" i="1"/>
  <c r="CT64" i="1"/>
  <c r="CT115" i="1"/>
  <c r="CT101" i="1"/>
  <c r="CT68" i="1"/>
  <c r="CT108" i="1"/>
  <c r="CT109" i="1"/>
  <c r="CT81" i="1"/>
  <c r="CT79" i="1"/>
  <c r="CT105" i="1"/>
  <c r="CT60" i="1"/>
  <c r="CT54" i="1"/>
  <c r="CT65" i="1"/>
  <c r="CT100" i="1"/>
  <c r="CT125" i="1"/>
  <c r="CT83" i="1"/>
  <c r="CT43" i="1"/>
  <c r="CT50" i="1"/>
  <c r="CT58" i="1"/>
  <c r="CT102" i="1"/>
  <c r="CT59" i="1"/>
  <c r="CT77" i="1"/>
  <c r="CT49" i="1"/>
  <c r="CT111" i="1"/>
  <c r="CT85" i="1"/>
  <c r="CT36" i="1"/>
  <c r="CT86" i="1"/>
  <c r="CT113" i="1"/>
  <c r="CT95" i="1"/>
  <c r="CT40" i="1"/>
  <c r="CT69" i="1"/>
  <c r="CT38" i="1"/>
  <c r="CT107" i="1"/>
  <c r="CT45" i="1"/>
  <c r="CT104" i="1"/>
  <c r="CT78" i="1"/>
  <c r="CT37" i="1"/>
  <c r="CT62" i="1"/>
  <c r="CT39" i="1"/>
  <c r="CT89" i="1"/>
  <c r="CT118" i="1"/>
  <c r="CT57" i="1"/>
  <c r="CT80" i="1"/>
  <c r="CT52" i="1"/>
  <c r="CT96" i="1"/>
  <c r="CT47" i="1"/>
  <c r="CT87" i="1"/>
  <c r="CT76" i="1"/>
  <c r="CT48" i="1"/>
  <c r="CT72" i="1"/>
  <c r="CT94" i="1"/>
  <c r="CT114" i="1"/>
  <c r="CT46" i="1"/>
  <c r="CT41" i="1"/>
  <c r="CT53" i="1"/>
  <c r="CT116" i="1"/>
  <c r="CT103" i="1"/>
  <c r="CT110" i="1"/>
  <c r="CT117" i="1"/>
  <c r="CT63" i="1"/>
  <c r="CT70" i="1"/>
  <c r="CT99" i="1"/>
  <c r="CT98" i="1"/>
  <c r="CT84" i="1"/>
  <c r="CT55" i="1"/>
  <c r="CT71" i="1"/>
  <c r="CT90" i="1"/>
  <c r="CT51" i="1"/>
  <c r="CT73" i="1"/>
  <c r="CT82" i="1"/>
  <c r="CT66" i="1"/>
  <c r="CT61" i="1"/>
  <c r="CT121" i="1"/>
  <c r="CT106" i="1"/>
  <c r="CT112" i="1"/>
  <c r="CT56" i="1"/>
  <c r="CT2" i="1"/>
  <c r="CT3" i="1"/>
  <c r="CT4" i="1"/>
  <c r="CT5" i="1"/>
  <c r="CT6" i="1"/>
  <c r="CT7" i="1"/>
  <c r="CT8" i="1"/>
  <c r="CT119" i="1"/>
  <c r="CT9" i="1"/>
  <c r="CT10" i="1"/>
  <c r="CT11" i="1"/>
  <c r="CT12" i="1"/>
  <c r="CT13" i="1"/>
  <c r="CT120" i="1"/>
  <c r="CT14" i="1"/>
  <c r="CT15" i="1"/>
  <c r="CT16" i="1"/>
  <c r="CT17" i="1"/>
  <c r="CT18" i="1"/>
  <c r="CT19" i="1"/>
  <c r="CT20" i="1"/>
  <c r="CT21" i="1"/>
  <c r="CT22" i="1"/>
  <c r="CT23" i="1"/>
  <c r="CT24" i="1"/>
  <c r="CT25" i="1"/>
  <c r="CT26" i="1"/>
  <c r="CT27" i="1"/>
  <c r="CT28" i="1"/>
  <c r="CT29" i="1"/>
  <c r="CT30" i="1"/>
  <c r="CT31" i="1"/>
  <c r="CT32" i="1"/>
  <c r="CT122" i="1"/>
  <c r="CT33" i="1"/>
  <c r="CT34" i="1"/>
  <c r="CT123" i="1"/>
  <c r="CT35" i="1"/>
  <c r="CT124" i="1"/>
  <c r="CT126" i="1"/>
  <c r="CT127" i="1"/>
  <c r="CT128" i="1"/>
  <c r="CT129" i="1"/>
  <c r="CT130" i="1"/>
  <c r="CT131" i="1"/>
  <c r="CT132" i="1"/>
  <c r="CT133" i="1"/>
  <c r="CS75" i="1"/>
  <c r="CU75" i="1" s="1"/>
  <c r="CS93" i="1"/>
  <c r="CU93" i="1" s="1"/>
  <c r="CS44" i="1"/>
  <c r="CU44" i="1" s="1"/>
  <c r="CS91" i="1"/>
  <c r="CU91" i="1" s="1"/>
  <c r="CS97" i="1"/>
  <c r="CU97" i="1" s="1"/>
  <c r="CS92" i="1"/>
  <c r="CU92" i="1" s="1"/>
  <c r="CS67" i="1"/>
  <c r="CU67" i="1" s="1"/>
  <c r="CS88" i="1"/>
  <c r="CS42" i="1"/>
  <c r="CU42" i="1" s="1"/>
  <c r="CS64" i="1"/>
  <c r="CU64" i="1" s="1"/>
  <c r="CS115" i="1"/>
  <c r="CU115" i="1" s="1"/>
  <c r="CS101" i="1"/>
  <c r="CU101" i="1" s="1"/>
  <c r="CS68" i="1"/>
  <c r="CS108" i="1"/>
  <c r="CU108" i="1" s="1"/>
  <c r="CS109" i="1"/>
  <c r="CU109" i="1" s="1"/>
  <c r="CS81" i="1"/>
  <c r="CS79" i="1"/>
  <c r="CU79" i="1" s="1"/>
  <c r="CS105" i="1"/>
  <c r="CU105" i="1" s="1"/>
  <c r="CS60" i="1"/>
  <c r="CS54" i="1"/>
  <c r="CU54" i="1" s="1"/>
  <c r="CS65" i="1"/>
  <c r="CU65" i="1" s="1"/>
  <c r="CS100" i="1"/>
  <c r="CU100" i="1" s="1"/>
  <c r="CS125" i="1"/>
  <c r="CU125" i="1" s="1"/>
  <c r="CS83" i="1"/>
  <c r="CS43" i="1"/>
  <c r="CU43" i="1" s="1"/>
  <c r="CS50" i="1"/>
  <c r="CU50" i="1" s="1"/>
  <c r="CS58" i="1"/>
  <c r="CS102" i="1"/>
  <c r="CU102" i="1" s="1"/>
  <c r="CS59" i="1"/>
  <c r="CU59" i="1" s="1"/>
  <c r="CS77" i="1"/>
  <c r="CS49" i="1"/>
  <c r="CS111" i="1"/>
  <c r="CU111" i="1" s="1"/>
  <c r="CS85" i="1"/>
  <c r="CU85" i="1" s="1"/>
  <c r="CS36" i="1"/>
  <c r="CU36" i="1" s="1"/>
  <c r="CS86" i="1"/>
  <c r="CS113" i="1"/>
  <c r="CU113" i="1" s="1"/>
  <c r="CS95" i="1"/>
  <c r="CU95" i="1" s="1"/>
  <c r="CS40" i="1"/>
  <c r="CU40" i="1" s="1"/>
  <c r="CS69" i="1"/>
  <c r="CS38" i="1"/>
  <c r="CU38" i="1" s="1"/>
  <c r="CS107" i="1"/>
  <c r="CU107" i="1" s="1"/>
  <c r="CS45" i="1"/>
  <c r="CU45" i="1" s="1"/>
  <c r="CS104" i="1"/>
  <c r="CU104" i="1" s="1"/>
  <c r="CS78" i="1"/>
  <c r="CU78" i="1" s="1"/>
  <c r="CS37" i="1"/>
  <c r="CS62" i="1"/>
  <c r="CU62" i="1" s="1"/>
  <c r="CS39" i="1"/>
  <c r="CU39" i="1" s="1"/>
  <c r="CS89" i="1"/>
  <c r="CS118" i="1"/>
  <c r="CU118" i="1" s="1"/>
  <c r="CS57" i="1"/>
  <c r="CU57" i="1" s="1"/>
  <c r="CS80" i="1"/>
  <c r="CU80" i="1" s="1"/>
  <c r="CS52" i="1"/>
  <c r="CS96" i="1"/>
  <c r="CU96" i="1" s="1"/>
  <c r="CS47" i="1"/>
  <c r="CU47" i="1" s="1"/>
  <c r="CS87" i="1"/>
  <c r="CU87" i="1" s="1"/>
  <c r="CS76" i="1"/>
  <c r="CS48" i="1"/>
  <c r="CS72" i="1"/>
  <c r="CU72" i="1" s="1"/>
  <c r="CS94" i="1"/>
  <c r="CU94" i="1" s="1"/>
  <c r="CS114" i="1"/>
  <c r="CU114" i="1" s="1"/>
  <c r="CS46" i="1"/>
  <c r="CS41" i="1"/>
  <c r="CU41" i="1" s="1"/>
  <c r="CS53" i="1"/>
  <c r="CS116" i="1"/>
  <c r="CU116" i="1" s="1"/>
  <c r="CS103" i="1"/>
  <c r="CU103" i="1" s="1"/>
  <c r="CS110" i="1"/>
  <c r="CU110" i="1" s="1"/>
  <c r="CS117" i="1"/>
  <c r="CU117" i="1" s="1"/>
  <c r="CS63" i="1"/>
  <c r="CU63" i="1" s="1"/>
  <c r="CS70" i="1"/>
  <c r="CS99" i="1"/>
  <c r="CS98" i="1"/>
  <c r="CU98" i="1" s="1"/>
  <c r="CS84" i="1"/>
  <c r="CS55" i="1"/>
  <c r="CU55" i="1" s="1"/>
  <c r="CS71" i="1"/>
  <c r="CS90" i="1"/>
  <c r="CS51" i="1"/>
  <c r="CU51" i="1" s="1"/>
  <c r="CS73" i="1"/>
  <c r="CU73" i="1" s="1"/>
  <c r="CS82" i="1"/>
  <c r="CU82" i="1" s="1"/>
  <c r="CS66" i="1"/>
  <c r="CS61" i="1"/>
  <c r="CU61" i="1" s="1"/>
  <c r="CS121" i="1"/>
  <c r="CU121" i="1" s="1"/>
  <c r="CS106" i="1"/>
  <c r="CU106" i="1" s="1"/>
  <c r="CS112" i="1"/>
  <c r="CU112" i="1" s="1"/>
  <c r="CS56" i="1"/>
  <c r="CS2" i="1"/>
  <c r="CU2" i="1" s="1"/>
  <c r="CS3" i="1"/>
  <c r="CU3" i="1" s="1"/>
  <c r="CS4" i="1"/>
  <c r="CU4" i="1" s="1"/>
  <c r="CS5" i="1"/>
  <c r="CU5" i="1" s="1"/>
  <c r="CS6" i="1"/>
  <c r="CU6" i="1" s="1"/>
  <c r="CS7" i="1"/>
  <c r="CU7" i="1" s="1"/>
  <c r="CS8" i="1"/>
  <c r="CU8" i="1" s="1"/>
  <c r="CS119" i="1"/>
  <c r="CU119" i="1" s="1"/>
  <c r="CS9" i="1"/>
  <c r="CU9" i="1" s="1"/>
  <c r="CS10" i="1"/>
  <c r="CU10" i="1" s="1"/>
  <c r="CS11" i="1"/>
  <c r="CU11" i="1" s="1"/>
  <c r="CS12" i="1"/>
  <c r="CU12" i="1" s="1"/>
  <c r="CS13" i="1"/>
  <c r="CU13" i="1" s="1"/>
  <c r="CS120" i="1"/>
  <c r="CU120" i="1" s="1"/>
  <c r="CS14" i="1"/>
  <c r="CU14" i="1" s="1"/>
  <c r="CS15" i="1"/>
  <c r="CU15" i="1" s="1"/>
  <c r="CS16" i="1"/>
  <c r="CU16" i="1" s="1"/>
  <c r="CS17" i="1"/>
  <c r="CU17" i="1" s="1"/>
  <c r="CS18" i="1"/>
  <c r="CU18" i="1" s="1"/>
  <c r="CS19" i="1"/>
  <c r="CU19" i="1" s="1"/>
  <c r="CS20" i="1"/>
  <c r="CU20" i="1" s="1"/>
  <c r="CS21" i="1"/>
  <c r="CU21" i="1" s="1"/>
  <c r="CS22" i="1"/>
  <c r="CU22" i="1" s="1"/>
  <c r="CS23" i="1"/>
  <c r="CU23" i="1" s="1"/>
  <c r="CS24" i="1"/>
  <c r="CU24" i="1" s="1"/>
  <c r="CS25" i="1"/>
  <c r="CU25" i="1" s="1"/>
  <c r="CS26" i="1"/>
  <c r="CU26" i="1" s="1"/>
  <c r="CS27" i="1"/>
  <c r="CU27" i="1" s="1"/>
  <c r="CS28" i="1"/>
  <c r="CU28" i="1" s="1"/>
  <c r="CS29" i="1"/>
  <c r="CU29" i="1" s="1"/>
  <c r="CS30" i="1"/>
  <c r="CU30" i="1" s="1"/>
  <c r="CS31" i="1"/>
  <c r="CU31" i="1" s="1"/>
  <c r="CS32" i="1"/>
  <c r="CU32" i="1" s="1"/>
  <c r="CS122" i="1"/>
  <c r="CU122" i="1" s="1"/>
  <c r="CS33" i="1"/>
  <c r="CU33" i="1" s="1"/>
  <c r="CS34" i="1"/>
  <c r="CU34" i="1" s="1"/>
  <c r="CS123" i="1"/>
  <c r="CU123" i="1" s="1"/>
  <c r="CS35" i="1"/>
  <c r="CU35" i="1" s="1"/>
  <c r="CS124" i="1"/>
  <c r="CU124" i="1" s="1"/>
  <c r="CS126" i="1"/>
  <c r="CU126" i="1" s="1"/>
  <c r="CS127" i="1"/>
  <c r="CS128" i="1"/>
  <c r="CT74" i="1"/>
  <c r="CS74" i="1"/>
  <c r="CU74" i="1" l="1"/>
  <c r="CU70" i="1"/>
  <c r="CU46" i="1"/>
  <c r="CU48" i="1"/>
  <c r="CU37" i="1"/>
  <c r="CU68" i="1"/>
  <c r="CU56" i="1"/>
  <c r="CU84" i="1"/>
  <c r="CU76" i="1"/>
  <c r="CU52" i="1"/>
  <c r="CU89" i="1"/>
  <c r="CU83" i="1"/>
  <c r="CU81" i="1"/>
  <c r="CU88" i="1"/>
  <c r="CU66" i="1"/>
  <c r="CU90" i="1"/>
  <c r="CU53" i="1"/>
  <c r="CU69" i="1"/>
  <c r="CU86" i="1"/>
  <c r="CU49" i="1"/>
  <c r="CU58" i="1"/>
  <c r="CU60" i="1"/>
  <c r="CU71" i="1"/>
  <c r="CU99" i="1"/>
  <c r="CU77" i="1"/>
  <c r="BA117" i="1"/>
  <c r="CH117" i="1" s="1"/>
  <c r="BA125" i="1"/>
  <c r="BB125" i="1" s="1"/>
  <c r="LX11" i="2"/>
  <c r="LW11" i="2"/>
  <c r="LV11" i="2"/>
  <c r="LU11" i="2"/>
  <c r="JX11" i="2"/>
  <c r="LT11" i="2" s="1"/>
  <c r="JW11" i="2"/>
  <c r="LS11" i="2" s="1"/>
  <c r="JV11" i="2"/>
  <c r="LR11" i="2" s="1"/>
  <c r="JU11" i="2"/>
  <c r="LQ11" i="2" s="1"/>
  <c r="JT11" i="2"/>
  <c r="LP11" i="2" s="1"/>
  <c r="JS11" i="2"/>
  <c r="LO11" i="2" s="1"/>
  <c r="JR11" i="2"/>
  <c r="LN11" i="2" s="1"/>
  <c r="JQ11" i="2"/>
  <c r="LM11" i="2" s="1"/>
  <c r="JP11" i="2"/>
  <c r="LL11" i="2" s="1"/>
  <c r="JO11" i="2"/>
  <c r="LK11" i="2" s="1"/>
  <c r="JN11" i="2"/>
  <c r="LJ11" i="2" s="1"/>
  <c r="JM11" i="2"/>
  <c r="LI11" i="2" s="1"/>
  <c r="JL11" i="2"/>
  <c r="LH11" i="2" s="1"/>
  <c r="JK11" i="2"/>
  <c r="LG11" i="2" s="1"/>
  <c r="JJ11" i="2"/>
  <c r="LF11" i="2" s="1"/>
  <c r="JI11" i="2"/>
  <c r="LE11" i="2" s="1"/>
  <c r="JH11" i="2"/>
  <c r="LD11" i="2" s="1"/>
  <c r="JG11" i="2"/>
  <c r="LC11" i="2" s="1"/>
  <c r="JF11" i="2"/>
  <c r="LB11" i="2" s="1"/>
  <c r="JE11" i="2"/>
  <c r="LA11" i="2" s="1"/>
  <c r="JD11" i="2"/>
  <c r="KZ11" i="2" s="1"/>
  <c r="JC11" i="2"/>
  <c r="KY11" i="2" s="1"/>
  <c r="JB11" i="2"/>
  <c r="KX11" i="2" s="1"/>
  <c r="JA11" i="2"/>
  <c r="KW11" i="2" s="1"/>
  <c r="IZ11" i="2"/>
  <c r="KV11" i="2" s="1"/>
  <c r="IY11" i="2"/>
  <c r="KU11" i="2" s="1"/>
  <c r="IX11" i="2"/>
  <c r="KT11" i="2" s="1"/>
  <c r="IW11" i="2"/>
  <c r="KS11" i="2" s="1"/>
  <c r="IV11" i="2"/>
  <c r="KR11" i="2" s="1"/>
  <c r="IU11" i="2"/>
  <c r="KQ11" i="2" s="1"/>
  <c r="IT11" i="2"/>
  <c r="KP11" i="2" s="1"/>
  <c r="IS11" i="2"/>
  <c r="KO11" i="2" s="1"/>
  <c r="IR11" i="2"/>
  <c r="KN11" i="2" s="1"/>
  <c r="IQ11" i="2"/>
  <c r="KM11" i="2" s="1"/>
  <c r="IP11" i="2"/>
  <c r="KL11" i="2" s="1"/>
  <c r="IO11" i="2"/>
  <c r="KK11" i="2" s="1"/>
  <c r="IN11" i="2"/>
  <c r="KJ11" i="2" s="1"/>
  <c r="IM11" i="2"/>
  <c r="KI11" i="2" s="1"/>
  <c r="IL11" i="2"/>
  <c r="KH11" i="2" s="1"/>
  <c r="IK11" i="2"/>
  <c r="KG11" i="2" s="1"/>
  <c r="IJ11" i="2"/>
  <c r="KF11" i="2" s="1"/>
  <c r="II11" i="2"/>
  <c r="KE11" i="2" s="1"/>
  <c r="IH11" i="2"/>
  <c r="KD11" i="2" s="1"/>
  <c r="IG11" i="2"/>
  <c r="KC11" i="2" s="1"/>
  <c r="IF11" i="2"/>
  <c r="KB11" i="2" s="1"/>
  <c r="IE11" i="2"/>
  <c r="KA11" i="2" s="1"/>
  <c r="ID11" i="2"/>
  <c r="JZ11" i="2" s="1"/>
  <c r="IC11" i="2"/>
  <c r="JY11" i="2" s="1"/>
  <c r="CM11" i="2"/>
  <c r="CL11" i="2"/>
  <c r="CK11" i="2"/>
  <c r="CI11" i="2"/>
  <c r="CJ11" i="2" s="1"/>
  <c r="CG11" i="2"/>
  <c r="CH11" i="2" s="1"/>
  <c r="CF11" i="2"/>
  <c r="CD11" i="2"/>
  <c r="CC11" i="2"/>
  <c r="BX11" i="2"/>
  <c r="BW11" i="2"/>
  <c r="BT11" i="2"/>
  <c r="BU11" i="2" s="1"/>
  <c r="BP11" i="2"/>
  <c r="BQ11" i="2" s="1"/>
  <c r="BO11" i="2"/>
  <c r="BN11" i="2"/>
  <c r="BL11" i="2"/>
  <c r="BM11" i="2" s="1"/>
  <c r="AV11" i="2"/>
  <c r="AT11" i="2"/>
  <c r="AC11" i="2"/>
  <c r="CQ128" i="1"/>
  <c r="CQ129" i="1"/>
  <c r="CQ130" i="1"/>
  <c r="CQ131" i="1"/>
  <c r="CQ132" i="1"/>
  <c r="CQ133" i="1"/>
  <c r="CQ134" i="1"/>
  <c r="CQ135" i="1"/>
  <c r="CQ136" i="1"/>
  <c r="CQ137" i="1"/>
  <c r="CG117" i="1" l="1"/>
  <c r="BB117" i="1"/>
  <c r="CH125" i="1"/>
  <c r="CI117" i="1"/>
  <c r="BV11" i="2"/>
  <c r="AU11" i="2"/>
  <c r="BY11" i="2"/>
  <c r="CG125" i="1" l="1"/>
  <c r="CI125" i="1"/>
  <c r="AJ125" i="1" l="1"/>
  <c r="AJ124" i="1"/>
  <c r="AJ35" i="1"/>
  <c r="AJ123" i="1"/>
  <c r="AJ34" i="1"/>
  <c r="AJ33" i="1"/>
  <c r="AJ122" i="1"/>
  <c r="AJ117" i="1"/>
  <c r="AJ32" i="1"/>
  <c r="AJ111" i="1"/>
  <c r="AJ31" i="1"/>
  <c r="AJ30" i="1"/>
  <c r="AJ110" i="1"/>
  <c r="AJ29" i="1"/>
  <c r="AJ28" i="1"/>
  <c r="AJ27" i="1"/>
  <c r="AJ26" i="1"/>
  <c r="AJ25" i="1"/>
  <c r="AJ24" i="1"/>
  <c r="AJ23" i="1"/>
  <c r="AJ22" i="1"/>
  <c r="AJ21" i="1"/>
  <c r="AJ20" i="1"/>
  <c r="AJ19" i="1"/>
  <c r="AJ18" i="1"/>
  <c r="AJ17" i="1"/>
  <c r="AJ16" i="1"/>
  <c r="AJ15" i="1"/>
  <c r="AJ14" i="1"/>
  <c r="AJ120" i="1"/>
  <c r="AJ13" i="1"/>
  <c r="AJ12" i="1"/>
  <c r="AJ11" i="1"/>
  <c r="AJ10" i="1"/>
  <c r="AJ9" i="1"/>
  <c r="AJ119" i="1"/>
  <c r="AJ8" i="1"/>
  <c r="AJ7" i="1"/>
  <c r="AJ6" i="1"/>
  <c r="AJ5" i="1"/>
  <c r="AJ4" i="1"/>
  <c r="AJ3" i="1"/>
  <c r="AJ2" i="1"/>
  <c r="AJ115" i="1"/>
  <c r="AJ94" i="1"/>
  <c r="AJ93" i="1"/>
  <c r="AJ80" i="1"/>
  <c r="AJ109" i="1"/>
  <c r="AJ36" i="1"/>
  <c r="AJ79" i="1"/>
  <c r="AJ108" i="1"/>
  <c r="AJ106" i="1"/>
  <c r="AJ104" i="1"/>
  <c r="AJ89" i="1"/>
  <c r="AJ62" i="1"/>
  <c r="AJ102" i="1"/>
  <c r="AJ57" i="1"/>
  <c r="AJ55" i="1"/>
  <c r="AJ121" i="1"/>
  <c r="AJ76" i="1"/>
  <c r="AJ107" i="1"/>
  <c r="AJ116" i="1"/>
  <c r="AJ105" i="1"/>
  <c r="AJ63" i="1"/>
  <c r="AJ43" i="1"/>
  <c r="AJ42" i="1"/>
  <c r="AJ113" i="1"/>
  <c r="AJ98" i="1"/>
  <c r="AJ103" i="1"/>
  <c r="AJ51" i="1"/>
  <c r="AJ87" i="1"/>
  <c r="AJ118" i="1"/>
  <c r="AJ85" i="1"/>
  <c r="AJ61" i="1"/>
  <c r="AJ112" i="1"/>
  <c r="AJ90" i="1"/>
  <c r="AJ50" i="1"/>
  <c r="AJ54" i="1"/>
  <c r="AJ91" i="1"/>
  <c r="AJ92" i="1"/>
  <c r="AJ101" i="1"/>
  <c r="AJ97" i="1"/>
  <c r="AJ56" i="1"/>
  <c r="AJ100" i="1"/>
  <c r="AJ74" i="1"/>
  <c r="AJ65" i="1"/>
  <c r="AJ45" i="1"/>
  <c r="AJ39" i="1"/>
  <c r="AJ96" i="1"/>
  <c r="AJ78" i="1"/>
  <c r="AJ64" i="1"/>
  <c r="AJ75" i="1"/>
  <c r="AJ95" i="1"/>
  <c r="AJ67" i="1"/>
  <c r="AJ114" i="1"/>
  <c r="AJ46" i="1"/>
  <c r="AJ58" i="1"/>
  <c r="AJ81" i="1"/>
  <c r="AJ47" i="1"/>
  <c r="AJ73" i="1"/>
  <c r="AJ82" i="1"/>
  <c r="AJ40" i="1"/>
  <c r="AJ52" i="1"/>
  <c r="AJ44" i="1"/>
  <c r="AJ72" i="1"/>
  <c r="AJ71" i="1"/>
  <c r="AJ41" i="1"/>
  <c r="AJ38" i="1"/>
  <c r="AJ99" i="1"/>
  <c r="AJ49" i="1"/>
  <c r="AJ88" i="1"/>
  <c r="AJ86" i="1"/>
  <c r="AJ59" i="1"/>
  <c r="AJ69" i="1"/>
  <c r="AJ53" i="1"/>
  <c r="AJ70" i="1"/>
  <c r="AJ77" i="1"/>
  <c r="AJ68" i="1"/>
  <c r="AJ60" i="1"/>
  <c r="AJ84" i="1"/>
  <c r="AJ83" i="1"/>
  <c r="AJ37" i="1"/>
  <c r="AJ48" i="1"/>
  <c r="AJ66" i="1"/>
  <c r="LU10" i="2" l="1"/>
  <c r="LT10" i="2"/>
  <c r="LS10" i="2"/>
  <c r="LR10" i="2"/>
  <c r="JU10" i="2"/>
  <c r="LQ10" i="2" s="1"/>
  <c r="JT10" i="2"/>
  <c r="LP10" i="2" s="1"/>
  <c r="JS10" i="2"/>
  <c r="LO10" i="2" s="1"/>
  <c r="JR10" i="2"/>
  <c r="LN10" i="2" s="1"/>
  <c r="JQ10" i="2"/>
  <c r="LM10" i="2" s="1"/>
  <c r="JP10" i="2"/>
  <c r="LL10" i="2" s="1"/>
  <c r="JO10" i="2"/>
  <c r="LK10" i="2" s="1"/>
  <c r="JN10" i="2"/>
  <c r="LJ10" i="2" s="1"/>
  <c r="JM10" i="2"/>
  <c r="LI10" i="2" s="1"/>
  <c r="JL10" i="2"/>
  <c r="LH10" i="2" s="1"/>
  <c r="JK10" i="2"/>
  <c r="LG10" i="2" s="1"/>
  <c r="JJ10" i="2"/>
  <c r="LF10" i="2" s="1"/>
  <c r="JI10" i="2"/>
  <c r="LE10" i="2" s="1"/>
  <c r="JH10" i="2"/>
  <c r="LD10" i="2" s="1"/>
  <c r="JG10" i="2"/>
  <c r="LC10" i="2" s="1"/>
  <c r="JF10" i="2"/>
  <c r="LB10" i="2" s="1"/>
  <c r="JE10" i="2"/>
  <c r="LA10" i="2" s="1"/>
  <c r="JD10" i="2"/>
  <c r="KZ10" i="2" s="1"/>
  <c r="JC10" i="2"/>
  <c r="KY10" i="2" s="1"/>
  <c r="JB10" i="2"/>
  <c r="KX10" i="2" s="1"/>
  <c r="JA10" i="2"/>
  <c r="KW10" i="2" s="1"/>
  <c r="IZ10" i="2"/>
  <c r="KV10" i="2" s="1"/>
  <c r="IY10" i="2"/>
  <c r="KU10" i="2" s="1"/>
  <c r="IX10" i="2"/>
  <c r="KT10" i="2" s="1"/>
  <c r="IW10" i="2"/>
  <c r="KS10" i="2" s="1"/>
  <c r="IV10" i="2"/>
  <c r="KR10" i="2" s="1"/>
  <c r="IU10" i="2"/>
  <c r="KQ10" i="2" s="1"/>
  <c r="IT10" i="2"/>
  <c r="KP10" i="2" s="1"/>
  <c r="IS10" i="2"/>
  <c r="KO10" i="2" s="1"/>
  <c r="IR10" i="2"/>
  <c r="KN10" i="2" s="1"/>
  <c r="IQ10" i="2"/>
  <c r="KM10" i="2" s="1"/>
  <c r="IP10" i="2"/>
  <c r="KL10" i="2" s="1"/>
  <c r="IO10" i="2"/>
  <c r="KK10" i="2" s="1"/>
  <c r="IN10" i="2"/>
  <c r="KJ10" i="2" s="1"/>
  <c r="IM10" i="2"/>
  <c r="KI10" i="2" s="1"/>
  <c r="IL10" i="2"/>
  <c r="KH10" i="2" s="1"/>
  <c r="IK10" i="2"/>
  <c r="KG10" i="2" s="1"/>
  <c r="IJ10" i="2"/>
  <c r="KF10" i="2" s="1"/>
  <c r="II10" i="2"/>
  <c r="KE10" i="2" s="1"/>
  <c r="IH10" i="2"/>
  <c r="KD10" i="2" s="1"/>
  <c r="IG10" i="2"/>
  <c r="KC10" i="2" s="1"/>
  <c r="IF10" i="2"/>
  <c r="KB10" i="2" s="1"/>
  <c r="IE10" i="2"/>
  <c r="KA10" i="2" s="1"/>
  <c r="ID10" i="2"/>
  <c r="JZ10" i="2" s="1"/>
  <c r="IC10" i="2"/>
  <c r="JY10" i="2" s="1"/>
  <c r="IB10" i="2"/>
  <c r="JX10" i="2" s="1"/>
  <c r="IA10" i="2"/>
  <c r="JW10" i="2" s="1"/>
  <c r="HZ10" i="2"/>
  <c r="JV10" i="2" s="1"/>
  <c r="CK10" i="2"/>
  <c r="CJ10" i="2"/>
  <c r="CI10" i="2"/>
  <c r="CH10" i="2"/>
  <c r="CF10" i="2"/>
  <c r="CG10" i="2" s="1"/>
  <c r="CE10" i="2"/>
  <c r="CC10" i="2"/>
  <c r="CB10" i="2"/>
  <c r="BW10" i="2"/>
  <c r="BV10" i="2"/>
  <c r="BS10" i="2"/>
  <c r="BT10" i="2" s="1"/>
  <c r="BO10" i="2"/>
  <c r="BP10" i="2" s="1"/>
  <c r="BN10" i="2"/>
  <c r="BM10" i="2"/>
  <c r="BK10" i="2"/>
  <c r="BL10" i="2" s="1"/>
  <c r="AU10" i="2"/>
  <c r="AS10" i="2"/>
  <c r="AT10" i="2" s="1"/>
  <c r="BX10" i="2" l="1"/>
  <c r="BU10" i="2"/>
  <c r="LU9" i="2"/>
  <c r="LT9" i="2"/>
  <c r="LS9" i="2"/>
  <c r="LR9" i="2"/>
  <c r="JU9" i="2"/>
  <c r="LQ9" i="2" s="1"/>
  <c r="JT9" i="2"/>
  <c r="LP9" i="2" s="1"/>
  <c r="JS9" i="2"/>
  <c r="LO9" i="2" s="1"/>
  <c r="JR9" i="2"/>
  <c r="LN9" i="2" s="1"/>
  <c r="JQ9" i="2"/>
  <c r="LM9" i="2" s="1"/>
  <c r="JP9" i="2"/>
  <c r="LL9" i="2" s="1"/>
  <c r="JO9" i="2"/>
  <c r="LK9" i="2" s="1"/>
  <c r="JN9" i="2"/>
  <c r="LJ9" i="2" s="1"/>
  <c r="JM9" i="2"/>
  <c r="LI9" i="2" s="1"/>
  <c r="JL9" i="2"/>
  <c r="LH9" i="2" s="1"/>
  <c r="JK9" i="2"/>
  <c r="LG9" i="2" s="1"/>
  <c r="JJ9" i="2"/>
  <c r="LF9" i="2" s="1"/>
  <c r="JI9" i="2"/>
  <c r="LE9" i="2" s="1"/>
  <c r="JH9" i="2"/>
  <c r="LD9" i="2" s="1"/>
  <c r="JG9" i="2"/>
  <c r="LC9" i="2" s="1"/>
  <c r="JF9" i="2"/>
  <c r="LB9" i="2" s="1"/>
  <c r="JE9" i="2"/>
  <c r="LA9" i="2" s="1"/>
  <c r="JD9" i="2"/>
  <c r="KZ9" i="2" s="1"/>
  <c r="JC9" i="2"/>
  <c r="KY9" i="2" s="1"/>
  <c r="JB9" i="2"/>
  <c r="KX9" i="2" s="1"/>
  <c r="JA9" i="2"/>
  <c r="KW9" i="2" s="1"/>
  <c r="IZ9" i="2"/>
  <c r="KV9" i="2" s="1"/>
  <c r="IY9" i="2"/>
  <c r="KU9" i="2" s="1"/>
  <c r="IX9" i="2"/>
  <c r="KT9" i="2" s="1"/>
  <c r="IW9" i="2"/>
  <c r="KS9" i="2" s="1"/>
  <c r="IV9" i="2"/>
  <c r="KR9" i="2" s="1"/>
  <c r="IU9" i="2"/>
  <c r="KQ9" i="2" s="1"/>
  <c r="IT9" i="2"/>
  <c r="KP9" i="2" s="1"/>
  <c r="IS9" i="2"/>
  <c r="KO9" i="2" s="1"/>
  <c r="IR9" i="2"/>
  <c r="KN9" i="2" s="1"/>
  <c r="IQ9" i="2"/>
  <c r="KM9" i="2" s="1"/>
  <c r="IP9" i="2"/>
  <c r="KL9" i="2" s="1"/>
  <c r="IO9" i="2"/>
  <c r="KK9" i="2" s="1"/>
  <c r="IN9" i="2"/>
  <c r="KJ9" i="2" s="1"/>
  <c r="IM9" i="2"/>
  <c r="KI9" i="2" s="1"/>
  <c r="IL9" i="2"/>
  <c r="KH9" i="2" s="1"/>
  <c r="IK9" i="2"/>
  <c r="KG9" i="2" s="1"/>
  <c r="IJ9" i="2"/>
  <c r="KF9" i="2" s="1"/>
  <c r="II9" i="2"/>
  <c r="KE9" i="2" s="1"/>
  <c r="IH9" i="2"/>
  <c r="KD9" i="2" s="1"/>
  <c r="IG9" i="2"/>
  <c r="KC9" i="2" s="1"/>
  <c r="IF9" i="2"/>
  <c r="KB9" i="2" s="1"/>
  <c r="IE9" i="2"/>
  <c r="KA9" i="2" s="1"/>
  <c r="ID9" i="2"/>
  <c r="JZ9" i="2" s="1"/>
  <c r="IC9" i="2"/>
  <c r="JY9" i="2" s="1"/>
  <c r="IB9" i="2"/>
  <c r="JX9" i="2" s="1"/>
  <c r="IA9" i="2"/>
  <c r="JW9" i="2" s="1"/>
  <c r="HZ9" i="2"/>
  <c r="JV9" i="2" s="1"/>
  <c r="CK9" i="2"/>
  <c r="CJ9" i="2"/>
  <c r="CI9" i="2"/>
  <c r="CH9" i="2"/>
  <c r="CF9" i="2"/>
  <c r="CG9" i="2" s="1"/>
  <c r="CE9" i="2"/>
  <c r="CC9" i="2"/>
  <c r="CB9" i="2"/>
  <c r="BW9" i="2"/>
  <c r="BX9" i="2" s="1"/>
  <c r="BV9" i="2"/>
  <c r="BS9" i="2"/>
  <c r="BT9" i="2" s="1"/>
  <c r="BO9" i="2"/>
  <c r="BN9" i="2"/>
  <c r="BM9" i="2"/>
  <c r="BK9" i="2"/>
  <c r="AU9" i="2"/>
  <c r="AS9" i="2"/>
  <c r="AT9" i="2" s="1"/>
  <c r="BU9" i="2" l="1"/>
  <c r="BL9" i="2"/>
  <c r="CP48" i="1"/>
  <c r="CQ48" i="1" s="1"/>
  <c r="CP37" i="1"/>
  <c r="CQ37" i="1" s="1"/>
  <c r="CP83" i="1"/>
  <c r="CQ83" i="1" s="1"/>
  <c r="CP84" i="1"/>
  <c r="CQ84" i="1" s="1"/>
  <c r="CP60" i="1"/>
  <c r="CQ60" i="1" s="1"/>
  <c r="CP68" i="1"/>
  <c r="CQ68" i="1" s="1"/>
  <c r="CP77" i="1"/>
  <c r="CQ77" i="1" s="1"/>
  <c r="CP70" i="1"/>
  <c r="CQ70" i="1" s="1"/>
  <c r="CP53" i="1"/>
  <c r="CQ53" i="1" s="1"/>
  <c r="CP69" i="1"/>
  <c r="CQ69" i="1" s="1"/>
  <c r="CP59" i="1"/>
  <c r="CQ59" i="1" s="1"/>
  <c r="CP86" i="1"/>
  <c r="CQ86" i="1" s="1"/>
  <c r="CP88" i="1"/>
  <c r="CQ88" i="1" s="1"/>
  <c r="CP49" i="1"/>
  <c r="CQ49" i="1" s="1"/>
  <c r="CP99" i="1"/>
  <c r="CQ99" i="1" s="1"/>
  <c r="CP38" i="1"/>
  <c r="CQ38" i="1" s="1"/>
  <c r="CP41" i="1"/>
  <c r="CQ41" i="1" s="1"/>
  <c r="CP71" i="1"/>
  <c r="CQ71" i="1" s="1"/>
  <c r="CP72" i="1"/>
  <c r="CQ72" i="1" s="1"/>
  <c r="CP44" i="1"/>
  <c r="CQ44" i="1" s="1"/>
  <c r="CP52" i="1"/>
  <c r="CQ52" i="1" s="1"/>
  <c r="CP40" i="1"/>
  <c r="CQ40" i="1" s="1"/>
  <c r="CP82" i="1"/>
  <c r="CQ82" i="1" s="1"/>
  <c r="CP73" i="1"/>
  <c r="CQ73" i="1" s="1"/>
  <c r="CP47" i="1"/>
  <c r="CQ47" i="1" s="1"/>
  <c r="CP81" i="1"/>
  <c r="CQ81" i="1" s="1"/>
  <c r="CP58" i="1"/>
  <c r="CQ58" i="1" s="1"/>
  <c r="CP46" i="1"/>
  <c r="CQ46" i="1" s="1"/>
  <c r="CP114" i="1"/>
  <c r="CQ114" i="1" s="1"/>
  <c r="CP67" i="1"/>
  <c r="CQ67" i="1" s="1"/>
  <c r="CP95" i="1"/>
  <c r="CQ95" i="1" s="1"/>
  <c r="CP75" i="1"/>
  <c r="CQ75" i="1" s="1"/>
  <c r="CP64" i="1"/>
  <c r="CQ64" i="1" s="1"/>
  <c r="CP78" i="1"/>
  <c r="CQ78" i="1" s="1"/>
  <c r="CP96" i="1"/>
  <c r="CQ96" i="1" s="1"/>
  <c r="CP39" i="1"/>
  <c r="CQ39" i="1" s="1"/>
  <c r="CP45" i="1"/>
  <c r="CQ45" i="1" s="1"/>
  <c r="CP65" i="1"/>
  <c r="CQ65" i="1" s="1"/>
  <c r="CP74" i="1"/>
  <c r="CQ74" i="1" s="1"/>
  <c r="CP100" i="1"/>
  <c r="CQ100" i="1" s="1"/>
  <c r="CP56" i="1"/>
  <c r="CP97" i="1"/>
  <c r="CQ97" i="1" s="1"/>
  <c r="CP101" i="1"/>
  <c r="CQ101" i="1" s="1"/>
  <c r="CP92" i="1"/>
  <c r="CQ92" i="1" s="1"/>
  <c r="CP91" i="1"/>
  <c r="CQ91" i="1" s="1"/>
  <c r="CP54" i="1"/>
  <c r="CQ54" i="1" s="1"/>
  <c r="CP50" i="1"/>
  <c r="CQ50" i="1" s="1"/>
  <c r="CP90" i="1"/>
  <c r="CQ90" i="1" s="1"/>
  <c r="CP112" i="1"/>
  <c r="CQ112" i="1" s="1"/>
  <c r="CP61" i="1"/>
  <c r="CQ61" i="1" s="1"/>
  <c r="CP85" i="1"/>
  <c r="CQ85" i="1" s="1"/>
  <c r="CP118" i="1"/>
  <c r="CQ118" i="1" s="1"/>
  <c r="CP87" i="1"/>
  <c r="CQ87" i="1" s="1"/>
  <c r="CP51" i="1"/>
  <c r="CQ51" i="1" s="1"/>
  <c r="CP103" i="1"/>
  <c r="CQ103" i="1" s="1"/>
  <c r="CP98" i="1"/>
  <c r="CQ98" i="1" s="1"/>
  <c r="CP113" i="1"/>
  <c r="CQ113" i="1" s="1"/>
  <c r="CP42" i="1"/>
  <c r="CQ42" i="1" s="1"/>
  <c r="CP43" i="1"/>
  <c r="CQ43" i="1" s="1"/>
  <c r="CP63" i="1"/>
  <c r="CQ63" i="1" s="1"/>
  <c r="CP105" i="1"/>
  <c r="CQ105" i="1" s="1"/>
  <c r="CP116" i="1"/>
  <c r="CQ116" i="1" s="1"/>
  <c r="CP107" i="1"/>
  <c r="CQ107" i="1" s="1"/>
  <c r="CP76" i="1"/>
  <c r="CQ76" i="1" s="1"/>
  <c r="CP121" i="1"/>
  <c r="CQ121" i="1" s="1"/>
  <c r="CP55" i="1"/>
  <c r="CQ55" i="1" s="1"/>
  <c r="CP57" i="1"/>
  <c r="CQ57" i="1" s="1"/>
  <c r="CP102" i="1"/>
  <c r="CQ102" i="1" s="1"/>
  <c r="CP62" i="1"/>
  <c r="CQ62" i="1" s="1"/>
  <c r="CP89" i="1"/>
  <c r="CQ89" i="1" s="1"/>
  <c r="CP104" i="1"/>
  <c r="CQ104" i="1" s="1"/>
  <c r="CP106" i="1"/>
  <c r="CQ106" i="1" s="1"/>
  <c r="CP108" i="1"/>
  <c r="CQ108" i="1" s="1"/>
  <c r="CP79" i="1"/>
  <c r="CQ79" i="1" s="1"/>
  <c r="CP36" i="1"/>
  <c r="CQ36" i="1" s="1"/>
  <c r="CP109" i="1"/>
  <c r="CQ109" i="1" s="1"/>
  <c r="CP80" i="1"/>
  <c r="CQ80" i="1" s="1"/>
  <c r="CP93" i="1"/>
  <c r="CP94" i="1"/>
  <c r="CQ94" i="1" s="1"/>
  <c r="CP115" i="1"/>
  <c r="CQ115" i="1" s="1"/>
  <c r="CP2" i="1"/>
  <c r="CP3" i="1"/>
  <c r="CQ3" i="1" s="1"/>
  <c r="CP4" i="1"/>
  <c r="CQ4" i="1" s="1"/>
  <c r="CP5" i="1"/>
  <c r="CQ5" i="1" s="1"/>
  <c r="CP6" i="1"/>
  <c r="CQ6" i="1" s="1"/>
  <c r="CP7" i="1"/>
  <c r="CQ7" i="1" s="1"/>
  <c r="CP8" i="1"/>
  <c r="CQ8" i="1" s="1"/>
  <c r="CP119" i="1"/>
  <c r="CQ119" i="1" s="1"/>
  <c r="CP9" i="1"/>
  <c r="CQ9" i="1" s="1"/>
  <c r="CP10" i="1"/>
  <c r="CQ10" i="1" s="1"/>
  <c r="CP11" i="1"/>
  <c r="CQ11" i="1" s="1"/>
  <c r="CP12" i="1"/>
  <c r="CQ12" i="1" s="1"/>
  <c r="CP13" i="1"/>
  <c r="CQ13" i="1" s="1"/>
  <c r="CP120" i="1"/>
  <c r="CQ120" i="1" s="1"/>
  <c r="CP14" i="1"/>
  <c r="CQ14" i="1" s="1"/>
  <c r="CP15" i="1"/>
  <c r="CQ15" i="1" s="1"/>
  <c r="CP16" i="1"/>
  <c r="CQ16" i="1" s="1"/>
  <c r="CP17" i="1"/>
  <c r="CQ17" i="1" s="1"/>
  <c r="CP18" i="1"/>
  <c r="CQ18" i="1" s="1"/>
  <c r="CP19" i="1"/>
  <c r="CQ19" i="1" s="1"/>
  <c r="CP20" i="1"/>
  <c r="CQ20" i="1" s="1"/>
  <c r="CP21" i="1"/>
  <c r="CQ21" i="1" s="1"/>
  <c r="CP22" i="1"/>
  <c r="CQ22" i="1" s="1"/>
  <c r="CP23" i="1"/>
  <c r="CQ23" i="1" s="1"/>
  <c r="CP24" i="1"/>
  <c r="CQ24" i="1" s="1"/>
  <c r="CP25" i="1"/>
  <c r="CQ25" i="1" s="1"/>
  <c r="CP26" i="1"/>
  <c r="CQ26" i="1" s="1"/>
  <c r="CP27" i="1"/>
  <c r="CQ27" i="1" s="1"/>
  <c r="CP28" i="1"/>
  <c r="CQ28" i="1" s="1"/>
  <c r="CP29" i="1"/>
  <c r="CQ29" i="1" s="1"/>
  <c r="CP110" i="1"/>
  <c r="CQ110" i="1" s="1"/>
  <c r="CP30" i="1"/>
  <c r="CQ30" i="1" s="1"/>
  <c r="CP31" i="1"/>
  <c r="CQ31" i="1" s="1"/>
  <c r="CP111" i="1"/>
  <c r="CQ111" i="1" s="1"/>
  <c r="CP32" i="1"/>
  <c r="CQ32" i="1" s="1"/>
  <c r="CP117" i="1"/>
  <c r="CQ117" i="1" s="1"/>
  <c r="CP122" i="1"/>
  <c r="CQ122" i="1" s="1"/>
  <c r="CP33" i="1"/>
  <c r="CQ33" i="1" s="1"/>
  <c r="CP34" i="1"/>
  <c r="CQ34" i="1" s="1"/>
  <c r="CP123" i="1"/>
  <c r="CQ123" i="1" s="1"/>
  <c r="CP35" i="1"/>
  <c r="CQ35" i="1" s="1"/>
  <c r="CP124" i="1"/>
  <c r="CQ124" i="1" s="1"/>
  <c r="CP125" i="1"/>
  <c r="CQ125" i="1" s="1"/>
  <c r="CP126" i="1"/>
  <c r="CQ126" i="1" s="1"/>
  <c r="CP66" i="1"/>
  <c r="LS8" i="2"/>
  <c r="LR8" i="2"/>
  <c r="LQ8" i="2"/>
  <c r="LP8" i="2"/>
  <c r="JS8" i="2"/>
  <c r="LO8" i="2" s="1"/>
  <c r="JR8" i="2"/>
  <c r="LN8" i="2" s="1"/>
  <c r="JQ8" i="2"/>
  <c r="LM8" i="2" s="1"/>
  <c r="JP8" i="2"/>
  <c r="LL8" i="2" s="1"/>
  <c r="JO8" i="2"/>
  <c r="LK8" i="2" s="1"/>
  <c r="JN8" i="2"/>
  <c r="LJ8" i="2" s="1"/>
  <c r="JM8" i="2"/>
  <c r="LI8" i="2" s="1"/>
  <c r="JL8" i="2"/>
  <c r="LH8" i="2" s="1"/>
  <c r="JK8" i="2"/>
  <c r="LG8" i="2" s="1"/>
  <c r="JJ8" i="2"/>
  <c r="LF8" i="2" s="1"/>
  <c r="JI8" i="2"/>
  <c r="LE8" i="2" s="1"/>
  <c r="JH8" i="2"/>
  <c r="LD8" i="2" s="1"/>
  <c r="JG8" i="2"/>
  <c r="LC8" i="2" s="1"/>
  <c r="JF8" i="2"/>
  <c r="LB8" i="2" s="1"/>
  <c r="JE8" i="2"/>
  <c r="LA8" i="2" s="1"/>
  <c r="JD8" i="2"/>
  <c r="KZ8" i="2" s="1"/>
  <c r="JC8" i="2"/>
  <c r="KY8" i="2" s="1"/>
  <c r="JB8" i="2"/>
  <c r="KX8" i="2" s="1"/>
  <c r="JA8" i="2"/>
  <c r="KW8" i="2" s="1"/>
  <c r="IZ8" i="2"/>
  <c r="KV8" i="2" s="1"/>
  <c r="IY8" i="2"/>
  <c r="KU8" i="2" s="1"/>
  <c r="IX8" i="2"/>
  <c r="KT8" i="2" s="1"/>
  <c r="IW8" i="2"/>
  <c r="KS8" i="2" s="1"/>
  <c r="IV8" i="2"/>
  <c r="KR8" i="2" s="1"/>
  <c r="IU8" i="2"/>
  <c r="KQ8" i="2" s="1"/>
  <c r="IT8" i="2"/>
  <c r="KP8" i="2" s="1"/>
  <c r="IS8" i="2"/>
  <c r="KO8" i="2" s="1"/>
  <c r="IR8" i="2"/>
  <c r="KN8" i="2" s="1"/>
  <c r="IQ8" i="2"/>
  <c r="KM8" i="2" s="1"/>
  <c r="IP8" i="2"/>
  <c r="KL8" i="2" s="1"/>
  <c r="IO8" i="2"/>
  <c r="KK8" i="2" s="1"/>
  <c r="IN8" i="2"/>
  <c r="KJ8" i="2" s="1"/>
  <c r="IM8" i="2"/>
  <c r="KI8" i="2" s="1"/>
  <c r="IL8" i="2"/>
  <c r="KH8" i="2" s="1"/>
  <c r="IK8" i="2"/>
  <c r="KG8" i="2" s="1"/>
  <c r="IJ8" i="2"/>
  <c r="KF8" i="2" s="1"/>
  <c r="II8" i="2"/>
  <c r="KE8" i="2" s="1"/>
  <c r="IH8" i="2"/>
  <c r="KD8" i="2" s="1"/>
  <c r="IG8" i="2"/>
  <c r="KC8" i="2" s="1"/>
  <c r="IF8" i="2"/>
  <c r="KB8" i="2" s="1"/>
  <c r="IE8" i="2"/>
  <c r="KA8" i="2" s="1"/>
  <c r="ID8" i="2"/>
  <c r="JZ8" i="2" s="1"/>
  <c r="IC8" i="2"/>
  <c r="JY8" i="2" s="1"/>
  <c r="IB8" i="2"/>
  <c r="JX8" i="2" s="1"/>
  <c r="IA8" i="2"/>
  <c r="JW8" i="2" s="1"/>
  <c r="HZ8" i="2"/>
  <c r="JV8" i="2" s="1"/>
  <c r="HY8" i="2"/>
  <c r="JU8" i="2" s="1"/>
  <c r="HX8" i="2"/>
  <c r="JT8" i="2" s="1"/>
  <c r="CH8" i="2"/>
  <c r="CG8" i="2"/>
  <c r="CF8" i="2"/>
  <c r="CD8" i="2"/>
  <c r="CE8" i="2" s="1"/>
  <c r="CC8" i="2"/>
  <c r="CB8" i="2"/>
  <c r="CA8" i="2"/>
  <c r="BV8" i="2"/>
  <c r="BU8" i="2"/>
  <c r="BR8" i="2"/>
  <c r="BS8" i="2" s="1"/>
  <c r="BN8" i="2"/>
  <c r="BM8" i="2"/>
  <c r="BL8" i="2"/>
  <c r="BJ8" i="2"/>
  <c r="BK8" i="2" s="1"/>
  <c r="AT8" i="2"/>
  <c r="AR8" i="2"/>
  <c r="BW66" i="1"/>
  <c r="BW67" i="1"/>
  <c r="BX67" i="1" s="1"/>
  <c r="BW48" i="1"/>
  <c r="BW37" i="1"/>
  <c r="BW83" i="1"/>
  <c r="BW84" i="1"/>
  <c r="BW95" i="1"/>
  <c r="BW60" i="1"/>
  <c r="BW68" i="1"/>
  <c r="BW75" i="1"/>
  <c r="BW77" i="1"/>
  <c r="BW64" i="1"/>
  <c r="BW70" i="1"/>
  <c r="BW78" i="1"/>
  <c r="BW96" i="1"/>
  <c r="BW53" i="1"/>
  <c r="BW69" i="1"/>
  <c r="BW39" i="1"/>
  <c r="BW45" i="1"/>
  <c r="BX45" i="1" s="1"/>
  <c r="BW65" i="1"/>
  <c r="BW59" i="1"/>
  <c r="BW74" i="1"/>
  <c r="BW100" i="1"/>
  <c r="BX100" i="1" s="1"/>
  <c r="BW86" i="1"/>
  <c r="BW88" i="1"/>
  <c r="BW49" i="1"/>
  <c r="BW56" i="1"/>
  <c r="BW97" i="1"/>
  <c r="BX97" i="1" s="1"/>
  <c r="BW101" i="1"/>
  <c r="BW92" i="1"/>
  <c r="BW99" i="1"/>
  <c r="BW91" i="1"/>
  <c r="BX91" i="1" s="1"/>
  <c r="BW54" i="1"/>
  <c r="BX54" i="1" s="1"/>
  <c r="BW38" i="1"/>
  <c r="BW41" i="1"/>
  <c r="BW50" i="1"/>
  <c r="BW71" i="1"/>
  <c r="BW90" i="1"/>
  <c r="BW112" i="1"/>
  <c r="BX112" i="1" s="1"/>
  <c r="BW61" i="1"/>
  <c r="BX61" i="1" s="1"/>
  <c r="BW85" i="1"/>
  <c r="BW118" i="1"/>
  <c r="BW87" i="1"/>
  <c r="BX87" i="1" s="1"/>
  <c r="BW51" i="1"/>
  <c r="BX51" i="1" s="1"/>
  <c r="BW103" i="1"/>
  <c r="BW72" i="1"/>
  <c r="BW98" i="1"/>
  <c r="BX98" i="1" s="1"/>
  <c r="BW113" i="1"/>
  <c r="BX113" i="1" s="1"/>
  <c r="BW44" i="1"/>
  <c r="BW42" i="1"/>
  <c r="BW43" i="1"/>
  <c r="BW52" i="1"/>
  <c r="BW63" i="1"/>
  <c r="BW105" i="1"/>
  <c r="BW116" i="1"/>
  <c r="BX116" i="1" s="1"/>
  <c r="BW40" i="1"/>
  <c r="BW107" i="1"/>
  <c r="BW76" i="1"/>
  <c r="BW82" i="1"/>
  <c r="BW121" i="1"/>
  <c r="BX121" i="1" s="1"/>
  <c r="BW55" i="1"/>
  <c r="BX55" i="1" s="1"/>
  <c r="BW57" i="1"/>
  <c r="BW102" i="1"/>
  <c r="BX102" i="1" s="1"/>
  <c r="BW73" i="1"/>
  <c r="BW62" i="1"/>
  <c r="BW47" i="1"/>
  <c r="BW89" i="1"/>
  <c r="BW104" i="1"/>
  <c r="BW106" i="1"/>
  <c r="BW108" i="1"/>
  <c r="BW79" i="1"/>
  <c r="BX79" i="1" s="1"/>
  <c r="BW81" i="1"/>
  <c r="BW36" i="1"/>
  <c r="BW109" i="1"/>
  <c r="BW80" i="1"/>
  <c r="BX80" i="1" s="1"/>
  <c r="BW93" i="1"/>
  <c r="BX93" i="1" s="1"/>
  <c r="BW58" i="1"/>
  <c r="BW46" i="1"/>
  <c r="BW94" i="1"/>
  <c r="BW115" i="1"/>
  <c r="BW2" i="1"/>
  <c r="BW3" i="1"/>
  <c r="BW4" i="1"/>
  <c r="BW5" i="1"/>
  <c r="BZ5" i="1" s="1"/>
  <c r="BW6" i="1"/>
  <c r="BW7" i="1"/>
  <c r="BZ7" i="1" s="1"/>
  <c r="BW8" i="1"/>
  <c r="BW119" i="1"/>
  <c r="BZ119" i="1" s="1"/>
  <c r="BW9" i="1"/>
  <c r="BW10" i="1"/>
  <c r="BZ10" i="1" s="1"/>
  <c r="BW11" i="1"/>
  <c r="BW12" i="1"/>
  <c r="BZ12" i="1" s="1"/>
  <c r="BW13" i="1"/>
  <c r="BW120" i="1"/>
  <c r="BZ120" i="1" s="1"/>
  <c r="BW14" i="1"/>
  <c r="BW15" i="1"/>
  <c r="BZ15" i="1" s="1"/>
  <c r="BW16" i="1"/>
  <c r="BW17" i="1"/>
  <c r="BZ17" i="1" s="1"/>
  <c r="BW18" i="1"/>
  <c r="BW19" i="1"/>
  <c r="BZ19" i="1" s="1"/>
  <c r="BW20" i="1"/>
  <c r="BW21" i="1"/>
  <c r="BZ21" i="1" s="1"/>
  <c r="BW22" i="1"/>
  <c r="BW23" i="1"/>
  <c r="BW24" i="1"/>
  <c r="BW25" i="1"/>
  <c r="BZ25" i="1" s="1"/>
  <c r="BW26" i="1"/>
  <c r="BW27" i="1"/>
  <c r="BZ27" i="1" s="1"/>
  <c r="BW28" i="1"/>
  <c r="BW29" i="1"/>
  <c r="BZ29" i="1" s="1"/>
  <c r="BW110" i="1"/>
  <c r="BY110" i="1" s="1"/>
  <c r="BW30" i="1"/>
  <c r="BZ30" i="1" s="1"/>
  <c r="BW31" i="1"/>
  <c r="BY31" i="1" s="1"/>
  <c r="BW111" i="1"/>
  <c r="BZ111" i="1" s="1"/>
  <c r="BW32" i="1"/>
  <c r="BY32" i="1" s="1"/>
  <c r="BW117" i="1"/>
  <c r="BZ117" i="1" s="1"/>
  <c r="BW122" i="1"/>
  <c r="BY122" i="1" s="1"/>
  <c r="BW33" i="1"/>
  <c r="BZ33" i="1" s="1"/>
  <c r="BW34" i="1"/>
  <c r="BY34" i="1" s="1"/>
  <c r="BW123" i="1"/>
  <c r="BZ123" i="1" s="1"/>
  <c r="BW35" i="1"/>
  <c r="BY35" i="1" s="1"/>
  <c r="BW124" i="1"/>
  <c r="BZ124" i="1" s="1"/>
  <c r="BW125" i="1"/>
  <c r="BY125" i="1" s="1"/>
  <c r="BW126" i="1"/>
  <c r="BZ126" i="1" s="1"/>
  <c r="BW114" i="1"/>
  <c r="BX114" i="1" s="1"/>
  <c r="CM37" i="1"/>
  <c r="CM67" i="1"/>
  <c r="CM66" i="1"/>
  <c r="CM114" i="1"/>
  <c r="CR118" i="1"/>
  <c r="CR2" i="1"/>
  <c r="CR37" i="1"/>
  <c r="CR38" i="1"/>
  <c r="CR39" i="1"/>
  <c r="CR41" i="1"/>
  <c r="CR40" i="1"/>
  <c r="CR42" i="1"/>
  <c r="CR43" i="1"/>
  <c r="CR44" i="1"/>
  <c r="CR45" i="1"/>
  <c r="CR46" i="1"/>
  <c r="CR3" i="1"/>
  <c r="CR47" i="1"/>
  <c r="CR48" i="1"/>
  <c r="CR49" i="1"/>
  <c r="CR50" i="1"/>
  <c r="CR51" i="1"/>
  <c r="CR52" i="1"/>
  <c r="CR53" i="1"/>
  <c r="CR54" i="1"/>
  <c r="CR4" i="1"/>
  <c r="CR55" i="1"/>
  <c r="CR5" i="1"/>
  <c r="CR56" i="1"/>
  <c r="CR57" i="1"/>
  <c r="CR58" i="1"/>
  <c r="CR59" i="1"/>
  <c r="CR60" i="1"/>
  <c r="CR61" i="1"/>
  <c r="CR62" i="1"/>
  <c r="CR63" i="1"/>
  <c r="CR65" i="1"/>
  <c r="CR64" i="1"/>
  <c r="CR66" i="1"/>
  <c r="CR6" i="1"/>
  <c r="CR7" i="1"/>
  <c r="CR8" i="1"/>
  <c r="CR68" i="1"/>
  <c r="CR67" i="1"/>
  <c r="CR69" i="1"/>
  <c r="CR70" i="1"/>
  <c r="CR119" i="1"/>
  <c r="CR71" i="1"/>
  <c r="CR73" i="1"/>
  <c r="CR72" i="1"/>
  <c r="CR75" i="1"/>
  <c r="CR74" i="1"/>
  <c r="CR76" i="1"/>
  <c r="CR77" i="1"/>
  <c r="CR9" i="1"/>
  <c r="CR10" i="1"/>
  <c r="CR11" i="1"/>
  <c r="CR12" i="1"/>
  <c r="CR13" i="1"/>
  <c r="CR120" i="1"/>
  <c r="CR14" i="1"/>
  <c r="CR78" i="1"/>
  <c r="CR79" i="1"/>
  <c r="CR80" i="1"/>
  <c r="CR15" i="1"/>
  <c r="CR81" i="1"/>
  <c r="CR121" i="1"/>
  <c r="CR82" i="1"/>
  <c r="CR16" i="1"/>
  <c r="CR83" i="1"/>
  <c r="CR85" i="1"/>
  <c r="CR84" i="1"/>
  <c r="CR17" i="1"/>
  <c r="CR18" i="1"/>
  <c r="CR86" i="1"/>
  <c r="CR19" i="1"/>
  <c r="CR20" i="1"/>
  <c r="CR21" i="1"/>
  <c r="CR22" i="1"/>
  <c r="CR87" i="1"/>
  <c r="CR88" i="1"/>
  <c r="CR89" i="1"/>
  <c r="CR90" i="1"/>
  <c r="CR91" i="1"/>
  <c r="CR92" i="1"/>
  <c r="CR23" i="1"/>
  <c r="CR93" i="1"/>
  <c r="CR94" i="1"/>
  <c r="CR96" i="1"/>
  <c r="CR95" i="1"/>
  <c r="CR97" i="1"/>
  <c r="CR98" i="1"/>
  <c r="CR99" i="1"/>
  <c r="CR24" i="1"/>
  <c r="CR25" i="1"/>
  <c r="CR26" i="1"/>
  <c r="CR100" i="1"/>
  <c r="CR27" i="1"/>
  <c r="CR101" i="1"/>
  <c r="CR102" i="1"/>
  <c r="CR103" i="1"/>
  <c r="CR28" i="1"/>
  <c r="CR104" i="1"/>
  <c r="CR105" i="1"/>
  <c r="CR106" i="1"/>
  <c r="CR107" i="1"/>
  <c r="CR108" i="1"/>
  <c r="CR109" i="1"/>
  <c r="CR29" i="1"/>
  <c r="CR110" i="1"/>
  <c r="CR30" i="1"/>
  <c r="CR31" i="1"/>
  <c r="CR111" i="1"/>
  <c r="CR112" i="1"/>
  <c r="CR32" i="1"/>
  <c r="CR113" i="1"/>
  <c r="CR114" i="1"/>
  <c r="CR117" i="1"/>
  <c r="CR115" i="1"/>
  <c r="CR122" i="1"/>
  <c r="CR33" i="1"/>
  <c r="CR34" i="1"/>
  <c r="CR123" i="1"/>
  <c r="CR35" i="1"/>
  <c r="CR124" i="1"/>
  <c r="CR125" i="1"/>
  <c r="CR116" i="1"/>
  <c r="CR126" i="1"/>
  <c r="CR128" i="1"/>
  <c r="CR36" i="1"/>
  <c r="CH119" i="1"/>
  <c r="CH122" i="1"/>
  <c r="CH123" i="1"/>
  <c r="CH124" i="1"/>
  <c r="CH126" i="1"/>
  <c r="CR129" i="1"/>
  <c r="CR130" i="1"/>
  <c r="CR131" i="1"/>
  <c r="CR132" i="1"/>
  <c r="CR133" i="1"/>
  <c r="CR134" i="1"/>
  <c r="CR135" i="1"/>
  <c r="CR136" i="1"/>
  <c r="CR137" i="1"/>
  <c r="CR138" i="1"/>
  <c r="CR139" i="1"/>
  <c r="CR140" i="1"/>
  <c r="CR141" i="1"/>
  <c r="CQ93" i="1" l="1"/>
  <c r="CQ56" i="1"/>
  <c r="CQ2" i="1"/>
  <c r="CI123" i="1"/>
  <c r="CL123" i="1" s="1"/>
  <c r="CI126" i="1"/>
  <c r="CL126" i="1" s="1"/>
  <c r="CI122" i="1"/>
  <c r="CL122" i="1" s="1"/>
  <c r="CQ66" i="1"/>
  <c r="CI119" i="1"/>
  <c r="CL119" i="1" s="1"/>
  <c r="CI124" i="1"/>
  <c r="CL124" i="1" s="1"/>
  <c r="CL125" i="1"/>
  <c r="BW8" i="2"/>
  <c r="BT8" i="2"/>
  <c r="AS8" i="2"/>
  <c r="BY3" i="1"/>
  <c r="BZ3" i="1"/>
  <c r="BY109" i="1"/>
  <c r="BZ109" i="1"/>
  <c r="BY108" i="1"/>
  <c r="BZ108" i="1"/>
  <c r="BY57" i="1"/>
  <c r="BZ57" i="1"/>
  <c r="BY105" i="1"/>
  <c r="BZ105" i="1"/>
  <c r="BY42" i="1"/>
  <c r="BZ42" i="1"/>
  <c r="BY118" i="1"/>
  <c r="BZ118" i="1"/>
  <c r="BY92" i="1"/>
  <c r="BZ92" i="1"/>
  <c r="BY74" i="1"/>
  <c r="BZ74" i="1"/>
  <c r="BY39" i="1"/>
  <c r="BZ39" i="1"/>
  <c r="BY78" i="1"/>
  <c r="BZ78" i="1"/>
  <c r="BY75" i="1"/>
  <c r="BZ75" i="1"/>
  <c r="BX126" i="1"/>
  <c r="BX123" i="1"/>
  <c r="BX117" i="1"/>
  <c r="BX30" i="1"/>
  <c r="BX27" i="1"/>
  <c r="BX21" i="1"/>
  <c r="BX17" i="1"/>
  <c r="BX120" i="1"/>
  <c r="BX10" i="1"/>
  <c r="BX7" i="1"/>
  <c r="BX3" i="1"/>
  <c r="BX42" i="1"/>
  <c r="BX78" i="1"/>
  <c r="BY126" i="1"/>
  <c r="BY123" i="1"/>
  <c r="BY117" i="1"/>
  <c r="BY30" i="1"/>
  <c r="BY25" i="1"/>
  <c r="BY19" i="1"/>
  <c r="BY12" i="1"/>
  <c r="BY5" i="1"/>
  <c r="BY26" i="1"/>
  <c r="BZ26" i="1"/>
  <c r="BY23" i="1"/>
  <c r="BZ23" i="1"/>
  <c r="BY20" i="1"/>
  <c r="BZ20" i="1"/>
  <c r="BY16" i="1"/>
  <c r="BZ16" i="1"/>
  <c r="BY13" i="1"/>
  <c r="BZ13" i="1"/>
  <c r="BY9" i="1"/>
  <c r="BZ9" i="1"/>
  <c r="BY6" i="1"/>
  <c r="BZ6" i="1"/>
  <c r="BY2" i="1"/>
  <c r="BZ2" i="1"/>
  <c r="BY36" i="1"/>
  <c r="BZ36" i="1"/>
  <c r="BY106" i="1"/>
  <c r="BZ106" i="1"/>
  <c r="BY62" i="1"/>
  <c r="BZ62" i="1"/>
  <c r="BY55" i="1"/>
  <c r="BZ55" i="1"/>
  <c r="BY107" i="1"/>
  <c r="BZ107" i="1"/>
  <c r="BY63" i="1"/>
  <c r="BZ63" i="1"/>
  <c r="BY103" i="1"/>
  <c r="BZ103" i="1"/>
  <c r="BY85" i="1"/>
  <c r="BZ85" i="1"/>
  <c r="BY54" i="1"/>
  <c r="BZ54" i="1"/>
  <c r="BY101" i="1"/>
  <c r="BZ101" i="1"/>
  <c r="BY67" i="1"/>
  <c r="BZ67" i="1"/>
  <c r="BX125" i="1"/>
  <c r="BX34" i="1"/>
  <c r="BX32" i="1"/>
  <c r="BX110" i="1"/>
  <c r="BX26" i="1"/>
  <c r="BX23" i="1"/>
  <c r="BX20" i="1"/>
  <c r="BX16" i="1"/>
  <c r="BX13" i="1"/>
  <c r="BX9" i="1"/>
  <c r="BX6" i="1"/>
  <c r="BX2" i="1"/>
  <c r="BX108" i="1"/>
  <c r="BX62" i="1"/>
  <c r="BX105" i="1"/>
  <c r="BZ125" i="1"/>
  <c r="BZ34" i="1"/>
  <c r="BZ32" i="1"/>
  <c r="BZ110" i="1"/>
  <c r="BY17" i="1"/>
  <c r="BY10" i="1"/>
  <c r="BY115" i="1"/>
  <c r="BZ115" i="1"/>
  <c r="BY93" i="1"/>
  <c r="BZ93" i="1"/>
  <c r="BY104" i="1"/>
  <c r="BZ104" i="1"/>
  <c r="BY121" i="1"/>
  <c r="BZ121" i="1"/>
  <c r="BY113" i="1"/>
  <c r="BZ113" i="1"/>
  <c r="BY51" i="1"/>
  <c r="BZ51" i="1"/>
  <c r="BY61" i="1"/>
  <c r="BZ61" i="1"/>
  <c r="BY50" i="1"/>
  <c r="BZ50" i="1"/>
  <c r="BY91" i="1"/>
  <c r="BZ91" i="1"/>
  <c r="BY97" i="1"/>
  <c r="BZ97" i="1"/>
  <c r="BX124" i="1"/>
  <c r="BX33" i="1"/>
  <c r="BX111" i="1"/>
  <c r="BX29" i="1"/>
  <c r="BX25" i="1"/>
  <c r="BX19" i="1"/>
  <c r="BX15" i="1"/>
  <c r="BX12" i="1"/>
  <c r="BX119" i="1"/>
  <c r="BX5" i="1"/>
  <c r="BX115" i="1"/>
  <c r="BX109" i="1"/>
  <c r="BX106" i="1"/>
  <c r="BX63" i="1"/>
  <c r="BX118" i="1"/>
  <c r="BX92" i="1"/>
  <c r="BX39" i="1"/>
  <c r="BX75" i="1"/>
  <c r="BY124" i="1"/>
  <c r="BY33" i="1"/>
  <c r="BY111" i="1"/>
  <c r="BY29" i="1"/>
  <c r="BY15" i="1"/>
  <c r="BY119" i="1"/>
  <c r="BY114" i="1"/>
  <c r="BZ114" i="1"/>
  <c r="BY28" i="1"/>
  <c r="BZ28" i="1"/>
  <c r="BY24" i="1"/>
  <c r="BZ24" i="1"/>
  <c r="BY22" i="1"/>
  <c r="BZ22" i="1"/>
  <c r="BY18" i="1"/>
  <c r="BZ18" i="1"/>
  <c r="BY14" i="1"/>
  <c r="BZ14" i="1"/>
  <c r="BY11" i="1"/>
  <c r="BZ11" i="1"/>
  <c r="BY8" i="1"/>
  <c r="BZ8" i="1"/>
  <c r="BY4" i="1"/>
  <c r="BZ4" i="1"/>
  <c r="BY94" i="1"/>
  <c r="BZ94" i="1"/>
  <c r="BY80" i="1"/>
  <c r="BZ80" i="1"/>
  <c r="BY79" i="1"/>
  <c r="BZ79" i="1"/>
  <c r="BY102" i="1"/>
  <c r="BZ102" i="1"/>
  <c r="BY116" i="1"/>
  <c r="BZ116" i="1"/>
  <c r="BY43" i="1"/>
  <c r="BZ43" i="1"/>
  <c r="BY98" i="1"/>
  <c r="BZ98" i="1"/>
  <c r="BY87" i="1"/>
  <c r="BZ87" i="1"/>
  <c r="BY112" i="1"/>
  <c r="BZ112" i="1"/>
  <c r="BY100" i="1"/>
  <c r="BZ100" i="1"/>
  <c r="BY45" i="1"/>
  <c r="BZ45" i="1"/>
  <c r="BY96" i="1"/>
  <c r="BZ96" i="1"/>
  <c r="BY95" i="1"/>
  <c r="BZ95" i="1"/>
  <c r="BX35" i="1"/>
  <c r="BX122" i="1"/>
  <c r="BX31" i="1"/>
  <c r="BX28" i="1"/>
  <c r="BX24" i="1"/>
  <c r="BX22" i="1"/>
  <c r="BX18" i="1"/>
  <c r="BX14" i="1"/>
  <c r="BX11" i="1"/>
  <c r="BX8" i="1"/>
  <c r="BX4" i="1"/>
  <c r="BX94" i="1"/>
  <c r="BX36" i="1"/>
  <c r="BX104" i="1"/>
  <c r="BX57" i="1"/>
  <c r="BX107" i="1"/>
  <c r="BX43" i="1"/>
  <c r="BX103" i="1"/>
  <c r="BX85" i="1"/>
  <c r="BX50" i="1"/>
  <c r="BX101" i="1"/>
  <c r="BX74" i="1"/>
  <c r="BX96" i="1"/>
  <c r="BX95" i="1"/>
  <c r="BZ35" i="1"/>
  <c r="BZ122" i="1"/>
  <c r="BZ31" i="1"/>
  <c r="BY27" i="1"/>
  <c r="BY21" i="1"/>
  <c r="BY120" i="1"/>
  <c r="BY7" i="1"/>
  <c r="CG119" i="1"/>
  <c r="CN99" i="1" l="1"/>
  <c r="CO99" i="1" s="1"/>
  <c r="CN77" i="1"/>
  <c r="CO77" i="1" s="1"/>
  <c r="CN70" i="1"/>
  <c r="CO70" i="1" s="1"/>
  <c r="CN71" i="1"/>
  <c r="CO71" i="1" s="1"/>
  <c r="CN36" i="1"/>
  <c r="CN118" i="1"/>
  <c r="CO118" i="1" s="1"/>
  <c r="CN2" i="1"/>
  <c r="CO2" i="1" s="1"/>
  <c r="CN37" i="1"/>
  <c r="CO37" i="1" s="1"/>
  <c r="CN38" i="1"/>
  <c r="CO38" i="1" s="1"/>
  <c r="CN39" i="1"/>
  <c r="CO39" i="1" s="1"/>
  <c r="CN41" i="1"/>
  <c r="CO41" i="1" s="1"/>
  <c r="CN40" i="1"/>
  <c r="CO40" i="1" s="1"/>
  <c r="CN42" i="1"/>
  <c r="CO42" i="1" s="1"/>
  <c r="CN43" i="1"/>
  <c r="CO43" i="1" s="1"/>
  <c r="CN44" i="1"/>
  <c r="CO44" i="1" s="1"/>
  <c r="CN45" i="1"/>
  <c r="CO45" i="1" s="1"/>
  <c r="CN46" i="1"/>
  <c r="CO46" i="1" s="1"/>
  <c r="CN3" i="1"/>
  <c r="CO3" i="1" s="1"/>
  <c r="CN47" i="1"/>
  <c r="CO47" i="1" s="1"/>
  <c r="CN48" i="1"/>
  <c r="CO48" i="1" s="1"/>
  <c r="CN49" i="1"/>
  <c r="CO49" i="1" s="1"/>
  <c r="CN50" i="1"/>
  <c r="CO50" i="1" s="1"/>
  <c r="CN51" i="1"/>
  <c r="CO51" i="1" s="1"/>
  <c r="CN52" i="1"/>
  <c r="CO52" i="1" s="1"/>
  <c r="CN53" i="1"/>
  <c r="CO53" i="1" s="1"/>
  <c r="CN54" i="1"/>
  <c r="CO54" i="1" s="1"/>
  <c r="CN4" i="1"/>
  <c r="CO4" i="1" s="1"/>
  <c r="CN55" i="1"/>
  <c r="CO55" i="1" s="1"/>
  <c r="CN5" i="1"/>
  <c r="CO5" i="1" s="1"/>
  <c r="CN56" i="1"/>
  <c r="CO56" i="1" s="1"/>
  <c r="CN57" i="1"/>
  <c r="CO57" i="1" s="1"/>
  <c r="CN58" i="1"/>
  <c r="CO58" i="1" s="1"/>
  <c r="CN59" i="1"/>
  <c r="CO59" i="1" s="1"/>
  <c r="CN60" i="1"/>
  <c r="CO60" i="1" s="1"/>
  <c r="CN61" i="1"/>
  <c r="CO61" i="1" s="1"/>
  <c r="CN62" i="1"/>
  <c r="CO62" i="1" s="1"/>
  <c r="CN63" i="1"/>
  <c r="CO63" i="1" s="1"/>
  <c r="CN65" i="1"/>
  <c r="CO65" i="1" s="1"/>
  <c r="CN64" i="1"/>
  <c r="CO64" i="1" s="1"/>
  <c r="CN66" i="1"/>
  <c r="CN6" i="1"/>
  <c r="CO6" i="1" s="1"/>
  <c r="CN7" i="1"/>
  <c r="CO7" i="1" s="1"/>
  <c r="CN8" i="1"/>
  <c r="CO8" i="1" s="1"/>
  <c r="CN68" i="1"/>
  <c r="CO68" i="1" s="1"/>
  <c r="CN67" i="1"/>
  <c r="CO67" i="1" s="1"/>
  <c r="CN69" i="1"/>
  <c r="CO69" i="1" s="1"/>
  <c r="CN119" i="1"/>
  <c r="CO119" i="1" s="1"/>
  <c r="CN73" i="1"/>
  <c r="CO73" i="1" s="1"/>
  <c r="CN72" i="1"/>
  <c r="CO72" i="1" s="1"/>
  <c r="CN75" i="1"/>
  <c r="CO75" i="1" s="1"/>
  <c r="CN74" i="1"/>
  <c r="CO74" i="1" s="1"/>
  <c r="CN76" i="1"/>
  <c r="CO76" i="1" s="1"/>
  <c r="CN9" i="1"/>
  <c r="CO9" i="1" s="1"/>
  <c r="CN10" i="1"/>
  <c r="CO10" i="1" s="1"/>
  <c r="CN11" i="1"/>
  <c r="CO11" i="1" s="1"/>
  <c r="CN12" i="1"/>
  <c r="CO12" i="1" s="1"/>
  <c r="CN13" i="1"/>
  <c r="CO13" i="1" s="1"/>
  <c r="CN120" i="1"/>
  <c r="CO120" i="1" s="1"/>
  <c r="CN14" i="1"/>
  <c r="CO14" i="1" s="1"/>
  <c r="CN78" i="1"/>
  <c r="CO78" i="1" s="1"/>
  <c r="CN79" i="1"/>
  <c r="CO79" i="1" s="1"/>
  <c r="CN80" i="1"/>
  <c r="CO80" i="1" s="1"/>
  <c r="CN15" i="1"/>
  <c r="CO15" i="1" s="1"/>
  <c r="CN81" i="1"/>
  <c r="CO81" i="1" s="1"/>
  <c r="CN121" i="1"/>
  <c r="CO121" i="1" s="1"/>
  <c r="CN82" i="1"/>
  <c r="CO82" i="1" s="1"/>
  <c r="CN16" i="1"/>
  <c r="CO16" i="1" s="1"/>
  <c r="CN83" i="1"/>
  <c r="CO83" i="1" s="1"/>
  <c r="CN85" i="1"/>
  <c r="CO85" i="1" s="1"/>
  <c r="CN84" i="1"/>
  <c r="CO84" i="1" s="1"/>
  <c r="CN17" i="1"/>
  <c r="CO17" i="1" s="1"/>
  <c r="CN18" i="1"/>
  <c r="CO18" i="1" s="1"/>
  <c r="CN86" i="1"/>
  <c r="CO86" i="1" s="1"/>
  <c r="CN19" i="1"/>
  <c r="CO19" i="1" s="1"/>
  <c r="CN20" i="1"/>
  <c r="CO20" i="1" s="1"/>
  <c r="CN21" i="1"/>
  <c r="CO21" i="1" s="1"/>
  <c r="CN22" i="1"/>
  <c r="CO22" i="1" s="1"/>
  <c r="CN87" i="1"/>
  <c r="CO87" i="1" s="1"/>
  <c r="CN89" i="1"/>
  <c r="CO89" i="1" s="1"/>
  <c r="CN90" i="1"/>
  <c r="CO90" i="1" s="1"/>
  <c r="CN91" i="1"/>
  <c r="CO91" i="1" s="1"/>
  <c r="CN92" i="1"/>
  <c r="CO92" i="1" s="1"/>
  <c r="CN23" i="1"/>
  <c r="CO23" i="1" s="1"/>
  <c r="CN93" i="1"/>
  <c r="CO93" i="1" s="1"/>
  <c r="CN94" i="1"/>
  <c r="CO94" i="1" s="1"/>
  <c r="CN96" i="1"/>
  <c r="CO96" i="1" s="1"/>
  <c r="CN95" i="1"/>
  <c r="CO95" i="1" s="1"/>
  <c r="CN97" i="1"/>
  <c r="CO97" i="1" s="1"/>
  <c r="CN98" i="1"/>
  <c r="CO98" i="1" s="1"/>
  <c r="CN24" i="1"/>
  <c r="CO24" i="1" s="1"/>
  <c r="CN25" i="1"/>
  <c r="CO25" i="1" s="1"/>
  <c r="CN26" i="1"/>
  <c r="CO26" i="1" s="1"/>
  <c r="CN100" i="1"/>
  <c r="CO100" i="1" s="1"/>
  <c r="CN27" i="1"/>
  <c r="CO27" i="1" s="1"/>
  <c r="CN101" i="1"/>
  <c r="CO101" i="1" s="1"/>
  <c r="CN102" i="1"/>
  <c r="CO102" i="1" s="1"/>
  <c r="CN103" i="1"/>
  <c r="CO103" i="1" s="1"/>
  <c r="CN28" i="1"/>
  <c r="CO28" i="1" s="1"/>
  <c r="CN104" i="1"/>
  <c r="CO104" i="1" s="1"/>
  <c r="CN105" i="1"/>
  <c r="CO105" i="1" s="1"/>
  <c r="CN106" i="1"/>
  <c r="CO106" i="1" s="1"/>
  <c r="CN107" i="1"/>
  <c r="CO107" i="1" s="1"/>
  <c r="CN108" i="1"/>
  <c r="CO108" i="1" s="1"/>
  <c r="CN109" i="1"/>
  <c r="CO109" i="1" s="1"/>
  <c r="CN29" i="1"/>
  <c r="CO29" i="1" s="1"/>
  <c r="CN110" i="1"/>
  <c r="CO110" i="1" s="1"/>
  <c r="CN30" i="1"/>
  <c r="CO30" i="1" s="1"/>
  <c r="CN31" i="1"/>
  <c r="CO31" i="1" s="1"/>
  <c r="CN111" i="1"/>
  <c r="CO111" i="1" s="1"/>
  <c r="CN112" i="1"/>
  <c r="CO112" i="1" s="1"/>
  <c r="CN32" i="1"/>
  <c r="CO32" i="1" s="1"/>
  <c r="CN113" i="1"/>
  <c r="CO113" i="1" s="1"/>
  <c r="CN114" i="1"/>
  <c r="CN117" i="1"/>
  <c r="CO117" i="1" s="1"/>
  <c r="CN115" i="1"/>
  <c r="CO115" i="1" s="1"/>
  <c r="CN122" i="1"/>
  <c r="CO122" i="1" s="1"/>
  <c r="CN33" i="1"/>
  <c r="CO33" i="1" s="1"/>
  <c r="CN34" i="1"/>
  <c r="CO34" i="1" s="1"/>
  <c r="CN123" i="1"/>
  <c r="CO123" i="1" s="1"/>
  <c r="CN35" i="1"/>
  <c r="CO35" i="1" s="1"/>
  <c r="CN124" i="1"/>
  <c r="CO124" i="1" s="1"/>
  <c r="CN125" i="1"/>
  <c r="CO125" i="1" s="1"/>
  <c r="CN116" i="1"/>
  <c r="CO116" i="1" s="1"/>
  <c r="CN88" i="1"/>
  <c r="CO88" i="1" s="1"/>
  <c r="JP99" i="1"/>
  <c r="JQ99" i="1"/>
  <c r="LM99" i="1" s="1"/>
  <c r="JR99" i="1"/>
  <c r="LN99" i="1" s="1"/>
  <c r="JS99" i="1"/>
  <c r="LO99" i="1" s="1"/>
  <c r="JT99" i="1"/>
  <c r="LP99" i="1" s="1"/>
  <c r="JU99" i="1"/>
  <c r="LQ99" i="1" s="1"/>
  <c r="JV99" i="1"/>
  <c r="LR99" i="1" s="1"/>
  <c r="JW99" i="1"/>
  <c r="LS99" i="1" s="1"/>
  <c r="JX99" i="1"/>
  <c r="LT99" i="1" s="1"/>
  <c r="JY99" i="1"/>
  <c r="LU99" i="1" s="1"/>
  <c r="JZ99" i="1"/>
  <c r="LV99" i="1" s="1"/>
  <c r="KA99" i="1"/>
  <c r="LW99" i="1" s="1"/>
  <c r="KB99" i="1"/>
  <c r="LX99" i="1" s="1"/>
  <c r="KC99" i="1"/>
  <c r="LY99" i="1" s="1"/>
  <c r="KD99" i="1"/>
  <c r="LZ99" i="1" s="1"/>
  <c r="KE99" i="1"/>
  <c r="MA99" i="1" s="1"/>
  <c r="JP77" i="1"/>
  <c r="JQ77" i="1"/>
  <c r="LM77" i="1" s="1"/>
  <c r="JR77" i="1"/>
  <c r="LN77" i="1" s="1"/>
  <c r="JS77" i="1"/>
  <c r="LO77" i="1" s="1"/>
  <c r="JT77" i="1"/>
  <c r="LP77" i="1" s="1"/>
  <c r="JU77" i="1"/>
  <c r="LQ77" i="1" s="1"/>
  <c r="JV77" i="1"/>
  <c r="LR77" i="1" s="1"/>
  <c r="JW77" i="1"/>
  <c r="LS77" i="1" s="1"/>
  <c r="JX77" i="1"/>
  <c r="LT77" i="1" s="1"/>
  <c r="JY77" i="1"/>
  <c r="LU77" i="1" s="1"/>
  <c r="JZ77" i="1"/>
  <c r="LV77" i="1" s="1"/>
  <c r="KA77" i="1"/>
  <c r="LW77" i="1" s="1"/>
  <c r="KB77" i="1"/>
  <c r="LX77" i="1" s="1"/>
  <c r="KC77" i="1"/>
  <c r="LY77" i="1" s="1"/>
  <c r="KD77" i="1"/>
  <c r="LZ77" i="1" s="1"/>
  <c r="KE77" i="1"/>
  <c r="MA77" i="1" s="1"/>
  <c r="JP70" i="1"/>
  <c r="JQ70" i="1"/>
  <c r="LM70" i="1" s="1"/>
  <c r="JR70" i="1"/>
  <c r="LN70" i="1" s="1"/>
  <c r="JS70" i="1"/>
  <c r="LO70" i="1" s="1"/>
  <c r="JT70" i="1"/>
  <c r="LP70" i="1" s="1"/>
  <c r="JU70" i="1"/>
  <c r="LQ70" i="1" s="1"/>
  <c r="JV70" i="1"/>
  <c r="LR70" i="1" s="1"/>
  <c r="JW70" i="1"/>
  <c r="LS70" i="1" s="1"/>
  <c r="JX70" i="1"/>
  <c r="LT70" i="1" s="1"/>
  <c r="JY70" i="1"/>
  <c r="LU70" i="1" s="1"/>
  <c r="JZ70" i="1"/>
  <c r="LV70" i="1" s="1"/>
  <c r="KA70" i="1"/>
  <c r="LW70" i="1" s="1"/>
  <c r="KB70" i="1"/>
  <c r="LX70" i="1" s="1"/>
  <c r="KC70" i="1"/>
  <c r="LY70" i="1" s="1"/>
  <c r="KD70" i="1"/>
  <c r="LZ70" i="1" s="1"/>
  <c r="KE70" i="1"/>
  <c r="MA70" i="1" s="1"/>
  <c r="JP71" i="1"/>
  <c r="JQ71" i="1"/>
  <c r="LM71" i="1" s="1"/>
  <c r="JR71" i="1"/>
  <c r="LN71" i="1" s="1"/>
  <c r="JS71" i="1"/>
  <c r="LO71" i="1" s="1"/>
  <c r="JT71" i="1"/>
  <c r="LP71" i="1" s="1"/>
  <c r="JU71" i="1"/>
  <c r="LQ71" i="1" s="1"/>
  <c r="JV71" i="1"/>
  <c r="LR71" i="1" s="1"/>
  <c r="JW71" i="1"/>
  <c r="LS71" i="1" s="1"/>
  <c r="JX71" i="1"/>
  <c r="LT71" i="1" s="1"/>
  <c r="JY71" i="1"/>
  <c r="LU71" i="1" s="1"/>
  <c r="JZ71" i="1"/>
  <c r="LV71" i="1" s="1"/>
  <c r="KA71" i="1"/>
  <c r="LW71" i="1" s="1"/>
  <c r="KB71" i="1"/>
  <c r="LX71" i="1" s="1"/>
  <c r="KC71" i="1"/>
  <c r="LY71" i="1" s="1"/>
  <c r="KD71" i="1"/>
  <c r="LZ71" i="1" s="1"/>
  <c r="KE71" i="1"/>
  <c r="MA71" i="1" s="1"/>
  <c r="JP36" i="1"/>
  <c r="JQ36" i="1"/>
  <c r="LM36" i="1" s="1"/>
  <c r="JR36" i="1"/>
  <c r="LN36" i="1" s="1"/>
  <c r="JS36" i="1"/>
  <c r="LO36" i="1" s="1"/>
  <c r="JT36" i="1"/>
  <c r="LP36" i="1" s="1"/>
  <c r="JU36" i="1"/>
  <c r="LQ36" i="1" s="1"/>
  <c r="JV36" i="1"/>
  <c r="LR36" i="1" s="1"/>
  <c r="JW36" i="1"/>
  <c r="LS36" i="1" s="1"/>
  <c r="JX36" i="1"/>
  <c r="LT36" i="1" s="1"/>
  <c r="JY36" i="1"/>
  <c r="LU36" i="1" s="1"/>
  <c r="JZ36" i="1"/>
  <c r="LV36" i="1" s="1"/>
  <c r="KA36" i="1"/>
  <c r="LW36" i="1" s="1"/>
  <c r="KB36" i="1"/>
  <c r="LX36" i="1" s="1"/>
  <c r="KC36" i="1"/>
  <c r="LY36" i="1" s="1"/>
  <c r="KD36" i="1"/>
  <c r="LZ36" i="1" s="1"/>
  <c r="KE36" i="1"/>
  <c r="MA36" i="1" s="1"/>
  <c r="JP118" i="1"/>
  <c r="JQ118" i="1"/>
  <c r="LM118" i="1" s="1"/>
  <c r="JR118" i="1"/>
  <c r="LN118" i="1" s="1"/>
  <c r="JS118" i="1"/>
  <c r="LO118" i="1" s="1"/>
  <c r="JT118" i="1"/>
  <c r="LP118" i="1" s="1"/>
  <c r="JU118" i="1"/>
  <c r="LQ118" i="1" s="1"/>
  <c r="JV118" i="1"/>
  <c r="LR118" i="1" s="1"/>
  <c r="JW118" i="1"/>
  <c r="LS118" i="1" s="1"/>
  <c r="JX118" i="1"/>
  <c r="LT118" i="1" s="1"/>
  <c r="JY118" i="1"/>
  <c r="LU118" i="1" s="1"/>
  <c r="JZ118" i="1"/>
  <c r="LV118" i="1" s="1"/>
  <c r="KA118" i="1"/>
  <c r="LW118" i="1" s="1"/>
  <c r="KB118" i="1"/>
  <c r="LX118" i="1" s="1"/>
  <c r="KC118" i="1"/>
  <c r="LY118" i="1" s="1"/>
  <c r="KD118" i="1"/>
  <c r="LZ118" i="1" s="1"/>
  <c r="KE118" i="1"/>
  <c r="MA118" i="1" s="1"/>
  <c r="JP2" i="1"/>
  <c r="JQ2" i="1"/>
  <c r="LM2" i="1" s="1"/>
  <c r="JR2" i="1"/>
  <c r="LN2" i="1" s="1"/>
  <c r="JS2" i="1"/>
  <c r="LO2" i="1" s="1"/>
  <c r="JT2" i="1"/>
  <c r="LP2" i="1" s="1"/>
  <c r="JU2" i="1"/>
  <c r="LQ2" i="1" s="1"/>
  <c r="JV2" i="1"/>
  <c r="LR2" i="1" s="1"/>
  <c r="JW2" i="1"/>
  <c r="LS2" i="1" s="1"/>
  <c r="JX2" i="1"/>
  <c r="LT2" i="1" s="1"/>
  <c r="JY2" i="1"/>
  <c r="LU2" i="1" s="1"/>
  <c r="JZ2" i="1"/>
  <c r="LV2" i="1" s="1"/>
  <c r="KA2" i="1"/>
  <c r="LW2" i="1" s="1"/>
  <c r="KB2" i="1"/>
  <c r="LX2" i="1" s="1"/>
  <c r="KC2" i="1"/>
  <c r="LY2" i="1" s="1"/>
  <c r="KD2" i="1"/>
  <c r="LZ2" i="1" s="1"/>
  <c r="KE2" i="1"/>
  <c r="MA2" i="1" s="1"/>
  <c r="JP37" i="1"/>
  <c r="JQ37" i="1"/>
  <c r="LM37" i="1" s="1"/>
  <c r="JR37" i="1"/>
  <c r="LN37" i="1" s="1"/>
  <c r="JS37" i="1"/>
  <c r="LO37" i="1" s="1"/>
  <c r="JT37" i="1"/>
  <c r="LP37" i="1" s="1"/>
  <c r="JU37" i="1"/>
  <c r="LQ37" i="1" s="1"/>
  <c r="JV37" i="1"/>
  <c r="LR37" i="1" s="1"/>
  <c r="JW37" i="1"/>
  <c r="LS37" i="1" s="1"/>
  <c r="JX37" i="1"/>
  <c r="LT37" i="1" s="1"/>
  <c r="JY37" i="1"/>
  <c r="LU37" i="1" s="1"/>
  <c r="JZ37" i="1"/>
  <c r="LV37" i="1" s="1"/>
  <c r="KA37" i="1"/>
  <c r="LW37" i="1" s="1"/>
  <c r="KB37" i="1"/>
  <c r="LX37" i="1" s="1"/>
  <c r="KC37" i="1"/>
  <c r="LY37" i="1" s="1"/>
  <c r="KD37" i="1"/>
  <c r="LZ37" i="1" s="1"/>
  <c r="KE37" i="1"/>
  <c r="MA37" i="1" s="1"/>
  <c r="JP38" i="1"/>
  <c r="JQ38" i="1"/>
  <c r="LM38" i="1" s="1"/>
  <c r="JR38" i="1"/>
  <c r="LN38" i="1" s="1"/>
  <c r="JS38" i="1"/>
  <c r="LO38" i="1" s="1"/>
  <c r="JT38" i="1"/>
  <c r="LP38" i="1" s="1"/>
  <c r="JU38" i="1"/>
  <c r="LQ38" i="1" s="1"/>
  <c r="JV38" i="1"/>
  <c r="LR38" i="1" s="1"/>
  <c r="JW38" i="1"/>
  <c r="LS38" i="1" s="1"/>
  <c r="JX38" i="1"/>
  <c r="LT38" i="1" s="1"/>
  <c r="JY38" i="1"/>
  <c r="LU38" i="1" s="1"/>
  <c r="JZ38" i="1"/>
  <c r="LV38" i="1" s="1"/>
  <c r="KA38" i="1"/>
  <c r="LW38" i="1" s="1"/>
  <c r="KB38" i="1"/>
  <c r="LX38" i="1" s="1"/>
  <c r="KC38" i="1"/>
  <c r="LY38" i="1" s="1"/>
  <c r="KD38" i="1"/>
  <c r="LZ38" i="1" s="1"/>
  <c r="KE38" i="1"/>
  <c r="MA38" i="1" s="1"/>
  <c r="JP39" i="1"/>
  <c r="JQ39" i="1"/>
  <c r="LM39" i="1" s="1"/>
  <c r="JR39" i="1"/>
  <c r="LN39" i="1" s="1"/>
  <c r="JS39" i="1"/>
  <c r="LO39" i="1" s="1"/>
  <c r="JT39" i="1"/>
  <c r="LP39" i="1" s="1"/>
  <c r="JU39" i="1"/>
  <c r="LQ39" i="1" s="1"/>
  <c r="JV39" i="1"/>
  <c r="LR39" i="1" s="1"/>
  <c r="JW39" i="1"/>
  <c r="LS39" i="1" s="1"/>
  <c r="JX39" i="1"/>
  <c r="LT39" i="1" s="1"/>
  <c r="JY39" i="1"/>
  <c r="LU39" i="1" s="1"/>
  <c r="JZ39" i="1"/>
  <c r="LV39" i="1" s="1"/>
  <c r="KA39" i="1"/>
  <c r="LW39" i="1" s="1"/>
  <c r="KB39" i="1"/>
  <c r="LX39" i="1" s="1"/>
  <c r="KC39" i="1"/>
  <c r="LY39" i="1" s="1"/>
  <c r="KD39" i="1"/>
  <c r="LZ39" i="1" s="1"/>
  <c r="KE39" i="1"/>
  <c r="MA39" i="1" s="1"/>
  <c r="JP41" i="1"/>
  <c r="JQ41" i="1"/>
  <c r="LM41" i="1" s="1"/>
  <c r="JR41" i="1"/>
  <c r="LN41" i="1" s="1"/>
  <c r="JS41" i="1"/>
  <c r="LO41" i="1" s="1"/>
  <c r="JT41" i="1"/>
  <c r="LP41" i="1" s="1"/>
  <c r="JU41" i="1"/>
  <c r="LQ41" i="1" s="1"/>
  <c r="JV41" i="1"/>
  <c r="LR41" i="1" s="1"/>
  <c r="JW41" i="1"/>
  <c r="LS41" i="1" s="1"/>
  <c r="JX41" i="1"/>
  <c r="LT41" i="1" s="1"/>
  <c r="JY41" i="1"/>
  <c r="LU41" i="1" s="1"/>
  <c r="JZ41" i="1"/>
  <c r="LV41" i="1" s="1"/>
  <c r="KA41" i="1"/>
  <c r="LW41" i="1" s="1"/>
  <c r="KB41" i="1"/>
  <c r="LX41" i="1" s="1"/>
  <c r="KC41" i="1"/>
  <c r="LY41" i="1" s="1"/>
  <c r="KD41" i="1"/>
  <c r="LZ41" i="1" s="1"/>
  <c r="KE41" i="1"/>
  <c r="MA41" i="1" s="1"/>
  <c r="JP40" i="1"/>
  <c r="JQ40" i="1"/>
  <c r="LM40" i="1" s="1"/>
  <c r="JR40" i="1"/>
  <c r="LN40" i="1" s="1"/>
  <c r="JS40" i="1"/>
  <c r="LO40" i="1" s="1"/>
  <c r="JT40" i="1"/>
  <c r="LP40" i="1" s="1"/>
  <c r="JU40" i="1"/>
  <c r="LQ40" i="1" s="1"/>
  <c r="JV40" i="1"/>
  <c r="LR40" i="1" s="1"/>
  <c r="JW40" i="1"/>
  <c r="LS40" i="1" s="1"/>
  <c r="JX40" i="1"/>
  <c r="LT40" i="1" s="1"/>
  <c r="JY40" i="1"/>
  <c r="LU40" i="1" s="1"/>
  <c r="JZ40" i="1"/>
  <c r="LV40" i="1" s="1"/>
  <c r="KA40" i="1"/>
  <c r="LW40" i="1" s="1"/>
  <c r="KB40" i="1"/>
  <c r="LX40" i="1" s="1"/>
  <c r="KC40" i="1"/>
  <c r="LY40" i="1" s="1"/>
  <c r="KD40" i="1"/>
  <c r="LZ40" i="1" s="1"/>
  <c r="KE40" i="1"/>
  <c r="MA40" i="1" s="1"/>
  <c r="JP42" i="1"/>
  <c r="JQ42" i="1"/>
  <c r="LM42" i="1" s="1"/>
  <c r="JR42" i="1"/>
  <c r="LN42" i="1" s="1"/>
  <c r="JS42" i="1"/>
  <c r="LO42" i="1" s="1"/>
  <c r="JT42" i="1"/>
  <c r="LP42" i="1" s="1"/>
  <c r="JU42" i="1"/>
  <c r="LQ42" i="1" s="1"/>
  <c r="JV42" i="1"/>
  <c r="LR42" i="1" s="1"/>
  <c r="JW42" i="1"/>
  <c r="LS42" i="1" s="1"/>
  <c r="JX42" i="1"/>
  <c r="LT42" i="1" s="1"/>
  <c r="JY42" i="1"/>
  <c r="LU42" i="1" s="1"/>
  <c r="JZ42" i="1"/>
  <c r="LV42" i="1" s="1"/>
  <c r="KA42" i="1"/>
  <c r="LW42" i="1" s="1"/>
  <c r="KB42" i="1"/>
  <c r="LX42" i="1" s="1"/>
  <c r="KC42" i="1"/>
  <c r="LY42" i="1" s="1"/>
  <c r="KD42" i="1"/>
  <c r="LZ42" i="1" s="1"/>
  <c r="KE42" i="1"/>
  <c r="MA42" i="1" s="1"/>
  <c r="JP43" i="1"/>
  <c r="JQ43" i="1"/>
  <c r="LM43" i="1" s="1"/>
  <c r="JR43" i="1"/>
  <c r="LN43" i="1" s="1"/>
  <c r="JS43" i="1"/>
  <c r="LO43" i="1" s="1"/>
  <c r="JT43" i="1"/>
  <c r="LP43" i="1" s="1"/>
  <c r="JU43" i="1"/>
  <c r="LQ43" i="1" s="1"/>
  <c r="JV43" i="1"/>
  <c r="LR43" i="1" s="1"/>
  <c r="JW43" i="1"/>
  <c r="LS43" i="1" s="1"/>
  <c r="JX43" i="1"/>
  <c r="LT43" i="1" s="1"/>
  <c r="JY43" i="1"/>
  <c r="LU43" i="1" s="1"/>
  <c r="JZ43" i="1"/>
  <c r="LV43" i="1" s="1"/>
  <c r="KA43" i="1"/>
  <c r="LW43" i="1" s="1"/>
  <c r="KB43" i="1"/>
  <c r="LX43" i="1" s="1"/>
  <c r="KC43" i="1"/>
  <c r="LY43" i="1" s="1"/>
  <c r="KD43" i="1"/>
  <c r="LZ43" i="1" s="1"/>
  <c r="KE43" i="1"/>
  <c r="MA43" i="1" s="1"/>
  <c r="JP44" i="1"/>
  <c r="JQ44" i="1"/>
  <c r="LM44" i="1" s="1"/>
  <c r="JR44" i="1"/>
  <c r="LN44" i="1" s="1"/>
  <c r="JS44" i="1"/>
  <c r="LO44" i="1" s="1"/>
  <c r="JT44" i="1"/>
  <c r="LP44" i="1" s="1"/>
  <c r="JU44" i="1"/>
  <c r="LQ44" i="1" s="1"/>
  <c r="JV44" i="1"/>
  <c r="LR44" i="1" s="1"/>
  <c r="JW44" i="1"/>
  <c r="LS44" i="1" s="1"/>
  <c r="JX44" i="1"/>
  <c r="LT44" i="1" s="1"/>
  <c r="JY44" i="1"/>
  <c r="LU44" i="1" s="1"/>
  <c r="JZ44" i="1"/>
  <c r="LV44" i="1" s="1"/>
  <c r="KA44" i="1"/>
  <c r="LW44" i="1" s="1"/>
  <c r="KB44" i="1"/>
  <c r="LX44" i="1" s="1"/>
  <c r="KC44" i="1"/>
  <c r="LY44" i="1" s="1"/>
  <c r="KD44" i="1"/>
  <c r="LZ44" i="1" s="1"/>
  <c r="KE44" i="1"/>
  <c r="MA44" i="1" s="1"/>
  <c r="JP45" i="1"/>
  <c r="JQ45" i="1"/>
  <c r="LM45" i="1" s="1"/>
  <c r="JR45" i="1"/>
  <c r="LN45" i="1" s="1"/>
  <c r="JS45" i="1"/>
  <c r="LO45" i="1" s="1"/>
  <c r="JT45" i="1"/>
  <c r="LP45" i="1" s="1"/>
  <c r="JU45" i="1"/>
  <c r="LQ45" i="1" s="1"/>
  <c r="JV45" i="1"/>
  <c r="LR45" i="1" s="1"/>
  <c r="JW45" i="1"/>
  <c r="LS45" i="1" s="1"/>
  <c r="JX45" i="1"/>
  <c r="LT45" i="1" s="1"/>
  <c r="JY45" i="1"/>
  <c r="LU45" i="1" s="1"/>
  <c r="JZ45" i="1"/>
  <c r="LV45" i="1" s="1"/>
  <c r="KA45" i="1"/>
  <c r="LW45" i="1" s="1"/>
  <c r="KB45" i="1"/>
  <c r="LX45" i="1" s="1"/>
  <c r="KC45" i="1"/>
  <c r="LY45" i="1" s="1"/>
  <c r="KD45" i="1"/>
  <c r="LZ45" i="1" s="1"/>
  <c r="KE45" i="1"/>
  <c r="MA45" i="1" s="1"/>
  <c r="JP46" i="1"/>
  <c r="JQ46" i="1"/>
  <c r="LM46" i="1" s="1"/>
  <c r="JR46" i="1"/>
  <c r="LN46" i="1" s="1"/>
  <c r="JS46" i="1"/>
  <c r="LO46" i="1" s="1"/>
  <c r="JT46" i="1"/>
  <c r="LP46" i="1" s="1"/>
  <c r="JU46" i="1"/>
  <c r="LQ46" i="1" s="1"/>
  <c r="JV46" i="1"/>
  <c r="LR46" i="1" s="1"/>
  <c r="JW46" i="1"/>
  <c r="LS46" i="1" s="1"/>
  <c r="JX46" i="1"/>
  <c r="LT46" i="1" s="1"/>
  <c r="JY46" i="1"/>
  <c r="LU46" i="1" s="1"/>
  <c r="JZ46" i="1"/>
  <c r="LV46" i="1" s="1"/>
  <c r="KA46" i="1"/>
  <c r="LW46" i="1" s="1"/>
  <c r="KB46" i="1"/>
  <c r="LX46" i="1" s="1"/>
  <c r="KC46" i="1"/>
  <c r="LY46" i="1" s="1"/>
  <c r="KD46" i="1"/>
  <c r="LZ46" i="1" s="1"/>
  <c r="KE46" i="1"/>
  <c r="MA46" i="1" s="1"/>
  <c r="JP3" i="1"/>
  <c r="JQ3" i="1"/>
  <c r="LM3" i="1" s="1"/>
  <c r="JR3" i="1"/>
  <c r="LN3" i="1" s="1"/>
  <c r="JS3" i="1"/>
  <c r="LO3" i="1" s="1"/>
  <c r="JT3" i="1"/>
  <c r="LP3" i="1" s="1"/>
  <c r="JU3" i="1"/>
  <c r="LQ3" i="1" s="1"/>
  <c r="JV3" i="1"/>
  <c r="LR3" i="1" s="1"/>
  <c r="JW3" i="1"/>
  <c r="LS3" i="1" s="1"/>
  <c r="JX3" i="1"/>
  <c r="LT3" i="1" s="1"/>
  <c r="JY3" i="1"/>
  <c r="LU3" i="1" s="1"/>
  <c r="JZ3" i="1"/>
  <c r="LV3" i="1" s="1"/>
  <c r="KA3" i="1"/>
  <c r="LW3" i="1" s="1"/>
  <c r="KB3" i="1"/>
  <c r="LX3" i="1" s="1"/>
  <c r="KC3" i="1"/>
  <c r="LY3" i="1" s="1"/>
  <c r="KD3" i="1"/>
  <c r="LZ3" i="1" s="1"/>
  <c r="KE3" i="1"/>
  <c r="MA3" i="1" s="1"/>
  <c r="JP47" i="1"/>
  <c r="JQ47" i="1"/>
  <c r="LM47" i="1" s="1"/>
  <c r="JR47" i="1"/>
  <c r="LN47" i="1" s="1"/>
  <c r="JS47" i="1"/>
  <c r="LO47" i="1" s="1"/>
  <c r="JT47" i="1"/>
  <c r="LP47" i="1" s="1"/>
  <c r="JU47" i="1"/>
  <c r="LQ47" i="1" s="1"/>
  <c r="JV47" i="1"/>
  <c r="LR47" i="1" s="1"/>
  <c r="JW47" i="1"/>
  <c r="LS47" i="1" s="1"/>
  <c r="JX47" i="1"/>
  <c r="LT47" i="1" s="1"/>
  <c r="JY47" i="1"/>
  <c r="LU47" i="1" s="1"/>
  <c r="JZ47" i="1"/>
  <c r="LV47" i="1" s="1"/>
  <c r="KA47" i="1"/>
  <c r="LW47" i="1" s="1"/>
  <c r="KB47" i="1"/>
  <c r="LX47" i="1" s="1"/>
  <c r="KC47" i="1"/>
  <c r="LY47" i="1" s="1"/>
  <c r="KD47" i="1"/>
  <c r="LZ47" i="1" s="1"/>
  <c r="KE47" i="1"/>
  <c r="MA47" i="1" s="1"/>
  <c r="JP48" i="1"/>
  <c r="JQ48" i="1"/>
  <c r="LM48" i="1" s="1"/>
  <c r="JR48" i="1"/>
  <c r="LN48" i="1" s="1"/>
  <c r="JS48" i="1"/>
  <c r="LO48" i="1" s="1"/>
  <c r="JT48" i="1"/>
  <c r="LP48" i="1" s="1"/>
  <c r="JU48" i="1"/>
  <c r="LQ48" i="1" s="1"/>
  <c r="JV48" i="1"/>
  <c r="LR48" i="1" s="1"/>
  <c r="JW48" i="1"/>
  <c r="LS48" i="1" s="1"/>
  <c r="JX48" i="1"/>
  <c r="LT48" i="1" s="1"/>
  <c r="JY48" i="1"/>
  <c r="LU48" i="1" s="1"/>
  <c r="JZ48" i="1"/>
  <c r="LV48" i="1" s="1"/>
  <c r="KA48" i="1"/>
  <c r="LW48" i="1" s="1"/>
  <c r="KB48" i="1"/>
  <c r="LX48" i="1" s="1"/>
  <c r="KC48" i="1"/>
  <c r="LY48" i="1" s="1"/>
  <c r="KD48" i="1"/>
  <c r="LZ48" i="1" s="1"/>
  <c r="KE48" i="1"/>
  <c r="MA48" i="1" s="1"/>
  <c r="JP49" i="1"/>
  <c r="JQ49" i="1"/>
  <c r="LM49" i="1" s="1"/>
  <c r="JR49" i="1"/>
  <c r="LN49" i="1" s="1"/>
  <c r="JS49" i="1"/>
  <c r="LO49" i="1" s="1"/>
  <c r="JT49" i="1"/>
  <c r="LP49" i="1" s="1"/>
  <c r="JU49" i="1"/>
  <c r="LQ49" i="1" s="1"/>
  <c r="JV49" i="1"/>
  <c r="LR49" i="1" s="1"/>
  <c r="JW49" i="1"/>
  <c r="LS49" i="1" s="1"/>
  <c r="JX49" i="1"/>
  <c r="LT49" i="1" s="1"/>
  <c r="JY49" i="1"/>
  <c r="LU49" i="1" s="1"/>
  <c r="JZ49" i="1"/>
  <c r="LV49" i="1" s="1"/>
  <c r="KA49" i="1"/>
  <c r="LW49" i="1" s="1"/>
  <c r="KB49" i="1"/>
  <c r="LX49" i="1" s="1"/>
  <c r="KC49" i="1"/>
  <c r="LY49" i="1" s="1"/>
  <c r="KD49" i="1"/>
  <c r="LZ49" i="1" s="1"/>
  <c r="KE49" i="1"/>
  <c r="MA49" i="1" s="1"/>
  <c r="JP50" i="1"/>
  <c r="JQ50" i="1"/>
  <c r="LM50" i="1" s="1"/>
  <c r="JR50" i="1"/>
  <c r="LN50" i="1" s="1"/>
  <c r="JS50" i="1"/>
  <c r="LO50" i="1" s="1"/>
  <c r="JT50" i="1"/>
  <c r="LP50" i="1" s="1"/>
  <c r="JU50" i="1"/>
  <c r="LQ50" i="1" s="1"/>
  <c r="JV50" i="1"/>
  <c r="LR50" i="1" s="1"/>
  <c r="JW50" i="1"/>
  <c r="LS50" i="1" s="1"/>
  <c r="JX50" i="1"/>
  <c r="LT50" i="1" s="1"/>
  <c r="JY50" i="1"/>
  <c r="LU50" i="1" s="1"/>
  <c r="JZ50" i="1"/>
  <c r="LV50" i="1" s="1"/>
  <c r="KA50" i="1"/>
  <c r="LW50" i="1" s="1"/>
  <c r="KB50" i="1"/>
  <c r="LX50" i="1" s="1"/>
  <c r="KC50" i="1"/>
  <c r="LY50" i="1" s="1"/>
  <c r="KD50" i="1"/>
  <c r="LZ50" i="1" s="1"/>
  <c r="KE50" i="1"/>
  <c r="MA50" i="1" s="1"/>
  <c r="JP51" i="1"/>
  <c r="JQ51" i="1"/>
  <c r="LM51" i="1" s="1"/>
  <c r="JR51" i="1"/>
  <c r="LN51" i="1" s="1"/>
  <c r="JS51" i="1"/>
  <c r="LO51" i="1" s="1"/>
  <c r="JT51" i="1"/>
  <c r="LP51" i="1" s="1"/>
  <c r="JU51" i="1"/>
  <c r="LQ51" i="1" s="1"/>
  <c r="JV51" i="1"/>
  <c r="LR51" i="1" s="1"/>
  <c r="JW51" i="1"/>
  <c r="LS51" i="1" s="1"/>
  <c r="JX51" i="1"/>
  <c r="LT51" i="1" s="1"/>
  <c r="JY51" i="1"/>
  <c r="LU51" i="1" s="1"/>
  <c r="JZ51" i="1"/>
  <c r="LV51" i="1" s="1"/>
  <c r="KA51" i="1"/>
  <c r="LW51" i="1" s="1"/>
  <c r="KB51" i="1"/>
  <c r="LX51" i="1" s="1"/>
  <c r="KC51" i="1"/>
  <c r="LY51" i="1" s="1"/>
  <c r="KD51" i="1"/>
  <c r="LZ51" i="1" s="1"/>
  <c r="KE51" i="1"/>
  <c r="MA51" i="1" s="1"/>
  <c r="JP52" i="1"/>
  <c r="JQ52" i="1"/>
  <c r="LM52" i="1" s="1"/>
  <c r="JR52" i="1"/>
  <c r="LN52" i="1" s="1"/>
  <c r="JS52" i="1"/>
  <c r="LO52" i="1" s="1"/>
  <c r="JT52" i="1"/>
  <c r="LP52" i="1" s="1"/>
  <c r="JU52" i="1"/>
  <c r="LQ52" i="1" s="1"/>
  <c r="JV52" i="1"/>
  <c r="LR52" i="1" s="1"/>
  <c r="JW52" i="1"/>
  <c r="LS52" i="1" s="1"/>
  <c r="JX52" i="1"/>
  <c r="LT52" i="1" s="1"/>
  <c r="JY52" i="1"/>
  <c r="LU52" i="1" s="1"/>
  <c r="JZ52" i="1"/>
  <c r="LV52" i="1" s="1"/>
  <c r="KA52" i="1"/>
  <c r="LW52" i="1" s="1"/>
  <c r="KB52" i="1"/>
  <c r="LX52" i="1" s="1"/>
  <c r="KC52" i="1"/>
  <c r="LY52" i="1" s="1"/>
  <c r="KD52" i="1"/>
  <c r="LZ52" i="1" s="1"/>
  <c r="KE52" i="1"/>
  <c r="MA52" i="1" s="1"/>
  <c r="JP53" i="1"/>
  <c r="JQ53" i="1"/>
  <c r="LM53" i="1" s="1"/>
  <c r="JR53" i="1"/>
  <c r="LN53" i="1" s="1"/>
  <c r="JS53" i="1"/>
  <c r="LO53" i="1" s="1"/>
  <c r="JT53" i="1"/>
  <c r="LP53" i="1" s="1"/>
  <c r="JU53" i="1"/>
  <c r="LQ53" i="1" s="1"/>
  <c r="JV53" i="1"/>
  <c r="LR53" i="1" s="1"/>
  <c r="JW53" i="1"/>
  <c r="LS53" i="1" s="1"/>
  <c r="JX53" i="1"/>
  <c r="LT53" i="1" s="1"/>
  <c r="JY53" i="1"/>
  <c r="LU53" i="1" s="1"/>
  <c r="JZ53" i="1"/>
  <c r="LV53" i="1" s="1"/>
  <c r="KA53" i="1"/>
  <c r="LW53" i="1" s="1"/>
  <c r="KB53" i="1"/>
  <c r="LX53" i="1" s="1"/>
  <c r="KC53" i="1"/>
  <c r="LY53" i="1" s="1"/>
  <c r="KD53" i="1"/>
  <c r="LZ53" i="1" s="1"/>
  <c r="KE53" i="1"/>
  <c r="MA53" i="1" s="1"/>
  <c r="JP54" i="1"/>
  <c r="JQ54" i="1"/>
  <c r="LM54" i="1" s="1"/>
  <c r="JR54" i="1"/>
  <c r="LN54" i="1" s="1"/>
  <c r="JS54" i="1"/>
  <c r="LO54" i="1" s="1"/>
  <c r="JT54" i="1"/>
  <c r="LP54" i="1" s="1"/>
  <c r="JU54" i="1"/>
  <c r="LQ54" i="1" s="1"/>
  <c r="JV54" i="1"/>
  <c r="LR54" i="1" s="1"/>
  <c r="JW54" i="1"/>
  <c r="LS54" i="1" s="1"/>
  <c r="JX54" i="1"/>
  <c r="LT54" i="1" s="1"/>
  <c r="JY54" i="1"/>
  <c r="LU54" i="1" s="1"/>
  <c r="JZ54" i="1"/>
  <c r="LV54" i="1" s="1"/>
  <c r="KA54" i="1"/>
  <c r="LW54" i="1" s="1"/>
  <c r="KB54" i="1"/>
  <c r="LX54" i="1" s="1"/>
  <c r="KC54" i="1"/>
  <c r="LY54" i="1" s="1"/>
  <c r="KD54" i="1"/>
  <c r="LZ54" i="1" s="1"/>
  <c r="KE54" i="1"/>
  <c r="MA54" i="1" s="1"/>
  <c r="JP4" i="1"/>
  <c r="JQ4" i="1"/>
  <c r="LM4" i="1" s="1"/>
  <c r="JR4" i="1"/>
  <c r="LN4" i="1" s="1"/>
  <c r="JS4" i="1"/>
  <c r="LO4" i="1" s="1"/>
  <c r="JT4" i="1"/>
  <c r="LP4" i="1" s="1"/>
  <c r="JU4" i="1"/>
  <c r="LQ4" i="1" s="1"/>
  <c r="JV4" i="1"/>
  <c r="LR4" i="1" s="1"/>
  <c r="JW4" i="1"/>
  <c r="LS4" i="1" s="1"/>
  <c r="JX4" i="1"/>
  <c r="LT4" i="1" s="1"/>
  <c r="JY4" i="1"/>
  <c r="LU4" i="1" s="1"/>
  <c r="JZ4" i="1"/>
  <c r="LV4" i="1" s="1"/>
  <c r="KA4" i="1"/>
  <c r="LW4" i="1" s="1"/>
  <c r="KB4" i="1"/>
  <c r="LX4" i="1" s="1"/>
  <c r="KC4" i="1"/>
  <c r="LY4" i="1" s="1"/>
  <c r="KD4" i="1"/>
  <c r="LZ4" i="1" s="1"/>
  <c r="KE4" i="1"/>
  <c r="MA4" i="1" s="1"/>
  <c r="JP55" i="1"/>
  <c r="JQ55" i="1"/>
  <c r="LM55" i="1" s="1"/>
  <c r="JR55" i="1"/>
  <c r="LN55" i="1" s="1"/>
  <c r="JS55" i="1"/>
  <c r="LO55" i="1" s="1"/>
  <c r="JT55" i="1"/>
  <c r="LP55" i="1" s="1"/>
  <c r="JU55" i="1"/>
  <c r="LQ55" i="1" s="1"/>
  <c r="JV55" i="1"/>
  <c r="LR55" i="1" s="1"/>
  <c r="JW55" i="1"/>
  <c r="LS55" i="1" s="1"/>
  <c r="JX55" i="1"/>
  <c r="LT55" i="1" s="1"/>
  <c r="JY55" i="1"/>
  <c r="LU55" i="1" s="1"/>
  <c r="JZ55" i="1"/>
  <c r="LV55" i="1" s="1"/>
  <c r="KA55" i="1"/>
  <c r="LW55" i="1" s="1"/>
  <c r="KB55" i="1"/>
  <c r="LX55" i="1" s="1"/>
  <c r="KC55" i="1"/>
  <c r="LY55" i="1" s="1"/>
  <c r="KD55" i="1"/>
  <c r="LZ55" i="1" s="1"/>
  <c r="KE55" i="1"/>
  <c r="MA55" i="1" s="1"/>
  <c r="JP5" i="1"/>
  <c r="JQ5" i="1"/>
  <c r="LM5" i="1" s="1"/>
  <c r="JR5" i="1"/>
  <c r="LN5" i="1" s="1"/>
  <c r="JS5" i="1"/>
  <c r="LO5" i="1" s="1"/>
  <c r="JT5" i="1"/>
  <c r="LP5" i="1" s="1"/>
  <c r="JU5" i="1"/>
  <c r="LQ5" i="1" s="1"/>
  <c r="JV5" i="1"/>
  <c r="LR5" i="1" s="1"/>
  <c r="JW5" i="1"/>
  <c r="LS5" i="1" s="1"/>
  <c r="JX5" i="1"/>
  <c r="LT5" i="1" s="1"/>
  <c r="JY5" i="1"/>
  <c r="LU5" i="1" s="1"/>
  <c r="JZ5" i="1"/>
  <c r="LV5" i="1" s="1"/>
  <c r="KA5" i="1"/>
  <c r="LW5" i="1" s="1"/>
  <c r="KB5" i="1"/>
  <c r="LX5" i="1" s="1"/>
  <c r="KC5" i="1"/>
  <c r="LY5" i="1" s="1"/>
  <c r="KD5" i="1"/>
  <c r="LZ5" i="1" s="1"/>
  <c r="KE5" i="1"/>
  <c r="MA5" i="1" s="1"/>
  <c r="JP56" i="1"/>
  <c r="JQ56" i="1"/>
  <c r="LM56" i="1" s="1"/>
  <c r="JR56" i="1"/>
  <c r="LN56" i="1" s="1"/>
  <c r="JS56" i="1"/>
  <c r="LO56" i="1" s="1"/>
  <c r="JT56" i="1"/>
  <c r="LP56" i="1" s="1"/>
  <c r="JU56" i="1"/>
  <c r="LQ56" i="1" s="1"/>
  <c r="JV56" i="1"/>
  <c r="LR56" i="1" s="1"/>
  <c r="JW56" i="1"/>
  <c r="LS56" i="1" s="1"/>
  <c r="JX56" i="1"/>
  <c r="LT56" i="1" s="1"/>
  <c r="JY56" i="1"/>
  <c r="LU56" i="1" s="1"/>
  <c r="JZ56" i="1"/>
  <c r="LV56" i="1" s="1"/>
  <c r="KA56" i="1"/>
  <c r="LW56" i="1" s="1"/>
  <c r="KB56" i="1"/>
  <c r="LX56" i="1" s="1"/>
  <c r="KC56" i="1"/>
  <c r="LY56" i="1" s="1"/>
  <c r="KD56" i="1"/>
  <c r="LZ56" i="1" s="1"/>
  <c r="KE56" i="1"/>
  <c r="MA56" i="1" s="1"/>
  <c r="JP57" i="1"/>
  <c r="JQ57" i="1"/>
  <c r="LM57" i="1" s="1"/>
  <c r="JR57" i="1"/>
  <c r="LN57" i="1" s="1"/>
  <c r="JS57" i="1"/>
  <c r="LO57" i="1" s="1"/>
  <c r="JT57" i="1"/>
  <c r="LP57" i="1" s="1"/>
  <c r="JU57" i="1"/>
  <c r="LQ57" i="1" s="1"/>
  <c r="JV57" i="1"/>
  <c r="LR57" i="1" s="1"/>
  <c r="JW57" i="1"/>
  <c r="LS57" i="1" s="1"/>
  <c r="JX57" i="1"/>
  <c r="LT57" i="1" s="1"/>
  <c r="JY57" i="1"/>
  <c r="LU57" i="1" s="1"/>
  <c r="JZ57" i="1"/>
  <c r="LV57" i="1" s="1"/>
  <c r="KA57" i="1"/>
  <c r="LW57" i="1" s="1"/>
  <c r="KB57" i="1"/>
  <c r="LX57" i="1" s="1"/>
  <c r="KC57" i="1"/>
  <c r="LY57" i="1" s="1"/>
  <c r="KD57" i="1"/>
  <c r="LZ57" i="1" s="1"/>
  <c r="KE57" i="1"/>
  <c r="MA57" i="1" s="1"/>
  <c r="JP58" i="1"/>
  <c r="JQ58" i="1"/>
  <c r="LM58" i="1" s="1"/>
  <c r="JR58" i="1"/>
  <c r="LN58" i="1" s="1"/>
  <c r="JS58" i="1"/>
  <c r="LO58" i="1" s="1"/>
  <c r="JT58" i="1"/>
  <c r="LP58" i="1" s="1"/>
  <c r="JU58" i="1"/>
  <c r="LQ58" i="1" s="1"/>
  <c r="JV58" i="1"/>
  <c r="LR58" i="1" s="1"/>
  <c r="JW58" i="1"/>
  <c r="LS58" i="1" s="1"/>
  <c r="JX58" i="1"/>
  <c r="LT58" i="1" s="1"/>
  <c r="JY58" i="1"/>
  <c r="LU58" i="1" s="1"/>
  <c r="JZ58" i="1"/>
  <c r="LV58" i="1" s="1"/>
  <c r="KA58" i="1"/>
  <c r="LW58" i="1" s="1"/>
  <c r="KB58" i="1"/>
  <c r="LX58" i="1" s="1"/>
  <c r="KC58" i="1"/>
  <c r="LY58" i="1" s="1"/>
  <c r="KD58" i="1"/>
  <c r="LZ58" i="1" s="1"/>
  <c r="KE58" i="1"/>
  <c r="MA58" i="1" s="1"/>
  <c r="JP59" i="1"/>
  <c r="JQ59" i="1"/>
  <c r="LM59" i="1" s="1"/>
  <c r="JR59" i="1"/>
  <c r="LN59" i="1" s="1"/>
  <c r="JS59" i="1"/>
  <c r="LO59" i="1" s="1"/>
  <c r="JT59" i="1"/>
  <c r="LP59" i="1" s="1"/>
  <c r="JU59" i="1"/>
  <c r="LQ59" i="1" s="1"/>
  <c r="JV59" i="1"/>
  <c r="LR59" i="1" s="1"/>
  <c r="JW59" i="1"/>
  <c r="LS59" i="1" s="1"/>
  <c r="JX59" i="1"/>
  <c r="LT59" i="1" s="1"/>
  <c r="JY59" i="1"/>
  <c r="LU59" i="1" s="1"/>
  <c r="JZ59" i="1"/>
  <c r="LV59" i="1" s="1"/>
  <c r="KA59" i="1"/>
  <c r="LW59" i="1" s="1"/>
  <c r="KB59" i="1"/>
  <c r="LX59" i="1" s="1"/>
  <c r="KC59" i="1"/>
  <c r="LY59" i="1" s="1"/>
  <c r="KD59" i="1"/>
  <c r="LZ59" i="1" s="1"/>
  <c r="KE59" i="1"/>
  <c r="MA59" i="1" s="1"/>
  <c r="JP60" i="1"/>
  <c r="JQ60" i="1"/>
  <c r="LM60" i="1" s="1"/>
  <c r="JR60" i="1"/>
  <c r="LN60" i="1" s="1"/>
  <c r="JS60" i="1"/>
  <c r="LO60" i="1" s="1"/>
  <c r="JT60" i="1"/>
  <c r="LP60" i="1" s="1"/>
  <c r="JU60" i="1"/>
  <c r="LQ60" i="1" s="1"/>
  <c r="JV60" i="1"/>
  <c r="LR60" i="1" s="1"/>
  <c r="JW60" i="1"/>
  <c r="LS60" i="1" s="1"/>
  <c r="JX60" i="1"/>
  <c r="LT60" i="1" s="1"/>
  <c r="JY60" i="1"/>
  <c r="LU60" i="1" s="1"/>
  <c r="JZ60" i="1"/>
  <c r="LV60" i="1" s="1"/>
  <c r="KA60" i="1"/>
  <c r="LW60" i="1" s="1"/>
  <c r="KB60" i="1"/>
  <c r="LX60" i="1" s="1"/>
  <c r="KC60" i="1"/>
  <c r="LY60" i="1" s="1"/>
  <c r="KD60" i="1"/>
  <c r="LZ60" i="1" s="1"/>
  <c r="KE60" i="1"/>
  <c r="MA60" i="1" s="1"/>
  <c r="JP61" i="1"/>
  <c r="JQ61" i="1"/>
  <c r="LM61" i="1" s="1"/>
  <c r="JR61" i="1"/>
  <c r="LN61" i="1" s="1"/>
  <c r="JS61" i="1"/>
  <c r="LO61" i="1" s="1"/>
  <c r="JT61" i="1"/>
  <c r="LP61" i="1" s="1"/>
  <c r="JU61" i="1"/>
  <c r="LQ61" i="1" s="1"/>
  <c r="JV61" i="1"/>
  <c r="LR61" i="1" s="1"/>
  <c r="JW61" i="1"/>
  <c r="LS61" i="1" s="1"/>
  <c r="JX61" i="1"/>
  <c r="LT61" i="1" s="1"/>
  <c r="JY61" i="1"/>
  <c r="LU61" i="1" s="1"/>
  <c r="JZ61" i="1"/>
  <c r="LV61" i="1" s="1"/>
  <c r="KA61" i="1"/>
  <c r="LW61" i="1" s="1"/>
  <c r="KB61" i="1"/>
  <c r="LX61" i="1" s="1"/>
  <c r="KC61" i="1"/>
  <c r="LY61" i="1" s="1"/>
  <c r="KD61" i="1"/>
  <c r="LZ61" i="1" s="1"/>
  <c r="KE61" i="1"/>
  <c r="MA61" i="1" s="1"/>
  <c r="JP62" i="1"/>
  <c r="JQ62" i="1"/>
  <c r="LM62" i="1" s="1"/>
  <c r="JR62" i="1"/>
  <c r="LN62" i="1" s="1"/>
  <c r="JS62" i="1"/>
  <c r="LO62" i="1" s="1"/>
  <c r="JT62" i="1"/>
  <c r="LP62" i="1" s="1"/>
  <c r="JU62" i="1"/>
  <c r="LQ62" i="1" s="1"/>
  <c r="JV62" i="1"/>
  <c r="LR62" i="1" s="1"/>
  <c r="JW62" i="1"/>
  <c r="LS62" i="1" s="1"/>
  <c r="JX62" i="1"/>
  <c r="LT62" i="1" s="1"/>
  <c r="JY62" i="1"/>
  <c r="LU62" i="1" s="1"/>
  <c r="JZ62" i="1"/>
  <c r="LV62" i="1" s="1"/>
  <c r="KA62" i="1"/>
  <c r="LW62" i="1" s="1"/>
  <c r="KB62" i="1"/>
  <c r="LX62" i="1" s="1"/>
  <c r="KC62" i="1"/>
  <c r="LY62" i="1" s="1"/>
  <c r="KD62" i="1"/>
  <c r="LZ62" i="1" s="1"/>
  <c r="KE62" i="1"/>
  <c r="MA62" i="1" s="1"/>
  <c r="JP63" i="1"/>
  <c r="JQ63" i="1"/>
  <c r="LM63" i="1" s="1"/>
  <c r="JR63" i="1"/>
  <c r="LN63" i="1" s="1"/>
  <c r="JS63" i="1"/>
  <c r="LO63" i="1" s="1"/>
  <c r="JT63" i="1"/>
  <c r="LP63" i="1" s="1"/>
  <c r="JU63" i="1"/>
  <c r="LQ63" i="1" s="1"/>
  <c r="JV63" i="1"/>
  <c r="LR63" i="1" s="1"/>
  <c r="JW63" i="1"/>
  <c r="LS63" i="1" s="1"/>
  <c r="JX63" i="1"/>
  <c r="LT63" i="1" s="1"/>
  <c r="JY63" i="1"/>
  <c r="LU63" i="1" s="1"/>
  <c r="JZ63" i="1"/>
  <c r="LV63" i="1" s="1"/>
  <c r="KA63" i="1"/>
  <c r="LW63" i="1" s="1"/>
  <c r="KB63" i="1"/>
  <c r="LX63" i="1" s="1"/>
  <c r="KC63" i="1"/>
  <c r="LY63" i="1" s="1"/>
  <c r="KD63" i="1"/>
  <c r="LZ63" i="1" s="1"/>
  <c r="KE63" i="1"/>
  <c r="MA63" i="1" s="1"/>
  <c r="JP65" i="1"/>
  <c r="JQ65" i="1"/>
  <c r="LM65" i="1" s="1"/>
  <c r="JR65" i="1"/>
  <c r="LN65" i="1" s="1"/>
  <c r="JS65" i="1"/>
  <c r="LO65" i="1" s="1"/>
  <c r="JT65" i="1"/>
  <c r="LP65" i="1" s="1"/>
  <c r="JU65" i="1"/>
  <c r="LQ65" i="1" s="1"/>
  <c r="JV65" i="1"/>
  <c r="LR65" i="1" s="1"/>
  <c r="JW65" i="1"/>
  <c r="LS65" i="1" s="1"/>
  <c r="JX65" i="1"/>
  <c r="LT65" i="1" s="1"/>
  <c r="JY65" i="1"/>
  <c r="LU65" i="1" s="1"/>
  <c r="JZ65" i="1"/>
  <c r="LV65" i="1" s="1"/>
  <c r="KA65" i="1"/>
  <c r="LW65" i="1" s="1"/>
  <c r="KB65" i="1"/>
  <c r="LX65" i="1" s="1"/>
  <c r="KC65" i="1"/>
  <c r="LY65" i="1" s="1"/>
  <c r="KD65" i="1"/>
  <c r="LZ65" i="1" s="1"/>
  <c r="KE65" i="1"/>
  <c r="MA65" i="1" s="1"/>
  <c r="JP64" i="1"/>
  <c r="JQ64" i="1"/>
  <c r="LM64" i="1" s="1"/>
  <c r="JR64" i="1"/>
  <c r="LN64" i="1" s="1"/>
  <c r="JS64" i="1"/>
  <c r="LO64" i="1" s="1"/>
  <c r="JT64" i="1"/>
  <c r="LP64" i="1" s="1"/>
  <c r="JU64" i="1"/>
  <c r="LQ64" i="1" s="1"/>
  <c r="JV64" i="1"/>
  <c r="LR64" i="1" s="1"/>
  <c r="JW64" i="1"/>
  <c r="LS64" i="1" s="1"/>
  <c r="JX64" i="1"/>
  <c r="LT64" i="1" s="1"/>
  <c r="JY64" i="1"/>
  <c r="LU64" i="1" s="1"/>
  <c r="JZ64" i="1"/>
  <c r="LV64" i="1" s="1"/>
  <c r="KA64" i="1"/>
  <c r="LW64" i="1" s="1"/>
  <c r="KB64" i="1"/>
  <c r="LX64" i="1" s="1"/>
  <c r="KC64" i="1"/>
  <c r="LY64" i="1" s="1"/>
  <c r="KD64" i="1"/>
  <c r="LZ64" i="1" s="1"/>
  <c r="KE64" i="1"/>
  <c r="MA64" i="1" s="1"/>
  <c r="JP66" i="1"/>
  <c r="JQ66" i="1"/>
  <c r="LM66" i="1" s="1"/>
  <c r="JR66" i="1"/>
  <c r="LN66" i="1" s="1"/>
  <c r="JS66" i="1"/>
  <c r="LO66" i="1" s="1"/>
  <c r="JT66" i="1"/>
  <c r="LP66" i="1" s="1"/>
  <c r="JU66" i="1"/>
  <c r="LQ66" i="1" s="1"/>
  <c r="JV66" i="1"/>
  <c r="LR66" i="1" s="1"/>
  <c r="JW66" i="1"/>
  <c r="LS66" i="1" s="1"/>
  <c r="JX66" i="1"/>
  <c r="LT66" i="1" s="1"/>
  <c r="JY66" i="1"/>
  <c r="LU66" i="1" s="1"/>
  <c r="JZ66" i="1"/>
  <c r="LV66" i="1" s="1"/>
  <c r="KA66" i="1"/>
  <c r="LW66" i="1" s="1"/>
  <c r="KB66" i="1"/>
  <c r="LX66" i="1" s="1"/>
  <c r="KC66" i="1"/>
  <c r="LY66" i="1" s="1"/>
  <c r="KD66" i="1"/>
  <c r="LZ66" i="1" s="1"/>
  <c r="KE66" i="1"/>
  <c r="MA66" i="1" s="1"/>
  <c r="JP6" i="1"/>
  <c r="JQ6" i="1"/>
  <c r="LM6" i="1" s="1"/>
  <c r="JR6" i="1"/>
  <c r="LN6" i="1" s="1"/>
  <c r="JS6" i="1"/>
  <c r="LO6" i="1" s="1"/>
  <c r="JT6" i="1"/>
  <c r="LP6" i="1" s="1"/>
  <c r="JU6" i="1"/>
  <c r="LQ6" i="1" s="1"/>
  <c r="JV6" i="1"/>
  <c r="LR6" i="1" s="1"/>
  <c r="JW6" i="1"/>
  <c r="LS6" i="1" s="1"/>
  <c r="JX6" i="1"/>
  <c r="LT6" i="1" s="1"/>
  <c r="JY6" i="1"/>
  <c r="LU6" i="1" s="1"/>
  <c r="JZ6" i="1"/>
  <c r="LV6" i="1" s="1"/>
  <c r="KA6" i="1"/>
  <c r="LW6" i="1" s="1"/>
  <c r="KB6" i="1"/>
  <c r="LX6" i="1" s="1"/>
  <c r="KC6" i="1"/>
  <c r="LY6" i="1" s="1"/>
  <c r="KD6" i="1"/>
  <c r="LZ6" i="1" s="1"/>
  <c r="KE6" i="1"/>
  <c r="MA6" i="1" s="1"/>
  <c r="JP7" i="1"/>
  <c r="JQ7" i="1"/>
  <c r="LM7" i="1" s="1"/>
  <c r="JR7" i="1"/>
  <c r="LN7" i="1" s="1"/>
  <c r="JS7" i="1"/>
  <c r="LO7" i="1" s="1"/>
  <c r="JT7" i="1"/>
  <c r="LP7" i="1" s="1"/>
  <c r="JU7" i="1"/>
  <c r="LQ7" i="1" s="1"/>
  <c r="JV7" i="1"/>
  <c r="LR7" i="1" s="1"/>
  <c r="JW7" i="1"/>
  <c r="LS7" i="1" s="1"/>
  <c r="JX7" i="1"/>
  <c r="LT7" i="1" s="1"/>
  <c r="JY7" i="1"/>
  <c r="LU7" i="1" s="1"/>
  <c r="JZ7" i="1"/>
  <c r="LV7" i="1" s="1"/>
  <c r="KA7" i="1"/>
  <c r="LW7" i="1" s="1"/>
  <c r="KB7" i="1"/>
  <c r="LX7" i="1" s="1"/>
  <c r="KC7" i="1"/>
  <c r="LY7" i="1" s="1"/>
  <c r="KD7" i="1"/>
  <c r="LZ7" i="1" s="1"/>
  <c r="KE7" i="1"/>
  <c r="MA7" i="1" s="1"/>
  <c r="JP8" i="1"/>
  <c r="JQ8" i="1"/>
  <c r="LM8" i="1" s="1"/>
  <c r="JR8" i="1"/>
  <c r="LN8" i="1" s="1"/>
  <c r="JS8" i="1"/>
  <c r="LO8" i="1" s="1"/>
  <c r="JT8" i="1"/>
  <c r="LP8" i="1" s="1"/>
  <c r="JU8" i="1"/>
  <c r="LQ8" i="1" s="1"/>
  <c r="JV8" i="1"/>
  <c r="LR8" i="1" s="1"/>
  <c r="JW8" i="1"/>
  <c r="LS8" i="1" s="1"/>
  <c r="JX8" i="1"/>
  <c r="LT8" i="1" s="1"/>
  <c r="JY8" i="1"/>
  <c r="LU8" i="1" s="1"/>
  <c r="JZ8" i="1"/>
  <c r="LV8" i="1" s="1"/>
  <c r="KA8" i="1"/>
  <c r="LW8" i="1" s="1"/>
  <c r="KB8" i="1"/>
  <c r="LX8" i="1" s="1"/>
  <c r="KC8" i="1"/>
  <c r="LY8" i="1" s="1"/>
  <c r="KD8" i="1"/>
  <c r="LZ8" i="1" s="1"/>
  <c r="KE8" i="1"/>
  <c r="MA8" i="1" s="1"/>
  <c r="JP68" i="1"/>
  <c r="JQ68" i="1"/>
  <c r="LM68" i="1" s="1"/>
  <c r="JR68" i="1"/>
  <c r="LN68" i="1" s="1"/>
  <c r="JS68" i="1"/>
  <c r="LO68" i="1" s="1"/>
  <c r="JT68" i="1"/>
  <c r="LP68" i="1" s="1"/>
  <c r="JU68" i="1"/>
  <c r="LQ68" i="1" s="1"/>
  <c r="JV68" i="1"/>
  <c r="LR68" i="1" s="1"/>
  <c r="JW68" i="1"/>
  <c r="LS68" i="1" s="1"/>
  <c r="JX68" i="1"/>
  <c r="LT68" i="1" s="1"/>
  <c r="JY68" i="1"/>
  <c r="LU68" i="1" s="1"/>
  <c r="JZ68" i="1"/>
  <c r="LV68" i="1" s="1"/>
  <c r="KA68" i="1"/>
  <c r="LW68" i="1" s="1"/>
  <c r="KB68" i="1"/>
  <c r="LX68" i="1" s="1"/>
  <c r="KC68" i="1"/>
  <c r="LY68" i="1" s="1"/>
  <c r="KD68" i="1"/>
  <c r="LZ68" i="1" s="1"/>
  <c r="KE68" i="1"/>
  <c r="MA68" i="1" s="1"/>
  <c r="JP67" i="1"/>
  <c r="JQ67" i="1"/>
  <c r="LM67" i="1" s="1"/>
  <c r="JR67" i="1"/>
  <c r="LN67" i="1" s="1"/>
  <c r="JS67" i="1"/>
  <c r="LO67" i="1" s="1"/>
  <c r="JT67" i="1"/>
  <c r="LP67" i="1" s="1"/>
  <c r="JU67" i="1"/>
  <c r="LQ67" i="1" s="1"/>
  <c r="JV67" i="1"/>
  <c r="LR67" i="1" s="1"/>
  <c r="JW67" i="1"/>
  <c r="LS67" i="1" s="1"/>
  <c r="JX67" i="1"/>
  <c r="LT67" i="1" s="1"/>
  <c r="JY67" i="1"/>
  <c r="LU67" i="1" s="1"/>
  <c r="JZ67" i="1"/>
  <c r="LV67" i="1" s="1"/>
  <c r="KA67" i="1"/>
  <c r="LW67" i="1" s="1"/>
  <c r="KB67" i="1"/>
  <c r="LX67" i="1" s="1"/>
  <c r="KC67" i="1"/>
  <c r="LY67" i="1" s="1"/>
  <c r="KD67" i="1"/>
  <c r="LZ67" i="1" s="1"/>
  <c r="KE67" i="1"/>
  <c r="MA67" i="1" s="1"/>
  <c r="JP69" i="1"/>
  <c r="JQ69" i="1"/>
  <c r="LM69" i="1" s="1"/>
  <c r="JR69" i="1"/>
  <c r="LN69" i="1" s="1"/>
  <c r="JS69" i="1"/>
  <c r="LO69" i="1" s="1"/>
  <c r="JT69" i="1"/>
  <c r="LP69" i="1" s="1"/>
  <c r="JU69" i="1"/>
  <c r="LQ69" i="1" s="1"/>
  <c r="JV69" i="1"/>
  <c r="LR69" i="1" s="1"/>
  <c r="JW69" i="1"/>
  <c r="LS69" i="1" s="1"/>
  <c r="JX69" i="1"/>
  <c r="LT69" i="1" s="1"/>
  <c r="JY69" i="1"/>
  <c r="LU69" i="1" s="1"/>
  <c r="JZ69" i="1"/>
  <c r="LV69" i="1" s="1"/>
  <c r="KA69" i="1"/>
  <c r="LW69" i="1" s="1"/>
  <c r="KB69" i="1"/>
  <c r="LX69" i="1" s="1"/>
  <c r="KC69" i="1"/>
  <c r="LY69" i="1" s="1"/>
  <c r="KD69" i="1"/>
  <c r="LZ69" i="1" s="1"/>
  <c r="KE69" i="1"/>
  <c r="MA69" i="1" s="1"/>
  <c r="JP119" i="1"/>
  <c r="JQ119" i="1"/>
  <c r="LM119" i="1" s="1"/>
  <c r="JR119" i="1"/>
  <c r="LN119" i="1" s="1"/>
  <c r="JS119" i="1"/>
  <c r="LO119" i="1" s="1"/>
  <c r="JT119" i="1"/>
  <c r="LP119" i="1" s="1"/>
  <c r="JU119" i="1"/>
  <c r="LQ119" i="1" s="1"/>
  <c r="JV119" i="1"/>
  <c r="LR119" i="1" s="1"/>
  <c r="JW119" i="1"/>
  <c r="LS119" i="1" s="1"/>
  <c r="JX119" i="1"/>
  <c r="LT119" i="1" s="1"/>
  <c r="JY119" i="1"/>
  <c r="LU119" i="1" s="1"/>
  <c r="JZ119" i="1"/>
  <c r="LV119" i="1" s="1"/>
  <c r="KA119" i="1"/>
  <c r="LW119" i="1" s="1"/>
  <c r="KB119" i="1"/>
  <c r="LX119" i="1" s="1"/>
  <c r="KC119" i="1"/>
  <c r="LY119" i="1" s="1"/>
  <c r="KD119" i="1"/>
  <c r="LZ119" i="1" s="1"/>
  <c r="KE119" i="1"/>
  <c r="MA119" i="1" s="1"/>
  <c r="JP73" i="1"/>
  <c r="JQ73" i="1"/>
  <c r="LM73" i="1" s="1"/>
  <c r="JR73" i="1"/>
  <c r="LN73" i="1" s="1"/>
  <c r="JS73" i="1"/>
  <c r="LO73" i="1" s="1"/>
  <c r="JT73" i="1"/>
  <c r="LP73" i="1" s="1"/>
  <c r="JU73" i="1"/>
  <c r="LQ73" i="1" s="1"/>
  <c r="JV73" i="1"/>
  <c r="LR73" i="1" s="1"/>
  <c r="JW73" i="1"/>
  <c r="LS73" i="1" s="1"/>
  <c r="JX73" i="1"/>
  <c r="LT73" i="1" s="1"/>
  <c r="JY73" i="1"/>
  <c r="LU73" i="1" s="1"/>
  <c r="JZ73" i="1"/>
  <c r="LV73" i="1" s="1"/>
  <c r="KA73" i="1"/>
  <c r="LW73" i="1" s="1"/>
  <c r="KB73" i="1"/>
  <c r="LX73" i="1" s="1"/>
  <c r="KC73" i="1"/>
  <c r="LY73" i="1" s="1"/>
  <c r="KD73" i="1"/>
  <c r="LZ73" i="1" s="1"/>
  <c r="KE73" i="1"/>
  <c r="MA73" i="1" s="1"/>
  <c r="JP72" i="1"/>
  <c r="JQ72" i="1"/>
  <c r="LM72" i="1" s="1"/>
  <c r="JR72" i="1"/>
  <c r="LN72" i="1" s="1"/>
  <c r="JS72" i="1"/>
  <c r="LO72" i="1" s="1"/>
  <c r="JT72" i="1"/>
  <c r="LP72" i="1" s="1"/>
  <c r="JU72" i="1"/>
  <c r="LQ72" i="1" s="1"/>
  <c r="JV72" i="1"/>
  <c r="LR72" i="1" s="1"/>
  <c r="JW72" i="1"/>
  <c r="LS72" i="1" s="1"/>
  <c r="JX72" i="1"/>
  <c r="LT72" i="1" s="1"/>
  <c r="JY72" i="1"/>
  <c r="LU72" i="1" s="1"/>
  <c r="JZ72" i="1"/>
  <c r="LV72" i="1" s="1"/>
  <c r="KA72" i="1"/>
  <c r="LW72" i="1" s="1"/>
  <c r="KB72" i="1"/>
  <c r="LX72" i="1" s="1"/>
  <c r="KC72" i="1"/>
  <c r="LY72" i="1" s="1"/>
  <c r="KD72" i="1"/>
  <c r="LZ72" i="1" s="1"/>
  <c r="KE72" i="1"/>
  <c r="MA72" i="1" s="1"/>
  <c r="JP75" i="1"/>
  <c r="JQ75" i="1"/>
  <c r="LM75" i="1" s="1"/>
  <c r="JR75" i="1"/>
  <c r="LN75" i="1" s="1"/>
  <c r="JS75" i="1"/>
  <c r="LO75" i="1" s="1"/>
  <c r="JT75" i="1"/>
  <c r="LP75" i="1" s="1"/>
  <c r="JU75" i="1"/>
  <c r="LQ75" i="1" s="1"/>
  <c r="JV75" i="1"/>
  <c r="LR75" i="1" s="1"/>
  <c r="JW75" i="1"/>
  <c r="LS75" i="1" s="1"/>
  <c r="JX75" i="1"/>
  <c r="LT75" i="1" s="1"/>
  <c r="JY75" i="1"/>
  <c r="LU75" i="1" s="1"/>
  <c r="JZ75" i="1"/>
  <c r="LV75" i="1" s="1"/>
  <c r="KA75" i="1"/>
  <c r="LW75" i="1" s="1"/>
  <c r="KB75" i="1"/>
  <c r="LX75" i="1" s="1"/>
  <c r="KC75" i="1"/>
  <c r="LY75" i="1" s="1"/>
  <c r="KD75" i="1"/>
  <c r="LZ75" i="1" s="1"/>
  <c r="KE75" i="1"/>
  <c r="MA75" i="1" s="1"/>
  <c r="JP74" i="1"/>
  <c r="JQ74" i="1"/>
  <c r="LM74" i="1" s="1"/>
  <c r="JR74" i="1"/>
  <c r="LN74" i="1" s="1"/>
  <c r="JS74" i="1"/>
  <c r="LO74" i="1" s="1"/>
  <c r="JT74" i="1"/>
  <c r="LP74" i="1" s="1"/>
  <c r="JU74" i="1"/>
  <c r="LQ74" i="1" s="1"/>
  <c r="JV74" i="1"/>
  <c r="LR74" i="1" s="1"/>
  <c r="JW74" i="1"/>
  <c r="LS74" i="1" s="1"/>
  <c r="JX74" i="1"/>
  <c r="LT74" i="1" s="1"/>
  <c r="JY74" i="1"/>
  <c r="LU74" i="1" s="1"/>
  <c r="JZ74" i="1"/>
  <c r="LV74" i="1" s="1"/>
  <c r="KA74" i="1"/>
  <c r="LW74" i="1" s="1"/>
  <c r="KB74" i="1"/>
  <c r="LX74" i="1" s="1"/>
  <c r="KC74" i="1"/>
  <c r="LY74" i="1" s="1"/>
  <c r="KD74" i="1"/>
  <c r="LZ74" i="1" s="1"/>
  <c r="KE74" i="1"/>
  <c r="MA74" i="1" s="1"/>
  <c r="JP76" i="1"/>
  <c r="JQ76" i="1"/>
  <c r="LM76" i="1" s="1"/>
  <c r="JR76" i="1"/>
  <c r="LN76" i="1" s="1"/>
  <c r="JS76" i="1"/>
  <c r="LO76" i="1" s="1"/>
  <c r="JT76" i="1"/>
  <c r="LP76" i="1" s="1"/>
  <c r="JU76" i="1"/>
  <c r="LQ76" i="1" s="1"/>
  <c r="JV76" i="1"/>
  <c r="LR76" i="1" s="1"/>
  <c r="JW76" i="1"/>
  <c r="LS76" i="1" s="1"/>
  <c r="JX76" i="1"/>
  <c r="LT76" i="1" s="1"/>
  <c r="JY76" i="1"/>
  <c r="LU76" i="1" s="1"/>
  <c r="JZ76" i="1"/>
  <c r="LV76" i="1" s="1"/>
  <c r="KA76" i="1"/>
  <c r="LW76" i="1" s="1"/>
  <c r="KB76" i="1"/>
  <c r="LX76" i="1" s="1"/>
  <c r="KC76" i="1"/>
  <c r="LY76" i="1" s="1"/>
  <c r="KD76" i="1"/>
  <c r="LZ76" i="1" s="1"/>
  <c r="KE76" i="1"/>
  <c r="MA76" i="1" s="1"/>
  <c r="JP9" i="1"/>
  <c r="JQ9" i="1"/>
  <c r="LM9" i="1" s="1"/>
  <c r="JR9" i="1"/>
  <c r="LN9" i="1" s="1"/>
  <c r="JS9" i="1"/>
  <c r="LO9" i="1" s="1"/>
  <c r="JT9" i="1"/>
  <c r="LP9" i="1" s="1"/>
  <c r="JU9" i="1"/>
  <c r="LQ9" i="1" s="1"/>
  <c r="JV9" i="1"/>
  <c r="LR9" i="1" s="1"/>
  <c r="JW9" i="1"/>
  <c r="LS9" i="1" s="1"/>
  <c r="JX9" i="1"/>
  <c r="LT9" i="1" s="1"/>
  <c r="JY9" i="1"/>
  <c r="LU9" i="1" s="1"/>
  <c r="JZ9" i="1"/>
  <c r="LV9" i="1" s="1"/>
  <c r="KA9" i="1"/>
  <c r="LW9" i="1" s="1"/>
  <c r="KB9" i="1"/>
  <c r="LX9" i="1" s="1"/>
  <c r="KC9" i="1"/>
  <c r="LY9" i="1" s="1"/>
  <c r="KD9" i="1"/>
  <c r="LZ9" i="1" s="1"/>
  <c r="KE9" i="1"/>
  <c r="MA9" i="1" s="1"/>
  <c r="JP10" i="1"/>
  <c r="JQ10" i="1"/>
  <c r="LM10" i="1" s="1"/>
  <c r="JR10" i="1"/>
  <c r="LN10" i="1" s="1"/>
  <c r="JS10" i="1"/>
  <c r="LO10" i="1" s="1"/>
  <c r="JT10" i="1"/>
  <c r="LP10" i="1" s="1"/>
  <c r="JU10" i="1"/>
  <c r="LQ10" i="1" s="1"/>
  <c r="JV10" i="1"/>
  <c r="LR10" i="1" s="1"/>
  <c r="JW10" i="1"/>
  <c r="LS10" i="1" s="1"/>
  <c r="JX10" i="1"/>
  <c r="LT10" i="1" s="1"/>
  <c r="JY10" i="1"/>
  <c r="LU10" i="1" s="1"/>
  <c r="JZ10" i="1"/>
  <c r="LV10" i="1" s="1"/>
  <c r="KA10" i="1"/>
  <c r="LW10" i="1" s="1"/>
  <c r="KB10" i="1"/>
  <c r="LX10" i="1" s="1"/>
  <c r="KC10" i="1"/>
  <c r="LY10" i="1" s="1"/>
  <c r="KD10" i="1"/>
  <c r="LZ10" i="1" s="1"/>
  <c r="KE10" i="1"/>
  <c r="MA10" i="1" s="1"/>
  <c r="JP11" i="1"/>
  <c r="JQ11" i="1"/>
  <c r="LM11" i="1" s="1"/>
  <c r="JR11" i="1"/>
  <c r="LN11" i="1" s="1"/>
  <c r="JS11" i="1"/>
  <c r="LO11" i="1" s="1"/>
  <c r="JT11" i="1"/>
  <c r="LP11" i="1" s="1"/>
  <c r="JU11" i="1"/>
  <c r="LQ11" i="1" s="1"/>
  <c r="JV11" i="1"/>
  <c r="LR11" i="1" s="1"/>
  <c r="JW11" i="1"/>
  <c r="LS11" i="1" s="1"/>
  <c r="JX11" i="1"/>
  <c r="LT11" i="1" s="1"/>
  <c r="JY11" i="1"/>
  <c r="LU11" i="1" s="1"/>
  <c r="JZ11" i="1"/>
  <c r="LV11" i="1" s="1"/>
  <c r="KA11" i="1"/>
  <c r="LW11" i="1" s="1"/>
  <c r="KB11" i="1"/>
  <c r="LX11" i="1" s="1"/>
  <c r="KC11" i="1"/>
  <c r="LY11" i="1" s="1"/>
  <c r="KD11" i="1"/>
  <c r="LZ11" i="1" s="1"/>
  <c r="KE11" i="1"/>
  <c r="MA11" i="1" s="1"/>
  <c r="JP12" i="1"/>
  <c r="JQ12" i="1"/>
  <c r="LM12" i="1" s="1"/>
  <c r="JR12" i="1"/>
  <c r="LN12" i="1" s="1"/>
  <c r="JS12" i="1"/>
  <c r="LO12" i="1" s="1"/>
  <c r="JT12" i="1"/>
  <c r="LP12" i="1" s="1"/>
  <c r="JU12" i="1"/>
  <c r="LQ12" i="1" s="1"/>
  <c r="JV12" i="1"/>
  <c r="LR12" i="1" s="1"/>
  <c r="JW12" i="1"/>
  <c r="LS12" i="1" s="1"/>
  <c r="JX12" i="1"/>
  <c r="LT12" i="1" s="1"/>
  <c r="JY12" i="1"/>
  <c r="LU12" i="1" s="1"/>
  <c r="JZ12" i="1"/>
  <c r="LV12" i="1" s="1"/>
  <c r="KA12" i="1"/>
  <c r="LW12" i="1" s="1"/>
  <c r="KB12" i="1"/>
  <c r="LX12" i="1" s="1"/>
  <c r="KC12" i="1"/>
  <c r="LY12" i="1" s="1"/>
  <c r="KD12" i="1"/>
  <c r="LZ12" i="1" s="1"/>
  <c r="KE12" i="1"/>
  <c r="MA12" i="1" s="1"/>
  <c r="JP13" i="1"/>
  <c r="JQ13" i="1"/>
  <c r="LM13" i="1" s="1"/>
  <c r="JR13" i="1"/>
  <c r="LN13" i="1" s="1"/>
  <c r="JS13" i="1"/>
  <c r="LO13" i="1" s="1"/>
  <c r="JT13" i="1"/>
  <c r="LP13" i="1" s="1"/>
  <c r="JU13" i="1"/>
  <c r="LQ13" i="1" s="1"/>
  <c r="JV13" i="1"/>
  <c r="LR13" i="1" s="1"/>
  <c r="JW13" i="1"/>
  <c r="LS13" i="1" s="1"/>
  <c r="JX13" i="1"/>
  <c r="LT13" i="1" s="1"/>
  <c r="JY13" i="1"/>
  <c r="LU13" i="1" s="1"/>
  <c r="JZ13" i="1"/>
  <c r="LV13" i="1" s="1"/>
  <c r="KA13" i="1"/>
  <c r="LW13" i="1" s="1"/>
  <c r="KB13" i="1"/>
  <c r="LX13" i="1" s="1"/>
  <c r="KC13" i="1"/>
  <c r="LY13" i="1" s="1"/>
  <c r="KD13" i="1"/>
  <c r="LZ13" i="1" s="1"/>
  <c r="KE13" i="1"/>
  <c r="MA13" i="1" s="1"/>
  <c r="JP120" i="1"/>
  <c r="JQ120" i="1"/>
  <c r="LM120" i="1" s="1"/>
  <c r="JR120" i="1"/>
  <c r="LN120" i="1" s="1"/>
  <c r="JS120" i="1"/>
  <c r="LO120" i="1" s="1"/>
  <c r="JT120" i="1"/>
  <c r="LP120" i="1" s="1"/>
  <c r="JU120" i="1"/>
  <c r="LQ120" i="1" s="1"/>
  <c r="JV120" i="1"/>
  <c r="LR120" i="1" s="1"/>
  <c r="JW120" i="1"/>
  <c r="LS120" i="1" s="1"/>
  <c r="JX120" i="1"/>
  <c r="LT120" i="1" s="1"/>
  <c r="JY120" i="1"/>
  <c r="LU120" i="1" s="1"/>
  <c r="JZ120" i="1"/>
  <c r="LV120" i="1" s="1"/>
  <c r="KA120" i="1"/>
  <c r="LW120" i="1" s="1"/>
  <c r="KB120" i="1"/>
  <c r="LX120" i="1" s="1"/>
  <c r="KC120" i="1"/>
  <c r="LY120" i="1" s="1"/>
  <c r="KD120" i="1"/>
  <c r="LZ120" i="1" s="1"/>
  <c r="KE120" i="1"/>
  <c r="MA120" i="1" s="1"/>
  <c r="JP14" i="1"/>
  <c r="JQ14" i="1"/>
  <c r="LM14" i="1" s="1"/>
  <c r="JR14" i="1"/>
  <c r="LN14" i="1" s="1"/>
  <c r="JS14" i="1"/>
  <c r="LO14" i="1" s="1"/>
  <c r="JT14" i="1"/>
  <c r="LP14" i="1" s="1"/>
  <c r="JU14" i="1"/>
  <c r="LQ14" i="1" s="1"/>
  <c r="JV14" i="1"/>
  <c r="LR14" i="1" s="1"/>
  <c r="JW14" i="1"/>
  <c r="LS14" i="1" s="1"/>
  <c r="JX14" i="1"/>
  <c r="LT14" i="1" s="1"/>
  <c r="JY14" i="1"/>
  <c r="LU14" i="1" s="1"/>
  <c r="JZ14" i="1"/>
  <c r="LV14" i="1" s="1"/>
  <c r="KA14" i="1"/>
  <c r="LW14" i="1" s="1"/>
  <c r="KB14" i="1"/>
  <c r="LX14" i="1" s="1"/>
  <c r="KC14" i="1"/>
  <c r="LY14" i="1" s="1"/>
  <c r="KD14" i="1"/>
  <c r="LZ14" i="1" s="1"/>
  <c r="KE14" i="1"/>
  <c r="MA14" i="1" s="1"/>
  <c r="JP78" i="1"/>
  <c r="JQ78" i="1"/>
  <c r="LM78" i="1" s="1"/>
  <c r="JR78" i="1"/>
  <c r="LN78" i="1" s="1"/>
  <c r="JS78" i="1"/>
  <c r="LO78" i="1" s="1"/>
  <c r="JT78" i="1"/>
  <c r="LP78" i="1" s="1"/>
  <c r="JU78" i="1"/>
  <c r="LQ78" i="1" s="1"/>
  <c r="JV78" i="1"/>
  <c r="LR78" i="1" s="1"/>
  <c r="JW78" i="1"/>
  <c r="LS78" i="1" s="1"/>
  <c r="JX78" i="1"/>
  <c r="LT78" i="1" s="1"/>
  <c r="JY78" i="1"/>
  <c r="LU78" i="1" s="1"/>
  <c r="JZ78" i="1"/>
  <c r="LV78" i="1" s="1"/>
  <c r="KA78" i="1"/>
  <c r="LW78" i="1" s="1"/>
  <c r="KB78" i="1"/>
  <c r="LX78" i="1" s="1"/>
  <c r="KC78" i="1"/>
  <c r="LY78" i="1" s="1"/>
  <c r="KD78" i="1"/>
  <c r="LZ78" i="1" s="1"/>
  <c r="KE78" i="1"/>
  <c r="MA78" i="1" s="1"/>
  <c r="JP79" i="1"/>
  <c r="JQ79" i="1"/>
  <c r="LM79" i="1" s="1"/>
  <c r="JR79" i="1"/>
  <c r="LN79" i="1" s="1"/>
  <c r="JS79" i="1"/>
  <c r="LO79" i="1" s="1"/>
  <c r="JT79" i="1"/>
  <c r="LP79" i="1" s="1"/>
  <c r="JU79" i="1"/>
  <c r="LQ79" i="1" s="1"/>
  <c r="JV79" i="1"/>
  <c r="LR79" i="1" s="1"/>
  <c r="JW79" i="1"/>
  <c r="LS79" i="1" s="1"/>
  <c r="JX79" i="1"/>
  <c r="LT79" i="1" s="1"/>
  <c r="JY79" i="1"/>
  <c r="LU79" i="1" s="1"/>
  <c r="JZ79" i="1"/>
  <c r="LV79" i="1" s="1"/>
  <c r="KA79" i="1"/>
  <c r="LW79" i="1" s="1"/>
  <c r="KB79" i="1"/>
  <c r="LX79" i="1" s="1"/>
  <c r="KC79" i="1"/>
  <c r="LY79" i="1" s="1"/>
  <c r="KD79" i="1"/>
  <c r="LZ79" i="1" s="1"/>
  <c r="KE79" i="1"/>
  <c r="MA79" i="1" s="1"/>
  <c r="JP80" i="1"/>
  <c r="JQ80" i="1"/>
  <c r="LM80" i="1" s="1"/>
  <c r="JR80" i="1"/>
  <c r="LN80" i="1" s="1"/>
  <c r="JS80" i="1"/>
  <c r="LO80" i="1" s="1"/>
  <c r="JT80" i="1"/>
  <c r="LP80" i="1" s="1"/>
  <c r="JU80" i="1"/>
  <c r="LQ80" i="1" s="1"/>
  <c r="JV80" i="1"/>
  <c r="LR80" i="1" s="1"/>
  <c r="JW80" i="1"/>
  <c r="LS80" i="1" s="1"/>
  <c r="JX80" i="1"/>
  <c r="LT80" i="1" s="1"/>
  <c r="JY80" i="1"/>
  <c r="LU80" i="1" s="1"/>
  <c r="JZ80" i="1"/>
  <c r="LV80" i="1" s="1"/>
  <c r="KA80" i="1"/>
  <c r="LW80" i="1" s="1"/>
  <c r="KB80" i="1"/>
  <c r="LX80" i="1" s="1"/>
  <c r="KC80" i="1"/>
  <c r="LY80" i="1" s="1"/>
  <c r="KD80" i="1"/>
  <c r="LZ80" i="1" s="1"/>
  <c r="KE80" i="1"/>
  <c r="MA80" i="1" s="1"/>
  <c r="JP15" i="1"/>
  <c r="JQ15" i="1"/>
  <c r="LM15" i="1" s="1"/>
  <c r="JR15" i="1"/>
  <c r="LN15" i="1" s="1"/>
  <c r="JS15" i="1"/>
  <c r="LO15" i="1" s="1"/>
  <c r="JT15" i="1"/>
  <c r="LP15" i="1" s="1"/>
  <c r="JU15" i="1"/>
  <c r="LQ15" i="1" s="1"/>
  <c r="JV15" i="1"/>
  <c r="LR15" i="1" s="1"/>
  <c r="JW15" i="1"/>
  <c r="LS15" i="1" s="1"/>
  <c r="JX15" i="1"/>
  <c r="LT15" i="1" s="1"/>
  <c r="JY15" i="1"/>
  <c r="LU15" i="1" s="1"/>
  <c r="JZ15" i="1"/>
  <c r="LV15" i="1" s="1"/>
  <c r="KA15" i="1"/>
  <c r="LW15" i="1" s="1"/>
  <c r="KB15" i="1"/>
  <c r="LX15" i="1" s="1"/>
  <c r="KC15" i="1"/>
  <c r="LY15" i="1" s="1"/>
  <c r="KD15" i="1"/>
  <c r="LZ15" i="1" s="1"/>
  <c r="KE15" i="1"/>
  <c r="MA15" i="1" s="1"/>
  <c r="JP81" i="1"/>
  <c r="JQ81" i="1"/>
  <c r="LM81" i="1" s="1"/>
  <c r="JR81" i="1"/>
  <c r="LN81" i="1" s="1"/>
  <c r="JS81" i="1"/>
  <c r="LO81" i="1" s="1"/>
  <c r="JT81" i="1"/>
  <c r="LP81" i="1" s="1"/>
  <c r="JU81" i="1"/>
  <c r="LQ81" i="1" s="1"/>
  <c r="JV81" i="1"/>
  <c r="LR81" i="1" s="1"/>
  <c r="JW81" i="1"/>
  <c r="LS81" i="1" s="1"/>
  <c r="JX81" i="1"/>
  <c r="LT81" i="1" s="1"/>
  <c r="JY81" i="1"/>
  <c r="LU81" i="1" s="1"/>
  <c r="JZ81" i="1"/>
  <c r="LV81" i="1" s="1"/>
  <c r="KA81" i="1"/>
  <c r="LW81" i="1" s="1"/>
  <c r="KB81" i="1"/>
  <c r="LX81" i="1" s="1"/>
  <c r="KC81" i="1"/>
  <c r="LY81" i="1" s="1"/>
  <c r="KD81" i="1"/>
  <c r="LZ81" i="1" s="1"/>
  <c r="KE81" i="1"/>
  <c r="MA81" i="1" s="1"/>
  <c r="JP121" i="1"/>
  <c r="JQ121" i="1"/>
  <c r="LM121" i="1" s="1"/>
  <c r="JR121" i="1"/>
  <c r="LN121" i="1" s="1"/>
  <c r="JS121" i="1"/>
  <c r="LO121" i="1" s="1"/>
  <c r="JT121" i="1"/>
  <c r="LP121" i="1" s="1"/>
  <c r="JU121" i="1"/>
  <c r="LQ121" i="1" s="1"/>
  <c r="JV121" i="1"/>
  <c r="LR121" i="1" s="1"/>
  <c r="JW121" i="1"/>
  <c r="LS121" i="1" s="1"/>
  <c r="JX121" i="1"/>
  <c r="LT121" i="1" s="1"/>
  <c r="JY121" i="1"/>
  <c r="LU121" i="1" s="1"/>
  <c r="JZ121" i="1"/>
  <c r="LV121" i="1" s="1"/>
  <c r="KA121" i="1"/>
  <c r="LW121" i="1" s="1"/>
  <c r="KB121" i="1"/>
  <c r="LX121" i="1" s="1"/>
  <c r="KC121" i="1"/>
  <c r="LY121" i="1" s="1"/>
  <c r="KD121" i="1"/>
  <c r="LZ121" i="1" s="1"/>
  <c r="KE121" i="1"/>
  <c r="MA121" i="1" s="1"/>
  <c r="JP82" i="1"/>
  <c r="JQ82" i="1"/>
  <c r="LM82" i="1" s="1"/>
  <c r="JR82" i="1"/>
  <c r="LN82" i="1" s="1"/>
  <c r="JS82" i="1"/>
  <c r="LO82" i="1" s="1"/>
  <c r="JT82" i="1"/>
  <c r="LP82" i="1" s="1"/>
  <c r="JU82" i="1"/>
  <c r="LQ82" i="1" s="1"/>
  <c r="JV82" i="1"/>
  <c r="LR82" i="1" s="1"/>
  <c r="JW82" i="1"/>
  <c r="LS82" i="1" s="1"/>
  <c r="JX82" i="1"/>
  <c r="LT82" i="1" s="1"/>
  <c r="JY82" i="1"/>
  <c r="LU82" i="1" s="1"/>
  <c r="JZ82" i="1"/>
  <c r="LV82" i="1" s="1"/>
  <c r="KA82" i="1"/>
  <c r="LW82" i="1" s="1"/>
  <c r="KB82" i="1"/>
  <c r="LX82" i="1" s="1"/>
  <c r="KC82" i="1"/>
  <c r="LY82" i="1" s="1"/>
  <c r="KD82" i="1"/>
  <c r="LZ82" i="1" s="1"/>
  <c r="KE82" i="1"/>
  <c r="MA82" i="1" s="1"/>
  <c r="JP16" i="1"/>
  <c r="JQ16" i="1"/>
  <c r="LM16" i="1" s="1"/>
  <c r="JR16" i="1"/>
  <c r="LN16" i="1" s="1"/>
  <c r="JS16" i="1"/>
  <c r="LO16" i="1" s="1"/>
  <c r="JT16" i="1"/>
  <c r="LP16" i="1" s="1"/>
  <c r="JU16" i="1"/>
  <c r="LQ16" i="1" s="1"/>
  <c r="JV16" i="1"/>
  <c r="LR16" i="1" s="1"/>
  <c r="JW16" i="1"/>
  <c r="LS16" i="1" s="1"/>
  <c r="JX16" i="1"/>
  <c r="LT16" i="1" s="1"/>
  <c r="JY16" i="1"/>
  <c r="LU16" i="1" s="1"/>
  <c r="JZ16" i="1"/>
  <c r="LV16" i="1" s="1"/>
  <c r="KA16" i="1"/>
  <c r="LW16" i="1" s="1"/>
  <c r="KB16" i="1"/>
  <c r="LX16" i="1" s="1"/>
  <c r="KC16" i="1"/>
  <c r="LY16" i="1" s="1"/>
  <c r="KD16" i="1"/>
  <c r="LZ16" i="1" s="1"/>
  <c r="KE16" i="1"/>
  <c r="MA16" i="1" s="1"/>
  <c r="JP83" i="1"/>
  <c r="JQ83" i="1"/>
  <c r="LM83" i="1" s="1"/>
  <c r="JR83" i="1"/>
  <c r="LN83" i="1" s="1"/>
  <c r="JS83" i="1"/>
  <c r="LO83" i="1" s="1"/>
  <c r="JT83" i="1"/>
  <c r="LP83" i="1" s="1"/>
  <c r="JU83" i="1"/>
  <c r="LQ83" i="1" s="1"/>
  <c r="JV83" i="1"/>
  <c r="LR83" i="1" s="1"/>
  <c r="JW83" i="1"/>
  <c r="LS83" i="1" s="1"/>
  <c r="JX83" i="1"/>
  <c r="LT83" i="1" s="1"/>
  <c r="JY83" i="1"/>
  <c r="LU83" i="1" s="1"/>
  <c r="JZ83" i="1"/>
  <c r="LV83" i="1" s="1"/>
  <c r="KA83" i="1"/>
  <c r="LW83" i="1" s="1"/>
  <c r="KB83" i="1"/>
  <c r="LX83" i="1" s="1"/>
  <c r="KC83" i="1"/>
  <c r="LY83" i="1" s="1"/>
  <c r="KD83" i="1"/>
  <c r="LZ83" i="1" s="1"/>
  <c r="KE83" i="1"/>
  <c r="MA83" i="1" s="1"/>
  <c r="JP85" i="1"/>
  <c r="JQ85" i="1"/>
  <c r="LM85" i="1" s="1"/>
  <c r="JR85" i="1"/>
  <c r="LN85" i="1" s="1"/>
  <c r="JS85" i="1"/>
  <c r="LO85" i="1" s="1"/>
  <c r="JT85" i="1"/>
  <c r="LP85" i="1" s="1"/>
  <c r="JU85" i="1"/>
  <c r="LQ85" i="1" s="1"/>
  <c r="JV85" i="1"/>
  <c r="LR85" i="1" s="1"/>
  <c r="JW85" i="1"/>
  <c r="LS85" i="1" s="1"/>
  <c r="JX85" i="1"/>
  <c r="LT85" i="1" s="1"/>
  <c r="JY85" i="1"/>
  <c r="LU85" i="1" s="1"/>
  <c r="JZ85" i="1"/>
  <c r="LV85" i="1" s="1"/>
  <c r="KA85" i="1"/>
  <c r="LW85" i="1" s="1"/>
  <c r="KB85" i="1"/>
  <c r="LX85" i="1" s="1"/>
  <c r="KC85" i="1"/>
  <c r="LY85" i="1" s="1"/>
  <c r="KD85" i="1"/>
  <c r="LZ85" i="1" s="1"/>
  <c r="KE85" i="1"/>
  <c r="MA85" i="1" s="1"/>
  <c r="JP84" i="1"/>
  <c r="JQ84" i="1"/>
  <c r="LM84" i="1" s="1"/>
  <c r="JR84" i="1"/>
  <c r="LN84" i="1" s="1"/>
  <c r="JS84" i="1"/>
  <c r="LO84" i="1" s="1"/>
  <c r="JT84" i="1"/>
  <c r="LP84" i="1" s="1"/>
  <c r="JU84" i="1"/>
  <c r="LQ84" i="1" s="1"/>
  <c r="JV84" i="1"/>
  <c r="LR84" i="1" s="1"/>
  <c r="JW84" i="1"/>
  <c r="LS84" i="1" s="1"/>
  <c r="JX84" i="1"/>
  <c r="LT84" i="1" s="1"/>
  <c r="JY84" i="1"/>
  <c r="LU84" i="1" s="1"/>
  <c r="JZ84" i="1"/>
  <c r="LV84" i="1" s="1"/>
  <c r="KA84" i="1"/>
  <c r="LW84" i="1" s="1"/>
  <c r="KB84" i="1"/>
  <c r="LX84" i="1" s="1"/>
  <c r="KC84" i="1"/>
  <c r="LY84" i="1" s="1"/>
  <c r="KD84" i="1"/>
  <c r="LZ84" i="1" s="1"/>
  <c r="KE84" i="1"/>
  <c r="MA84" i="1" s="1"/>
  <c r="JP17" i="1"/>
  <c r="JQ17" i="1"/>
  <c r="LM17" i="1" s="1"/>
  <c r="JR17" i="1"/>
  <c r="LN17" i="1" s="1"/>
  <c r="JS17" i="1"/>
  <c r="LO17" i="1" s="1"/>
  <c r="JT17" i="1"/>
  <c r="LP17" i="1" s="1"/>
  <c r="JU17" i="1"/>
  <c r="LQ17" i="1" s="1"/>
  <c r="JV17" i="1"/>
  <c r="LR17" i="1" s="1"/>
  <c r="JW17" i="1"/>
  <c r="LS17" i="1" s="1"/>
  <c r="JX17" i="1"/>
  <c r="LT17" i="1" s="1"/>
  <c r="JY17" i="1"/>
  <c r="LU17" i="1" s="1"/>
  <c r="JZ17" i="1"/>
  <c r="LV17" i="1" s="1"/>
  <c r="KA17" i="1"/>
  <c r="LW17" i="1" s="1"/>
  <c r="KB17" i="1"/>
  <c r="LX17" i="1" s="1"/>
  <c r="KC17" i="1"/>
  <c r="LY17" i="1" s="1"/>
  <c r="KD17" i="1"/>
  <c r="LZ17" i="1" s="1"/>
  <c r="KE17" i="1"/>
  <c r="MA17" i="1" s="1"/>
  <c r="JP18" i="1"/>
  <c r="JQ18" i="1"/>
  <c r="LM18" i="1" s="1"/>
  <c r="JR18" i="1"/>
  <c r="LN18" i="1" s="1"/>
  <c r="JS18" i="1"/>
  <c r="LO18" i="1" s="1"/>
  <c r="JT18" i="1"/>
  <c r="LP18" i="1" s="1"/>
  <c r="JU18" i="1"/>
  <c r="LQ18" i="1" s="1"/>
  <c r="JV18" i="1"/>
  <c r="LR18" i="1" s="1"/>
  <c r="JW18" i="1"/>
  <c r="LS18" i="1" s="1"/>
  <c r="JX18" i="1"/>
  <c r="LT18" i="1" s="1"/>
  <c r="JY18" i="1"/>
  <c r="LU18" i="1" s="1"/>
  <c r="JZ18" i="1"/>
  <c r="LV18" i="1" s="1"/>
  <c r="KA18" i="1"/>
  <c r="LW18" i="1" s="1"/>
  <c r="KB18" i="1"/>
  <c r="LX18" i="1" s="1"/>
  <c r="KC18" i="1"/>
  <c r="LY18" i="1" s="1"/>
  <c r="KD18" i="1"/>
  <c r="LZ18" i="1" s="1"/>
  <c r="KE18" i="1"/>
  <c r="MA18" i="1" s="1"/>
  <c r="JP86" i="1"/>
  <c r="JQ86" i="1"/>
  <c r="LM86" i="1" s="1"/>
  <c r="JR86" i="1"/>
  <c r="LN86" i="1" s="1"/>
  <c r="JS86" i="1"/>
  <c r="LO86" i="1" s="1"/>
  <c r="JT86" i="1"/>
  <c r="LP86" i="1" s="1"/>
  <c r="JU86" i="1"/>
  <c r="LQ86" i="1" s="1"/>
  <c r="JV86" i="1"/>
  <c r="LR86" i="1" s="1"/>
  <c r="JW86" i="1"/>
  <c r="LS86" i="1" s="1"/>
  <c r="JX86" i="1"/>
  <c r="LT86" i="1" s="1"/>
  <c r="JY86" i="1"/>
  <c r="LU86" i="1" s="1"/>
  <c r="JZ86" i="1"/>
  <c r="LV86" i="1" s="1"/>
  <c r="KA86" i="1"/>
  <c r="LW86" i="1" s="1"/>
  <c r="KB86" i="1"/>
  <c r="LX86" i="1" s="1"/>
  <c r="KC86" i="1"/>
  <c r="LY86" i="1" s="1"/>
  <c r="KD86" i="1"/>
  <c r="LZ86" i="1" s="1"/>
  <c r="KE86" i="1"/>
  <c r="MA86" i="1" s="1"/>
  <c r="JP19" i="1"/>
  <c r="JQ19" i="1"/>
  <c r="LM19" i="1" s="1"/>
  <c r="JR19" i="1"/>
  <c r="LN19" i="1" s="1"/>
  <c r="JS19" i="1"/>
  <c r="LO19" i="1" s="1"/>
  <c r="JT19" i="1"/>
  <c r="LP19" i="1" s="1"/>
  <c r="JU19" i="1"/>
  <c r="LQ19" i="1" s="1"/>
  <c r="JV19" i="1"/>
  <c r="LR19" i="1" s="1"/>
  <c r="JW19" i="1"/>
  <c r="LS19" i="1" s="1"/>
  <c r="JX19" i="1"/>
  <c r="LT19" i="1" s="1"/>
  <c r="JY19" i="1"/>
  <c r="LU19" i="1" s="1"/>
  <c r="JZ19" i="1"/>
  <c r="LV19" i="1" s="1"/>
  <c r="KA19" i="1"/>
  <c r="LW19" i="1" s="1"/>
  <c r="KB19" i="1"/>
  <c r="LX19" i="1" s="1"/>
  <c r="KC19" i="1"/>
  <c r="LY19" i="1" s="1"/>
  <c r="KD19" i="1"/>
  <c r="LZ19" i="1" s="1"/>
  <c r="KE19" i="1"/>
  <c r="MA19" i="1" s="1"/>
  <c r="JP20" i="1"/>
  <c r="JQ20" i="1"/>
  <c r="LM20" i="1" s="1"/>
  <c r="JR20" i="1"/>
  <c r="LN20" i="1" s="1"/>
  <c r="JS20" i="1"/>
  <c r="LO20" i="1" s="1"/>
  <c r="JT20" i="1"/>
  <c r="LP20" i="1" s="1"/>
  <c r="JU20" i="1"/>
  <c r="LQ20" i="1" s="1"/>
  <c r="JV20" i="1"/>
  <c r="LR20" i="1" s="1"/>
  <c r="JW20" i="1"/>
  <c r="LS20" i="1" s="1"/>
  <c r="JX20" i="1"/>
  <c r="LT20" i="1" s="1"/>
  <c r="JY20" i="1"/>
  <c r="LU20" i="1" s="1"/>
  <c r="JZ20" i="1"/>
  <c r="LV20" i="1" s="1"/>
  <c r="KA20" i="1"/>
  <c r="LW20" i="1" s="1"/>
  <c r="KB20" i="1"/>
  <c r="LX20" i="1" s="1"/>
  <c r="KC20" i="1"/>
  <c r="LY20" i="1" s="1"/>
  <c r="KD20" i="1"/>
  <c r="LZ20" i="1" s="1"/>
  <c r="KE20" i="1"/>
  <c r="MA20" i="1" s="1"/>
  <c r="JP21" i="1"/>
  <c r="JQ21" i="1"/>
  <c r="LM21" i="1" s="1"/>
  <c r="JR21" i="1"/>
  <c r="LN21" i="1" s="1"/>
  <c r="JS21" i="1"/>
  <c r="LO21" i="1" s="1"/>
  <c r="JT21" i="1"/>
  <c r="LP21" i="1" s="1"/>
  <c r="JU21" i="1"/>
  <c r="LQ21" i="1" s="1"/>
  <c r="JV21" i="1"/>
  <c r="LR21" i="1" s="1"/>
  <c r="JW21" i="1"/>
  <c r="LS21" i="1" s="1"/>
  <c r="JX21" i="1"/>
  <c r="LT21" i="1" s="1"/>
  <c r="JY21" i="1"/>
  <c r="LU21" i="1" s="1"/>
  <c r="JZ21" i="1"/>
  <c r="LV21" i="1" s="1"/>
  <c r="KA21" i="1"/>
  <c r="LW21" i="1" s="1"/>
  <c r="KB21" i="1"/>
  <c r="LX21" i="1" s="1"/>
  <c r="KC21" i="1"/>
  <c r="LY21" i="1" s="1"/>
  <c r="KD21" i="1"/>
  <c r="LZ21" i="1" s="1"/>
  <c r="KE21" i="1"/>
  <c r="MA21" i="1" s="1"/>
  <c r="JP22" i="1"/>
  <c r="JQ22" i="1"/>
  <c r="LM22" i="1" s="1"/>
  <c r="JR22" i="1"/>
  <c r="LN22" i="1" s="1"/>
  <c r="JS22" i="1"/>
  <c r="LO22" i="1" s="1"/>
  <c r="JT22" i="1"/>
  <c r="LP22" i="1" s="1"/>
  <c r="JU22" i="1"/>
  <c r="LQ22" i="1" s="1"/>
  <c r="JV22" i="1"/>
  <c r="LR22" i="1" s="1"/>
  <c r="JW22" i="1"/>
  <c r="LS22" i="1" s="1"/>
  <c r="JX22" i="1"/>
  <c r="LT22" i="1" s="1"/>
  <c r="JY22" i="1"/>
  <c r="LU22" i="1" s="1"/>
  <c r="JZ22" i="1"/>
  <c r="LV22" i="1" s="1"/>
  <c r="KA22" i="1"/>
  <c r="LW22" i="1" s="1"/>
  <c r="KB22" i="1"/>
  <c r="LX22" i="1" s="1"/>
  <c r="KC22" i="1"/>
  <c r="LY22" i="1" s="1"/>
  <c r="KD22" i="1"/>
  <c r="LZ22" i="1" s="1"/>
  <c r="KE22" i="1"/>
  <c r="MA22" i="1" s="1"/>
  <c r="JP87" i="1"/>
  <c r="JQ87" i="1"/>
  <c r="LM87" i="1" s="1"/>
  <c r="JR87" i="1"/>
  <c r="LN87" i="1" s="1"/>
  <c r="JS87" i="1"/>
  <c r="LO87" i="1" s="1"/>
  <c r="JT87" i="1"/>
  <c r="LP87" i="1" s="1"/>
  <c r="JU87" i="1"/>
  <c r="LQ87" i="1" s="1"/>
  <c r="JV87" i="1"/>
  <c r="LR87" i="1" s="1"/>
  <c r="JW87" i="1"/>
  <c r="LS87" i="1" s="1"/>
  <c r="JX87" i="1"/>
  <c r="LT87" i="1" s="1"/>
  <c r="JY87" i="1"/>
  <c r="LU87" i="1" s="1"/>
  <c r="JZ87" i="1"/>
  <c r="LV87" i="1" s="1"/>
  <c r="KA87" i="1"/>
  <c r="LW87" i="1" s="1"/>
  <c r="KB87" i="1"/>
  <c r="LX87" i="1" s="1"/>
  <c r="KC87" i="1"/>
  <c r="LY87" i="1" s="1"/>
  <c r="KD87" i="1"/>
  <c r="LZ87" i="1" s="1"/>
  <c r="KE87" i="1"/>
  <c r="MA87" i="1" s="1"/>
  <c r="JP89" i="1"/>
  <c r="JQ89" i="1"/>
  <c r="LM89" i="1" s="1"/>
  <c r="JR89" i="1"/>
  <c r="LN89" i="1" s="1"/>
  <c r="JS89" i="1"/>
  <c r="LO89" i="1" s="1"/>
  <c r="JT89" i="1"/>
  <c r="LP89" i="1" s="1"/>
  <c r="JU89" i="1"/>
  <c r="LQ89" i="1" s="1"/>
  <c r="JV89" i="1"/>
  <c r="LR89" i="1" s="1"/>
  <c r="JW89" i="1"/>
  <c r="LS89" i="1" s="1"/>
  <c r="JX89" i="1"/>
  <c r="LT89" i="1" s="1"/>
  <c r="JY89" i="1"/>
  <c r="LU89" i="1" s="1"/>
  <c r="JZ89" i="1"/>
  <c r="LV89" i="1" s="1"/>
  <c r="KA89" i="1"/>
  <c r="LW89" i="1" s="1"/>
  <c r="KB89" i="1"/>
  <c r="LX89" i="1" s="1"/>
  <c r="KC89" i="1"/>
  <c r="LY89" i="1" s="1"/>
  <c r="KD89" i="1"/>
  <c r="LZ89" i="1" s="1"/>
  <c r="KE89" i="1"/>
  <c r="MA89" i="1" s="1"/>
  <c r="JP90" i="1"/>
  <c r="JQ90" i="1"/>
  <c r="LM90" i="1" s="1"/>
  <c r="JR90" i="1"/>
  <c r="LN90" i="1" s="1"/>
  <c r="JS90" i="1"/>
  <c r="LO90" i="1" s="1"/>
  <c r="JT90" i="1"/>
  <c r="LP90" i="1" s="1"/>
  <c r="JU90" i="1"/>
  <c r="LQ90" i="1" s="1"/>
  <c r="JV90" i="1"/>
  <c r="LR90" i="1" s="1"/>
  <c r="JW90" i="1"/>
  <c r="LS90" i="1" s="1"/>
  <c r="JX90" i="1"/>
  <c r="LT90" i="1" s="1"/>
  <c r="JY90" i="1"/>
  <c r="LU90" i="1" s="1"/>
  <c r="JZ90" i="1"/>
  <c r="LV90" i="1" s="1"/>
  <c r="KA90" i="1"/>
  <c r="LW90" i="1" s="1"/>
  <c r="KB90" i="1"/>
  <c r="LX90" i="1" s="1"/>
  <c r="KC90" i="1"/>
  <c r="LY90" i="1" s="1"/>
  <c r="KD90" i="1"/>
  <c r="LZ90" i="1" s="1"/>
  <c r="KE90" i="1"/>
  <c r="MA90" i="1" s="1"/>
  <c r="JP91" i="1"/>
  <c r="JQ91" i="1"/>
  <c r="LM91" i="1" s="1"/>
  <c r="JR91" i="1"/>
  <c r="LN91" i="1" s="1"/>
  <c r="JS91" i="1"/>
  <c r="LO91" i="1" s="1"/>
  <c r="JT91" i="1"/>
  <c r="LP91" i="1" s="1"/>
  <c r="JU91" i="1"/>
  <c r="LQ91" i="1" s="1"/>
  <c r="JV91" i="1"/>
  <c r="LR91" i="1" s="1"/>
  <c r="JW91" i="1"/>
  <c r="LS91" i="1" s="1"/>
  <c r="JX91" i="1"/>
  <c r="LT91" i="1" s="1"/>
  <c r="JY91" i="1"/>
  <c r="LU91" i="1" s="1"/>
  <c r="JZ91" i="1"/>
  <c r="LV91" i="1" s="1"/>
  <c r="KA91" i="1"/>
  <c r="LW91" i="1" s="1"/>
  <c r="KB91" i="1"/>
  <c r="LX91" i="1" s="1"/>
  <c r="KC91" i="1"/>
  <c r="LY91" i="1" s="1"/>
  <c r="KD91" i="1"/>
  <c r="LZ91" i="1" s="1"/>
  <c r="KE91" i="1"/>
  <c r="MA91" i="1" s="1"/>
  <c r="JP92" i="1"/>
  <c r="JQ92" i="1"/>
  <c r="LM92" i="1" s="1"/>
  <c r="JR92" i="1"/>
  <c r="LN92" i="1" s="1"/>
  <c r="JS92" i="1"/>
  <c r="LO92" i="1" s="1"/>
  <c r="JT92" i="1"/>
  <c r="LP92" i="1" s="1"/>
  <c r="JU92" i="1"/>
  <c r="LQ92" i="1" s="1"/>
  <c r="JV92" i="1"/>
  <c r="LR92" i="1" s="1"/>
  <c r="JW92" i="1"/>
  <c r="LS92" i="1" s="1"/>
  <c r="JX92" i="1"/>
  <c r="LT92" i="1" s="1"/>
  <c r="JY92" i="1"/>
  <c r="LU92" i="1" s="1"/>
  <c r="JZ92" i="1"/>
  <c r="LV92" i="1" s="1"/>
  <c r="KA92" i="1"/>
  <c r="LW92" i="1" s="1"/>
  <c r="KB92" i="1"/>
  <c r="LX92" i="1" s="1"/>
  <c r="KC92" i="1"/>
  <c r="LY92" i="1" s="1"/>
  <c r="KD92" i="1"/>
  <c r="LZ92" i="1" s="1"/>
  <c r="KE92" i="1"/>
  <c r="MA92" i="1" s="1"/>
  <c r="JP23" i="1"/>
  <c r="JQ23" i="1"/>
  <c r="LM23" i="1" s="1"/>
  <c r="JR23" i="1"/>
  <c r="LN23" i="1" s="1"/>
  <c r="JS23" i="1"/>
  <c r="LO23" i="1" s="1"/>
  <c r="JT23" i="1"/>
  <c r="LP23" i="1" s="1"/>
  <c r="JU23" i="1"/>
  <c r="LQ23" i="1" s="1"/>
  <c r="JV23" i="1"/>
  <c r="LR23" i="1" s="1"/>
  <c r="JW23" i="1"/>
  <c r="LS23" i="1" s="1"/>
  <c r="JX23" i="1"/>
  <c r="LT23" i="1" s="1"/>
  <c r="JY23" i="1"/>
  <c r="LU23" i="1" s="1"/>
  <c r="JZ23" i="1"/>
  <c r="LV23" i="1" s="1"/>
  <c r="KA23" i="1"/>
  <c r="LW23" i="1" s="1"/>
  <c r="KB23" i="1"/>
  <c r="LX23" i="1" s="1"/>
  <c r="KC23" i="1"/>
  <c r="LY23" i="1" s="1"/>
  <c r="KD23" i="1"/>
  <c r="LZ23" i="1" s="1"/>
  <c r="KE23" i="1"/>
  <c r="MA23" i="1" s="1"/>
  <c r="JP93" i="1"/>
  <c r="JQ93" i="1"/>
  <c r="LM93" i="1" s="1"/>
  <c r="JR93" i="1"/>
  <c r="LN93" i="1" s="1"/>
  <c r="JS93" i="1"/>
  <c r="LO93" i="1" s="1"/>
  <c r="JT93" i="1"/>
  <c r="LP93" i="1" s="1"/>
  <c r="JU93" i="1"/>
  <c r="LQ93" i="1" s="1"/>
  <c r="JV93" i="1"/>
  <c r="LR93" i="1" s="1"/>
  <c r="JW93" i="1"/>
  <c r="LS93" i="1" s="1"/>
  <c r="JX93" i="1"/>
  <c r="LT93" i="1" s="1"/>
  <c r="JY93" i="1"/>
  <c r="LU93" i="1" s="1"/>
  <c r="JZ93" i="1"/>
  <c r="LV93" i="1" s="1"/>
  <c r="KA93" i="1"/>
  <c r="LW93" i="1" s="1"/>
  <c r="KB93" i="1"/>
  <c r="LX93" i="1" s="1"/>
  <c r="KC93" i="1"/>
  <c r="LY93" i="1" s="1"/>
  <c r="KD93" i="1"/>
  <c r="LZ93" i="1" s="1"/>
  <c r="KE93" i="1"/>
  <c r="MA93" i="1" s="1"/>
  <c r="JP94" i="1"/>
  <c r="JQ94" i="1"/>
  <c r="LM94" i="1" s="1"/>
  <c r="JR94" i="1"/>
  <c r="LN94" i="1" s="1"/>
  <c r="JS94" i="1"/>
  <c r="LO94" i="1" s="1"/>
  <c r="JT94" i="1"/>
  <c r="LP94" i="1" s="1"/>
  <c r="JU94" i="1"/>
  <c r="LQ94" i="1" s="1"/>
  <c r="JV94" i="1"/>
  <c r="LR94" i="1" s="1"/>
  <c r="JW94" i="1"/>
  <c r="LS94" i="1" s="1"/>
  <c r="JX94" i="1"/>
  <c r="LT94" i="1" s="1"/>
  <c r="JY94" i="1"/>
  <c r="LU94" i="1" s="1"/>
  <c r="JZ94" i="1"/>
  <c r="LV94" i="1" s="1"/>
  <c r="KA94" i="1"/>
  <c r="LW94" i="1" s="1"/>
  <c r="KB94" i="1"/>
  <c r="LX94" i="1" s="1"/>
  <c r="KC94" i="1"/>
  <c r="LY94" i="1" s="1"/>
  <c r="KD94" i="1"/>
  <c r="LZ94" i="1" s="1"/>
  <c r="KE94" i="1"/>
  <c r="MA94" i="1" s="1"/>
  <c r="JP96" i="1"/>
  <c r="JQ96" i="1"/>
  <c r="LM96" i="1" s="1"/>
  <c r="JR96" i="1"/>
  <c r="LN96" i="1" s="1"/>
  <c r="JS96" i="1"/>
  <c r="LO96" i="1" s="1"/>
  <c r="JT96" i="1"/>
  <c r="LP96" i="1" s="1"/>
  <c r="JU96" i="1"/>
  <c r="LQ96" i="1" s="1"/>
  <c r="JV96" i="1"/>
  <c r="LR96" i="1" s="1"/>
  <c r="JW96" i="1"/>
  <c r="LS96" i="1" s="1"/>
  <c r="JX96" i="1"/>
  <c r="LT96" i="1" s="1"/>
  <c r="JY96" i="1"/>
  <c r="LU96" i="1" s="1"/>
  <c r="JZ96" i="1"/>
  <c r="LV96" i="1" s="1"/>
  <c r="KA96" i="1"/>
  <c r="LW96" i="1" s="1"/>
  <c r="KB96" i="1"/>
  <c r="LX96" i="1" s="1"/>
  <c r="KC96" i="1"/>
  <c r="LY96" i="1" s="1"/>
  <c r="KD96" i="1"/>
  <c r="LZ96" i="1" s="1"/>
  <c r="KE96" i="1"/>
  <c r="MA96" i="1" s="1"/>
  <c r="JP95" i="1"/>
  <c r="JQ95" i="1"/>
  <c r="LM95" i="1" s="1"/>
  <c r="JR95" i="1"/>
  <c r="LN95" i="1" s="1"/>
  <c r="JS95" i="1"/>
  <c r="LO95" i="1" s="1"/>
  <c r="JT95" i="1"/>
  <c r="LP95" i="1" s="1"/>
  <c r="JU95" i="1"/>
  <c r="LQ95" i="1" s="1"/>
  <c r="JV95" i="1"/>
  <c r="LR95" i="1" s="1"/>
  <c r="JW95" i="1"/>
  <c r="LS95" i="1" s="1"/>
  <c r="JX95" i="1"/>
  <c r="LT95" i="1" s="1"/>
  <c r="JY95" i="1"/>
  <c r="LU95" i="1" s="1"/>
  <c r="JZ95" i="1"/>
  <c r="LV95" i="1" s="1"/>
  <c r="KA95" i="1"/>
  <c r="LW95" i="1" s="1"/>
  <c r="KB95" i="1"/>
  <c r="LX95" i="1" s="1"/>
  <c r="KC95" i="1"/>
  <c r="LY95" i="1" s="1"/>
  <c r="KD95" i="1"/>
  <c r="LZ95" i="1" s="1"/>
  <c r="KE95" i="1"/>
  <c r="MA95" i="1" s="1"/>
  <c r="JP97" i="1"/>
  <c r="JQ97" i="1"/>
  <c r="LM97" i="1" s="1"/>
  <c r="JR97" i="1"/>
  <c r="LN97" i="1" s="1"/>
  <c r="JS97" i="1"/>
  <c r="LO97" i="1" s="1"/>
  <c r="JT97" i="1"/>
  <c r="LP97" i="1" s="1"/>
  <c r="JU97" i="1"/>
  <c r="LQ97" i="1" s="1"/>
  <c r="JV97" i="1"/>
  <c r="LR97" i="1" s="1"/>
  <c r="JW97" i="1"/>
  <c r="LS97" i="1" s="1"/>
  <c r="JX97" i="1"/>
  <c r="LT97" i="1" s="1"/>
  <c r="JY97" i="1"/>
  <c r="LU97" i="1" s="1"/>
  <c r="JZ97" i="1"/>
  <c r="LV97" i="1" s="1"/>
  <c r="KA97" i="1"/>
  <c r="LW97" i="1" s="1"/>
  <c r="KB97" i="1"/>
  <c r="LX97" i="1" s="1"/>
  <c r="KC97" i="1"/>
  <c r="LY97" i="1" s="1"/>
  <c r="KD97" i="1"/>
  <c r="LZ97" i="1" s="1"/>
  <c r="KE97" i="1"/>
  <c r="MA97" i="1" s="1"/>
  <c r="JP98" i="1"/>
  <c r="JQ98" i="1"/>
  <c r="LM98" i="1" s="1"/>
  <c r="JR98" i="1"/>
  <c r="LN98" i="1" s="1"/>
  <c r="JS98" i="1"/>
  <c r="LO98" i="1" s="1"/>
  <c r="JT98" i="1"/>
  <c r="LP98" i="1" s="1"/>
  <c r="JU98" i="1"/>
  <c r="LQ98" i="1" s="1"/>
  <c r="JV98" i="1"/>
  <c r="LR98" i="1" s="1"/>
  <c r="JW98" i="1"/>
  <c r="LS98" i="1" s="1"/>
  <c r="JX98" i="1"/>
  <c r="LT98" i="1" s="1"/>
  <c r="JY98" i="1"/>
  <c r="LU98" i="1" s="1"/>
  <c r="JZ98" i="1"/>
  <c r="LV98" i="1" s="1"/>
  <c r="KA98" i="1"/>
  <c r="LW98" i="1" s="1"/>
  <c r="KB98" i="1"/>
  <c r="LX98" i="1" s="1"/>
  <c r="KC98" i="1"/>
  <c r="LY98" i="1" s="1"/>
  <c r="KD98" i="1"/>
  <c r="LZ98" i="1" s="1"/>
  <c r="KE98" i="1"/>
  <c r="MA98" i="1" s="1"/>
  <c r="JP24" i="1"/>
  <c r="JQ24" i="1"/>
  <c r="LM24" i="1" s="1"/>
  <c r="JR24" i="1"/>
  <c r="LN24" i="1" s="1"/>
  <c r="JS24" i="1"/>
  <c r="LO24" i="1" s="1"/>
  <c r="JT24" i="1"/>
  <c r="LP24" i="1" s="1"/>
  <c r="JU24" i="1"/>
  <c r="LQ24" i="1" s="1"/>
  <c r="JV24" i="1"/>
  <c r="LR24" i="1" s="1"/>
  <c r="JW24" i="1"/>
  <c r="LS24" i="1" s="1"/>
  <c r="JX24" i="1"/>
  <c r="LT24" i="1" s="1"/>
  <c r="JY24" i="1"/>
  <c r="LU24" i="1" s="1"/>
  <c r="JZ24" i="1"/>
  <c r="LV24" i="1" s="1"/>
  <c r="KA24" i="1"/>
  <c r="LW24" i="1" s="1"/>
  <c r="KB24" i="1"/>
  <c r="LX24" i="1" s="1"/>
  <c r="KC24" i="1"/>
  <c r="LY24" i="1" s="1"/>
  <c r="KD24" i="1"/>
  <c r="LZ24" i="1" s="1"/>
  <c r="KE24" i="1"/>
  <c r="MA24" i="1" s="1"/>
  <c r="JP25" i="1"/>
  <c r="JQ25" i="1"/>
  <c r="LM25" i="1" s="1"/>
  <c r="JR25" i="1"/>
  <c r="LN25" i="1" s="1"/>
  <c r="JS25" i="1"/>
  <c r="LO25" i="1" s="1"/>
  <c r="JT25" i="1"/>
  <c r="LP25" i="1" s="1"/>
  <c r="JU25" i="1"/>
  <c r="LQ25" i="1" s="1"/>
  <c r="JV25" i="1"/>
  <c r="LR25" i="1" s="1"/>
  <c r="JW25" i="1"/>
  <c r="LS25" i="1" s="1"/>
  <c r="JX25" i="1"/>
  <c r="LT25" i="1" s="1"/>
  <c r="JY25" i="1"/>
  <c r="LU25" i="1" s="1"/>
  <c r="JZ25" i="1"/>
  <c r="LV25" i="1" s="1"/>
  <c r="KA25" i="1"/>
  <c r="LW25" i="1" s="1"/>
  <c r="KB25" i="1"/>
  <c r="LX25" i="1" s="1"/>
  <c r="KC25" i="1"/>
  <c r="LY25" i="1" s="1"/>
  <c r="KD25" i="1"/>
  <c r="LZ25" i="1" s="1"/>
  <c r="KE25" i="1"/>
  <c r="MA25" i="1" s="1"/>
  <c r="JP26" i="1"/>
  <c r="JQ26" i="1"/>
  <c r="LM26" i="1" s="1"/>
  <c r="JR26" i="1"/>
  <c r="LN26" i="1" s="1"/>
  <c r="JS26" i="1"/>
  <c r="LO26" i="1" s="1"/>
  <c r="JT26" i="1"/>
  <c r="LP26" i="1" s="1"/>
  <c r="JU26" i="1"/>
  <c r="LQ26" i="1" s="1"/>
  <c r="JV26" i="1"/>
  <c r="LR26" i="1" s="1"/>
  <c r="JW26" i="1"/>
  <c r="LS26" i="1" s="1"/>
  <c r="JX26" i="1"/>
  <c r="LT26" i="1" s="1"/>
  <c r="JY26" i="1"/>
  <c r="LU26" i="1" s="1"/>
  <c r="JZ26" i="1"/>
  <c r="LV26" i="1" s="1"/>
  <c r="KA26" i="1"/>
  <c r="LW26" i="1" s="1"/>
  <c r="KB26" i="1"/>
  <c r="LX26" i="1" s="1"/>
  <c r="KC26" i="1"/>
  <c r="LY26" i="1" s="1"/>
  <c r="KD26" i="1"/>
  <c r="LZ26" i="1" s="1"/>
  <c r="KE26" i="1"/>
  <c r="MA26" i="1" s="1"/>
  <c r="JP100" i="1"/>
  <c r="JQ100" i="1"/>
  <c r="LM100" i="1" s="1"/>
  <c r="JR100" i="1"/>
  <c r="LN100" i="1" s="1"/>
  <c r="JS100" i="1"/>
  <c r="LO100" i="1" s="1"/>
  <c r="JT100" i="1"/>
  <c r="LP100" i="1" s="1"/>
  <c r="JU100" i="1"/>
  <c r="LQ100" i="1" s="1"/>
  <c r="JV100" i="1"/>
  <c r="LR100" i="1" s="1"/>
  <c r="JW100" i="1"/>
  <c r="LS100" i="1" s="1"/>
  <c r="JX100" i="1"/>
  <c r="LT100" i="1" s="1"/>
  <c r="JY100" i="1"/>
  <c r="LU100" i="1" s="1"/>
  <c r="JZ100" i="1"/>
  <c r="LV100" i="1" s="1"/>
  <c r="KA100" i="1"/>
  <c r="LW100" i="1" s="1"/>
  <c r="KB100" i="1"/>
  <c r="LX100" i="1" s="1"/>
  <c r="KC100" i="1"/>
  <c r="LY100" i="1" s="1"/>
  <c r="KD100" i="1"/>
  <c r="LZ100" i="1" s="1"/>
  <c r="KE100" i="1"/>
  <c r="MA100" i="1" s="1"/>
  <c r="JP27" i="1"/>
  <c r="JQ27" i="1"/>
  <c r="LM27" i="1" s="1"/>
  <c r="JR27" i="1"/>
  <c r="LN27" i="1" s="1"/>
  <c r="JS27" i="1"/>
  <c r="LO27" i="1" s="1"/>
  <c r="JT27" i="1"/>
  <c r="LP27" i="1" s="1"/>
  <c r="JU27" i="1"/>
  <c r="LQ27" i="1" s="1"/>
  <c r="JV27" i="1"/>
  <c r="LR27" i="1" s="1"/>
  <c r="JW27" i="1"/>
  <c r="LS27" i="1" s="1"/>
  <c r="JX27" i="1"/>
  <c r="LT27" i="1" s="1"/>
  <c r="JY27" i="1"/>
  <c r="LU27" i="1" s="1"/>
  <c r="JZ27" i="1"/>
  <c r="LV27" i="1" s="1"/>
  <c r="KA27" i="1"/>
  <c r="LW27" i="1" s="1"/>
  <c r="KB27" i="1"/>
  <c r="LX27" i="1" s="1"/>
  <c r="KC27" i="1"/>
  <c r="LY27" i="1" s="1"/>
  <c r="KD27" i="1"/>
  <c r="LZ27" i="1" s="1"/>
  <c r="KE27" i="1"/>
  <c r="MA27" i="1" s="1"/>
  <c r="JP101" i="1"/>
  <c r="JQ101" i="1"/>
  <c r="LM101" i="1" s="1"/>
  <c r="JR101" i="1"/>
  <c r="LN101" i="1" s="1"/>
  <c r="JS101" i="1"/>
  <c r="LO101" i="1" s="1"/>
  <c r="JT101" i="1"/>
  <c r="LP101" i="1" s="1"/>
  <c r="JU101" i="1"/>
  <c r="LQ101" i="1" s="1"/>
  <c r="JV101" i="1"/>
  <c r="LR101" i="1" s="1"/>
  <c r="JW101" i="1"/>
  <c r="LS101" i="1" s="1"/>
  <c r="JX101" i="1"/>
  <c r="LT101" i="1" s="1"/>
  <c r="JY101" i="1"/>
  <c r="LU101" i="1" s="1"/>
  <c r="JZ101" i="1"/>
  <c r="LV101" i="1" s="1"/>
  <c r="KA101" i="1"/>
  <c r="LW101" i="1" s="1"/>
  <c r="KB101" i="1"/>
  <c r="LX101" i="1" s="1"/>
  <c r="KC101" i="1"/>
  <c r="LY101" i="1" s="1"/>
  <c r="KD101" i="1"/>
  <c r="LZ101" i="1" s="1"/>
  <c r="KE101" i="1"/>
  <c r="MA101" i="1" s="1"/>
  <c r="JP102" i="1"/>
  <c r="JQ102" i="1"/>
  <c r="LM102" i="1" s="1"/>
  <c r="JR102" i="1"/>
  <c r="LN102" i="1" s="1"/>
  <c r="JS102" i="1"/>
  <c r="LO102" i="1" s="1"/>
  <c r="JT102" i="1"/>
  <c r="LP102" i="1" s="1"/>
  <c r="JU102" i="1"/>
  <c r="LQ102" i="1" s="1"/>
  <c r="JV102" i="1"/>
  <c r="LR102" i="1" s="1"/>
  <c r="JW102" i="1"/>
  <c r="LS102" i="1" s="1"/>
  <c r="JX102" i="1"/>
  <c r="LT102" i="1" s="1"/>
  <c r="JY102" i="1"/>
  <c r="LU102" i="1" s="1"/>
  <c r="JZ102" i="1"/>
  <c r="LV102" i="1" s="1"/>
  <c r="KA102" i="1"/>
  <c r="LW102" i="1" s="1"/>
  <c r="KB102" i="1"/>
  <c r="LX102" i="1" s="1"/>
  <c r="KC102" i="1"/>
  <c r="LY102" i="1" s="1"/>
  <c r="KD102" i="1"/>
  <c r="LZ102" i="1" s="1"/>
  <c r="KE102" i="1"/>
  <c r="MA102" i="1" s="1"/>
  <c r="JP103" i="1"/>
  <c r="JQ103" i="1"/>
  <c r="LM103" i="1" s="1"/>
  <c r="JR103" i="1"/>
  <c r="LN103" i="1" s="1"/>
  <c r="JS103" i="1"/>
  <c r="LO103" i="1" s="1"/>
  <c r="JT103" i="1"/>
  <c r="LP103" i="1" s="1"/>
  <c r="JU103" i="1"/>
  <c r="LQ103" i="1" s="1"/>
  <c r="JV103" i="1"/>
  <c r="LR103" i="1" s="1"/>
  <c r="JW103" i="1"/>
  <c r="LS103" i="1" s="1"/>
  <c r="JX103" i="1"/>
  <c r="LT103" i="1" s="1"/>
  <c r="JY103" i="1"/>
  <c r="LU103" i="1" s="1"/>
  <c r="JZ103" i="1"/>
  <c r="LV103" i="1" s="1"/>
  <c r="KA103" i="1"/>
  <c r="LW103" i="1" s="1"/>
  <c r="KB103" i="1"/>
  <c r="LX103" i="1" s="1"/>
  <c r="KC103" i="1"/>
  <c r="LY103" i="1" s="1"/>
  <c r="KD103" i="1"/>
  <c r="LZ103" i="1" s="1"/>
  <c r="KE103" i="1"/>
  <c r="MA103" i="1" s="1"/>
  <c r="JP28" i="1"/>
  <c r="JQ28" i="1"/>
  <c r="LM28" i="1" s="1"/>
  <c r="JR28" i="1"/>
  <c r="LN28" i="1" s="1"/>
  <c r="JS28" i="1"/>
  <c r="LO28" i="1" s="1"/>
  <c r="JT28" i="1"/>
  <c r="LP28" i="1" s="1"/>
  <c r="JU28" i="1"/>
  <c r="LQ28" i="1" s="1"/>
  <c r="JV28" i="1"/>
  <c r="LR28" i="1" s="1"/>
  <c r="JW28" i="1"/>
  <c r="LS28" i="1" s="1"/>
  <c r="JX28" i="1"/>
  <c r="LT28" i="1" s="1"/>
  <c r="JY28" i="1"/>
  <c r="LU28" i="1" s="1"/>
  <c r="JZ28" i="1"/>
  <c r="LV28" i="1" s="1"/>
  <c r="KA28" i="1"/>
  <c r="LW28" i="1" s="1"/>
  <c r="KB28" i="1"/>
  <c r="LX28" i="1" s="1"/>
  <c r="KC28" i="1"/>
  <c r="LY28" i="1" s="1"/>
  <c r="KD28" i="1"/>
  <c r="LZ28" i="1" s="1"/>
  <c r="KE28" i="1"/>
  <c r="MA28" i="1" s="1"/>
  <c r="JP104" i="1"/>
  <c r="JQ104" i="1"/>
  <c r="LM104" i="1" s="1"/>
  <c r="JR104" i="1"/>
  <c r="LN104" i="1" s="1"/>
  <c r="JS104" i="1"/>
  <c r="LO104" i="1" s="1"/>
  <c r="JT104" i="1"/>
  <c r="LP104" i="1" s="1"/>
  <c r="JU104" i="1"/>
  <c r="LQ104" i="1" s="1"/>
  <c r="JV104" i="1"/>
  <c r="LR104" i="1" s="1"/>
  <c r="JW104" i="1"/>
  <c r="LS104" i="1" s="1"/>
  <c r="JX104" i="1"/>
  <c r="LT104" i="1" s="1"/>
  <c r="JY104" i="1"/>
  <c r="LU104" i="1" s="1"/>
  <c r="JZ104" i="1"/>
  <c r="LV104" i="1" s="1"/>
  <c r="KA104" i="1"/>
  <c r="LW104" i="1" s="1"/>
  <c r="KB104" i="1"/>
  <c r="LX104" i="1" s="1"/>
  <c r="KC104" i="1"/>
  <c r="LY104" i="1" s="1"/>
  <c r="KD104" i="1"/>
  <c r="LZ104" i="1" s="1"/>
  <c r="KE104" i="1"/>
  <c r="MA104" i="1" s="1"/>
  <c r="JP105" i="1"/>
  <c r="JQ105" i="1"/>
  <c r="LM105" i="1" s="1"/>
  <c r="JR105" i="1"/>
  <c r="LN105" i="1" s="1"/>
  <c r="JS105" i="1"/>
  <c r="LO105" i="1" s="1"/>
  <c r="JT105" i="1"/>
  <c r="LP105" i="1" s="1"/>
  <c r="JU105" i="1"/>
  <c r="LQ105" i="1" s="1"/>
  <c r="JV105" i="1"/>
  <c r="LR105" i="1" s="1"/>
  <c r="JW105" i="1"/>
  <c r="LS105" i="1" s="1"/>
  <c r="JX105" i="1"/>
  <c r="LT105" i="1" s="1"/>
  <c r="JY105" i="1"/>
  <c r="LU105" i="1" s="1"/>
  <c r="JZ105" i="1"/>
  <c r="LV105" i="1" s="1"/>
  <c r="KA105" i="1"/>
  <c r="LW105" i="1" s="1"/>
  <c r="KB105" i="1"/>
  <c r="LX105" i="1" s="1"/>
  <c r="KC105" i="1"/>
  <c r="LY105" i="1" s="1"/>
  <c r="KD105" i="1"/>
  <c r="LZ105" i="1" s="1"/>
  <c r="KE105" i="1"/>
  <c r="MA105" i="1" s="1"/>
  <c r="JP106" i="1"/>
  <c r="JQ106" i="1"/>
  <c r="LM106" i="1" s="1"/>
  <c r="JR106" i="1"/>
  <c r="LN106" i="1" s="1"/>
  <c r="JS106" i="1"/>
  <c r="LO106" i="1" s="1"/>
  <c r="JT106" i="1"/>
  <c r="LP106" i="1" s="1"/>
  <c r="JU106" i="1"/>
  <c r="LQ106" i="1" s="1"/>
  <c r="JV106" i="1"/>
  <c r="LR106" i="1" s="1"/>
  <c r="JW106" i="1"/>
  <c r="LS106" i="1" s="1"/>
  <c r="JX106" i="1"/>
  <c r="LT106" i="1" s="1"/>
  <c r="JY106" i="1"/>
  <c r="LU106" i="1" s="1"/>
  <c r="JZ106" i="1"/>
  <c r="LV106" i="1" s="1"/>
  <c r="KA106" i="1"/>
  <c r="LW106" i="1" s="1"/>
  <c r="KB106" i="1"/>
  <c r="LX106" i="1" s="1"/>
  <c r="KC106" i="1"/>
  <c r="LY106" i="1" s="1"/>
  <c r="KD106" i="1"/>
  <c r="LZ106" i="1" s="1"/>
  <c r="KE106" i="1"/>
  <c r="MA106" i="1" s="1"/>
  <c r="JP107" i="1"/>
  <c r="JQ107" i="1"/>
  <c r="LM107" i="1" s="1"/>
  <c r="JR107" i="1"/>
  <c r="LN107" i="1" s="1"/>
  <c r="JS107" i="1"/>
  <c r="LO107" i="1" s="1"/>
  <c r="JT107" i="1"/>
  <c r="LP107" i="1" s="1"/>
  <c r="JU107" i="1"/>
  <c r="LQ107" i="1" s="1"/>
  <c r="JV107" i="1"/>
  <c r="LR107" i="1" s="1"/>
  <c r="JW107" i="1"/>
  <c r="LS107" i="1" s="1"/>
  <c r="JX107" i="1"/>
  <c r="LT107" i="1" s="1"/>
  <c r="JY107" i="1"/>
  <c r="LU107" i="1" s="1"/>
  <c r="JZ107" i="1"/>
  <c r="LV107" i="1" s="1"/>
  <c r="KA107" i="1"/>
  <c r="LW107" i="1" s="1"/>
  <c r="KB107" i="1"/>
  <c r="LX107" i="1" s="1"/>
  <c r="KC107" i="1"/>
  <c r="LY107" i="1" s="1"/>
  <c r="KD107" i="1"/>
  <c r="LZ107" i="1" s="1"/>
  <c r="KE107" i="1"/>
  <c r="MA107" i="1" s="1"/>
  <c r="JP108" i="1"/>
  <c r="JQ108" i="1"/>
  <c r="LM108" i="1" s="1"/>
  <c r="JR108" i="1"/>
  <c r="LN108" i="1" s="1"/>
  <c r="JS108" i="1"/>
  <c r="LO108" i="1" s="1"/>
  <c r="JT108" i="1"/>
  <c r="LP108" i="1" s="1"/>
  <c r="JU108" i="1"/>
  <c r="LQ108" i="1" s="1"/>
  <c r="JV108" i="1"/>
  <c r="LR108" i="1" s="1"/>
  <c r="JW108" i="1"/>
  <c r="LS108" i="1" s="1"/>
  <c r="JX108" i="1"/>
  <c r="LT108" i="1" s="1"/>
  <c r="JY108" i="1"/>
  <c r="LU108" i="1" s="1"/>
  <c r="JZ108" i="1"/>
  <c r="LV108" i="1" s="1"/>
  <c r="KA108" i="1"/>
  <c r="LW108" i="1" s="1"/>
  <c r="KB108" i="1"/>
  <c r="LX108" i="1" s="1"/>
  <c r="KC108" i="1"/>
  <c r="LY108" i="1" s="1"/>
  <c r="KD108" i="1"/>
  <c r="LZ108" i="1" s="1"/>
  <c r="KE108" i="1"/>
  <c r="MA108" i="1" s="1"/>
  <c r="JP109" i="1"/>
  <c r="JQ109" i="1"/>
  <c r="LM109" i="1" s="1"/>
  <c r="JR109" i="1"/>
  <c r="LN109" i="1" s="1"/>
  <c r="JS109" i="1"/>
  <c r="LO109" i="1" s="1"/>
  <c r="JT109" i="1"/>
  <c r="LP109" i="1" s="1"/>
  <c r="JU109" i="1"/>
  <c r="LQ109" i="1" s="1"/>
  <c r="JV109" i="1"/>
  <c r="LR109" i="1" s="1"/>
  <c r="JW109" i="1"/>
  <c r="LS109" i="1" s="1"/>
  <c r="JX109" i="1"/>
  <c r="LT109" i="1" s="1"/>
  <c r="JY109" i="1"/>
  <c r="LU109" i="1" s="1"/>
  <c r="JZ109" i="1"/>
  <c r="LV109" i="1" s="1"/>
  <c r="KA109" i="1"/>
  <c r="LW109" i="1" s="1"/>
  <c r="KB109" i="1"/>
  <c r="LX109" i="1" s="1"/>
  <c r="KC109" i="1"/>
  <c r="LY109" i="1" s="1"/>
  <c r="KD109" i="1"/>
  <c r="LZ109" i="1" s="1"/>
  <c r="KE109" i="1"/>
  <c r="MA109" i="1" s="1"/>
  <c r="JP29" i="1"/>
  <c r="JQ29" i="1"/>
  <c r="LM29" i="1" s="1"/>
  <c r="JR29" i="1"/>
  <c r="LN29" i="1" s="1"/>
  <c r="JS29" i="1"/>
  <c r="LO29" i="1" s="1"/>
  <c r="JT29" i="1"/>
  <c r="LP29" i="1" s="1"/>
  <c r="JU29" i="1"/>
  <c r="LQ29" i="1" s="1"/>
  <c r="JV29" i="1"/>
  <c r="LR29" i="1" s="1"/>
  <c r="JW29" i="1"/>
  <c r="LS29" i="1" s="1"/>
  <c r="JX29" i="1"/>
  <c r="LT29" i="1" s="1"/>
  <c r="JY29" i="1"/>
  <c r="LU29" i="1" s="1"/>
  <c r="JZ29" i="1"/>
  <c r="LV29" i="1" s="1"/>
  <c r="KA29" i="1"/>
  <c r="LW29" i="1" s="1"/>
  <c r="KB29" i="1"/>
  <c r="LX29" i="1" s="1"/>
  <c r="KC29" i="1"/>
  <c r="LY29" i="1" s="1"/>
  <c r="KD29" i="1"/>
  <c r="LZ29" i="1" s="1"/>
  <c r="KE29" i="1"/>
  <c r="MA29" i="1" s="1"/>
  <c r="JP110" i="1"/>
  <c r="JQ110" i="1"/>
  <c r="LM110" i="1" s="1"/>
  <c r="JR110" i="1"/>
  <c r="LN110" i="1" s="1"/>
  <c r="JS110" i="1"/>
  <c r="LO110" i="1" s="1"/>
  <c r="JT110" i="1"/>
  <c r="LP110" i="1" s="1"/>
  <c r="JU110" i="1"/>
  <c r="LQ110" i="1" s="1"/>
  <c r="JV110" i="1"/>
  <c r="LR110" i="1" s="1"/>
  <c r="JW110" i="1"/>
  <c r="LS110" i="1" s="1"/>
  <c r="JX110" i="1"/>
  <c r="LT110" i="1" s="1"/>
  <c r="JY110" i="1"/>
  <c r="LU110" i="1" s="1"/>
  <c r="JZ110" i="1"/>
  <c r="LV110" i="1" s="1"/>
  <c r="KA110" i="1"/>
  <c r="LW110" i="1" s="1"/>
  <c r="KB110" i="1"/>
  <c r="LX110" i="1" s="1"/>
  <c r="KC110" i="1"/>
  <c r="LY110" i="1" s="1"/>
  <c r="KD110" i="1"/>
  <c r="LZ110" i="1" s="1"/>
  <c r="KE110" i="1"/>
  <c r="MA110" i="1" s="1"/>
  <c r="JP30" i="1"/>
  <c r="JQ30" i="1"/>
  <c r="LM30" i="1" s="1"/>
  <c r="JR30" i="1"/>
  <c r="LN30" i="1" s="1"/>
  <c r="JS30" i="1"/>
  <c r="LO30" i="1" s="1"/>
  <c r="JT30" i="1"/>
  <c r="LP30" i="1" s="1"/>
  <c r="JU30" i="1"/>
  <c r="LQ30" i="1" s="1"/>
  <c r="JV30" i="1"/>
  <c r="LR30" i="1" s="1"/>
  <c r="JW30" i="1"/>
  <c r="LS30" i="1" s="1"/>
  <c r="JX30" i="1"/>
  <c r="LT30" i="1" s="1"/>
  <c r="JY30" i="1"/>
  <c r="LU30" i="1" s="1"/>
  <c r="JZ30" i="1"/>
  <c r="LV30" i="1" s="1"/>
  <c r="KA30" i="1"/>
  <c r="LW30" i="1" s="1"/>
  <c r="KB30" i="1"/>
  <c r="LX30" i="1" s="1"/>
  <c r="KC30" i="1"/>
  <c r="LY30" i="1" s="1"/>
  <c r="KD30" i="1"/>
  <c r="LZ30" i="1" s="1"/>
  <c r="KE30" i="1"/>
  <c r="MA30" i="1" s="1"/>
  <c r="JP31" i="1"/>
  <c r="JQ31" i="1"/>
  <c r="LM31" i="1" s="1"/>
  <c r="JR31" i="1"/>
  <c r="LN31" i="1" s="1"/>
  <c r="JS31" i="1"/>
  <c r="LO31" i="1" s="1"/>
  <c r="JT31" i="1"/>
  <c r="LP31" i="1" s="1"/>
  <c r="JU31" i="1"/>
  <c r="LQ31" i="1" s="1"/>
  <c r="JV31" i="1"/>
  <c r="LR31" i="1" s="1"/>
  <c r="JW31" i="1"/>
  <c r="LS31" i="1" s="1"/>
  <c r="JX31" i="1"/>
  <c r="LT31" i="1" s="1"/>
  <c r="JY31" i="1"/>
  <c r="LU31" i="1" s="1"/>
  <c r="JZ31" i="1"/>
  <c r="LV31" i="1" s="1"/>
  <c r="KA31" i="1"/>
  <c r="LW31" i="1" s="1"/>
  <c r="KB31" i="1"/>
  <c r="LX31" i="1" s="1"/>
  <c r="KC31" i="1"/>
  <c r="LY31" i="1" s="1"/>
  <c r="KD31" i="1"/>
  <c r="LZ31" i="1" s="1"/>
  <c r="KE31" i="1"/>
  <c r="MA31" i="1" s="1"/>
  <c r="JP111" i="1"/>
  <c r="JQ111" i="1"/>
  <c r="LM111" i="1" s="1"/>
  <c r="JR111" i="1"/>
  <c r="LN111" i="1" s="1"/>
  <c r="JS111" i="1"/>
  <c r="LO111" i="1" s="1"/>
  <c r="JT111" i="1"/>
  <c r="LP111" i="1" s="1"/>
  <c r="JU111" i="1"/>
  <c r="LQ111" i="1" s="1"/>
  <c r="JV111" i="1"/>
  <c r="LR111" i="1" s="1"/>
  <c r="JW111" i="1"/>
  <c r="LS111" i="1" s="1"/>
  <c r="JX111" i="1"/>
  <c r="LT111" i="1" s="1"/>
  <c r="JY111" i="1"/>
  <c r="LU111" i="1" s="1"/>
  <c r="JZ111" i="1"/>
  <c r="LV111" i="1" s="1"/>
  <c r="KA111" i="1"/>
  <c r="LW111" i="1" s="1"/>
  <c r="KB111" i="1"/>
  <c r="LX111" i="1" s="1"/>
  <c r="KC111" i="1"/>
  <c r="LY111" i="1" s="1"/>
  <c r="KD111" i="1"/>
  <c r="LZ111" i="1" s="1"/>
  <c r="KE111" i="1"/>
  <c r="MA111" i="1" s="1"/>
  <c r="JP112" i="1"/>
  <c r="JQ112" i="1"/>
  <c r="LM112" i="1" s="1"/>
  <c r="JR112" i="1"/>
  <c r="LN112" i="1" s="1"/>
  <c r="JS112" i="1"/>
  <c r="LO112" i="1" s="1"/>
  <c r="JT112" i="1"/>
  <c r="LP112" i="1" s="1"/>
  <c r="JU112" i="1"/>
  <c r="LQ112" i="1" s="1"/>
  <c r="JV112" i="1"/>
  <c r="LR112" i="1" s="1"/>
  <c r="JW112" i="1"/>
  <c r="LS112" i="1" s="1"/>
  <c r="JX112" i="1"/>
  <c r="LT112" i="1" s="1"/>
  <c r="JY112" i="1"/>
  <c r="LU112" i="1" s="1"/>
  <c r="JZ112" i="1"/>
  <c r="LV112" i="1" s="1"/>
  <c r="KA112" i="1"/>
  <c r="LW112" i="1" s="1"/>
  <c r="KB112" i="1"/>
  <c r="LX112" i="1" s="1"/>
  <c r="KC112" i="1"/>
  <c r="LY112" i="1" s="1"/>
  <c r="KD112" i="1"/>
  <c r="LZ112" i="1" s="1"/>
  <c r="KE112" i="1"/>
  <c r="MA112" i="1" s="1"/>
  <c r="JP32" i="1"/>
  <c r="JQ32" i="1"/>
  <c r="LM32" i="1" s="1"/>
  <c r="JR32" i="1"/>
  <c r="LN32" i="1" s="1"/>
  <c r="JS32" i="1"/>
  <c r="LO32" i="1" s="1"/>
  <c r="JT32" i="1"/>
  <c r="LP32" i="1" s="1"/>
  <c r="JU32" i="1"/>
  <c r="LQ32" i="1" s="1"/>
  <c r="JV32" i="1"/>
  <c r="LR32" i="1" s="1"/>
  <c r="JW32" i="1"/>
  <c r="LS32" i="1" s="1"/>
  <c r="JX32" i="1"/>
  <c r="LT32" i="1" s="1"/>
  <c r="JY32" i="1"/>
  <c r="LU32" i="1" s="1"/>
  <c r="JZ32" i="1"/>
  <c r="LV32" i="1" s="1"/>
  <c r="KA32" i="1"/>
  <c r="LW32" i="1" s="1"/>
  <c r="KB32" i="1"/>
  <c r="LX32" i="1" s="1"/>
  <c r="KC32" i="1"/>
  <c r="LY32" i="1" s="1"/>
  <c r="KD32" i="1"/>
  <c r="LZ32" i="1" s="1"/>
  <c r="KE32" i="1"/>
  <c r="MA32" i="1" s="1"/>
  <c r="JP113" i="1"/>
  <c r="JQ113" i="1"/>
  <c r="LM113" i="1" s="1"/>
  <c r="JR113" i="1"/>
  <c r="LN113" i="1" s="1"/>
  <c r="JS113" i="1"/>
  <c r="LO113" i="1" s="1"/>
  <c r="JT113" i="1"/>
  <c r="LP113" i="1" s="1"/>
  <c r="JU113" i="1"/>
  <c r="LQ113" i="1" s="1"/>
  <c r="JV113" i="1"/>
  <c r="LR113" i="1" s="1"/>
  <c r="JW113" i="1"/>
  <c r="LS113" i="1" s="1"/>
  <c r="JX113" i="1"/>
  <c r="LT113" i="1" s="1"/>
  <c r="JY113" i="1"/>
  <c r="LU113" i="1" s="1"/>
  <c r="JZ113" i="1"/>
  <c r="LV113" i="1" s="1"/>
  <c r="KA113" i="1"/>
  <c r="LW113" i="1" s="1"/>
  <c r="KB113" i="1"/>
  <c r="LX113" i="1" s="1"/>
  <c r="KC113" i="1"/>
  <c r="LY113" i="1" s="1"/>
  <c r="KD113" i="1"/>
  <c r="LZ113" i="1" s="1"/>
  <c r="KE113" i="1"/>
  <c r="MA113" i="1" s="1"/>
  <c r="JP114" i="1"/>
  <c r="JQ114" i="1"/>
  <c r="LM114" i="1" s="1"/>
  <c r="JR114" i="1"/>
  <c r="LN114" i="1" s="1"/>
  <c r="JS114" i="1"/>
  <c r="LO114" i="1" s="1"/>
  <c r="JT114" i="1"/>
  <c r="LP114" i="1" s="1"/>
  <c r="JU114" i="1"/>
  <c r="LQ114" i="1" s="1"/>
  <c r="JV114" i="1"/>
  <c r="LR114" i="1" s="1"/>
  <c r="JW114" i="1"/>
  <c r="LS114" i="1" s="1"/>
  <c r="JX114" i="1"/>
  <c r="LT114" i="1" s="1"/>
  <c r="JY114" i="1"/>
  <c r="LU114" i="1" s="1"/>
  <c r="JZ114" i="1"/>
  <c r="LV114" i="1" s="1"/>
  <c r="KA114" i="1"/>
  <c r="LW114" i="1" s="1"/>
  <c r="KB114" i="1"/>
  <c r="LX114" i="1" s="1"/>
  <c r="KC114" i="1"/>
  <c r="LY114" i="1" s="1"/>
  <c r="KD114" i="1"/>
  <c r="LZ114" i="1" s="1"/>
  <c r="KE114" i="1"/>
  <c r="MA114" i="1" s="1"/>
  <c r="JP117" i="1"/>
  <c r="JQ117" i="1"/>
  <c r="LM117" i="1" s="1"/>
  <c r="JR117" i="1"/>
  <c r="LN117" i="1" s="1"/>
  <c r="JS117" i="1"/>
  <c r="LO117" i="1" s="1"/>
  <c r="JT117" i="1"/>
  <c r="LP117" i="1" s="1"/>
  <c r="JU117" i="1"/>
  <c r="LQ117" i="1" s="1"/>
  <c r="JV117" i="1"/>
  <c r="LR117" i="1" s="1"/>
  <c r="JW117" i="1"/>
  <c r="LS117" i="1" s="1"/>
  <c r="JX117" i="1"/>
  <c r="LT117" i="1" s="1"/>
  <c r="JY117" i="1"/>
  <c r="LU117" i="1" s="1"/>
  <c r="JZ117" i="1"/>
  <c r="LV117" i="1" s="1"/>
  <c r="KA117" i="1"/>
  <c r="LW117" i="1" s="1"/>
  <c r="KB117" i="1"/>
  <c r="LX117" i="1" s="1"/>
  <c r="KC117" i="1"/>
  <c r="LY117" i="1" s="1"/>
  <c r="KD117" i="1"/>
  <c r="LZ117" i="1" s="1"/>
  <c r="KE117" i="1"/>
  <c r="MA117" i="1" s="1"/>
  <c r="JP115" i="1"/>
  <c r="JQ115" i="1"/>
  <c r="LM115" i="1" s="1"/>
  <c r="JR115" i="1"/>
  <c r="LN115" i="1" s="1"/>
  <c r="JS115" i="1"/>
  <c r="LO115" i="1" s="1"/>
  <c r="JT115" i="1"/>
  <c r="LP115" i="1" s="1"/>
  <c r="JU115" i="1"/>
  <c r="LQ115" i="1" s="1"/>
  <c r="JV115" i="1"/>
  <c r="LR115" i="1" s="1"/>
  <c r="JW115" i="1"/>
  <c r="LS115" i="1" s="1"/>
  <c r="JX115" i="1"/>
  <c r="LT115" i="1" s="1"/>
  <c r="JY115" i="1"/>
  <c r="LU115" i="1" s="1"/>
  <c r="JZ115" i="1"/>
  <c r="LV115" i="1" s="1"/>
  <c r="KA115" i="1"/>
  <c r="LW115" i="1" s="1"/>
  <c r="KB115" i="1"/>
  <c r="LX115" i="1" s="1"/>
  <c r="KC115" i="1"/>
  <c r="LY115" i="1" s="1"/>
  <c r="KD115" i="1"/>
  <c r="LZ115" i="1" s="1"/>
  <c r="KE115" i="1"/>
  <c r="MA115" i="1" s="1"/>
  <c r="JP122" i="1"/>
  <c r="JQ122" i="1"/>
  <c r="LM122" i="1" s="1"/>
  <c r="JR122" i="1"/>
  <c r="LN122" i="1" s="1"/>
  <c r="JS122" i="1"/>
  <c r="LO122" i="1" s="1"/>
  <c r="JT122" i="1"/>
  <c r="LP122" i="1" s="1"/>
  <c r="JU122" i="1"/>
  <c r="LQ122" i="1" s="1"/>
  <c r="JV122" i="1"/>
  <c r="LR122" i="1" s="1"/>
  <c r="JW122" i="1"/>
  <c r="LS122" i="1" s="1"/>
  <c r="JX122" i="1"/>
  <c r="LT122" i="1" s="1"/>
  <c r="JY122" i="1"/>
  <c r="LU122" i="1" s="1"/>
  <c r="JZ122" i="1"/>
  <c r="LV122" i="1" s="1"/>
  <c r="KA122" i="1"/>
  <c r="LW122" i="1" s="1"/>
  <c r="KB122" i="1"/>
  <c r="LX122" i="1" s="1"/>
  <c r="KC122" i="1"/>
  <c r="LY122" i="1" s="1"/>
  <c r="KD122" i="1"/>
  <c r="LZ122" i="1" s="1"/>
  <c r="KE122" i="1"/>
  <c r="MA122" i="1" s="1"/>
  <c r="JP33" i="1"/>
  <c r="JQ33" i="1"/>
  <c r="LM33" i="1" s="1"/>
  <c r="JR33" i="1"/>
  <c r="LN33" i="1" s="1"/>
  <c r="JS33" i="1"/>
  <c r="LO33" i="1" s="1"/>
  <c r="JT33" i="1"/>
  <c r="LP33" i="1" s="1"/>
  <c r="JU33" i="1"/>
  <c r="LQ33" i="1" s="1"/>
  <c r="JV33" i="1"/>
  <c r="LR33" i="1" s="1"/>
  <c r="JW33" i="1"/>
  <c r="LS33" i="1" s="1"/>
  <c r="JX33" i="1"/>
  <c r="LT33" i="1" s="1"/>
  <c r="JY33" i="1"/>
  <c r="LU33" i="1" s="1"/>
  <c r="JZ33" i="1"/>
  <c r="LV33" i="1" s="1"/>
  <c r="KA33" i="1"/>
  <c r="LW33" i="1" s="1"/>
  <c r="KB33" i="1"/>
  <c r="LX33" i="1" s="1"/>
  <c r="KC33" i="1"/>
  <c r="LY33" i="1" s="1"/>
  <c r="KD33" i="1"/>
  <c r="LZ33" i="1" s="1"/>
  <c r="KE33" i="1"/>
  <c r="MA33" i="1" s="1"/>
  <c r="JP34" i="1"/>
  <c r="JQ34" i="1"/>
  <c r="LM34" i="1" s="1"/>
  <c r="JR34" i="1"/>
  <c r="LN34" i="1" s="1"/>
  <c r="JS34" i="1"/>
  <c r="LO34" i="1" s="1"/>
  <c r="JT34" i="1"/>
  <c r="LP34" i="1" s="1"/>
  <c r="JU34" i="1"/>
  <c r="LQ34" i="1" s="1"/>
  <c r="JV34" i="1"/>
  <c r="LR34" i="1" s="1"/>
  <c r="JW34" i="1"/>
  <c r="LS34" i="1" s="1"/>
  <c r="JX34" i="1"/>
  <c r="LT34" i="1" s="1"/>
  <c r="JY34" i="1"/>
  <c r="LU34" i="1" s="1"/>
  <c r="JZ34" i="1"/>
  <c r="LV34" i="1" s="1"/>
  <c r="KA34" i="1"/>
  <c r="LW34" i="1" s="1"/>
  <c r="KB34" i="1"/>
  <c r="LX34" i="1" s="1"/>
  <c r="KC34" i="1"/>
  <c r="LY34" i="1" s="1"/>
  <c r="KD34" i="1"/>
  <c r="LZ34" i="1" s="1"/>
  <c r="KE34" i="1"/>
  <c r="MA34" i="1" s="1"/>
  <c r="JP123" i="1"/>
  <c r="JQ123" i="1"/>
  <c r="LM123" i="1" s="1"/>
  <c r="JR123" i="1"/>
  <c r="LN123" i="1" s="1"/>
  <c r="JS123" i="1"/>
  <c r="LO123" i="1" s="1"/>
  <c r="JT123" i="1"/>
  <c r="LP123" i="1" s="1"/>
  <c r="JU123" i="1"/>
  <c r="LQ123" i="1" s="1"/>
  <c r="JV123" i="1"/>
  <c r="LR123" i="1" s="1"/>
  <c r="JW123" i="1"/>
  <c r="LS123" i="1" s="1"/>
  <c r="JX123" i="1"/>
  <c r="LT123" i="1" s="1"/>
  <c r="JY123" i="1"/>
  <c r="LU123" i="1" s="1"/>
  <c r="JZ123" i="1"/>
  <c r="LV123" i="1" s="1"/>
  <c r="KA123" i="1"/>
  <c r="LW123" i="1" s="1"/>
  <c r="KB123" i="1"/>
  <c r="LX123" i="1" s="1"/>
  <c r="KC123" i="1"/>
  <c r="LY123" i="1" s="1"/>
  <c r="KD123" i="1"/>
  <c r="LZ123" i="1" s="1"/>
  <c r="KE123" i="1"/>
  <c r="MA123" i="1" s="1"/>
  <c r="JP35" i="1"/>
  <c r="JQ35" i="1"/>
  <c r="LM35" i="1" s="1"/>
  <c r="JR35" i="1"/>
  <c r="LN35" i="1" s="1"/>
  <c r="JS35" i="1"/>
  <c r="LO35" i="1" s="1"/>
  <c r="JT35" i="1"/>
  <c r="LP35" i="1" s="1"/>
  <c r="JU35" i="1"/>
  <c r="LQ35" i="1" s="1"/>
  <c r="JV35" i="1"/>
  <c r="LR35" i="1" s="1"/>
  <c r="JW35" i="1"/>
  <c r="LS35" i="1" s="1"/>
  <c r="JX35" i="1"/>
  <c r="LT35" i="1" s="1"/>
  <c r="JY35" i="1"/>
  <c r="LU35" i="1" s="1"/>
  <c r="JZ35" i="1"/>
  <c r="LV35" i="1" s="1"/>
  <c r="KA35" i="1"/>
  <c r="LW35" i="1" s="1"/>
  <c r="KB35" i="1"/>
  <c r="LX35" i="1" s="1"/>
  <c r="KC35" i="1"/>
  <c r="LY35" i="1" s="1"/>
  <c r="KD35" i="1"/>
  <c r="LZ35" i="1" s="1"/>
  <c r="KE35" i="1"/>
  <c r="MA35" i="1" s="1"/>
  <c r="JP124" i="1"/>
  <c r="JQ124" i="1"/>
  <c r="LM124" i="1" s="1"/>
  <c r="JR124" i="1"/>
  <c r="LN124" i="1" s="1"/>
  <c r="JS124" i="1"/>
  <c r="LO124" i="1" s="1"/>
  <c r="JT124" i="1"/>
  <c r="LP124" i="1" s="1"/>
  <c r="JU124" i="1"/>
  <c r="LQ124" i="1" s="1"/>
  <c r="JV124" i="1"/>
  <c r="LR124" i="1" s="1"/>
  <c r="JW124" i="1"/>
  <c r="LS124" i="1" s="1"/>
  <c r="JX124" i="1"/>
  <c r="LT124" i="1" s="1"/>
  <c r="JY124" i="1"/>
  <c r="LU124" i="1" s="1"/>
  <c r="JZ124" i="1"/>
  <c r="LV124" i="1" s="1"/>
  <c r="KA124" i="1"/>
  <c r="LW124" i="1" s="1"/>
  <c r="KB124" i="1"/>
  <c r="LX124" i="1" s="1"/>
  <c r="KC124" i="1"/>
  <c r="LY124" i="1" s="1"/>
  <c r="KD124" i="1"/>
  <c r="LZ124" i="1" s="1"/>
  <c r="KE124" i="1"/>
  <c r="MA124" i="1" s="1"/>
  <c r="JP125" i="1"/>
  <c r="JQ125" i="1"/>
  <c r="LM125" i="1" s="1"/>
  <c r="JR125" i="1"/>
  <c r="LN125" i="1" s="1"/>
  <c r="JS125" i="1"/>
  <c r="LO125" i="1" s="1"/>
  <c r="JT125" i="1"/>
  <c r="LP125" i="1" s="1"/>
  <c r="JU125" i="1"/>
  <c r="LQ125" i="1" s="1"/>
  <c r="JV125" i="1"/>
  <c r="LR125" i="1" s="1"/>
  <c r="JW125" i="1"/>
  <c r="LS125" i="1" s="1"/>
  <c r="JX125" i="1"/>
  <c r="LT125" i="1" s="1"/>
  <c r="JY125" i="1"/>
  <c r="LU125" i="1" s="1"/>
  <c r="JZ125" i="1"/>
  <c r="LV125" i="1" s="1"/>
  <c r="KA125" i="1"/>
  <c r="LW125" i="1" s="1"/>
  <c r="KB125" i="1"/>
  <c r="LX125" i="1" s="1"/>
  <c r="KC125" i="1"/>
  <c r="LY125" i="1" s="1"/>
  <c r="KD125" i="1"/>
  <c r="LZ125" i="1" s="1"/>
  <c r="KE125" i="1"/>
  <c r="MA125" i="1" s="1"/>
  <c r="JP116" i="1"/>
  <c r="JQ116" i="1"/>
  <c r="LM116" i="1" s="1"/>
  <c r="JR116" i="1"/>
  <c r="LN116" i="1" s="1"/>
  <c r="JS116" i="1"/>
  <c r="LO116" i="1" s="1"/>
  <c r="JT116" i="1"/>
  <c r="LP116" i="1" s="1"/>
  <c r="JU116" i="1"/>
  <c r="LQ116" i="1" s="1"/>
  <c r="JV116" i="1"/>
  <c r="LR116" i="1" s="1"/>
  <c r="JW116" i="1"/>
  <c r="LS116" i="1" s="1"/>
  <c r="JX116" i="1"/>
  <c r="LT116" i="1" s="1"/>
  <c r="JY116" i="1"/>
  <c r="LU116" i="1" s="1"/>
  <c r="JZ116" i="1"/>
  <c r="LV116" i="1" s="1"/>
  <c r="KA116" i="1"/>
  <c r="LW116" i="1" s="1"/>
  <c r="KB116" i="1"/>
  <c r="LX116" i="1" s="1"/>
  <c r="KC116" i="1"/>
  <c r="LY116" i="1" s="1"/>
  <c r="KD116" i="1"/>
  <c r="LZ116" i="1" s="1"/>
  <c r="KE116" i="1"/>
  <c r="MA116" i="1" s="1"/>
  <c r="JP88" i="1"/>
  <c r="JQ88" i="1"/>
  <c r="LM88" i="1" s="1"/>
  <c r="JR88" i="1"/>
  <c r="LN88" i="1" s="1"/>
  <c r="JS88" i="1"/>
  <c r="LO88" i="1" s="1"/>
  <c r="JT88" i="1"/>
  <c r="LP88" i="1" s="1"/>
  <c r="JU88" i="1"/>
  <c r="LQ88" i="1" s="1"/>
  <c r="JV88" i="1"/>
  <c r="LR88" i="1" s="1"/>
  <c r="JW88" i="1"/>
  <c r="LS88" i="1" s="1"/>
  <c r="JX88" i="1"/>
  <c r="LT88" i="1" s="1"/>
  <c r="JY88" i="1"/>
  <c r="LU88" i="1" s="1"/>
  <c r="JZ88" i="1"/>
  <c r="LV88" i="1" s="1"/>
  <c r="KA88" i="1"/>
  <c r="LW88" i="1" s="1"/>
  <c r="KC88" i="1"/>
  <c r="LY88" i="1" s="1"/>
  <c r="KD88" i="1"/>
  <c r="LZ88" i="1" s="1"/>
  <c r="KE88" i="1"/>
  <c r="MA88" i="1" s="1"/>
  <c r="KB88" i="1"/>
  <c r="LX88" i="1" s="1"/>
  <c r="MD118" i="1"/>
  <c r="MD2" i="1"/>
  <c r="MD37" i="1"/>
  <c r="MD38" i="1"/>
  <c r="MD39" i="1"/>
  <c r="MD41" i="1"/>
  <c r="MD40" i="1"/>
  <c r="MD42" i="1"/>
  <c r="MD43" i="1"/>
  <c r="MD44" i="1"/>
  <c r="MD45" i="1"/>
  <c r="MD46" i="1"/>
  <c r="MD3" i="1"/>
  <c r="MD47" i="1"/>
  <c r="MD48" i="1"/>
  <c r="MD49" i="1"/>
  <c r="MD50" i="1"/>
  <c r="MD51" i="1"/>
  <c r="MD52" i="1"/>
  <c r="MD53" i="1"/>
  <c r="MD54" i="1"/>
  <c r="MD4" i="1"/>
  <c r="MD55" i="1"/>
  <c r="MD5" i="1"/>
  <c r="MD56" i="1"/>
  <c r="MD57" i="1"/>
  <c r="MD58" i="1"/>
  <c r="MD59" i="1"/>
  <c r="MD60" i="1"/>
  <c r="MD61" i="1"/>
  <c r="MD62" i="1"/>
  <c r="MD63" i="1"/>
  <c r="MD65" i="1"/>
  <c r="MD64" i="1"/>
  <c r="MD66" i="1"/>
  <c r="MD6" i="1"/>
  <c r="MD7" i="1"/>
  <c r="MD8" i="1"/>
  <c r="MD68" i="1"/>
  <c r="MD67" i="1"/>
  <c r="MD69" i="1"/>
  <c r="MD70" i="1"/>
  <c r="MD119" i="1"/>
  <c r="MD71" i="1"/>
  <c r="MD73" i="1"/>
  <c r="MD72" i="1"/>
  <c r="MD75" i="1"/>
  <c r="MD74" i="1"/>
  <c r="MD76" i="1"/>
  <c r="MD77" i="1"/>
  <c r="MD9" i="1"/>
  <c r="MD10" i="1"/>
  <c r="MD11" i="1"/>
  <c r="MD12" i="1"/>
  <c r="MD13" i="1"/>
  <c r="MD120" i="1"/>
  <c r="MD14" i="1"/>
  <c r="MD78" i="1"/>
  <c r="MD79" i="1"/>
  <c r="MD80" i="1"/>
  <c r="MD15" i="1"/>
  <c r="MD81" i="1"/>
  <c r="MD121" i="1"/>
  <c r="MD82" i="1"/>
  <c r="MD16" i="1"/>
  <c r="MD83" i="1"/>
  <c r="MD85" i="1"/>
  <c r="MD84" i="1"/>
  <c r="MD17" i="1"/>
  <c r="MD18" i="1"/>
  <c r="MD86" i="1"/>
  <c r="MD19" i="1"/>
  <c r="MD20" i="1"/>
  <c r="MD21" i="1"/>
  <c r="MD22" i="1"/>
  <c r="MD87" i="1"/>
  <c r="MD88" i="1"/>
  <c r="MD89" i="1"/>
  <c r="MD90" i="1"/>
  <c r="MD91" i="1"/>
  <c r="MD92" i="1"/>
  <c r="MD23" i="1"/>
  <c r="MD93" i="1"/>
  <c r="MD94" i="1"/>
  <c r="MD96" i="1"/>
  <c r="MD95" i="1"/>
  <c r="MD97" i="1"/>
  <c r="MD98" i="1"/>
  <c r="MD99" i="1"/>
  <c r="MD24" i="1"/>
  <c r="MD25" i="1"/>
  <c r="MD26" i="1"/>
  <c r="MD100" i="1"/>
  <c r="MD27" i="1"/>
  <c r="MD101" i="1"/>
  <c r="MD102" i="1"/>
  <c r="MD103" i="1"/>
  <c r="MD28" i="1"/>
  <c r="MD104" i="1"/>
  <c r="MD105" i="1"/>
  <c r="MD106" i="1"/>
  <c r="MD107" i="1"/>
  <c r="MD108" i="1"/>
  <c r="MD109" i="1"/>
  <c r="MD29" i="1"/>
  <c r="MD110" i="1"/>
  <c r="MD30" i="1"/>
  <c r="MD31" i="1"/>
  <c r="MD111" i="1"/>
  <c r="MD112" i="1"/>
  <c r="MD32" i="1"/>
  <c r="MD113" i="1"/>
  <c r="MD114" i="1"/>
  <c r="MD117" i="1"/>
  <c r="MD115" i="1"/>
  <c r="MD122" i="1"/>
  <c r="MD33" i="1"/>
  <c r="MD34" i="1"/>
  <c r="MD123" i="1"/>
  <c r="MD35" i="1"/>
  <c r="MD124" i="1"/>
  <c r="MD125" i="1"/>
  <c r="MD116" i="1"/>
  <c r="MD36" i="1"/>
  <c r="MC118" i="1"/>
  <c r="MC2" i="1"/>
  <c r="MC37" i="1"/>
  <c r="MC38" i="1"/>
  <c r="MC39" i="1"/>
  <c r="MC41" i="1"/>
  <c r="MC40" i="1"/>
  <c r="MC42" i="1"/>
  <c r="MC43" i="1"/>
  <c r="MC44" i="1"/>
  <c r="MC45" i="1"/>
  <c r="MC46" i="1"/>
  <c r="MC3" i="1"/>
  <c r="MC47" i="1"/>
  <c r="MC48" i="1"/>
  <c r="MC49" i="1"/>
  <c r="MC50" i="1"/>
  <c r="MC51" i="1"/>
  <c r="MC52" i="1"/>
  <c r="MC53" i="1"/>
  <c r="MC54" i="1"/>
  <c r="MC4" i="1"/>
  <c r="MC55" i="1"/>
  <c r="MC5" i="1"/>
  <c r="MC56" i="1"/>
  <c r="MC57" i="1"/>
  <c r="MC58" i="1"/>
  <c r="MC59" i="1"/>
  <c r="MC60" i="1"/>
  <c r="MC61" i="1"/>
  <c r="MC62" i="1"/>
  <c r="MC63" i="1"/>
  <c r="MC65" i="1"/>
  <c r="MC64" i="1"/>
  <c r="MC66" i="1"/>
  <c r="MC6" i="1"/>
  <c r="MC7" i="1"/>
  <c r="MC8" i="1"/>
  <c r="MC68" i="1"/>
  <c r="MC67" i="1"/>
  <c r="MC69" i="1"/>
  <c r="MC70" i="1"/>
  <c r="MC119" i="1"/>
  <c r="MC71" i="1"/>
  <c r="MC73" i="1"/>
  <c r="MC72" i="1"/>
  <c r="MC75" i="1"/>
  <c r="MC74" i="1"/>
  <c r="MC76" i="1"/>
  <c r="MC77" i="1"/>
  <c r="MC9" i="1"/>
  <c r="MC10" i="1"/>
  <c r="MC11" i="1"/>
  <c r="MC12" i="1"/>
  <c r="MC13" i="1"/>
  <c r="MC120" i="1"/>
  <c r="MC14" i="1"/>
  <c r="MC78" i="1"/>
  <c r="MC79" i="1"/>
  <c r="MC80" i="1"/>
  <c r="MC15" i="1"/>
  <c r="MC81" i="1"/>
  <c r="MC121" i="1"/>
  <c r="MC82" i="1"/>
  <c r="MC16" i="1"/>
  <c r="MC83" i="1"/>
  <c r="MC85" i="1"/>
  <c r="MC84" i="1"/>
  <c r="MC17" i="1"/>
  <c r="MC18" i="1"/>
  <c r="MC86" i="1"/>
  <c r="MC19" i="1"/>
  <c r="MC20" i="1"/>
  <c r="MC21" i="1"/>
  <c r="MC22" i="1"/>
  <c r="MC87" i="1"/>
  <c r="MC88" i="1"/>
  <c r="MC89" i="1"/>
  <c r="MC90" i="1"/>
  <c r="MC91" i="1"/>
  <c r="MC92" i="1"/>
  <c r="MC23" i="1"/>
  <c r="MC93" i="1"/>
  <c r="MC94" i="1"/>
  <c r="MC96" i="1"/>
  <c r="MC95" i="1"/>
  <c r="MC97" i="1"/>
  <c r="MC98" i="1"/>
  <c r="MC99" i="1"/>
  <c r="MC24" i="1"/>
  <c r="MC25" i="1"/>
  <c r="MC26" i="1"/>
  <c r="MC100" i="1"/>
  <c r="MC27" i="1"/>
  <c r="MC101" i="1"/>
  <c r="MC102" i="1"/>
  <c r="MC103" i="1"/>
  <c r="MC28" i="1"/>
  <c r="MC104" i="1"/>
  <c r="MC105" i="1"/>
  <c r="MC106" i="1"/>
  <c r="MC107" i="1"/>
  <c r="MC108" i="1"/>
  <c r="MC109" i="1"/>
  <c r="MC29" i="1"/>
  <c r="MC110" i="1"/>
  <c r="MC30" i="1"/>
  <c r="MC31" i="1"/>
  <c r="MC111" i="1"/>
  <c r="MC112" i="1"/>
  <c r="MC32" i="1"/>
  <c r="MC113" i="1"/>
  <c r="MC114" i="1"/>
  <c r="MC117" i="1"/>
  <c r="MC115" i="1"/>
  <c r="MC122" i="1"/>
  <c r="MC33" i="1"/>
  <c r="MC34" i="1"/>
  <c r="MC123" i="1"/>
  <c r="MC35" i="1"/>
  <c r="MC124" i="1"/>
  <c r="MC125" i="1"/>
  <c r="MC116" i="1"/>
  <c r="MC36" i="1"/>
  <c r="MB118" i="1"/>
  <c r="MB2" i="1"/>
  <c r="MB37" i="1"/>
  <c r="MB38" i="1"/>
  <c r="MB39" i="1"/>
  <c r="MB41" i="1"/>
  <c r="MB40" i="1"/>
  <c r="MB42" i="1"/>
  <c r="MB43" i="1"/>
  <c r="MB44" i="1"/>
  <c r="MB45" i="1"/>
  <c r="MB46" i="1"/>
  <c r="MB3" i="1"/>
  <c r="MB47" i="1"/>
  <c r="MB48" i="1"/>
  <c r="MB49" i="1"/>
  <c r="MB50" i="1"/>
  <c r="MB51" i="1"/>
  <c r="MB52" i="1"/>
  <c r="MB53" i="1"/>
  <c r="MB54" i="1"/>
  <c r="MB4" i="1"/>
  <c r="MB55" i="1"/>
  <c r="MB5" i="1"/>
  <c r="MB56" i="1"/>
  <c r="MB57" i="1"/>
  <c r="MB58" i="1"/>
  <c r="MB59" i="1"/>
  <c r="MB60" i="1"/>
  <c r="MB61" i="1"/>
  <c r="MB62" i="1"/>
  <c r="MB63" i="1"/>
  <c r="MB65" i="1"/>
  <c r="MB64" i="1"/>
  <c r="MB66" i="1"/>
  <c r="MB6" i="1"/>
  <c r="MB7" i="1"/>
  <c r="MB8" i="1"/>
  <c r="MB68" i="1"/>
  <c r="MB67" i="1"/>
  <c r="MB69" i="1"/>
  <c r="MB70" i="1"/>
  <c r="MB119" i="1"/>
  <c r="MB71" i="1"/>
  <c r="MB73" i="1"/>
  <c r="MB72" i="1"/>
  <c r="MB75" i="1"/>
  <c r="MB74" i="1"/>
  <c r="MB76" i="1"/>
  <c r="MB77" i="1"/>
  <c r="MB9" i="1"/>
  <c r="MB10" i="1"/>
  <c r="MB11" i="1"/>
  <c r="MB12" i="1"/>
  <c r="MB13" i="1"/>
  <c r="MB120" i="1"/>
  <c r="MB14" i="1"/>
  <c r="MB78" i="1"/>
  <c r="MB79" i="1"/>
  <c r="MB80" i="1"/>
  <c r="MB15" i="1"/>
  <c r="MB81" i="1"/>
  <c r="MB121" i="1"/>
  <c r="MB82" i="1"/>
  <c r="MB16" i="1"/>
  <c r="MB83" i="1"/>
  <c r="MB85" i="1"/>
  <c r="MB84" i="1"/>
  <c r="MB17" i="1"/>
  <c r="MB18" i="1"/>
  <c r="MB86" i="1"/>
  <c r="MB19" i="1"/>
  <c r="MB20" i="1"/>
  <c r="MB21" i="1"/>
  <c r="MB22" i="1"/>
  <c r="MB87" i="1"/>
  <c r="MB88" i="1"/>
  <c r="MB89" i="1"/>
  <c r="MB90" i="1"/>
  <c r="MB91" i="1"/>
  <c r="MB92" i="1"/>
  <c r="MB23" i="1"/>
  <c r="MB93" i="1"/>
  <c r="MB94" i="1"/>
  <c r="MB96" i="1"/>
  <c r="MB95" i="1"/>
  <c r="MB97" i="1"/>
  <c r="MB98" i="1"/>
  <c r="MB99" i="1"/>
  <c r="MB24" i="1"/>
  <c r="MB25" i="1"/>
  <c r="MB26" i="1"/>
  <c r="MB100" i="1"/>
  <c r="MB27" i="1"/>
  <c r="MB101" i="1"/>
  <c r="MB102" i="1"/>
  <c r="MB103" i="1"/>
  <c r="MB28" i="1"/>
  <c r="MB104" i="1"/>
  <c r="MB105" i="1"/>
  <c r="MB106" i="1"/>
  <c r="MB107" i="1"/>
  <c r="MB108" i="1"/>
  <c r="MB109" i="1"/>
  <c r="MB29" i="1"/>
  <c r="MB110" i="1"/>
  <c r="MB30" i="1"/>
  <c r="MB31" i="1"/>
  <c r="MB111" i="1"/>
  <c r="MB112" i="1"/>
  <c r="MB32" i="1"/>
  <c r="MB113" i="1"/>
  <c r="MB114" i="1"/>
  <c r="MB117" i="1"/>
  <c r="MB115" i="1"/>
  <c r="MB122" i="1"/>
  <c r="MB33" i="1"/>
  <c r="MB34" i="1"/>
  <c r="MB123" i="1"/>
  <c r="MB35" i="1"/>
  <c r="MB124" i="1"/>
  <c r="MB125" i="1"/>
  <c r="MB116" i="1"/>
  <c r="MB36" i="1"/>
  <c r="ME118" i="1"/>
  <c r="ME2" i="1"/>
  <c r="ME37" i="1"/>
  <c r="ME38" i="1"/>
  <c r="ME39" i="1"/>
  <c r="ME41" i="1"/>
  <c r="ME40" i="1"/>
  <c r="ME42" i="1"/>
  <c r="ME43" i="1"/>
  <c r="ME44" i="1"/>
  <c r="ME45" i="1"/>
  <c r="ME46" i="1"/>
  <c r="ME3" i="1"/>
  <c r="ME47" i="1"/>
  <c r="ME48" i="1"/>
  <c r="ME49" i="1"/>
  <c r="ME50" i="1"/>
  <c r="ME51" i="1"/>
  <c r="ME52" i="1"/>
  <c r="ME53" i="1"/>
  <c r="ME54" i="1"/>
  <c r="ME4" i="1"/>
  <c r="ME55" i="1"/>
  <c r="ME5" i="1"/>
  <c r="ME56" i="1"/>
  <c r="ME57" i="1"/>
  <c r="ME58" i="1"/>
  <c r="ME59" i="1"/>
  <c r="ME60" i="1"/>
  <c r="ME61" i="1"/>
  <c r="ME62" i="1"/>
  <c r="ME63" i="1"/>
  <c r="ME65" i="1"/>
  <c r="ME64" i="1"/>
  <c r="ME66" i="1"/>
  <c r="ME6" i="1"/>
  <c r="ME7" i="1"/>
  <c r="ME8" i="1"/>
  <c r="ME68" i="1"/>
  <c r="ME67" i="1"/>
  <c r="ME69" i="1"/>
  <c r="ME70" i="1"/>
  <c r="ME119" i="1"/>
  <c r="ME71" i="1"/>
  <c r="ME73" i="1"/>
  <c r="ME72" i="1"/>
  <c r="ME75" i="1"/>
  <c r="ME74" i="1"/>
  <c r="ME76" i="1"/>
  <c r="ME77" i="1"/>
  <c r="ME9" i="1"/>
  <c r="ME10" i="1"/>
  <c r="ME11" i="1"/>
  <c r="ME12" i="1"/>
  <c r="ME13" i="1"/>
  <c r="ME120" i="1"/>
  <c r="ME14" i="1"/>
  <c r="ME78" i="1"/>
  <c r="ME79" i="1"/>
  <c r="ME80" i="1"/>
  <c r="ME15" i="1"/>
  <c r="ME81" i="1"/>
  <c r="ME121" i="1"/>
  <c r="ME82" i="1"/>
  <c r="ME16" i="1"/>
  <c r="ME83" i="1"/>
  <c r="ME85" i="1"/>
  <c r="ME84" i="1"/>
  <c r="ME17" i="1"/>
  <c r="ME18" i="1"/>
  <c r="ME86" i="1"/>
  <c r="ME19" i="1"/>
  <c r="ME20" i="1"/>
  <c r="ME21" i="1"/>
  <c r="ME22" i="1"/>
  <c r="ME87" i="1"/>
  <c r="ME88" i="1"/>
  <c r="ME89" i="1"/>
  <c r="ME90" i="1"/>
  <c r="ME91" i="1"/>
  <c r="ME92" i="1"/>
  <c r="ME23" i="1"/>
  <c r="ME93" i="1"/>
  <c r="ME94" i="1"/>
  <c r="ME96" i="1"/>
  <c r="ME95" i="1"/>
  <c r="ME97" i="1"/>
  <c r="ME98" i="1"/>
  <c r="ME99" i="1"/>
  <c r="ME24" i="1"/>
  <c r="ME25" i="1"/>
  <c r="ME26" i="1"/>
  <c r="ME100" i="1"/>
  <c r="ME27" i="1"/>
  <c r="ME101" i="1"/>
  <c r="ME102" i="1"/>
  <c r="ME103" i="1"/>
  <c r="ME28" i="1"/>
  <c r="ME104" i="1"/>
  <c r="ME105" i="1"/>
  <c r="ME106" i="1"/>
  <c r="ME107" i="1"/>
  <c r="ME108" i="1"/>
  <c r="ME109" i="1"/>
  <c r="ME29" i="1"/>
  <c r="ME110" i="1"/>
  <c r="ME30" i="1"/>
  <c r="ME31" i="1"/>
  <c r="ME111" i="1"/>
  <c r="ME112" i="1"/>
  <c r="ME32" i="1"/>
  <c r="ME113" i="1"/>
  <c r="ME114" i="1"/>
  <c r="ME117" i="1"/>
  <c r="ME115" i="1"/>
  <c r="ME122" i="1"/>
  <c r="ME33" i="1"/>
  <c r="ME34" i="1"/>
  <c r="ME123" i="1"/>
  <c r="ME35" i="1"/>
  <c r="ME124" i="1"/>
  <c r="ME125" i="1"/>
  <c r="ME116" i="1"/>
  <c r="ME36" i="1"/>
  <c r="IJ36" i="1"/>
  <c r="IJ118" i="1"/>
  <c r="IJ2" i="1"/>
  <c r="IJ37" i="1"/>
  <c r="IJ38" i="1"/>
  <c r="IJ39" i="1"/>
  <c r="IJ41" i="1"/>
  <c r="IJ40" i="1"/>
  <c r="IJ42" i="1"/>
  <c r="IJ43" i="1"/>
  <c r="IJ44" i="1"/>
  <c r="IJ45" i="1"/>
  <c r="IJ46" i="1"/>
  <c r="IJ3" i="1"/>
  <c r="IJ47" i="1"/>
  <c r="IJ48" i="1"/>
  <c r="IJ49" i="1"/>
  <c r="IJ50" i="1"/>
  <c r="IJ51" i="1"/>
  <c r="IJ52" i="1"/>
  <c r="IJ53" i="1"/>
  <c r="IJ54" i="1"/>
  <c r="IJ4" i="1"/>
  <c r="IJ55" i="1"/>
  <c r="IJ5" i="1"/>
  <c r="IJ56" i="1"/>
  <c r="IJ57" i="1"/>
  <c r="IJ58" i="1"/>
  <c r="IJ59" i="1"/>
  <c r="IJ60" i="1"/>
  <c r="IJ61" i="1"/>
  <c r="IJ62" i="1"/>
  <c r="IJ63" i="1"/>
  <c r="IJ65" i="1"/>
  <c r="IJ64" i="1"/>
  <c r="IJ66" i="1"/>
  <c r="IJ6" i="1"/>
  <c r="IJ7" i="1"/>
  <c r="IJ8" i="1"/>
  <c r="IJ68" i="1"/>
  <c r="IJ67" i="1"/>
  <c r="IJ69" i="1"/>
  <c r="IJ70" i="1"/>
  <c r="IJ119" i="1"/>
  <c r="IJ71" i="1"/>
  <c r="IJ73" i="1"/>
  <c r="IJ72" i="1"/>
  <c r="IJ75" i="1"/>
  <c r="IJ74" i="1"/>
  <c r="IJ76" i="1"/>
  <c r="IJ77" i="1"/>
  <c r="IJ9" i="1"/>
  <c r="IJ10" i="1"/>
  <c r="IJ11" i="1"/>
  <c r="IJ12" i="1"/>
  <c r="IJ13" i="1"/>
  <c r="IJ120" i="1"/>
  <c r="IJ14" i="1"/>
  <c r="IJ78" i="1"/>
  <c r="IJ79" i="1"/>
  <c r="IJ80" i="1"/>
  <c r="IJ15" i="1"/>
  <c r="IJ81" i="1"/>
  <c r="IJ121" i="1"/>
  <c r="IJ82" i="1"/>
  <c r="IJ16" i="1"/>
  <c r="IJ83" i="1"/>
  <c r="IJ85" i="1"/>
  <c r="IJ84" i="1"/>
  <c r="IJ17" i="1"/>
  <c r="IJ18" i="1"/>
  <c r="IJ86" i="1"/>
  <c r="IJ19" i="1"/>
  <c r="IJ20" i="1"/>
  <c r="IJ21" i="1"/>
  <c r="IJ22" i="1"/>
  <c r="IJ87" i="1"/>
  <c r="IJ88" i="1"/>
  <c r="IJ89" i="1"/>
  <c r="IJ90" i="1"/>
  <c r="IJ91" i="1"/>
  <c r="IJ92" i="1"/>
  <c r="IJ23" i="1"/>
  <c r="IJ93" i="1"/>
  <c r="IJ94" i="1"/>
  <c r="IJ96" i="1"/>
  <c r="IJ95" i="1"/>
  <c r="IJ97" i="1"/>
  <c r="IJ98" i="1"/>
  <c r="IJ99" i="1"/>
  <c r="IJ24" i="1"/>
  <c r="IJ25" i="1"/>
  <c r="IJ26" i="1"/>
  <c r="IJ100" i="1"/>
  <c r="IJ27" i="1"/>
  <c r="IJ101" i="1"/>
  <c r="IJ102" i="1"/>
  <c r="IJ103" i="1"/>
  <c r="IJ28" i="1"/>
  <c r="IJ104" i="1"/>
  <c r="IJ105" i="1"/>
  <c r="IJ106" i="1"/>
  <c r="IJ107" i="1"/>
  <c r="IJ108" i="1"/>
  <c r="IJ109" i="1"/>
  <c r="IJ29" i="1"/>
  <c r="IJ110" i="1"/>
  <c r="IJ30" i="1"/>
  <c r="IJ31" i="1"/>
  <c r="IJ111" i="1"/>
  <c r="IJ112" i="1"/>
  <c r="IJ32" i="1"/>
  <c r="IJ113" i="1"/>
  <c r="IJ114" i="1"/>
  <c r="IJ117" i="1"/>
  <c r="IJ115" i="1"/>
  <c r="IJ122" i="1"/>
  <c r="IJ33" i="1"/>
  <c r="IJ34" i="1"/>
  <c r="IJ123" i="1"/>
  <c r="IJ35" i="1"/>
  <c r="IJ124" i="1"/>
  <c r="IJ125" i="1"/>
  <c r="IJ116" i="1"/>
  <c r="CO36" i="1" l="1"/>
  <c r="CO66" i="1"/>
  <c r="CN11" i="2"/>
  <c r="CO114" i="1"/>
  <c r="CA112" i="1"/>
  <c r="CA96" i="1"/>
  <c r="CA70" i="1"/>
  <c r="CA71" i="1"/>
  <c r="CA84" i="1"/>
  <c r="CA48" i="1"/>
  <c r="CA75" i="1"/>
  <c r="CA99" i="1"/>
  <c r="CA114" i="1"/>
  <c r="CA74" i="1"/>
  <c r="CA43" i="1"/>
  <c r="CA52" i="1"/>
  <c r="CA117" i="1"/>
  <c r="CA81" i="1"/>
  <c r="CA95" i="1"/>
  <c r="CA50" i="1"/>
  <c r="CA86" i="1"/>
  <c r="CA77" i="1"/>
  <c r="CA58" i="1"/>
  <c r="CA46" i="1"/>
  <c r="CA69" i="1"/>
  <c r="CA53" i="1"/>
  <c r="CA45" i="1"/>
  <c r="CA115" i="1"/>
  <c r="CA107" i="1"/>
  <c r="CA62" i="1"/>
  <c r="CA88" i="1"/>
  <c r="CA37" i="1"/>
  <c r="CA67" i="1"/>
  <c r="CA68" i="1"/>
  <c r="CA49" i="1"/>
  <c r="CA57" i="1"/>
  <c r="CA63" i="1"/>
  <c r="CA100" i="1"/>
  <c r="CA116" i="1"/>
  <c r="CA60" i="1"/>
  <c r="CA92" i="1"/>
  <c r="CA36" i="1"/>
  <c r="CA118" i="1"/>
  <c r="CA2" i="1"/>
  <c r="CA38" i="1"/>
  <c r="CA39" i="1"/>
  <c r="CA41" i="1"/>
  <c r="CA40" i="1"/>
  <c r="CA42" i="1"/>
  <c r="CA44" i="1"/>
  <c r="CA3" i="1"/>
  <c r="CA47" i="1"/>
  <c r="CA51" i="1"/>
  <c r="CA54" i="1"/>
  <c r="CA4" i="1"/>
  <c r="CA55" i="1"/>
  <c r="CA5" i="1"/>
  <c r="CA56" i="1"/>
  <c r="CA59" i="1"/>
  <c r="CA61" i="1"/>
  <c r="CA65" i="1"/>
  <c r="CA64" i="1"/>
  <c r="CA6" i="1"/>
  <c r="CA7" i="1"/>
  <c r="CA8" i="1"/>
  <c r="CA119" i="1"/>
  <c r="CA73" i="1"/>
  <c r="CA72" i="1"/>
  <c r="CA76" i="1"/>
  <c r="CA9" i="1"/>
  <c r="CA10" i="1"/>
  <c r="CA11" i="1"/>
  <c r="CA12" i="1"/>
  <c r="CA13" i="1"/>
  <c r="CA120" i="1"/>
  <c r="CA14" i="1"/>
  <c r="CA78" i="1"/>
  <c r="CA79" i="1"/>
  <c r="CA80" i="1"/>
  <c r="CA15" i="1"/>
  <c r="CA121" i="1"/>
  <c r="CA82" i="1"/>
  <c r="CA16" i="1"/>
  <c r="CA83" i="1"/>
  <c r="CA85" i="1"/>
  <c r="CA17" i="1"/>
  <c r="CA18" i="1"/>
  <c r="CA19" i="1"/>
  <c r="CA20" i="1"/>
  <c r="CA21" i="1"/>
  <c r="CA22" i="1"/>
  <c r="CA87" i="1"/>
  <c r="CA89" i="1"/>
  <c r="CA90" i="1"/>
  <c r="CA91" i="1"/>
  <c r="CA23" i="1"/>
  <c r="CA93" i="1"/>
  <c r="CA94" i="1"/>
  <c r="CA97" i="1"/>
  <c r="CA98" i="1"/>
  <c r="CA24" i="1"/>
  <c r="CA25" i="1"/>
  <c r="CA26" i="1"/>
  <c r="CA27" i="1"/>
  <c r="CA101" i="1"/>
  <c r="CA102" i="1"/>
  <c r="CA103" i="1"/>
  <c r="CA28" i="1"/>
  <c r="CA104" i="1"/>
  <c r="CA105" i="1"/>
  <c r="CA106" i="1"/>
  <c r="CA108" i="1"/>
  <c r="CA109" i="1"/>
  <c r="CA29" i="1"/>
  <c r="CA110" i="1"/>
  <c r="CA30" i="1"/>
  <c r="CA31" i="1"/>
  <c r="CA111" i="1"/>
  <c r="CA32" i="1"/>
  <c r="CA113" i="1"/>
  <c r="CA122" i="1"/>
  <c r="CA33" i="1"/>
  <c r="CA34" i="1"/>
  <c r="CA123" i="1"/>
  <c r="CA35" i="1"/>
  <c r="CA124" i="1"/>
  <c r="CA125" i="1"/>
  <c r="CA66" i="1"/>
  <c r="CM112" i="1"/>
  <c r="CM96" i="1"/>
  <c r="CM70" i="1"/>
  <c r="CM71" i="1"/>
  <c r="CM84" i="1"/>
  <c r="CM48" i="1"/>
  <c r="CM75" i="1"/>
  <c r="CM99" i="1"/>
  <c r="CM74" i="1"/>
  <c r="CM43" i="1"/>
  <c r="CM52" i="1"/>
  <c r="CM117" i="1"/>
  <c r="CM81" i="1"/>
  <c r="CM95" i="1"/>
  <c r="CM50" i="1"/>
  <c r="CM86" i="1"/>
  <c r="CM77" i="1"/>
  <c r="CM58" i="1"/>
  <c r="CM46" i="1"/>
  <c r="CM69" i="1"/>
  <c r="CM53" i="1"/>
  <c r="CM45" i="1"/>
  <c r="CM115" i="1"/>
  <c r="CM107" i="1"/>
  <c r="CM62" i="1"/>
  <c r="CM88" i="1"/>
  <c r="CM68" i="1"/>
  <c r="CM49" i="1"/>
  <c r="CM57" i="1"/>
  <c r="CM63" i="1"/>
  <c r="CM100" i="1"/>
  <c r="CM116" i="1"/>
  <c r="CM60" i="1"/>
  <c r="CM92" i="1"/>
  <c r="CM36" i="1"/>
  <c r="CM118" i="1"/>
  <c r="CM2" i="1"/>
  <c r="CM38" i="1"/>
  <c r="CM39" i="1"/>
  <c r="CM41" i="1"/>
  <c r="CM40" i="1"/>
  <c r="CM42" i="1"/>
  <c r="CM44" i="1"/>
  <c r="CM3" i="1"/>
  <c r="CM47" i="1"/>
  <c r="CM51" i="1"/>
  <c r="CM54" i="1"/>
  <c r="CM4" i="1"/>
  <c r="CM55" i="1"/>
  <c r="CM5" i="1"/>
  <c r="CM56" i="1"/>
  <c r="CM59" i="1"/>
  <c r="CM61" i="1"/>
  <c r="CM65" i="1"/>
  <c r="CM64" i="1"/>
  <c r="CM6" i="1"/>
  <c r="CM7" i="1"/>
  <c r="CM8" i="1"/>
  <c r="CM119" i="1"/>
  <c r="CM73" i="1"/>
  <c r="CM72" i="1"/>
  <c r="CM76" i="1"/>
  <c r="CM9" i="1"/>
  <c r="CM10" i="1"/>
  <c r="CM11" i="1"/>
  <c r="CM12" i="1"/>
  <c r="CM13" i="1"/>
  <c r="CM120" i="1"/>
  <c r="CM14" i="1"/>
  <c r="CM78" i="1"/>
  <c r="CM79" i="1"/>
  <c r="CM80" i="1"/>
  <c r="CM15" i="1"/>
  <c r="CM121" i="1"/>
  <c r="CM82" i="1"/>
  <c r="CM16" i="1"/>
  <c r="CM83" i="1"/>
  <c r="CM85" i="1"/>
  <c r="CM17" i="1"/>
  <c r="CM18" i="1"/>
  <c r="CM19" i="1"/>
  <c r="CM20" i="1"/>
  <c r="CM21" i="1"/>
  <c r="CM22" i="1"/>
  <c r="CM87" i="1"/>
  <c r="CM89" i="1"/>
  <c r="CM90" i="1"/>
  <c r="CM91" i="1"/>
  <c r="CM23" i="1"/>
  <c r="CM93" i="1"/>
  <c r="CM94" i="1"/>
  <c r="CM97" i="1"/>
  <c r="CM98" i="1"/>
  <c r="CM24" i="1"/>
  <c r="CM25" i="1"/>
  <c r="CM26" i="1"/>
  <c r="CM27" i="1"/>
  <c r="CM101" i="1"/>
  <c r="CM102" i="1"/>
  <c r="CM103" i="1"/>
  <c r="CM28" i="1"/>
  <c r="CM104" i="1"/>
  <c r="CM105" i="1"/>
  <c r="CM106" i="1"/>
  <c r="CM108" i="1"/>
  <c r="CM109" i="1"/>
  <c r="CM29" i="1"/>
  <c r="CM110" i="1"/>
  <c r="CM30" i="1"/>
  <c r="CM31" i="1"/>
  <c r="CM111" i="1"/>
  <c r="CM32" i="1"/>
  <c r="CM113" i="1"/>
  <c r="CM122" i="1"/>
  <c r="CM33" i="1"/>
  <c r="CM34" i="1"/>
  <c r="CM123" i="1"/>
  <c r="CM35" i="1"/>
  <c r="CM124" i="1"/>
  <c r="CM125" i="1"/>
  <c r="KF118" i="1" l="1"/>
  <c r="IK118" i="1"/>
  <c r="KG118" i="1" s="1"/>
  <c r="IL118" i="1"/>
  <c r="KH118" i="1" s="1"/>
  <c r="IM118" i="1"/>
  <c r="KI118" i="1" s="1"/>
  <c r="IN118" i="1"/>
  <c r="KJ118" i="1" s="1"/>
  <c r="IO118" i="1"/>
  <c r="KK118" i="1" s="1"/>
  <c r="IP118" i="1"/>
  <c r="KL118" i="1" s="1"/>
  <c r="IQ118" i="1"/>
  <c r="KM118" i="1" s="1"/>
  <c r="IR118" i="1"/>
  <c r="KN118" i="1" s="1"/>
  <c r="IS118" i="1"/>
  <c r="KO118" i="1" s="1"/>
  <c r="IT118" i="1"/>
  <c r="KP118" i="1" s="1"/>
  <c r="IU118" i="1"/>
  <c r="KQ118" i="1" s="1"/>
  <c r="IV118" i="1"/>
  <c r="KR118" i="1" s="1"/>
  <c r="IW118" i="1"/>
  <c r="KS118" i="1" s="1"/>
  <c r="IX118" i="1"/>
  <c r="KT118" i="1" s="1"/>
  <c r="IY118" i="1"/>
  <c r="KU118" i="1" s="1"/>
  <c r="IZ118" i="1"/>
  <c r="KV118" i="1" s="1"/>
  <c r="JA118" i="1"/>
  <c r="KW118" i="1" s="1"/>
  <c r="JB118" i="1"/>
  <c r="KX118" i="1" s="1"/>
  <c r="JC118" i="1"/>
  <c r="KY118" i="1" s="1"/>
  <c r="JD118" i="1"/>
  <c r="KZ118" i="1" s="1"/>
  <c r="JE118" i="1"/>
  <c r="LA118" i="1" s="1"/>
  <c r="JF118" i="1"/>
  <c r="LB118" i="1" s="1"/>
  <c r="JG118" i="1"/>
  <c r="LC118" i="1" s="1"/>
  <c r="JH118" i="1"/>
  <c r="LD118" i="1" s="1"/>
  <c r="JI118" i="1"/>
  <c r="LE118" i="1" s="1"/>
  <c r="JJ118" i="1"/>
  <c r="LF118" i="1" s="1"/>
  <c r="JK118" i="1"/>
  <c r="LG118" i="1" s="1"/>
  <c r="JL118" i="1"/>
  <c r="LH118" i="1" s="1"/>
  <c r="JM118" i="1"/>
  <c r="LI118" i="1" s="1"/>
  <c r="JN118" i="1"/>
  <c r="LJ118" i="1" s="1"/>
  <c r="JO118" i="1"/>
  <c r="LK118" i="1" s="1"/>
  <c r="LL118" i="1"/>
  <c r="KF2" i="1"/>
  <c r="IK2" i="1"/>
  <c r="KG2" i="1" s="1"/>
  <c r="IL2" i="1"/>
  <c r="KH2" i="1" s="1"/>
  <c r="IM2" i="1"/>
  <c r="KI2" i="1" s="1"/>
  <c r="IN2" i="1"/>
  <c r="KJ2" i="1" s="1"/>
  <c r="IO2" i="1"/>
  <c r="KK2" i="1" s="1"/>
  <c r="IP2" i="1"/>
  <c r="KL2" i="1" s="1"/>
  <c r="IQ2" i="1"/>
  <c r="KM2" i="1" s="1"/>
  <c r="IR2" i="1"/>
  <c r="KN2" i="1" s="1"/>
  <c r="IS2" i="1"/>
  <c r="KO2" i="1" s="1"/>
  <c r="IT2" i="1"/>
  <c r="KP2" i="1" s="1"/>
  <c r="IU2" i="1"/>
  <c r="KQ2" i="1" s="1"/>
  <c r="IV2" i="1"/>
  <c r="KR2" i="1" s="1"/>
  <c r="IW2" i="1"/>
  <c r="KS2" i="1" s="1"/>
  <c r="IX2" i="1"/>
  <c r="KT2" i="1" s="1"/>
  <c r="IY2" i="1"/>
  <c r="KU2" i="1" s="1"/>
  <c r="IZ2" i="1"/>
  <c r="KV2" i="1" s="1"/>
  <c r="JA2" i="1"/>
  <c r="KW2" i="1" s="1"/>
  <c r="JB2" i="1"/>
  <c r="KX2" i="1" s="1"/>
  <c r="JC2" i="1"/>
  <c r="KY2" i="1" s="1"/>
  <c r="JD2" i="1"/>
  <c r="KZ2" i="1" s="1"/>
  <c r="JE2" i="1"/>
  <c r="LA2" i="1" s="1"/>
  <c r="JF2" i="1"/>
  <c r="LB2" i="1" s="1"/>
  <c r="JG2" i="1"/>
  <c r="LC2" i="1" s="1"/>
  <c r="JH2" i="1"/>
  <c r="LD2" i="1" s="1"/>
  <c r="JI2" i="1"/>
  <c r="LE2" i="1" s="1"/>
  <c r="JJ2" i="1"/>
  <c r="LF2" i="1" s="1"/>
  <c r="JK2" i="1"/>
  <c r="LG2" i="1" s="1"/>
  <c r="JL2" i="1"/>
  <c r="LH2" i="1" s="1"/>
  <c r="JM2" i="1"/>
  <c r="LI2" i="1" s="1"/>
  <c r="JN2" i="1"/>
  <c r="LJ2" i="1" s="1"/>
  <c r="JO2" i="1"/>
  <c r="LK2" i="1" s="1"/>
  <c r="LL2" i="1"/>
  <c r="KF37" i="1"/>
  <c r="IK37" i="1"/>
  <c r="KG37" i="1" s="1"/>
  <c r="IL37" i="1"/>
  <c r="KH37" i="1" s="1"/>
  <c r="IM37" i="1"/>
  <c r="KI37" i="1" s="1"/>
  <c r="IN37" i="1"/>
  <c r="KJ37" i="1" s="1"/>
  <c r="IO37" i="1"/>
  <c r="KK37" i="1" s="1"/>
  <c r="IP37" i="1"/>
  <c r="KL37" i="1" s="1"/>
  <c r="IQ37" i="1"/>
  <c r="KM37" i="1" s="1"/>
  <c r="IR37" i="1"/>
  <c r="KN37" i="1" s="1"/>
  <c r="IS37" i="1"/>
  <c r="KO37" i="1" s="1"/>
  <c r="IT37" i="1"/>
  <c r="KP37" i="1" s="1"/>
  <c r="IU37" i="1"/>
  <c r="KQ37" i="1" s="1"/>
  <c r="IV37" i="1"/>
  <c r="KR37" i="1" s="1"/>
  <c r="IW37" i="1"/>
  <c r="KS37" i="1" s="1"/>
  <c r="IX37" i="1"/>
  <c r="KT37" i="1" s="1"/>
  <c r="IY37" i="1"/>
  <c r="KU37" i="1" s="1"/>
  <c r="IZ37" i="1"/>
  <c r="KV37" i="1" s="1"/>
  <c r="JA37" i="1"/>
  <c r="KW37" i="1" s="1"/>
  <c r="JB37" i="1"/>
  <c r="KX37" i="1" s="1"/>
  <c r="JC37" i="1"/>
  <c r="KY37" i="1" s="1"/>
  <c r="JD37" i="1"/>
  <c r="KZ37" i="1" s="1"/>
  <c r="JE37" i="1"/>
  <c r="LA37" i="1" s="1"/>
  <c r="JF37" i="1"/>
  <c r="LB37" i="1" s="1"/>
  <c r="JG37" i="1"/>
  <c r="LC37" i="1" s="1"/>
  <c r="JH37" i="1"/>
  <c r="LD37" i="1" s="1"/>
  <c r="JI37" i="1"/>
  <c r="LE37" i="1" s="1"/>
  <c r="JJ37" i="1"/>
  <c r="LF37" i="1" s="1"/>
  <c r="JK37" i="1"/>
  <c r="LG37" i="1" s="1"/>
  <c r="JL37" i="1"/>
  <c r="LH37" i="1" s="1"/>
  <c r="JM37" i="1"/>
  <c r="LI37" i="1" s="1"/>
  <c r="JN37" i="1"/>
  <c r="LJ37" i="1" s="1"/>
  <c r="JO37" i="1"/>
  <c r="LK37" i="1" s="1"/>
  <c r="LL37" i="1"/>
  <c r="KF38" i="1"/>
  <c r="IK38" i="1"/>
  <c r="KG38" i="1" s="1"/>
  <c r="IL38" i="1"/>
  <c r="KH38" i="1" s="1"/>
  <c r="IM38" i="1"/>
  <c r="KI38" i="1" s="1"/>
  <c r="IN38" i="1"/>
  <c r="KJ38" i="1" s="1"/>
  <c r="IO38" i="1"/>
  <c r="KK38" i="1" s="1"/>
  <c r="IP38" i="1"/>
  <c r="KL38" i="1" s="1"/>
  <c r="IQ38" i="1"/>
  <c r="KM38" i="1" s="1"/>
  <c r="IR38" i="1"/>
  <c r="KN38" i="1" s="1"/>
  <c r="IS38" i="1"/>
  <c r="KO38" i="1" s="1"/>
  <c r="IT38" i="1"/>
  <c r="KP38" i="1" s="1"/>
  <c r="IU38" i="1"/>
  <c r="KQ38" i="1" s="1"/>
  <c r="IV38" i="1"/>
  <c r="KR38" i="1" s="1"/>
  <c r="IW38" i="1"/>
  <c r="KS38" i="1" s="1"/>
  <c r="IX38" i="1"/>
  <c r="KT38" i="1" s="1"/>
  <c r="IY38" i="1"/>
  <c r="KU38" i="1" s="1"/>
  <c r="IZ38" i="1"/>
  <c r="KV38" i="1" s="1"/>
  <c r="JA38" i="1"/>
  <c r="KW38" i="1" s="1"/>
  <c r="JB38" i="1"/>
  <c r="KX38" i="1" s="1"/>
  <c r="JC38" i="1"/>
  <c r="KY38" i="1" s="1"/>
  <c r="JD38" i="1"/>
  <c r="KZ38" i="1" s="1"/>
  <c r="JE38" i="1"/>
  <c r="LA38" i="1" s="1"/>
  <c r="JF38" i="1"/>
  <c r="LB38" i="1" s="1"/>
  <c r="JG38" i="1"/>
  <c r="LC38" i="1" s="1"/>
  <c r="JH38" i="1"/>
  <c r="LD38" i="1" s="1"/>
  <c r="JI38" i="1"/>
  <c r="LE38" i="1" s="1"/>
  <c r="JJ38" i="1"/>
  <c r="LF38" i="1" s="1"/>
  <c r="JK38" i="1"/>
  <c r="LG38" i="1" s="1"/>
  <c r="JL38" i="1"/>
  <c r="LH38" i="1" s="1"/>
  <c r="JM38" i="1"/>
  <c r="LI38" i="1" s="1"/>
  <c r="JN38" i="1"/>
  <c r="LJ38" i="1" s="1"/>
  <c r="JO38" i="1"/>
  <c r="LK38" i="1" s="1"/>
  <c r="LL38" i="1"/>
  <c r="KF39" i="1"/>
  <c r="IK39" i="1"/>
  <c r="KG39" i="1" s="1"/>
  <c r="IL39" i="1"/>
  <c r="KH39" i="1" s="1"/>
  <c r="IM39" i="1"/>
  <c r="KI39" i="1" s="1"/>
  <c r="IN39" i="1"/>
  <c r="KJ39" i="1" s="1"/>
  <c r="IO39" i="1"/>
  <c r="KK39" i="1" s="1"/>
  <c r="IP39" i="1"/>
  <c r="KL39" i="1" s="1"/>
  <c r="IQ39" i="1"/>
  <c r="KM39" i="1" s="1"/>
  <c r="IR39" i="1"/>
  <c r="KN39" i="1" s="1"/>
  <c r="IS39" i="1"/>
  <c r="KO39" i="1" s="1"/>
  <c r="IT39" i="1"/>
  <c r="KP39" i="1" s="1"/>
  <c r="IU39" i="1"/>
  <c r="KQ39" i="1" s="1"/>
  <c r="IV39" i="1"/>
  <c r="KR39" i="1" s="1"/>
  <c r="IW39" i="1"/>
  <c r="KS39" i="1" s="1"/>
  <c r="IX39" i="1"/>
  <c r="KT39" i="1" s="1"/>
  <c r="IY39" i="1"/>
  <c r="KU39" i="1" s="1"/>
  <c r="IZ39" i="1"/>
  <c r="KV39" i="1" s="1"/>
  <c r="JA39" i="1"/>
  <c r="KW39" i="1" s="1"/>
  <c r="JB39" i="1"/>
  <c r="KX39" i="1" s="1"/>
  <c r="JC39" i="1"/>
  <c r="KY39" i="1" s="1"/>
  <c r="JD39" i="1"/>
  <c r="KZ39" i="1" s="1"/>
  <c r="JE39" i="1"/>
  <c r="LA39" i="1" s="1"/>
  <c r="JF39" i="1"/>
  <c r="LB39" i="1" s="1"/>
  <c r="JG39" i="1"/>
  <c r="LC39" i="1" s="1"/>
  <c r="JH39" i="1"/>
  <c r="LD39" i="1" s="1"/>
  <c r="JI39" i="1"/>
  <c r="LE39" i="1" s="1"/>
  <c r="JJ39" i="1"/>
  <c r="LF39" i="1" s="1"/>
  <c r="JK39" i="1"/>
  <c r="LG39" i="1" s="1"/>
  <c r="JL39" i="1"/>
  <c r="LH39" i="1" s="1"/>
  <c r="JM39" i="1"/>
  <c r="LI39" i="1" s="1"/>
  <c r="JN39" i="1"/>
  <c r="LJ39" i="1" s="1"/>
  <c r="JO39" i="1"/>
  <c r="LK39" i="1" s="1"/>
  <c r="LL39" i="1"/>
  <c r="KF41" i="1"/>
  <c r="IK41" i="1"/>
  <c r="KG41" i="1" s="1"/>
  <c r="IL41" i="1"/>
  <c r="KH41" i="1" s="1"/>
  <c r="IM41" i="1"/>
  <c r="KI41" i="1" s="1"/>
  <c r="IN41" i="1"/>
  <c r="KJ41" i="1" s="1"/>
  <c r="IO41" i="1"/>
  <c r="KK41" i="1" s="1"/>
  <c r="IP41" i="1"/>
  <c r="KL41" i="1" s="1"/>
  <c r="IQ41" i="1"/>
  <c r="KM41" i="1" s="1"/>
  <c r="IR41" i="1"/>
  <c r="KN41" i="1" s="1"/>
  <c r="IS41" i="1"/>
  <c r="KO41" i="1" s="1"/>
  <c r="IT41" i="1"/>
  <c r="KP41" i="1" s="1"/>
  <c r="IU41" i="1"/>
  <c r="KQ41" i="1" s="1"/>
  <c r="IV41" i="1"/>
  <c r="KR41" i="1" s="1"/>
  <c r="IW41" i="1"/>
  <c r="KS41" i="1" s="1"/>
  <c r="IX41" i="1"/>
  <c r="KT41" i="1" s="1"/>
  <c r="IY41" i="1"/>
  <c r="KU41" i="1" s="1"/>
  <c r="IZ41" i="1"/>
  <c r="KV41" i="1" s="1"/>
  <c r="JA41" i="1"/>
  <c r="KW41" i="1" s="1"/>
  <c r="JB41" i="1"/>
  <c r="KX41" i="1" s="1"/>
  <c r="JC41" i="1"/>
  <c r="KY41" i="1" s="1"/>
  <c r="JD41" i="1"/>
  <c r="KZ41" i="1" s="1"/>
  <c r="JE41" i="1"/>
  <c r="LA41" i="1" s="1"/>
  <c r="JF41" i="1"/>
  <c r="LB41" i="1" s="1"/>
  <c r="JG41" i="1"/>
  <c r="LC41" i="1" s="1"/>
  <c r="JH41" i="1"/>
  <c r="LD41" i="1" s="1"/>
  <c r="JI41" i="1"/>
  <c r="LE41" i="1" s="1"/>
  <c r="JJ41" i="1"/>
  <c r="LF41" i="1" s="1"/>
  <c r="JK41" i="1"/>
  <c r="LG41" i="1" s="1"/>
  <c r="JL41" i="1"/>
  <c r="LH41" i="1" s="1"/>
  <c r="JM41" i="1"/>
  <c r="LI41" i="1" s="1"/>
  <c r="JN41" i="1"/>
  <c r="LJ41" i="1" s="1"/>
  <c r="JO41" i="1"/>
  <c r="LK41" i="1" s="1"/>
  <c r="LL41" i="1"/>
  <c r="KF40" i="1"/>
  <c r="IK40" i="1"/>
  <c r="KG40" i="1" s="1"/>
  <c r="IL40" i="1"/>
  <c r="KH40" i="1" s="1"/>
  <c r="IM40" i="1"/>
  <c r="KI40" i="1" s="1"/>
  <c r="IN40" i="1"/>
  <c r="KJ40" i="1" s="1"/>
  <c r="IO40" i="1"/>
  <c r="KK40" i="1" s="1"/>
  <c r="IP40" i="1"/>
  <c r="KL40" i="1" s="1"/>
  <c r="IQ40" i="1"/>
  <c r="KM40" i="1" s="1"/>
  <c r="IR40" i="1"/>
  <c r="KN40" i="1" s="1"/>
  <c r="IS40" i="1"/>
  <c r="KO40" i="1" s="1"/>
  <c r="IT40" i="1"/>
  <c r="KP40" i="1" s="1"/>
  <c r="IU40" i="1"/>
  <c r="KQ40" i="1" s="1"/>
  <c r="IV40" i="1"/>
  <c r="KR40" i="1" s="1"/>
  <c r="IW40" i="1"/>
  <c r="KS40" i="1" s="1"/>
  <c r="IX40" i="1"/>
  <c r="KT40" i="1" s="1"/>
  <c r="IY40" i="1"/>
  <c r="KU40" i="1" s="1"/>
  <c r="IZ40" i="1"/>
  <c r="KV40" i="1" s="1"/>
  <c r="JA40" i="1"/>
  <c r="KW40" i="1" s="1"/>
  <c r="JB40" i="1"/>
  <c r="KX40" i="1" s="1"/>
  <c r="JC40" i="1"/>
  <c r="KY40" i="1" s="1"/>
  <c r="JD40" i="1"/>
  <c r="KZ40" i="1" s="1"/>
  <c r="JE40" i="1"/>
  <c r="LA40" i="1" s="1"/>
  <c r="JF40" i="1"/>
  <c r="LB40" i="1" s="1"/>
  <c r="JG40" i="1"/>
  <c r="LC40" i="1" s="1"/>
  <c r="JH40" i="1"/>
  <c r="LD40" i="1" s="1"/>
  <c r="JI40" i="1"/>
  <c r="LE40" i="1" s="1"/>
  <c r="JJ40" i="1"/>
  <c r="LF40" i="1" s="1"/>
  <c r="JK40" i="1"/>
  <c r="LG40" i="1" s="1"/>
  <c r="JL40" i="1"/>
  <c r="LH40" i="1" s="1"/>
  <c r="JM40" i="1"/>
  <c r="LI40" i="1" s="1"/>
  <c r="JN40" i="1"/>
  <c r="LJ40" i="1" s="1"/>
  <c r="JO40" i="1"/>
  <c r="LK40" i="1" s="1"/>
  <c r="LL40" i="1"/>
  <c r="KF42" i="1"/>
  <c r="IK42" i="1"/>
  <c r="KG42" i="1" s="1"/>
  <c r="IL42" i="1"/>
  <c r="KH42" i="1" s="1"/>
  <c r="IM42" i="1"/>
  <c r="KI42" i="1" s="1"/>
  <c r="IN42" i="1"/>
  <c r="KJ42" i="1" s="1"/>
  <c r="IO42" i="1"/>
  <c r="KK42" i="1" s="1"/>
  <c r="IP42" i="1"/>
  <c r="KL42" i="1" s="1"/>
  <c r="IQ42" i="1"/>
  <c r="KM42" i="1" s="1"/>
  <c r="IR42" i="1"/>
  <c r="KN42" i="1" s="1"/>
  <c r="IS42" i="1"/>
  <c r="KO42" i="1" s="1"/>
  <c r="IT42" i="1"/>
  <c r="KP42" i="1" s="1"/>
  <c r="IU42" i="1"/>
  <c r="KQ42" i="1" s="1"/>
  <c r="IV42" i="1"/>
  <c r="KR42" i="1" s="1"/>
  <c r="IW42" i="1"/>
  <c r="KS42" i="1" s="1"/>
  <c r="IX42" i="1"/>
  <c r="KT42" i="1" s="1"/>
  <c r="IY42" i="1"/>
  <c r="KU42" i="1" s="1"/>
  <c r="IZ42" i="1"/>
  <c r="KV42" i="1" s="1"/>
  <c r="JA42" i="1"/>
  <c r="KW42" i="1" s="1"/>
  <c r="JB42" i="1"/>
  <c r="KX42" i="1" s="1"/>
  <c r="JC42" i="1"/>
  <c r="KY42" i="1" s="1"/>
  <c r="JD42" i="1"/>
  <c r="KZ42" i="1" s="1"/>
  <c r="JE42" i="1"/>
  <c r="LA42" i="1" s="1"/>
  <c r="JF42" i="1"/>
  <c r="LB42" i="1" s="1"/>
  <c r="JG42" i="1"/>
  <c r="LC42" i="1" s="1"/>
  <c r="JH42" i="1"/>
  <c r="LD42" i="1" s="1"/>
  <c r="JI42" i="1"/>
  <c r="LE42" i="1" s="1"/>
  <c r="JJ42" i="1"/>
  <c r="LF42" i="1" s="1"/>
  <c r="JK42" i="1"/>
  <c r="LG42" i="1" s="1"/>
  <c r="JL42" i="1"/>
  <c r="LH42" i="1" s="1"/>
  <c r="JM42" i="1"/>
  <c r="LI42" i="1" s="1"/>
  <c r="JN42" i="1"/>
  <c r="LJ42" i="1" s="1"/>
  <c r="JO42" i="1"/>
  <c r="LK42" i="1" s="1"/>
  <c r="LL42" i="1"/>
  <c r="KF43" i="1"/>
  <c r="IK43" i="1"/>
  <c r="KG43" i="1" s="1"/>
  <c r="IL43" i="1"/>
  <c r="KH43" i="1" s="1"/>
  <c r="IM43" i="1"/>
  <c r="KI43" i="1" s="1"/>
  <c r="IN43" i="1"/>
  <c r="KJ43" i="1" s="1"/>
  <c r="IO43" i="1"/>
  <c r="KK43" i="1" s="1"/>
  <c r="IP43" i="1"/>
  <c r="KL43" i="1" s="1"/>
  <c r="IQ43" i="1"/>
  <c r="KM43" i="1" s="1"/>
  <c r="IR43" i="1"/>
  <c r="KN43" i="1" s="1"/>
  <c r="IS43" i="1"/>
  <c r="KO43" i="1" s="1"/>
  <c r="IT43" i="1"/>
  <c r="KP43" i="1" s="1"/>
  <c r="IU43" i="1"/>
  <c r="KQ43" i="1" s="1"/>
  <c r="IV43" i="1"/>
  <c r="KR43" i="1" s="1"/>
  <c r="IW43" i="1"/>
  <c r="KS43" i="1" s="1"/>
  <c r="IX43" i="1"/>
  <c r="KT43" i="1" s="1"/>
  <c r="IY43" i="1"/>
  <c r="KU43" i="1" s="1"/>
  <c r="IZ43" i="1"/>
  <c r="KV43" i="1" s="1"/>
  <c r="JA43" i="1"/>
  <c r="KW43" i="1" s="1"/>
  <c r="JB43" i="1"/>
  <c r="KX43" i="1" s="1"/>
  <c r="JC43" i="1"/>
  <c r="KY43" i="1" s="1"/>
  <c r="JD43" i="1"/>
  <c r="KZ43" i="1" s="1"/>
  <c r="JE43" i="1"/>
  <c r="LA43" i="1" s="1"/>
  <c r="JF43" i="1"/>
  <c r="LB43" i="1" s="1"/>
  <c r="JG43" i="1"/>
  <c r="LC43" i="1" s="1"/>
  <c r="JH43" i="1"/>
  <c r="LD43" i="1" s="1"/>
  <c r="JI43" i="1"/>
  <c r="LE43" i="1" s="1"/>
  <c r="JJ43" i="1"/>
  <c r="LF43" i="1" s="1"/>
  <c r="JK43" i="1"/>
  <c r="LG43" i="1" s="1"/>
  <c r="JL43" i="1"/>
  <c r="LH43" i="1" s="1"/>
  <c r="JM43" i="1"/>
  <c r="LI43" i="1" s="1"/>
  <c r="JN43" i="1"/>
  <c r="LJ43" i="1" s="1"/>
  <c r="JO43" i="1"/>
  <c r="LK43" i="1" s="1"/>
  <c r="LL43" i="1"/>
  <c r="KF44" i="1"/>
  <c r="IK44" i="1"/>
  <c r="KG44" i="1" s="1"/>
  <c r="IL44" i="1"/>
  <c r="KH44" i="1" s="1"/>
  <c r="IM44" i="1"/>
  <c r="KI44" i="1" s="1"/>
  <c r="IN44" i="1"/>
  <c r="KJ44" i="1" s="1"/>
  <c r="IO44" i="1"/>
  <c r="KK44" i="1" s="1"/>
  <c r="IP44" i="1"/>
  <c r="KL44" i="1" s="1"/>
  <c r="IQ44" i="1"/>
  <c r="KM44" i="1" s="1"/>
  <c r="IR44" i="1"/>
  <c r="KN44" i="1" s="1"/>
  <c r="IS44" i="1"/>
  <c r="KO44" i="1" s="1"/>
  <c r="IT44" i="1"/>
  <c r="KP44" i="1" s="1"/>
  <c r="IU44" i="1"/>
  <c r="KQ44" i="1" s="1"/>
  <c r="IV44" i="1"/>
  <c r="KR44" i="1" s="1"/>
  <c r="IW44" i="1"/>
  <c r="KS44" i="1" s="1"/>
  <c r="IX44" i="1"/>
  <c r="KT44" i="1" s="1"/>
  <c r="IY44" i="1"/>
  <c r="KU44" i="1" s="1"/>
  <c r="IZ44" i="1"/>
  <c r="KV44" i="1" s="1"/>
  <c r="JA44" i="1"/>
  <c r="KW44" i="1" s="1"/>
  <c r="JB44" i="1"/>
  <c r="KX44" i="1" s="1"/>
  <c r="JC44" i="1"/>
  <c r="KY44" i="1" s="1"/>
  <c r="JD44" i="1"/>
  <c r="KZ44" i="1" s="1"/>
  <c r="JE44" i="1"/>
  <c r="LA44" i="1" s="1"/>
  <c r="JF44" i="1"/>
  <c r="LB44" i="1" s="1"/>
  <c r="JG44" i="1"/>
  <c r="LC44" i="1" s="1"/>
  <c r="JH44" i="1"/>
  <c r="LD44" i="1" s="1"/>
  <c r="JI44" i="1"/>
  <c r="LE44" i="1" s="1"/>
  <c r="JJ44" i="1"/>
  <c r="LF44" i="1" s="1"/>
  <c r="JK44" i="1"/>
  <c r="LG44" i="1" s="1"/>
  <c r="JL44" i="1"/>
  <c r="LH44" i="1" s="1"/>
  <c r="JM44" i="1"/>
  <c r="LI44" i="1" s="1"/>
  <c r="JN44" i="1"/>
  <c r="LJ44" i="1" s="1"/>
  <c r="JO44" i="1"/>
  <c r="LK44" i="1" s="1"/>
  <c r="LL44" i="1"/>
  <c r="KF45" i="1"/>
  <c r="IK45" i="1"/>
  <c r="KG45" i="1" s="1"/>
  <c r="IL45" i="1"/>
  <c r="KH45" i="1" s="1"/>
  <c r="IM45" i="1"/>
  <c r="KI45" i="1" s="1"/>
  <c r="IN45" i="1"/>
  <c r="KJ45" i="1" s="1"/>
  <c r="IO45" i="1"/>
  <c r="KK45" i="1" s="1"/>
  <c r="IP45" i="1"/>
  <c r="KL45" i="1" s="1"/>
  <c r="IQ45" i="1"/>
  <c r="KM45" i="1" s="1"/>
  <c r="IR45" i="1"/>
  <c r="KN45" i="1" s="1"/>
  <c r="IS45" i="1"/>
  <c r="KO45" i="1" s="1"/>
  <c r="IT45" i="1"/>
  <c r="KP45" i="1" s="1"/>
  <c r="IU45" i="1"/>
  <c r="KQ45" i="1" s="1"/>
  <c r="IV45" i="1"/>
  <c r="KR45" i="1" s="1"/>
  <c r="IW45" i="1"/>
  <c r="KS45" i="1" s="1"/>
  <c r="IX45" i="1"/>
  <c r="KT45" i="1" s="1"/>
  <c r="IY45" i="1"/>
  <c r="KU45" i="1" s="1"/>
  <c r="IZ45" i="1"/>
  <c r="KV45" i="1" s="1"/>
  <c r="JA45" i="1"/>
  <c r="KW45" i="1" s="1"/>
  <c r="JB45" i="1"/>
  <c r="KX45" i="1" s="1"/>
  <c r="JC45" i="1"/>
  <c r="KY45" i="1" s="1"/>
  <c r="JD45" i="1"/>
  <c r="KZ45" i="1" s="1"/>
  <c r="JE45" i="1"/>
  <c r="LA45" i="1" s="1"/>
  <c r="JF45" i="1"/>
  <c r="LB45" i="1" s="1"/>
  <c r="JG45" i="1"/>
  <c r="LC45" i="1" s="1"/>
  <c r="JH45" i="1"/>
  <c r="LD45" i="1" s="1"/>
  <c r="JI45" i="1"/>
  <c r="LE45" i="1" s="1"/>
  <c r="JJ45" i="1"/>
  <c r="LF45" i="1" s="1"/>
  <c r="JK45" i="1"/>
  <c r="LG45" i="1" s="1"/>
  <c r="JL45" i="1"/>
  <c r="LH45" i="1" s="1"/>
  <c r="JM45" i="1"/>
  <c r="LI45" i="1" s="1"/>
  <c r="JN45" i="1"/>
  <c r="LJ45" i="1" s="1"/>
  <c r="JO45" i="1"/>
  <c r="LK45" i="1" s="1"/>
  <c r="LL45" i="1"/>
  <c r="KF46" i="1"/>
  <c r="IK46" i="1"/>
  <c r="KG46" i="1" s="1"/>
  <c r="IL46" i="1"/>
  <c r="KH46" i="1" s="1"/>
  <c r="IM46" i="1"/>
  <c r="KI46" i="1" s="1"/>
  <c r="IN46" i="1"/>
  <c r="KJ46" i="1" s="1"/>
  <c r="IO46" i="1"/>
  <c r="KK46" i="1" s="1"/>
  <c r="IP46" i="1"/>
  <c r="KL46" i="1" s="1"/>
  <c r="IQ46" i="1"/>
  <c r="KM46" i="1" s="1"/>
  <c r="IR46" i="1"/>
  <c r="KN46" i="1" s="1"/>
  <c r="IS46" i="1"/>
  <c r="KO46" i="1" s="1"/>
  <c r="IT46" i="1"/>
  <c r="KP46" i="1" s="1"/>
  <c r="IU46" i="1"/>
  <c r="KQ46" i="1" s="1"/>
  <c r="IV46" i="1"/>
  <c r="KR46" i="1" s="1"/>
  <c r="IW46" i="1"/>
  <c r="KS46" i="1" s="1"/>
  <c r="IX46" i="1"/>
  <c r="KT46" i="1" s="1"/>
  <c r="IY46" i="1"/>
  <c r="KU46" i="1" s="1"/>
  <c r="IZ46" i="1"/>
  <c r="KV46" i="1" s="1"/>
  <c r="JA46" i="1"/>
  <c r="KW46" i="1" s="1"/>
  <c r="JB46" i="1"/>
  <c r="KX46" i="1" s="1"/>
  <c r="JC46" i="1"/>
  <c r="KY46" i="1" s="1"/>
  <c r="JD46" i="1"/>
  <c r="KZ46" i="1" s="1"/>
  <c r="JE46" i="1"/>
  <c r="LA46" i="1" s="1"/>
  <c r="JF46" i="1"/>
  <c r="LB46" i="1" s="1"/>
  <c r="JG46" i="1"/>
  <c r="LC46" i="1" s="1"/>
  <c r="JH46" i="1"/>
  <c r="LD46" i="1" s="1"/>
  <c r="JI46" i="1"/>
  <c r="LE46" i="1" s="1"/>
  <c r="JJ46" i="1"/>
  <c r="LF46" i="1" s="1"/>
  <c r="JK46" i="1"/>
  <c r="LG46" i="1" s="1"/>
  <c r="JL46" i="1"/>
  <c r="LH46" i="1" s="1"/>
  <c r="JM46" i="1"/>
  <c r="LI46" i="1" s="1"/>
  <c r="JN46" i="1"/>
  <c r="LJ46" i="1" s="1"/>
  <c r="JO46" i="1"/>
  <c r="LK46" i="1" s="1"/>
  <c r="LL46" i="1"/>
  <c r="KF3" i="1"/>
  <c r="IK3" i="1"/>
  <c r="KG3" i="1" s="1"/>
  <c r="IL3" i="1"/>
  <c r="KH3" i="1" s="1"/>
  <c r="IM3" i="1"/>
  <c r="KI3" i="1" s="1"/>
  <c r="IN3" i="1"/>
  <c r="KJ3" i="1" s="1"/>
  <c r="IO3" i="1"/>
  <c r="KK3" i="1" s="1"/>
  <c r="IP3" i="1"/>
  <c r="KL3" i="1" s="1"/>
  <c r="IQ3" i="1"/>
  <c r="KM3" i="1" s="1"/>
  <c r="IR3" i="1"/>
  <c r="KN3" i="1" s="1"/>
  <c r="IS3" i="1"/>
  <c r="KO3" i="1" s="1"/>
  <c r="IT3" i="1"/>
  <c r="KP3" i="1" s="1"/>
  <c r="IU3" i="1"/>
  <c r="KQ3" i="1" s="1"/>
  <c r="IV3" i="1"/>
  <c r="KR3" i="1" s="1"/>
  <c r="IW3" i="1"/>
  <c r="KS3" i="1" s="1"/>
  <c r="IX3" i="1"/>
  <c r="KT3" i="1" s="1"/>
  <c r="IY3" i="1"/>
  <c r="KU3" i="1" s="1"/>
  <c r="IZ3" i="1"/>
  <c r="KV3" i="1" s="1"/>
  <c r="JA3" i="1"/>
  <c r="KW3" i="1" s="1"/>
  <c r="JB3" i="1"/>
  <c r="KX3" i="1" s="1"/>
  <c r="JC3" i="1"/>
  <c r="KY3" i="1" s="1"/>
  <c r="JD3" i="1"/>
  <c r="KZ3" i="1" s="1"/>
  <c r="JE3" i="1"/>
  <c r="LA3" i="1" s="1"/>
  <c r="JF3" i="1"/>
  <c r="LB3" i="1" s="1"/>
  <c r="JG3" i="1"/>
  <c r="LC3" i="1" s="1"/>
  <c r="JH3" i="1"/>
  <c r="LD3" i="1" s="1"/>
  <c r="JI3" i="1"/>
  <c r="LE3" i="1" s="1"/>
  <c r="JJ3" i="1"/>
  <c r="LF3" i="1" s="1"/>
  <c r="JK3" i="1"/>
  <c r="LG3" i="1" s="1"/>
  <c r="JL3" i="1"/>
  <c r="LH3" i="1" s="1"/>
  <c r="JM3" i="1"/>
  <c r="LI3" i="1" s="1"/>
  <c r="JN3" i="1"/>
  <c r="LJ3" i="1" s="1"/>
  <c r="JO3" i="1"/>
  <c r="LK3" i="1" s="1"/>
  <c r="LL3" i="1"/>
  <c r="KF47" i="1"/>
  <c r="IK47" i="1"/>
  <c r="KG47" i="1" s="1"/>
  <c r="IL47" i="1"/>
  <c r="KH47" i="1" s="1"/>
  <c r="IM47" i="1"/>
  <c r="KI47" i="1" s="1"/>
  <c r="IN47" i="1"/>
  <c r="KJ47" i="1" s="1"/>
  <c r="IO47" i="1"/>
  <c r="KK47" i="1" s="1"/>
  <c r="IP47" i="1"/>
  <c r="KL47" i="1" s="1"/>
  <c r="IQ47" i="1"/>
  <c r="KM47" i="1" s="1"/>
  <c r="IR47" i="1"/>
  <c r="KN47" i="1" s="1"/>
  <c r="IS47" i="1"/>
  <c r="KO47" i="1" s="1"/>
  <c r="IT47" i="1"/>
  <c r="KP47" i="1" s="1"/>
  <c r="IU47" i="1"/>
  <c r="KQ47" i="1" s="1"/>
  <c r="IV47" i="1"/>
  <c r="KR47" i="1" s="1"/>
  <c r="IW47" i="1"/>
  <c r="KS47" i="1" s="1"/>
  <c r="IX47" i="1"/>
  <c r="KT47" i="1" s="1"/>
  <c r="IY47" i="1"/>
  <c r="KU47" i="1" s="1"/>
  <c r="IZ47" i="1"/>
  <c r="KV47" i="1" s="1"/>
  <c r="JA47" i="1"/>
  <c r="KW47" i="1" s="1"/>
  <c r="JB47" i="1"/>
  <c r="KX47" i="1" s="1"/>
  <c r="JC47" i="1"/>
  <c r="KY47" i="1" s="1"/>
  <c r="JD47" i="1"/>
  <c r="KZ47" i="1" s="1"/>
  <c r="JE47" i="1"/>
  <c r="LA47" i="1" s="1"/>
  <c r="JF47" i="1"/>
  <c r="LB47" i="1" s="1"/>
  <c r="JG47" i="1"/>
  <c r="LC47" i="1" s="1"/>
  <c r="JH47" i="1"/>
  <c r="LD47" i="1" s="1"/>
  <c r="JI47" i="1"/>
  <c r="LE47" i="1" s="1"/>
  <c r="JJ47" i="1"/>
  <c r="LF47" i="1" s="1"/>
  <c r="JK47" i="1"/>
  <c r="LG47" i="1" s="1"/>
  <c r="JL47" i="1"/>
  <c r="LH47" i="1" s="1"/>
  <c r="JM47" i="1"/>
  <c r="LI47" i="1" s="1"/>
  <c r="JN47" i="1"/>
  <c r="LJ47" i="1" s="1"/>
  <c r="JO47" i="1"/>
  <c r="LK47" i="1" s="1"/>
  <c r="LL47" i="1"/>
  <c r="KF48" i="1"/>
  <c r="IK48" i="1"/>
  <c r="KG48" i="1" s="1"/>
  <c r="IL48" i="1"/>
  <c r="KH48" i="1" s="1"/>
  <c r="IM48" i="1"/>
  <c r="KI48" i="1" s="1"/>
  <c r="IN48" i="1"/>
  <c r="KJ48" i="1" s="1"/>
  <c r="IO48" i="1"/>
  <c r="KK48" i="1" s="1"/>
  <c r="IP48" i="1"/>
  <c r="KL48" i="1" s="1"/>
  <c r="IQ48" i="1"/>
  <c r="KM48" i="1" s="1"/>
  <c r="IR48" i="1"/>
  <c r="KN48" i="1" s="1"/>
  <c r="IS48" i="1"/>
  <c r="KO48" i="1" s="1"/>
  <c r="IT48" i="1"/>
  <c r="KP48" i="1" s="1"/>
  <c r="IU48" i="1"/>
  <c r="KQ48" i="1" s="1"/>
  <c r="IV48" i="1"/>
  <c r="KR48" i="1" s="1"/>
  <c r="IW48" i="1"/>
  <c r="KS48" i="1" s="1"/>
  <c r="IX48" i="1"/>
  <c r="KT48" i="1" s="1"/>
  <c r="IY48" i="1"/>
  <c r="KU48" i="1" s="1"/>
  <c r="IZ48" i="1"/>
  <c r="KV48" i="1" s="1"/>
  <c r="JA48" i="1"/>
  <c r="KW48" i="1" s="1"/>
  <c r="JB48" i="1"/>
  <c r="KX48" i="1" s="1"/>
  <c r="JC48" i="1"/>
  <c r="KY48" i="1" s="1"/>
  <c r="JD48" i="1"/>
  <c r="KZ48" i="1" s="1"/>
  <c r="JE48" i="1"/>
  <c r="LA48" i="1" s="1"/>
  <c r="JF48" i="1"/>
  <c r="LB48" i="1" s="1"/>
  <c r="JG48" i="1"/>
  <c r="LC48" i="1" s="1"/>
  <c r="JH48" i="1"/>
  <c r="LD48" i="1" s="1"/>
  <c r="JI48" i="1"/>
  <c r="LE48" i="1" s="1"/>
  <c r="JJ48" i="1"/>
  <c r="LF48" i="1" s="1"/>
  <c r="JK48" i="1"/>
  <c r="LG48" i="1" s="1"/>
  <c r="JL48" i="1"/>
  <c r="LH48" i="1" s="1"/>
  <c r="JM48" i="1"/>
  <c r="LI48" i="1" s="1"/>
  <c r="JN48" i="1"/>
  <c r="LJ48" i="1" s="1"/>
  <c r="JO48" i="1"/>
  <c r="LK48" i="1" s="1"/>
  <c r="LL48" i="1"/>
  <c r="KF49" i="1"/>
  <c r="IK49" i="1"/>
  <c r="KG49" i="1" s="1"/>
  <c r="IL49" i="1"/>
  <c r="KH49" i="1" s="1"/>
  <c r="IM49" i="1"/>
  <c r="KI49" i="1" s="1"/>
  <c r="IN49" i="1"/>
  <c r="KJ49" i="1" s="1"/>
  <c r="IO49" i="1"/>
  <c r="KK49" i="1" s="1"/>
  <c r="IP49" i="1"/>
  <c r="KL49" i="1" s="1"/>
  <c r="IQ49" i="1"/>
  <c r="KM49" i="1" s="1"/>
  <c r="IR49" i="1"/>
  <c r="KN49" i="1" s="1"/>
  <c r="IS49" i="1"/>
  <c r="KO49" i="1" s="1"/>
  <c r="IT49" i="1"/>
  <c r="KP49" i="1" s="1"/>
  <c r="IU49" i="1"/>
  <c r="KQ49" i="1" s="1"/>
  <c r="IV49" i="1"/>
  <c r="KR49" i="1" s="1"/>
  <c r="IW49" i="1"/>
  <c r="KS49" i="1" s="1"/>
  <c r="IX49" i="1"/>
  <c r="KT49" i="1" s="1"/>
  <c r="IY49" i="1"/>
  <c r="KU49" i="1" s="1"/>
  <c r="IZ49" i="1"/>
  <c r="KV49" i="1" s="1"/>
  <c r="JA49" i="1"/>
  <c r="KW49" i="1" s="1"/>
  <c r="JB49" i="1"/>
  <c r="KX49" i="1" s="1"/>
  <c r="JC49" i="1"/>
  <c r="KY49" i="1" s="1"/>
  <c r="JD49" i="1"/>
  <c r="KZ49" i="1" s="1"/>
  <c r="JE49" i="1"/>
  <c r="LA49" i="1" s="1"/>
  <c r="JF49" i="1"/>
  <c r="LB49" i="1" s="1"/>
  <c r="JG49" i="1"/>
  <c r="LC49" i="1" s="1"/>
  <c r="JH49" i="1"/>
  <c r="LD49" i="1" s="1"/>
  <c r="JI49" i="1"/>
  <c r="LE49" i="1" s="1"/>
  <c r="JJ49" i="1"/>
  <c r="LF49" i="1" s="1"/>
  <c r="JK49" i="1"/>
  <c r="LG49" i="1" s="1"/>
  <c r="JL49" i="1"/>
  <c r="LH49" i="1" s="1"/>
  <c r="JM49" i="1"/>
  <c r="LI49" i="1" s="1"/>
  <c r="JN49" i="1"/>
  <c r="LJ49" i="1" s="1"/>
  <c r="JO49" i="1"/>
  <c r="LK49" i="1" s="1"/>
  <c r="LL49" i="1"/>
  <c r="KF50" i="1"/>
  <c r="IK50" i="1"/>
  <c r="KG50" i="1" s="1"/>
  <c r="IL50" i="1"/>
  <c r="KH50" i="1" s="1"/>
  <c r="IM50" i="1"/>
  <c r="KI50" i="1" s="1"/>
  <c r="IN50" i="1"/>
  <c r="KJ50" i="1" s="1"/>
  <c r="IO50" i="1"/>
  <c r="KK50" i="1" s="1"/>
  <c r="IP50" i="1"/>
  <c r="KL50" i="1" s="1"/>
  <c r="IQ50" i="1"/>
  <c r="KM50" i="1" s="1"/>
  <c r="IR50" i="1"/>
  <c r="KN50" i="1" s="1"/>
  <c r="IS50" i="1"/>
  <c r="KO50" i="1" s="1"/>
  <c r="IT50" i="1"/>
  <c r="KP50" i="1" s="1"/>
  <c r="IU50" i="1"/>
  <c r="KQ50" i="1" s="1"/>
  <c r="IV50" i="1"/>
  <c r="KR50" i="1" s="1"/>
  <c r="IW50" i="1"/>
  <c r="KS50" i="1" s="1"/>
  <c r="IX50" i="1"/>
  <c r="KT50" i="1" s="1"/>
  <c r="IY50" i="1"/>
  <c r="KU50" i="1" s="1"/>
  <c r="IZ50" i="1"/>
  <c r="KV50" i="1" s="1"/>
  <c r="JA50" i="1"/>
  <c r="KW50" i="1" s="1"/>
  <c r="JB50" i="1"/>
  <c r="KX50" i="1" s="1"/>
  <c r="JC50" i="1"/>
  <c r="KY50" i="1" s="1"/>
  <c r="JD50" i="1"/>
  <c r="KZ50" i="1" s="1"/>
  <c r="JE50" i="1"/>
  <c r="LA50" i="1" s="1"/>
  <c r="JF50" i="1"/>
  <c r="LB50" i="1" s="1"/>
  <c r="JG50" i="1"/>
  <c r="LC50" i="1" s="1"/>
  <c r="JH50" i="1"/>
  <c r="LD50" i="1" s="1"/>
  <c r="JI50" i="1"/>
  <c r="LE50" i="1" s="1"/>
  <c r="JJ50" i="1"/>
  <c r="LF50" i="1" s="1"/>
  <c r="JK50" i="1"/>
  <c r="LG50" i="1" s="1"/>
  <c r="JL50" i="1"/>
  <c r="LH50" i="1" s="1"/>
  <c r="JM50" i="1"/>
  <c r="LI50" i="1" s="1"/>
  <c r="JN50" i="1"/>
  <c r="LJ50" i="1" s="1"/>
  <c r="JO50" i="1"/>
  <c r="LK50" i="1" s="1"/>
  <c r="LL50" i="1"/>
  <c r="KF51" i="1"/>
  <c r="IK51" i="1"/>
  <c r="KG51" i="1" s="1"/>
  <c r="IL51" i="1"/>
  <c r="KH51" i="1" s="1"/>
  <c r="IM51" i="1"/>
  <c r="KI51" i="1" s="1"/>
  <c r="IN51" i="1"/>
  <c r="KJ51" i="1" s="1"/>
  <c r="IO51" i="1"/>
  <c r="KK51" i="1" s="1"/>
  <c r="IP51" i="1"/>
  <c r="KL51" i="1" s="1"/>
  <c r="IQ51" i="1"/>
  <c r="KM51" i="1" s="1"/>
  <c r="IR51" i="1"/>
  <c r="KN51" i="1" s="1"/>
  <c r="IS51" i="1"/>
  <c r="KO51" i="1" s="1"/>
  <c r="IT51" i="1"/>
  <c r="KP51" i="1" s="1"/>
  <c r="IU51" i="1"/>
  <c r="KQ51" i="1" s="1"/>
  <c r="IV51" i="1"/>
  <c r="KR51" i="1" s="1"/>
  <c r="IW51" i="1"/>
  <c r="KS51" i="1" s="1"/>
  <c r="IX51" i="1"/>
  <c r="KT51" i="1" s="1"/>
  <c r="IY51" i="1"/>
  <c r="KU51" i="1" s="1"/>
  <c r="IZ51" i="1"/>
  <c r="KV51" i="1" s="1"/>
  <c r="JA51" i="1"/>
  <c r="KW51" i="1" s="1"/>
  <c r="JB51" i="1"/>
  <c r="KX51" i="1" s="1"/>
  <c r="JC51" i="1"/>
  <c r="KY51" i="1" s="1"/>
  <c r="JD51" i="1"/>
  <c r="KZ51" i="1" s="1"/>
  <c r="JE51" i="1"/>
  <c r="LA51" i="1" s="1"/>
  <c r="JF51" i="1"/>
  <c r="LB51" i="1" s="1"/>
  <c r="JG51" i="1"/>
  <c r="LC51" i="1" s="1"/>
  <c r="JH51" i="1"/>
  <c r="LD51" i="1" s="1"/>
  <c r="JI51" i="1"/>
  <c r="LE51" i="1" s="1"/>
  <c r="JJ51" i="1"/>
  <c r="LF51" i="1" s="1"/>
  <c r="JK51" i="1"/>
  <c r="LG51" i="1" s="1"/>
  <c r="JL51" i="1"/>
  <c r="LH51" i="1" s="1"/>
  <c r="JM51" i="1"/>
  <c r="LI51" i="1" s="1"/>
  <c r="JN51" i="1"/>
  <c r="LJ51" i="1" s="1"/>
  <c r="JO51" i="1"/>
  <c r="LK51" i="1" s="1"/>
  <c r="LL51" i="1"/>
  <c r="KF52" i="1"/>
  <c r="IK52" i="1"/>
  <c r="KG52" i="1" s="1"/>
  <c r="IL52" i="1"/>
  <c r="KH52" i="1" s="1"/>
  <c r="IM52" i="1"/>
  <c r="KI52" i="1" s="1"/>
  <c r="IN52" i="1"/>
  <c r="KJ52" i="1" s="1"/>
  <c r="IO52" i="1"/>
  <c r="KK52" i="1" s="1"/>
  <c r="IP52" i="1"/>
  <c r="KL52" i="1" s="1"/>
  <c r="IQ52" i="1"/>
  <c r="KM52" i="1" s="1"/>
  <c r="IR52" i="1"/>
  <c r="KN52" i="1" s="1"/>
  <c r="IS52" i="1"/>
  <c r="KO52" i="1" s="1"/>
  <c r="IT52" i="1"/>
  <c r="KP52" i="1" s="1"/>
  <c r="IU52" i="1"/>
  <c r="KQ52" i="1" s="1"/>
  <c r="IV52" i="1"/>
  <c r="KR52" i="1" s="1"/>
  <c r="IW52" i="1"/>
  <c r="KS52" i="1" s="1"/>
  <c r="IX52" i="1"/>
  <c r="KT52" i="1" s="1"/>
  <c r="IY52" i="1"/>
  <c r="KU52" i="1" s="1"/>
  <c r="IZ52" i="1"/>
  <c r="KV52" i="1" s="1"/>
  <c r="JA52" i="1"/>
  <c r="KW52" i="1" s="1"/>
  <c r="JB52" i="1"/>
  <c r="KX52" i="1" s="1"/>
  <c r="JC52" i="1"/>
  <c r="KY52" i="1" s="1"/>
  <c r="JD52" i="1"/>
  <c r="KZ52" i="1" s="1"/>
  <c r="JE52" i="1"/>
  <c r="LA52" i="1" s="1"/>
  <c r="JF52" i="1"/>
  <c r="LB52" i="1" s="1"/>
  <c r="JG52" i="1"/>
  <c r="LC52" i="1" s="1"/>
  <c r="JH52" i="1"/>
  <c r="LD52" i="1" s="1"/>
  <c r="JI52" i="1"/>
  <c r="LE52" i="1" s="1"/>
  <c r="JJ52" i="1"/>
  <c r="LF52" i="1" s="1"/>
  <c r="JK52" i="1"/>
  <c r="LG52" i="1" s="1"/>
  <c r="JL52" i="1"/>
  <c r="LH52" i="1" s="1"/>
  <c r="JM52" i="1"/>
  <c r="LI52" i="1" s="1"/>
  <c r="JN52" i="1"/>
  <c r="LJ52" i="1" s="1"/>
  <c r="JO52" i="1"/>
  <c r="LK52" i="1" s="1"/>
  <c r="LL52" i="1"/>
  <c r="KF53" i="1"/>
  <c r="IK53" i="1"/>
  <c r="KG53" i="1" s="1"/>
  <c r="IL53" i="1"/>
  <c r="KH53" i="1" s="1"/>
  <c r="IM53" i="1"/>
  <c r="KI53" i="1" s="1"/>
  <c r="IN53" i="1"/>
  <c r="KJ53" i="1" s="1"/>
  <c r="IO53" i="1"/>
  <c r="KK53" i="1" s="1"/>
  <c r="IP53" i="1"/>
  <c r="KL53" i="1" s="1"/>
  <c r="IQ53" i="1"/>
  <c r="KM53" i="1" s="1"/>
  <c r="IR53" i="1"/>
  <c r="KN53" i="1" s="1"/>
  <c r="IS53" i="1"/>
  <c r="KO53" i="1" s="1"/>
  <c r="IT53" i="1"/>
  <c r="KP53" i="1" s="1"/>
  <c r="IU53" i="1"/>
  <c r="KQ53" i="1" s="1"/>
  <c r="IV53" i="1"/>
  <c r="KR53" i="1" s="1"/>
  <c r="IW53" i="1"/>
  <c r="KS53" i="1" s="1"/>
  <c r="IX53" i="1"/>
  <c r="KT53" i="1" s="1"/>
  <c r="IY53" i="1"/>
  <c r="KU53" i="1" s="1"/>
  <c r="IZ53" i="1"/>
  <c r="KV53" i="1" s="1"/>
  <c r="JA53" i="1"/>
  <c r="KW53" i="1" s="1"/>
  <c r="JB53" i="1"/>
  <c r="KX53" i="1" s="1"/>
  <c r="JC53" i="1"/>
  <c r="KY53" i="1" s="1"/>
  <c r="JD53" i="1"/>
  <c r="KZ53" i="1" s="1"/>
  <c r="JE53" i="1"/>
  <c r="LA53" i="1" s="1"/>
  <c r="JF53" i="1"/>
  <c r="LB53" i="1" s="1"/>
  <c r="JG53" i="1"/>
  <c r="LC53" i="1" s="1"/>
  <c r="JH53" i="1"/>
  <c r="LD53" i="1" s="1"/>
  <c r="JI53" i="1"/>
  <c r="LE53" i="1" s="1"/>
  <c r="JJ53" i="1"/>
  <c r="LF53" i="1" s="1"/>
  <c r="JK53" i="1"/>
  <c r="LG53" i="1" s="1"/>
  <c r="JL53" i="1"/>
  <c r="LH53" i="1" s="1"/>
  <c r="JM53" i="1"/>
  <c r="LI53" i="1" s="1"/>
  <c r="JN53" i="1"/>
  <c r="LJ53" i="1" s="1"/>
  <c r="JO53" i="1"/>
  <c r="LK53" i="1" s="1"/>
  <c r="LL53" i="1"/>
  <c r="KF54" i="1"/>
  <c r="IK54" i="1"/>
  <c r="KG54" i="1" s="1"/>
  <c r="IL54" i="1"/>
  <c r="KH54" i="1" s="1"/>
  <c r="IM54" i="1"/>
  <c r="KI54" i="1" s="1"/>
  <c r="IN54" i="1"/>
  <c r="KJ54" i="1" s="1"/>
  <c r="IO54" i="1"/>
  <c r="KK54" i="1" s="1"/>
  <c r="IP54" i="1"/>
  <c r="KL54" i="1" s="1"/>
  <c r="IQ54" i="1"/>
  <c r="KM54" i="1" s="1"/>
  <c r="IR54" i="1"/>
  <c r="KN54" i="1" s="1"/>
  <c r="IS54" i="1"/>
  <c r="KO54" i="1" s="1"/>
  <c r="IT54" i="1"/>
  <c r="KP54" i="1" s="1"/>
  <c r="IU54" i="1"/>
  <c r="KQ54" i="1" s="1"/>
  <c r="IV54" i="1"/>
  <c r="KR54" i="1" s="1"/>
  <c r="IW54" i="1"/>
  <c r="KS54" i="1" s="1"/>
  <c r="IX54" i="1"/>
  <c r="KT54" i="1" s="1"/>
  <c r="IY54" i="1"/>
  <c r="KU54" i="1" s="1"/>
  <c r="IZ54" i="1"/>
  <c r="KV54" i="1" s="1"/>
  <c r="JA54" i="1"/>
  <c r="KW54" i="1" s="1"/>
  <c r="JB54" i="1"/>
  <c r="KX54" i="1" s="1"/>
  <c r="JC54" i="1"/>
  <c r="KY54" i="1" s="1"/>
  <c r="JD54" i="1"/>
  <c r="KZ54" i="1" s="1"/>
  <c r="JE54" i="1"/>
  <c r="LA54" i="1" s="1"/>
  <c r="JF54" i="1"/>
  <c r="LB54" i="1" s="1"/>
  <c r="JG54" i="1"/>
  <c r="LC54" i="1" s="1"/>
  <c r="JH54" i="1"/>
  <c r="LD54" i="1" s="1"/>
  <c r="JI54" i="1"/>
  <c r="LE54" i="1" s="1"/>
  <c r="JJ54" i="1"/>
  <c r="LF54" i="1" s="1"/>
  <c r="JK54" i="1"/>
  <c r="LG54" i="1" s="1"/>
  <c r="JL54" i="1"/>
  <c r="LH54" i="1" s="1"/>
  <c r="JM54" i="1"/>
  <c r="LI54" i="1" s="1"/>
  <c r="JN54" i="1"/>
  <c r="LJ54" i="1" s="1"/>
  <c r="JO54" i="1"/>
  <c r="LK54" i="1" s="1"/>
  <c r="LL54" i="1"/>
  <c r="KF4" i="1"/>
  <c r="IK4" i="1"/>
  <c r="KG4" i="1" s="1"/>
  <c r="IL4" i="1"/>
  <c r="KH4" i="1" s="1"/>
  <c r="IM4" i="1"/>
  <c r="KI4" i="1" s="1"/>
  <c r="IN4" i="1"/>
  <c r="KJ4" i="1" s="1"/>
  <c r="IO4" i="1"/>
  <c r="KK4" i="1" s="1"/>
  <c r="IP4" i="1"/>
  <c r="KL4" i="1" s="1"/>
  <c r="IQ4" i="1"/>
  <c r="KM4" i="1" s="1"/>
  <c r="IR4" i="1"/>
  <c r="KN4" i="1" s="1"/>
  <c r="IS4" i="1"/>
  <c r="KO4" i="1" s="1"/>
  <c r="IT4" i="1"/>
  <c r="KP4" i="1" s="1"/>
  <c r="IU4" i="1"/>
  <c r="KQ4" i="1" s="1"/>
  <c r="IV4" i="1"/>
  <c r="KR4" i="1" s="1"/>
  <c r="IW4" i="1"/>
  <c r="KS4" i="1" s="1"/>
  <c r="IX4" i="1"/>
  <c r="KT4" i="1" s="1"/>
  <c r="IY4" i="1"/>
  <c r="KU4" i="1" s="1"/>
  <c r="IZ4" i="1"/>
  <c r="KV4" i="1" s="1"/>
  <c r="JA4" i="1"/>
  <c r="KW4" i="1" s="1"/>
  <c r="JB4" i="1"/>
  <c r="KX4" i="1" s="1"/>
  <c r="JC4" i="1"/>
  <c r="KY4" i="1" s="1"/>
  <c r="JD4" i="1"/>
  <c r="KZ4" i="1" s="1"/>
  <c r="JE4" i="1"/>
  <c r="LA4" i="1" s="1"/>
  <c r="JF4" i="1"/>
  <c r="LB4" i="1" s="1"/>
  <c r="JG4" i="1"/>
  <c r="LC4" i="1" s="1"/>
  <c r="JH4" i="1"/>
  <c r="LD4" i="1" s="1"/>
  <c r="JI4" i="1"/>
  <c r="LE4" i="1" s="1"/>
  <c r="JJ4" i="1"/>
  <c r="LF4" i="1" s="1"/>
  <c r="JK4" i="1"/>
  <c r="LG4" i="1" s="1"/>
  <c r="JL4" i="1"/>
  <c r="LH4" i="1" s="1"/>
  <c r="JM4" i="1"/>
  <c r="LI4" i="1" s="1"/>
  <c r="JN4" i="1"/>
  <c r="LJ4" i="1" s="1"/>
  <c r="JO4" i="1"/>
  <c r="LK4" i="1" s="1"/>
  <c r="LL4" i="1"/>
  <c r="KF55" i="1"/>
  <c r="IK55" i="1"/>
  <c r="KG55" i="1" s="1"/>
  <c r="IL55" i="1"/>
  <c r="KH55" i="1" s="1"/>
  <c r="IM55" i="1"/>
  <c r="KI55" i="1" s="1"/>
  <c r="IN55" i="1"/>
  <c r="KJ55" i="1" s="1"/>
  <c r="IO55" i="1"/>
  <c r="KK55" i="1" s="1"/>
  <c r="IP55" i="1"/>
  <c r="KL55" i="1" s="1"/>
  <c r="IQ55" i="1"/>
  <c r="KM55" i="1" s="1"/>
  <c r="IR55" i="1"/>
  <c r="KN55" i="1" s="1"/>
  <c r="IS55" i="1"/>
  <c r="KO55" i="1" s="1"/>
  <c r="IT55" i="1"/>
  <c r="KP55" i="1" s="1"/>
  <c r="IU55" i="1"/>
  <c r="KQ55" i="1" s="1"/>
  <c r="IV55" i="1"/>
  <c r="KR55" i="1" s="1"/>
  <c r="IW55" i="1"/>
  <c r="KS55" i="1" s="1"/>
  <c r="IX55" i="1"/>
  <c r="KT55" i="1" s="1"/>
  <c r="IY55" i="1"/>
  <c r="KU55" i="1" s="1"/>
  <c r="IZ55" i="1"/>
  <c r="KV55" i="1" s="1"/>
  <c r="JA55" i="1"/>
  <c r="KW55" i="1" s="1"/>
  <c r="JB55" i="1"/>
  <c r="KX55" i="1" s="1"/>
  <c r="JC55" i="1"/>
  <c r="KY55" i="1" s="1"/>
  <c r="JD55" i="1"/>
  <c r="KZ55" i="1" s="1"/>
  <c r="JE55" i="1"/>
  <c r="LA55" i="1" s="1"/>
  <c r="JF55" i="1"/>
  <c r="LB55" i="1" s="1"/>
  <c r="JG55" i="1"/>
  <c r="LC55" i="1" s="1"/>
  <c r="JH55" i="1"/>
  <c r="LD55" i="1" s="1"/>
  <c r="JI55" i="1"/>
  <c r="LE55" i="1" s="1"/>
  <c r="JJ55" i="1"/>
  <c r="LF55" i="1" s="1"/>
  <c r="JK55" i="1"/>
  <c r="LG55" i="1" s="1"/>
  <c r="JL55" i="1"/>
  <c r="LH55" i="1" s="1"/>
  <c r="JM55" i="1"/>
  <c r="LI55" i="1" s="1"/>
  <c r="JN55" i="1"/>
  <c r="LJ55" i="1" s="1"/>
  <c r="JO55" i="1"/>
  <c r="LK55" i="1" s="1"/>
  <c r="LL55" i="1"/>
  <c r="KF5" i="1"/>
  <c r="IK5" i="1"/>
  <c r="KG5" i="1" s="1"/>
  <c r="IL5" i="1"/>
  <c r="KH5" i="1" s="1"/>
  <c r="IM5" i="1"/>
  <c r="KI5" i="1" s="1"/>
  <c r="IN5" i="1"/>
  <c r="KJ5" i="1" s="1"/>
  <c r="IO5" i="1"/>
  <c r="KK5" i="1" s="1"/>
  <c r="IP5" i="1"/>
  <c r="KL5" i="1" s="1"/>
  <c r="IQ5" i="1"/>
  <c r="KM5" i="1" s="1"/>
  <c r="IR5" i="1"/>
  <c r="KN5" i="1" s="1"/>
  <c r="IS5" i="1"/>
  <c r="KO5" i="1" s="1"/>
  <c r="IT5" i="1"/>
  <c r="KP5" i="1" s="1"/>
  <c r="IU5" i="1"/>
  <c r="KQ5" i="1" s="1"/>
  <c r="IV5" i="1"/>
  <c r="KR5" i="1" s="1"/>
  <c r="IW5" i="1"/>
  <c r="KS5" i="1" s="1"/>
  <c r="IX5" i="1"/>
  <c r="KT5" i="1" s="1"/>
  <c r="IY5" i="1"/>
  <c r="KU5" i="1" s="1"/>
  <c r="IZ5" i="1"/>
  <c r="KV5" i="1" s="1"/>
  <c r="JA5" i="1"/>
  <c r="KW5" i="1" s="1"/>
  <c r="JB5" i="1"/>
  <c r="KX5" i="1" s="1"/>
  <c r="JC5" i="1"/>
  <c r="KY5" i="1" s="1"/>
  <c r="JD5" i="1"/>
  <c r="KZ5" i="1" s="1"/>
  <c r="JE5" i="1"/>
  <c r="LA5" i="1" s="1"/>
  <c r="JF5" i="1"/>
  <c r="LB5" i="1" s="1"/>
  <c r="JG5" i="1"/>
  <c r="LC5" i="1" s="1"/>
  <c r="JH5" i="1"/>
  <c r="LD5" i="1" s="1"/>
  <c r="JI5" i="1"/>
  <c r="LE5" i="1" s="1"/>
  <c r="JJ5" i="1"/>
  <c r="LF5" i="1" s="1"/>
  <c r="JK5" i="1"/>
  <c r="LG5" i="1" s="1"/>
  <c r="JL5" i="1"/>
  <c r="LH5" i="1" s="1"/>
  <c r="JM5" i="1"/>
  <c r="LI5" i="1" s="1"/>
  <c r="JN5" i="1"/>
  <c r="LJ5" i="1" s="1"/>
  <c r="JO5" i="1"/>
  <c r="LK5" i="1" s="1"/>
  <c r="LL5" i="1"/>
  <c r="KF56" i="1"/>
  <c r="IK56" i="1"/>
  <c r="KG56" i="1" s="1"/>
  <c r="IL56" i="1"/>
  <c r="KH56" i="1" s="1"/>
  <c r="IM56" i="1"/>
  <c r="KI56" i="1" s="1"/>
  <c r="IN56" i="1"/>
  <c r="KJ56" i="1" s="1"/>
  <c r="IO56" i="1"/>
  <c r="KK56" i="1" s="1"/>
  <c r="IP56" i="1"/>
  <c r="KL56" i="1" s="1"/>
  <c r="IQ56" i="1"/>
  <c r="KM56" i="1" s="1"/>
  <c r="IR56" i="1"/>
  <c r="KN56" i="1" s="1"/>
  <c r="IS56" i="1"/>
  <c r="KO56" i="1" s="1"/>
  <c r="IT56" i="1"/>
  <c r="KP56" i="1" s="1"/>
  <c r="IU56" i="1"/>
  <c r="KQ56" i="1" s="1"/>
  <c r="IV56" i="1"/>
  <c r="KR56" i="1" s="1"/>
  <c r="IW56" i="1"/>
  <c r="KS56" i="1" s="1"/>
  <c r="IX56" i="1"/>
  <c r="KT56" i="1" s="1"/>
  <c r="IY56" i="1"/>
  <c r="KU56" i="1" s="1"/>
  <c r="IZ56" i="1"/>
  <c r="KV56" i="1" s="1"/>
  <c r="JA56" i="1"/>
  <c r="KW56" i="1" s="1"/>
  <c r="JB56" i="1"/>
  <c r="KX56" i="1" s="1"/>
  <c r="JC56" i="1"/>
  <c r="KY56" i="1" s="1"/>
  <c r="JD56" i="1"/>
  <c r="KZ56" i="1" s="1"/>
  <c r="JE56" i="1"/>
  <c r="LA56" i="1" s="1"/>
  <c r="JF56" i="1"/>
  <c r="LB56" i="1" s="1"/>
  <c r="JG56" i="1"/>
  <c r="LC56" i="1" s="1"/>
  <c r="JH56" i="1"/>
  <c r="LD56" i="1" s="1"/>
  <c r="JI56" i="1"/>
  <c r="LE56" i="1" s="1"/>
  <c r="JJ56" i="1"/>
  <c r="LF56" i="1" s="1"/>
  <c r="JK56" i="1"/>
  <c r="LG56" i="1" s="1"/>
  <c r="JL56" i="1"/>
  <c r="LH56" i="1" s="1"/>
  <c r="JM56" i="1"/>
  <c r="LI56" i="1" s="1"/>
  <c r="JN56" i="1"/>
  <c r="LJ56" i="1" s="1"/>
  <c r="JO56" i="1"/>
  <c r="LK56" i="1" s="1"/>
  <c r="LL56" i="1"/>
  <c r="KF57" i="1"/>
  <c r="IK57" i="1"/>
  <c r="KG57" i="1" s="1"/>
  <c r="IL57" i="1"/>
  <c r="KH57" i="1" s="1"/>
  <c r="IM57" i="1"/>
  <c r="KI57" i="1" s="1"/>
  <c r="IN57" i="1"/>
  <c r="KJ57" i="1" s="1"/>
  <c r="IO57" i="1"/>
  <c r="KK57" i="1" s="1"/>
  <c r="IP57" i="1"/>
  <c r="KL57" i="1" s="1"/>
  <c r="IQ57" i="1"/>
  <c r="KM57" i="1" s="1"/>
  <c r="IR57" i="1"/>
  <c r="KN57" i="1" s="1"/>
  <c r="IS57" i="1"/>
  <c r="KO57" i="1" s="1"/>
  <c r="IT57" i="1"/>
  <c r="KP57" i="1" s="1"/>
  <c r="IU57" i="1"/>
  <c r="KQ57" i="1" s="1"/>
  <c r="IV57" i="1"/>
  <c r="KR57" i="1" s="1"/>
  <c r="IW57" i="1"/>
  <c r="KS57" i="1" s="1"/>
  <c r="IX57" i="1"/>
  <c r="KT57" i="1" s="1"/>
  <c r="IY57" i="1"/>
  <c r="KU57" i="1" s="1"/>
  <c r="IZ57" i="1"/>
  <c r="KV57" i="1" s="1"/>
  <c r="JA57" i="1"/>
  <c r="KW57" i="1" s="1"/>
  <c r="JB57" i="1"/>
  <c r="KX57" i="1" s="1"/>
  <c r="JC57" i="1"/>
  <c r="KY57" i="1" s="1"/>
  <c r="JD57" i="1"/>
  <c r="KZ57" i="1" s="1"/>
  <c r="JE57" i="1"/>
  <c r="LA57" i="1" s="1"/>
  <c r="JF57" i="1"/>
  <c r="LB57" i="1" s="1"/>
  <c r="JG57" i="1"/>
  <c r="LC57" i="1" s="1"/>
  <c r="JH57" i="1"/>
  <c r="LD57" i="1" s="1"/>
  <c r="JI57" i="1"/>
  <c r="LE57" i="1" s="1"/>
  <c r="JJ57" i="1"/>
  <c r="LF57" i="1" s="1"/>
  <c r="JK57" i="1"/>
  <c r="LG57" i="1" s="1"/>
  <c r="JL57" i="1"/>
  <c r="LH57" i="1" s="1"/>
  <c r="JM57" i="1"/>
  <c r="LI57" i="1" s="1"/>
  <c r="JN57" i="1"/>
  <c r="LJ57" i="1" s="1"/>
  <c r="JO57" i="1"/>
  <c r="LK57" i="1" s="1"/>
  <c r="LL57" i="1"/>
  <c r="KF58" i="1"/>
  <c r="IK58" i="1"/>
  <c r="KG58" i="1" s="1"/>
  <c r="IL58" i="1"/>
  <c r="KH58" i="1" s="1"/>
  <c r="IM58" i="1"/>
  <c r="KI58" i="1" s="1"/>
  <c r="IN58" i="1"/>
  <c r="KJ58" i="1" s="1"/>
  <c r="IO58" i="1"/>
  <c r="KK58" i="1" s="1"/>
  <c r="IP58" i="1"/>
  <c r="KL58" i="1" s="1"/>
  <c r="IQ58" i="1"/>
  <c r="KM58" i="1" s="1"/>
  <c r="IR58" i="1"/>
  <c r="KN58" i="1" s="1"/>
  <c r="IS58" i="1"/>
  <c r="KO58" i="1" s="1"/>
  <c r="IT58" i="1"/>
  <c r="KP58" i="1" s="1"/>
  <c r="IU58" i="1"/>
  <c r="KQ58" i="1" s="1"/>
  <c r="IV58" i="1"/>
  <c r="KR58" i="1" s="1"/>
  <c r="IW58" i="1"/>
  <c r="KS58" i="1" s="1"/>
  <c r="IX58" i="1"/>
  <c r="KT58" i="1" s="1"/>
  <c r="IY58" i="1"/>
  <c r="KU58" i="1" s="1"/>
  <c r="IZ58" i="1"/>
  <c r="KV58" i="1" s="1"/>
  <c r="JA58" i="1"/>
  <c r="KW58" i="1" s="1"/>
  <c r="JB58" i="1"/>
  <c r="KX58" i="1" s="1"/>
  <c r="JC58" i="1"/>
  <c r="KY58" i="1" s="1"/>
  <c r="JD58" i="1"/>
  <c r="KZ58" i="1" s="1"/>
  <c r="JE58" i="1"/>
  <c r="LA58" i="1" s="1"/>
  <c r="JF58" i="1"/>
  <c r="LB58" i="1" s="1"/>
  <c r="JG58" i="1"/>
  <c r="LC58" i="1" s="1"/>
  <c r="JH58" i="1"/>
  <c r="LD58" i="1" s="1"/>
  <c r="JI58" i="1"/>
  <c r="LE58" i="1" s="1"/>
  <c r="JJ58" i="1"/>
  <c r="LF58" i="1" s="1"/>
  <c r="JK58" i="1"/>
  <c r="LG58" i="1" s="1"/>
  <c r="JL58" i="1"/>
  <c r="LH58" i="1" s="1"/>
  <c r="JM58" i="1"/>
  <c r="LI58" i="1" s="1"/>
  <c r="JN58" i="1"/>
  <c r="LJ58" i="1" s="1"/>
  <c r="JO58" i="1"/>
  <c r="LK58" i="1" s="1"/>
  <c r="LL58" i="1"/>
  <c r="KF59" i="1"/>
  <c r="IK59" i="1"/>
  <c r="KG59" i="1" s="1"/>
  <c r="IL59" i="1"/>
  <c r="KH59" i="1" s="1"/>
  <c r="IM59" i="1"/>
  <c r="KI59" i="1" s="1"/>
  <c r="IN59" i="1"/>
  <c r="KJ59" i="1" s="1"/>
  <c r="IO59" i="1"/>
  <c r="KK59" i="1" s="1"/>
  <c r="IP59" i="1"/>
  <c r="KL59" i="1" s="1"/>
  <c r="IQ59" i="1"/>
  <c r="KM59" i="1" s="1"/>
  <c r="IR59" i="1"/>
  <c r="KN59" i="1" s="1"/>
  <c r="IS59" i="1"/>
  <c r="KO59" i="1" s="1"/>
  <c r="IT59" i="1"/>
  <c r="KP59" i="1" s="1"/>
  <c r="IU59" i="1"/>
  <c r="KQ59" i="1" s="1"/>
  <c r="IV59" i="1"/>
  <c r="KR59" i="1" s="1"/>
  <c r="IW59" i="1"/>
  <c r="KS59" i="1" s="1"/>
  <c r="IX59" i="1"/>
  <c r="KT59" i="1" s="1"/>
  <c r="IY59" i="1"/>
  <c r="KU59" i="1" s="1"/>
  <c r="IZ59" i="1"/>
  <c r="KV59" i="1" s="1"/>
  <c r="JA59" i="1"/>
  <c r="KW59" i="1" s="1"/>
  <c r="JB59" i="1"/>
  <c r="KX59" i="1" s="1"/>
  <c r="JC59" i="1"/>
  <c r="KY59" i="1" s="1"/>
  <c r="JD59" i="1"/>
  <c r="KZ59" i="1" s="1"/>
  <c r="JE59" i="1"/>
  <c r="LA59" i="1" s="1"/>
  <c r="JF59" i="1"/>
  <c r="LB59" i="1" s="1"/>
  <c r="JG59" i="1"/>
  <c r="LC59" i="1" s="1"/>
  <c r="JH59" i="1"/>
  <c r="LD59" i="1" s="1"/>
  <c r="JI59" i="1"/>
  <c r="LE59" i="1" s="1"/>
  <c r="JJ59" i="1"/>
  <c r="LF59" i="1" s="1"/>
  <c r="JK59" i="1"/>
  <c r="LG59" i="1" s="1"/>
  <c r="JL59" i="1"/>
  <c r="LH59" i="1" s="1"/>
  <c r="JM59" i="1"/>
  <c r="LI59" i="1" s="1"/>
  <c r="JN59" i="1"/>
  <c r="LJ59" i="1" s="1"/>
  <c r="JO59" i="1"/>
  <c r="LK59" i="1" s="1"/>
  <c r="LL59" i="1"/>
  <c r="KF60" i="1"/>
  <c r="IK60" i="1"/>
  <c r="KG60" i="1" s="1"/>
  <c r="IL60" i="1"/>
  <c r="KH60" i="1" s="1"/>
  <c r="IM60" i="1"/>
  <c r="KI60" i="1" s="1"/>
  <c r="IN60" i="1"/>
  <c r="KJ60" i="1" s="1"/>
  <c r="IO60" i="1"/>
  <c r="KK60" i="1" s="1"/>
  <c r="IP60" i="1"/>
  <c r="KL60" i="1" s="1"/>
  <c r="IQ60" i="1"/>
  <c r="KM60" i="1" s="1"/>
  <c r="IR60" i="1"/>
  <c r="KN60" i="1" s="1"/>
  <c r="IS60" i="1"/>
  <c r="KO60" i="1" s="1"/>
  <c r="IT60" i="1"/>
  <c r="KP60" i="1" s="1"/>
  <c r="IU60" i="1"/>
  <c r="KQ60" i="1" s="1"/>
  <c r="IV60" i="1"/>
  <c r="KR60" i="1" s="1"/>
  <c r="IW60" i="1"/>
  <c r="KS60" i="1" s="1"/>
  <c r="IX60" i="1"/>
  <c r="KT60" i="1" s="1"/>
  <c r="IY60" i="1"/>
  <c r="KU60" i="1" s="1"/>
  <c r="IZ60" i="1"/>
  <c r="KV60" i="1" s="1"/>
  <c r="JA60" i="1"/>
  <c r="KW60" i="1" s="1"/>
  <c r="JB60" i="1"/>
  <c r="KX60" i="1" s="1"/>
  <c r="JC60" i="1"/>
  <c r="KY60" i="1" s="1"/>
  <c r="JD60" i="1"/>
  <c r="KZ60" i="1" s="1"/>
  <c r="JE60" i="1"/>
  <c r="LA60" i="1" s="1"/>
  <c r="JF60" i="1"/>
  <c r="LB60" i="1" s="1"/>
  <c r="JG60" i="1"/>
  <c r="LC60" i="1" s="1"/>
  <c r="JH60" i="1"/>
  <c r="LD60" i="1" s="1"/>
  <c r="JI60" i="1"/>
  <c r="LE60" i="1" s="1"/>
  <c r="JJ60" i="1"/>
  <c r="LF60" i="1" s="1"/>
  <c r="JK60" i="1"/>
  <c r="LG60" i="1" s="1"/>
  <c r="JL60" i="1"/>
  <c r="LH60" i="1" s="1"/>
  <c r="JM60" i="1"/>
  <c r="LI60" i="1" s="1"/>
  <c r="JN60" i="1"/>
  <c r="LJ60" i="1" s="1"/>
  <c r="JO60" i="1"/>
  <c r="LK60" i="1" s="1"/>
  <c r="LL60" i="1"/>
  <c r="KF61" i="1"/>
  <c r="IK61" i="1"/>
  <c r="KG61" i="1" s="1"/>
  <c r="IL61" i="1"/>
  <c r="KH61" i="1" s="1"/>
  <c r="IM61" i="1"/>
  <c r="KI61" i="1" s="1"/>
  <c r="IN61" i="1"/>
  <c r="KJ61" i="1" s="1"/>
  <c r="IO61" i="1"/>
  <c r="KK61" i="1" s="1"/>
  <c r="IP61" i="1"/>
  <c r="KL61" i="1" s="1"/>
  <c r="IQ61" i="1"/>
  <c r="KM61" i="1" s="1"/>
  <c r="IR61" i="1"/>
  <c r="KN61" i="1" s="1"/>
  <c r="IS61" i="1"/>
  <c r="KO61" i="1" s="1"/>
  <c r="IT61" i="1"/>
  <c r="KP61" i="1" s="1"/>
  <c r="IU61" i="1"/>
  <c r="KQ61" i="1" s="1"/>
  <c r="IV61" i="1"/>
  <c r="KR61" i="1" s="1"/>
  <c r="IW61" i="1"/>
  <c r="KS61" i="1" s="1"/>
  <c r="IX61" i="1"/>
  <c r="KT61" i="1" s="1"/>
  <c r="IY61" i="1"/>
  <c r="KU61" i="1" s="1"/>
  <c r="IZ61" i="1"/>
  <c r="KV61" i="1" s="1"/>
  <c r="JA61" i="1"/>
  <c r="KW61" i="1" s="1"/>
  <c r="JB61" i="1"/>
  <c r="KX61" i="1" s="1"/>
  <c r="JC61" i="1"/>
  <c r="KY61" i="1" s="1"/>
  <c r="JD61" i="1"/>
  <c r="KZ61" i="1" s="1"/>
  <c r="JE61" i="1"/>
  <c r="LA61" i="1" s="1"/>
  <c r="JF61" i="1"/>
  <c r="LB61" i="1" s="1"/>
  <c r="JG61" i="1"/>
  <c r="LC61" i="1" s="1"/>
  <c r="JH61" i="1"/>
  <c r="LD61" i="1" s="1"/>
  <c r="JI61" i="1"/>
  <c r="LE61" i="1" s="1"/>
  <c r="JJ61" i="1"/>
  <c r="LF61" i="1" s="1"/>
  <c r="JK61" i="1"/>
  <c r="LG61" i="1" s="1"/>
  <c r="JL61" i="1"/>
  <c r="LH61" i="1" s="1"/>
  <c r="JM61" i="1"/>
  <c r="LI61" i="1" s="1"/>
  <c r="JN61" i="1"/>
  <c r="LJ61" i="1" s="1"/>
  <c r="JO61" i="1"/>
  <c r="LK61" i="1" s="1"/>
  <c r="LL61" i="1"/>
  <c r="KF62" i="1"/>
  <c r="IK62" i="1"/>
  <c r="KG62" i="1" s="1"/>
  <c r="IL62" i="1"/>
  <c r="KH62" i="1" s="1"/>
  <c r="IM62" i="1"/>
  <c r="KI62" i="1" s="1"/>
  <c r="IN62" i="1"/>
  <c r="KJ62" i="1" s="1"/>
  <c r="IO62" i="1"/>
  <c r="KK62" i="1" s="1"/>
  <c r="IP62" i="1"/>
  <c r="KL62" i="1" s="1"/>
  <c r="IQ62" i="1"/>
  <c r="KM62" i="1" s="1"/>
  <c r="IR62" i="1"/>
  <c r="KN62" i="1" s="1"/>
  <c r="IS62" i="1"/>
  <c r="KO62" i="1" s="1"/>
  <c r="IT62" i="1"/>
  <c r="KP62" i="1" s="1"/>
  <c r="IU62" i="1"/>
  <c r="KQ62" i="1" s="1"/>
  <c r="IV62" i="1"/>
  <c r="KR62" i="1" s="1"/>
  <c r="IW62" i="1"/>
  <c r="KS62" i="1" s="1"/>
  <c r="IX62" i="1"/>
  <c r="KT62" i="1" s="1"/>
  <c r="IY62" i="1"/>
  <c r="KU62" i="1" s="1"/>
  <c r="IZ62" i="1"/>
  <c r="KV62" i="1" s="1"/>
  <c r="JA62" i="1"/>
  <c r="KW62" i="1" s="1"/>
  <c r="JB62" i="1"/>
  <c r="KX62" i="1" s="1"/>
  <c r="JC62" i="1"/>
  <c r="KY62" i="1" s="1"/>
  <c r="JD62" i="1"/>
  <c r="KZ62" i="1" s="1"/>
  <c r="JE62" i="1"/>
  <c r="LA62" i="1" s="1"/>
  <c r="JF62" i="1"/>
  <c r="LB62" i="1" s="1"/>
  <c r="JG62" i="1"/>
  <c r="LC62" i="1" s="1"/>
  <c r="JH62" i="1"/>
  <c r="LD62" i="1" s="1"/>
  <c r="JI62" i="1"/>
  <c r="LE62" i="1" s="1"/>
  <c r="JJ62" i="1"/>
  <c r="LF62" i="1" s="1"/>
  <c r="JK62" i="1"/>
  <c r="LG62" i="1" s="1"/>
  <c r="JL62" i="1"/>
  <c r="LH62" i="1" s="1"/>
  <c r="JM62" i="1"/>
  <c r="LI62" i="1" s="1"/>
  <c r="JN62" i="1"/>
  <c r="LJ62" i="1" s="1"/>
  <c r="JO62" i="1"/>
  <c r="LK62" i="1" s="1"/>
  <c r="LL62" i="1"/>
  <c r="KF63" i="1"/>
  <c r="IK63" i="1"/>
  <c r="KG63" i="1" s="1"/>
  <c r="IL63" i="1"/>
  <c r="KH63" i="1" s="1"/>
  <c r="IM63" i="1"/>
  <c r="KI63" i="1" s="1"/>
  <c r="IN63" i="1"/>
  <c r="KJ63" i="1" s="1"/>
  <c r="IO63" i="1"/>
  <c r="KK63" i="1" s="1"/>
  <c r="IP63" i="1"/>
  <c r="KL63" i="1" s="1"/>
  <c r="IQ63" i="1"/>
  <c r="KM63" i="1" s="1"/>
  <c r="IR63" i="1"/>
  <c r="KN63" i="1" s="1"/>
  <c r="IS63" i="1"/>
  <c r="KO63" i="1" s="1"/>
  <c r="IT63" i="1"/>
  <c r="KP63" i="1" s="1"/>
  <c r="IU63" i="1"/>
  <c r="KQ63" i="1" s="1"/>
  <c r="IV63" i="1"/>
  <c r="KR63" i="1" s="1"/>
  <c r="IW63" i="1"/>
  <c r="KS63" i="1" s="1"/>
  <c r="IX63" i="1"/>
  <c r="KT63" i="1" s="1"/>
  <c r="IY63" i="1"/>
  <c r="KU63" i="1" s="1"/>
  <c r="IZ63" i="1"/>
  <c r="KV63" i="1" s="1"/>
  <c r="JA63" i="1"/>
  <c r="KW63" i="1" s="1"/>
  <c r="JB63" i="1"/>
  <c r="KX63" i="1" s="1"/>
  <c r="JC63" i="1"/>
  <c r="KY63" i="1" s="1"/>
  <c r="JD63" i="1"/>
  <c r="KZ63" i="1" s="1"/>
  <c r="JE63" i="1"/>
  <c r="LA63" i="1" s="1"/>
  <c r="JF63" i="1"/>
  <c r="LB63" i="1" s="1"/>
  <c r="JG63" i="1"/>
  <c r="LC63" i="1" s="1"/>
  <c r="JH63" i="1"/>
  <c r="LD63" i="1" s="1"/>
  <c r="JI63" i="1"/>
  <c r="LE63" i="1" s="1"/>
  <c r="JJ63" i="1"/>
  <c r="LF63" i="1" s="1"/>
  <c r="JK63" i="1"/>
  <c r="LG63" i="1" s="1"/>
  <c r="JL63" i="1"/>
  <c r="LH63" i="1" s="1"/>
  <c r="JM63" i="1"/>
  <c r="LI63" i="1" s="1"/>
  <c r="JN63" i="1"/>
  <c r="LJ63" i="1" s="1"/>
  <c r="JO63" i="1"/>
  <c r="LK63" i="1" s="1"/>
  <c r="LL63" i="1"/>
  <c r="KF65" i="1"/>
  <c r="IK65" i="1"/>
  <c r="KG65" i="1" s="1"/>
  <c r="IL65" i="1"/>
  <c r="KH65" i="1" s="1"/>
  <c r="IM65" i="1"/>
  <c r="KI65" i="1" s="1"/>
  <c r="IN65" i="1"/>
  <c r="KJ65" i="1" s="1"/>
  <c r="IO65" i="1"/>
  <c r="KK65" i="1" s="1"/>
  <c r="IP65" i="1"/>
  <c r="KL65" i="1" s="1"/>
  <c r="IQ65" i="1"/>
  <c r="KM65" i="1" s="1"/>
  <c r="IR65" i="1"/>
  <c r="KN65" i="1" s="1"/>
  <c r="IS65" i="1"/>
  <c r="KO65" i="1" s="1"/>
  <c r="IT65" i="1"/>
  <c r="KP65" i="1" s="1"/>
  <c r="IU65" i="1"/>
  <c r="KQ65" i="1" s="1"/>
  <c r="IV65" i="1"/>
  <c r="KR65" i="1" s="1"/>
  <c r="IW65" i="1"/>
  <c r="KS65" i="1" s="1"/>
  <c r="IX65" i="1"/>
  <c r="KT65" i="1" s="1"/>
  <c r="IY65" i="1"/>
  <c r="KU65" i="1" s="1"/>
  <c r="IZ65" i="1"/>
  <c r="KV65" i="1" s="1"/>
  <c r="JA65" i="1"/>
  <c r="KW65" i="1" s="1"/>
  <c r="JB65" i="1"/>
  <c r="KX65" i="1" s="1"/>
  <c r="JC65" i="1"/>
  <c r="KY65" i="1" s="1"/>
  <c r="JD65" i="1"/>
  <c r="KZ65" i="1" s="1"/>
  <c r="JE65" i="1"/>
  <c r="LA65" i="1" s="1"/>
  <c r="JF65" i="1"/>
  <c r="LB65" i="1" s="1"/>
  <c r="JG65" i="1"/>
  <c r="LC65" i="1" s="1"/>
  <c r="JH65" i="1"/>
  <c r="LD65" i="1" s="1"/>
  <c r="JI65" i="1"/>
  <c r="LE65" i="1" s="1"/>
  <c r="JJ65" i="1"/>
  <c r="LF65" i="1" s="1"/>
  <c r="JK65" i="1"/>
  <c r="LG65" i="1" s="1"/>
  <c r="JL65" i="1"/>
  <c r="LH65" i="1" s="1"/>
  <c r="JM65" i="1"/>
  <c r="LI65" i="1" s="1"/>
  <c r="JN65" i="1"/>
  <c r="LJ65" i="1" s="1"/>
  <c r="JO65" i="1"/>
  <c r="LK65" i="1" s="1"/>
  <c r="LL65" i="1"/>
  <c r="KF64" i="1"/>
  <c r="IK64" i="1"/>
  <c r="KG64" i="1" s="1"/>
  <c r="IL64" i="1"/>
  <c r="KH64" i="1" s="1"/>
  <c r="IM64" i="1"/>
  <c r="KI64" i="1" s="1"/>
  <c r="IN64" i="1"/>
  <c r="KJ64" i="1" s="1"/>
  <c r="IO64" i="1"/>
  <c r="KK64" i="1" s="1"/>
  <c r="IP64" i="1"/>
  <c r="KL64" i="1" s="1"/>
  <c r="IQ64" i="1"/>
  <c r="KM64" i="1" s="1"/>
  <c r="IR64" i="1"/>
  <c r="KN64" i="1" s="1"/>
  <c r="IS64" i="1"/>
  <c r="KO64" i="1" s="1"/>
  <c r="IT64" i="1"/>
  <c r="KP64" i="1" s="1"/>
  <c r="IU64" i="1"/>
  <c r="KQ64" i="1" s="1"/>
  <c r="IV64" i="1"/>
  <c r="KR64" i="1" s="1"/>
  <c r="IW64" i="1"/>
  <c r="KS64" i="1" s="1"/>
  <c r="IX64" i="1"/>
  <c r="KT64" i="1" s="1"/>
  <c r="IY64" i="1"/>
  <c r="KU64" i="1" s="1"/>
  <c r="IZ64" i="1"/>
  <c r="KV64" i="1" s="1"/>
  <c r="JA64" i="1"/>
  <c r="KW64" i="1" s="1"/>
  <c r="JB64" i="1"/>
  <c r="KX64" i="1" s="1"/>
  <c r="JC64" i="1"/>
  <c r="KY64" i="1" s="1"/>
  <c r="JD64" i="1"/>
  <c r="KZ64" i="1" s="1"/>
  <c r="JE64" i="1"/>
  <c r="LA64" i="1" s="1"/>
  <c r="JF64" i="1"/>
  <c r="LB64" i="1" s="1"/>
  <c r="JG64" i="1"/>
  <c r="LC64" i="1" s="1"/>
  <c r="JH64" i="1"/>
  <c r="LD64" i="1" s="1"/>
  <c r="JI64" i="1"/>
  <c r="LE64" i="1" s="1"/>
  <c r="JJ64" i="1"/>
  <c r="LF64" i="1" s="1"/>
  <c r="JK64" i="1"/>
  <c r="LG64" i="1" s="1"/>
  <c r="JL64" i="1"/>
  <c r="LH64" i="1" s="1"/>
  <c r="JM64" i="1"/>
  <c r="LI64" i="1" s="1"/>
  <c r="JN64" i="1"/>
  <c r="LJ64" i="1" s="1"/>
  <c r="JO64" i="1"/>
  <c r="LK64" i="1" s="1"/>
  <c r="LL64" i="1"/>
  <c r="KF66" i="1"/>
  <c r="IK66" i="1"/>
  <c r="KG66" i="1" s="1"/>
  <c r="IL66" i="1"/>
  <c r="KH66" i="1" s="1"/>
  <c r="IM66" i="1"/>
  <c r="KI66" i="1" s="1"/>
  <c r="IN66" i="1"/>
  <c r="KJ66" i="1" s="1"/>
  <c r="IO66" i="1"/>
  <c r="KK66" i="1" s="1"/>
  <c r="IP66" i="1"/>
  <c r="KL66" i="1" s="1"/>
  <c r="IQ66" i="1"/>
  <c r="KM66" i="1" s="1"/>
  <c r="IR66" i="1"/>
  <c r="KN66" i="1" s="1"/>
  <c r="IS66" i="1"/>
  <c r="KO66" i="1" s="1"/>
  <c r="IT66" i="1"/>
  <c r="KP66" i="1" s="1"/>
  <c r="IU66" i="1"/>
  <c r="KQ66" i="1" s="1"/>
  <c r="IV66" i="1"/>
  <c r="KR66" i="1" s="1"/>
  <c r="IW66" i="1"/>
  <c r="KS66" i="1" s="1"/>
  <c r="IX66" i="1"/>
  <c r="KT66" i="1" s="1"/>
  <c r="IY66" i="1"/>
  <c r="KU66" i="1" s="1"/>
  <c r="IZ66" i="1"/>
  <c r="KV66" i="1" s="1"/>
  <c r="JA66" i="1"/>
  <c r="KW66" i="1" s="1"/>
  <c r="JB66" i="1"/>
  <c r="KX66" i="1" s="1"/>
  <c r="JC66" i="1"/>
  <c r="KY66" i="1" s="1"/>
  <c r="JD66" i="1"/>
  <c r="KZ66" i="1" s="1"/>
  <c r="JE66" i="1"/>
  <c r="LA66" i="1" s="1"/>
  <c r="JF66" i="1"/>
  <c r="LB66" i="1" s="1"/>
  <c r="JG66" i="1"/>
  <c r="LC66" i="1" s="1"/>
  <c r="JH66" i="1"/>
  <c r="LD66" i="1" s="1"/>
  <c r="JI66" i="1"/>
  <c r="LE66" i="1" s="1"/>
  <c r="JJ66" i="1"/>
  <c r="LF66" i="1" s="1"/>
  <c r="JK66" i="1"/>
  <c r="LG66" i="1" s="1"/>
  <c r="JL66" i="1"/>
  <c r="LH66" i="1" s="1"/>
  <c r="JM66" i="1"/>
  <c r="LI66" i="1" s="1"/>
  <c r="JN66" i="1"/>
  <c r="LJ66" i="1" s="1"/>
  <c r="JO66" i="1"/>
  <c r="LK66" i="1" s="1"/>
  <c r="LL66" i="1"/>
  <c r="KF6" i="1"/>
  <c r="IK6" i="1"/>
  <c r="KG6" i="1" s="1"/>
  <c r="IL6" i="1"/>
  <c r="KH6" i="1" s="1"/>
  <c r="IM6" i="1"/>
  <c r="KI6" i="1" s="1"/>
  <c r="IN6" i="1"/>
  <c r="KJ6" i="1" s="1"/>
  <c r="IO6" i="1"/>
  <c r="KK6" i="1" s="1"/>
  <c r="IP6" i="1"/>
  <c r="KL6" i="1" s="1"/>
  <c r="IQ6" i="1"/>
  <c r="KM6" i="1" s="1"/>
  <c r="IR6" i="1"/>
  <c r="KN6" i="1" s="1"/>
  <c r="IS6" i="1"/>
  <c r="KO6" i="1" s="1"/>
  <c r="IT6" i="1"/>
  <c r="KP6" i="1" s="1"/>
  <c r="IU6" i="1"/>
  <c r="KQ6" i="1" s="1"/>
  <c r="IV6" i="1"/>
  <c r="KR6" i="1" s="1"/>
  <c r="IW6" i="1"/>
  <c r="KS6" i="1" s="1"/>
  <c r="IX6" i="1"/>
  <c r="KT6" i="1" s="1"/>
  <c r="IY6" i="1"/>
  <c r="KU6" i="1" s="1"/>
  <c r="IZ6" i="1"/>
  <c r="KV6" i="1" s="1"/>
  <c r="JA6" i="1"/>
  <c r="KW6" i="1" s="1"/>
  <c r="JB6" i="1"/>
  <c r="KX6" i="1" s="1"/>
  <c r="JC6" i="1"/>
  <c r="KY6" i="1" s="1"/>
  <c r="JD6" i="1"/>
  <c r="KZ6" i="1" s="1"/>
  <c r="JE6" i="1"/>
  <c r="LA6" i="1" s="1"/>
  <c r="JF6" i="1"/>
  <c r="LB6" i="1" s="1"/>
  <c r="JG6" i="1"/>
  <c r="LC6" i="1" s="1"/>
  <c r="JH6" i="1"/>
  <c r="LD6" i="1" s="1"/>
  <c r="JI6" i="1"/>
  <c r="LE6" i="1" s="1"/>
  <c r="JJ6" i="1"/>
  <c r="LF6" i="1" s="1"/>
  <c r="JK6" i="1"/>
  <c r="LG6" i="1" s="1"/>
  <c r="JL6" i="1"/>
  <c r="LH6" i="1" s="1"/>
  <c r="JM6" i="1"/>
  <c r="LI6" i="1" s="1"/>
  <c r="JN6" i="1"/>
  <c r="LJ6" i="1" s="1"/>
  <c r="JO6" i="1"/>
  <c r="LK6" i="1" s="1"/>
  <c r="LL6" i="1"/>
  <c r="KF7" i="1"/>
  <c r="IK7" i="1"/>
  <c r="KG7" i="1" s="1"/>
  <c r="IL7" i="1"/>
  <c r="KH7" i="1" s="1"/>
  <c r="IM7" i="1"/>
  <c r="KI7" i="1" s="1"/>
  <c r="IN7" i="1"/>
  <c r="KJ7" i="1" s="1"/>
  <c r="IO7" i="1"/>
  <c r="KK7" i="1" s="1"/>
  <c r="IP7" i="1"/>
  <c r="KL7" i="1" s="1"/>
  <c r="IQ7" i="1"/>
  <c r="KM7" i="1" s="1"/>
  <c r="IR7" i="1"/>
  <c r="KN7" i="1" s="1"/>
  <c r="IS7" i="1"/>
  <c r="KO7" i="1" s="1"/>
  <c r="IT7" i="1"/>
  <c r="KP7" i="1" s="1"/>
  <c r="IU7" i="1"/>
  <c r="KQ7" i="1" s="1"/>
  <c r="IV7" i="1"/>
  <c r="KR7" i="1" s="1"/>
  <c r="IW7" i="1"/>
  <c r="KS7" i="1" s="1"/>
  <c r="IX7" i="1"/>
  <c r="KT7" i="1" s="1"/>
  <c r="IY7" i="1"/>
  <c r="KU7" i="1" s="1"/>
  <c r="IZ7" i="1"/>
  <c r="KV7" i="1" s="1"/>
  <c r="JA7" i="1"/>
  <c r="KW7" i="1" s="1"/>
  <c r="JB7" i="1"/>
  <c r="KX7" i="1" s="1"/>
  <c r="JC7" i="1"/>
  <c r="KY7" i="1" s="1"/>
  <c r="JD7" i="1"/>
  <c r="KZ7" i="1" s="1"/>
  <c r="JE7" i="1"/>
  <c r="LA7" i="1" s="1"/>
  <c r="JF7" i="1"/>
  <c r="LB7" i="1" s="1"/>
  <c r="JG7" i="1"/>
  <c r="LC7" i="1" s="1"/>
  <c r="JH7" i="1"/>
  <c r="LD7" i="1" s="1"/>
  <c r="JI7" i="1"/>
  <c r="LE7" i="1" s="1"/>
  <c r="JJ7" i="1"/>
  <c r="LF7" i="1" s="1"/>
  <c r="JK7" i="1"/>
  <c r="LG7" i="1" s="1"/>
  <c r="JL7" i="1"/>
  <c r="LH7" i="1" s="1"/>
  <c r="JM7" i="1"/>
  <c r="LI7" i="1" s="1"/>
  <c r="JN7" i="1"/>
  <c r="LJ7" i="1" s="1"/>
  <c r="JO7" i="1"/>
  <c r="LK7" i="1" s="1"/>
  <c r="LL7" i="1"/>
  <c r="KF8" i="1"/>
  <c r="IK8" i="1"/>
  <c r="KG8" i="1" s="1"/>
  <c r="IL8" i="1"/>
  <c r="KH8" i="1" s="1"/>
  <c r="IM8" i="1"/>
  <c r="KI8" i="1" s="1"/>
  <c r="IN8" i="1"/>
  <c r="KJ8" i="1" s="1"/>
  <c r="IO8" i="1"/>
  <c r="KK8" i="1" s="1"/>
  <c r="IP8" i="1"/>
  <c r="KL8" i="1" s="1"/>
  <c r="IQ8" i="1"/>
  <c r="KM8" i="1" s="1"/>
  <c r="IR8" i="1"/>
  <c r="KN8" i="1" s="1"/>
  <c r="IS8" i="1"/>
  <c r="KO8" i="1" s="1"/>
  <c r="IT8" i="1"/>
  <c r="KP8" i="1" s="1"/>
  <c r="IU8" i="1"/>
  <c r="KQ8" i="1" s="1"/>
  <c r="IV8" i="1"/>
  <c r="KR8" i="1" s="1"/>
  <c r="IW8" i="1"/>
  <c r="KS8" i="1" s="1"/>
  <c r="IX8" i="1"/>
  <c r="KT8" i="1" s="1"/>
  <c r="IY8" i="1"/>
  <c r="KU8" i="1" s="1"/>
  <c r="IZ8" i="1"/>
  <c r="KV8" i="1" s="1"/>
  <c r="JA8" i="1"/>
  <c r="KW8" i="1" s="1"/>
  <c r="JB8" i="1"/>
  <c r="KX8" i="1" s="1"/>
  <c r="JC8" i="1"/>
  <c r="KY8" i="1" s="1"/>
  <c r="JD8" i="1"/>
  <c r="KZ8" i="1" s="1"/>
  <c r="JE8" i="1"/>
  <c r="LA8" i="1" s="1"/>
  <c r="JF8" i="1"/>
  <c r="LB8" i="1" s="1"/>
  <c r="JG8" i="1"/>
  <c r="LC8" i="1" s="1"/>
  <c r="JH8" i="1"/>
  <c r="LD8" i="1" s="1"/>
  <c r="JI8" i="1"/>
  <c r="LE8" i="1" s="1"/>
  <c r="JJ8" i="1"/>
  <c r="LF8" i="1" s="1"/>
  <c r="JK8" i="1"/>
  <c r="LG8" i="1" s="1"/>
  <c r="JL8" i="1"/>
  <c r="LH8" i="1" s="1"/>
  <c r="JM8" i="1"/>
  <c r="LI8" i="1" s="1"/>
  <c r="JN8" i="1"/>
  <c r="LJ8" i="1" s="1"/>
  <c r="JO8" i="1"/>
  <c r="LK8" i="1" s="1"/>
  <c r="LL8" i="1"/>
  <c r="KF68" i="1"/>
  <c r="IK68" i="1"/>
  <c r="KG68" i="1" s="1"/>
  <c r="IL68" i="1"/>
  <c r="KH68" i="1" s="1"/>
  <c r="IM68" i="1"/>
  <c r="KI68" i="1" s="1"/>
  <c r="IN68" i="1"/>
  <c r="KJ68" i="1" s="1"/>
  <c r="IO68" i="1"/>
  <c r="KK68" i="1" s="1"/>
  <c r="IP68" i="1"/>
  <c r="KL68" i="1" s="1"/>
  <c r="IQ68" i="1"/>
  <c r="KM68" i="1" s="1"/>
  <c r="IR68" i="1"/>
  <c r="KN68" i="1" s="1"/>
  <c r="IS68" i="1"/>
  <c r="KO68" i="1" s="1"/>
  <c r="IT68" i="1"/>
  <c r="KP68" i="1" s="1"/>
  <c r="IU68" i="1"/>
  <c r="KQ68" i="1" s="1"/>
  <c r="IV68" i="1"/>
  <c r="KR68" i="1" s="1"/>
  <c r="IW68" i="1"/>
  <c r="KS68" i="1" s="1"/>
  <c r="IX68" i="1"/>
  <c r="KT68" i="1" s="1"/>
  <c r="IY68" i="1"/>
  <c r="KU68" i="1" s="1"/>
  <c r="IZ68" i="1"/>
  <c r="KV68" i="1" s="1"/>
  <c r="JA68" i="1"/>
  <c r="KW68" i="1" s="1"/>
  <c r="JB68" i="1"/>
  <c r="KX68" i="1" s="1"/>
  <c r="JC68" i="1"/>
  <c r="KY68" i="1" s="1"/>
  <c r="JD68" i="1"/>
  <c r="KZ68" i="1" s="1"/>
  <c r="JE68" i="1"/>
  <c r="LA68" i="1" s="1"/>
  <c r="JF68" i="1"/>
  <c r="LB68" i="1" s="1"/>
  <c r="JG68" i="1"/>
  <c r="LC68" i="1" s="1"/>
  <c r="JH68" i="1"/>
  <c r="LD68" i="1" s="1"/>
  <c r="JI68" i="1"/>
  <c r="LE68" i="1" s="1"/>
  <c r="JJ68" i="1"/>
  <c r="LF68" i="1" s="1"/>
  <c r="JK68" i="1"/>
  <c r="LG68" i="1" s="1"/>
  <c r="JL68" i="1"/>
  <c r="LH68" i="1" s="1"/>
  <c r="JM68" i="1"/>
  <c r="LI68" i="1" s="1"/>
  <c r="JN68" i="1"/>
  <c r="LJ68" i="1" s="1"/>
  <c r="JO68" i="1"/>
  <c r="LK68" i="1" s="1"/>
  <c r="LL68" i="1"/>
  <c r="KF67" i="1"/>
  <c r="IK67" i="1"/>
  <c r="KG67" i="1" s="1"/>
  <c r="IL67" i="1"/>
  <c r="KH67" i="1" s="1"/>
  <c r="IM67" i="1"/>
  <c r="KI67" i="1" s="1"/>
  <c r="IN67" i="1"/>
  <c r="KJ67" i="1" s="1"/>
  <c r="IO67" i="1"/>
  <c r="KK67" i="1" s="1"/>
  <c r="IP67" i="1"/>
  <c r="KL67" i="1" s="1"/>
  <c r="IQ67" i="1"/>
  <c r="KM67" i="1" s="1"/>
  <c r="IR67" i="1"/>
  <c r="KN67" i="1" s="1"/>
  <c r="IS67" i="1"/>
  <c r="KO67" i="1" s="1"/>
  <c r="IT67" i="1"/>
  <c r="KP67" i="1" s="1"/>
  <c r="IU67" i="1"/>
  <c r="KQ67" i="1" s="1"/>
  <c r="IV67" i="1"/>
  <c r="KR67" i="1" s="1"/>
  <c r="IW67" i="1"/>
  <c r="KS67" i="1" s="1"/>
  <c r="IX67" i="1"/>
  <c r="KT67" i="1" s="1"/>
  <c r="IY67" i="1"/>
  <c r="KU67" i="1" s="1"/>
  <c r="IZ67" i="1"/>
  <c r="KV67" i="1" s="1"/>
  <c r="JA67" i="1"/>
  <c r="KW67" i="1" s="1"/>
  <c r="JB67" i="1"/>
  <c r="KX67" i="1" s="1"/>
  <c r="JC67" i="1"/>
  <c r="KY67" i="1" s="1"/>
  <c r="JD67" i="1"/>
  <c r="KZ67" i="1" s="1"/>
  <c r="JE67" i="1"/>
  <c r="LA67" i="1" s="1"/>
  <c r="JF67" i="1"/>
  <c r="LB67" i="1" s="1"/>
  <c r="JG67" i="1"/>
  <c r="LC67" i="1" s="1"/>
  <c r="JH67" i="1"/>
  <c r="LD67" i="1" s="1"/>
  <c r="JI67" i="1"/>
  <c r="LE67" i="1" s="1"/>
  <c r="JJ67" i="1"/>
  <c r="LF67" i="1" s="1"/>
  <c r="JK67" i="1"/>
  <c r="LG67" i="1" s="1"/>
  <c r="JL67" i="1"/>
  <c r="LH67" i="1" s="1"/>
  <c r="JM67" i="1"/>
  <c r="LI67" i="1" s="1"/>
  <c r="JN67" i="1"/>
  <c r="LJ67" i="1" s="1"/>
  <c r="JO67" i="1"/>
  <c r="LK67" i="1" s="1"/>
  <c r="LL67" i="1"/>
  <c r="KF69" i="1"/>
  <c r="IK69" i="1"/>
  <c r="KG69" i="1" s="1"/>
  <c r="IL69" i="1"/>
  <c r="KH69" i="1" s="1"/>
  <c r="IM69" i="1"/>
  <c r="KI69" i="1" s="1"/>
  <c r="IN69" i="1"/>
  <c r="KJ69" i="1" s="1"/>
  <c r="IO69" i="1"/>
  <c r="KK69" i="1" s="1"/>
  <c r="IP69" i="1"/>
  <c r="KL69" i="1" s="1"/>
  <c r="IQ69" i="1"/>
  <c r="KM69" i="1" s="1"/>
  <c r="IR69" i="1"/>
  <c r="KN69" i="1" s="1"/>
  <c r="IS69" i="1"/>
  <c r="KO69" i="1" s="1"/>
  <c r="IT69" i="1"/>
  <c r="KP69" i="1" s="1"/>
  <c r="IU69" i="1"/>
  <c r="KQ69" i="1" s="1"/>
  <c r="IV69" i="1"/>
  <c r="KR69" i="1" s="1"/>
  <c r="IW69" i="1"/>
  <c r="KS69" i="1" s="1"/>
  <c r="IX69" i="1"/>
  <c r="KT69" i="1" s="1"/>
  <c r="IY69" i="1"/>
  <c r="KU69" i="1" s="1"/>
  <c r="IZ69" i="1"/>
  <c r="KV69" i="1" s="1"/>
  <c r="JA69" i="1"/>
  <c r="KW69" i="1" s="1"/>
  <c r="JB69" i="1"/>
  <c r="KX69" i="1" s="1"/>
  <c r="JC69" i="1"/>
  <c r="KY69" i="1" s="1"/>
  <c r="JD69" i="1"/>
  <c r="KZ69" i="1" s="1"/>
  <c r="JE69" i="1"/>
  <c r="LA69" i="1" s="1"/>
  <c r="JF69" i="1"/>
  <c r="LB69" i="1" s="1"/>
  <c r="JG69" i="1"/>
  <c r="LC69" i="1" s="1"/>
  <c r="JH69" i="1"/>
  <c r="LD69" i="1" s="1"/>
  <c r="JI69" i="1"/>
  <c r="LE69" i="1" s="1"/>
  <c r="JJ69" i="1"/>
  <c r="LF69" i="1" s="1"/>
  <c r="JK69" i="1"/>
  <c r="LG69" i="1" s="1"/>
  <c r="JL69" i="1"/>
  <c r="LH69" i="1" s="1"/>
  <c r="JM69" i="1"/>
  <c r="LI69" i="1" s="1"/>
  <c r="JN69" i="1"/>
  <c r="LJ69" i="1" s="1"/>
  <c r="JO69" i="1"/>
  <c r="LK69" i="1" s="1"/>
  <c r="LL69" i="1"/>
  <c r="KF70" i="1"/>
  <c r="IK70" i="1"/>
  <c r="KG70" i="1" s="1"/>
  <c r="IL70" i="1"/>
  <c r="KH70" i="1" s="1"/>
  <c r="IM70" i="1"/>
  <c r="KI70" i="1" s="1"/>
  <c r="IN70" i="1"/>
  <c r="KJ70" i="1" s="1"/>
  <c r="IO70" i="1"/>
  <c r="KK70" i="1" s="1"/>
  <c r="IP70" i="1"/>
  <c r="KL70" i="1" s="1"/>
  <c r="IQ70" i="1"/>
  <c r="KM70" i="1" s="1"/>
  <c r="IR70" i="1"/>
  <c r="KN70" i="1" s="1"/>
  <c r="IS70" i="1"/>
  <c r="KO70" i="1" s="1"/>
  <c r="IT70" i="1"/>
  <c r="KP70" i="1" s="1"/>
  <c r="IU70" i="1"/>
  <c r="KQ70" i="1" s="1"/>
  <c r="IV70" i="1"/>
  <c r="KR70" i="1" s="1"/>
  <c r="IW70" i="1"/>
  <c r="KS70" i="1" s="1"/>
  <c r="IX70" i="1"/>
  <c r="KT70" i="1" s="1"/>
  <c r="IY70" i="1"/>
  <c r="KU70" i="1" s="1"/>
  <c r="IZ70" i="1"/>
  <c r="KV70" i="1" s="1"/>
  <c r="JA70" i="1"/>
  <c r="KW70" i="1" s="1"/>
  <c r="JB70" i="1"/>
  <c r="KX70" i="1" s="1"/>
  <c r="JC70" i="1"/>
  <c r="KY70" i="1" s="1"/>
  <c r="JD70" i="1"/>
  <c r="KZ70" i="1" s="1"/>
  <c r="JE70" i="1"/>
  <c r="LA70" i="1" s="1"/>
  <c r="JF70" i="1"/>
  <c r="LB70" i="1" s="1"/>
  <c r="JG70" i="1"/>
  <c r="LC70" i="1" s="1"/>
  <c r="JH70" i="1"/>
  <c r="LD70" i="1" s="1"/>
  <c r="JI70" i="1"/>
  <c r="LE70" i="1" s="1"/>
  <c r="JJ70" i="1"/>
  <c r="LF70" i="1" s="1"/>
  <c r="JK70" i="1"/>
  <c r="LG70" i="1" s="1"/>
  <c r="JL70" i="1"/>
  <c r="LH70" i="1" s="1"/>
  <c r="JM70" i="1"/>
  <c r="LI70" i="1" s="1"/>
  <c r="JN70" i="1"/>
  <c r="LJ70" i="1" s="1"/>
  <c r="JO70" i="1"/>
  <c r="LK70" i="1" s="1"/>
  <c r="LL70" i="1"/>
  <c r="KF119" i="1"/>
  <c r="IK119" i="1"/>
  <c r="KG119" i="1" s="1"/>
  <c r="IL119" i="1"/>
  <c r="KH119" i="1" s="1"/>
  <c r="IM119" i="1"/>
  <c r="KI119" i="1" s="1"/>
  <c r="IN119" i="1"/>
  <c r="KJ119" i="1" s="1"/>
  <c r="IO119" i="1"/>
  <c r="KK119" i="1" s="1"/>
  <c r="IP119" i="1"/>
  <c r="KL119" i="1" s="1"/>
  <c r="IQ119" i="1"/>
  <c r="KM119" i="1" s="1"/>
  <c r="IR119" i="1"/>
  <c r="KN119" i="1" s="1"/>
  <c r="IS119" i="1"/>
  <c r="KO119" i="1" s="1"/>
  <c r="IT119" i="1"/>
  <c r="KP119" i="1" s="1"/>
  <c r="IU119" i="1"/>
  <c r="KQ119" i="1" s="1"/>
  <c r="IV119" i="1"/>
  <c r="KR119" i="1" s="1"/>
  <c r="IW119" i="1"/>
  <c r="KS119" i="1" s="1"/>
  <c r="IX119" i="1"/>
  <c r="KT119" i="1" s="1"/>
  <c r="IY119" i="1"/>
  <c r="KU119" i="1" s="1"/>
  <c r="IZ119" i="1"/>
  <c r="KV119" i="1" s="1"/>
  <c r="JA119" i="1"/>
  <c r="KW119" i="1" s="1"/>
  <c r="JB119" i="1"/>
  <c r="KX119" i="1" s="1"/>
  <c r="JC119" i="1"/>
  <c r="KY119" i="1" s="1"/>
  <c r="JD119" i="1"/>
  <c r="KZ119" i="1" s="1"/>
  <c r="JE119" i="1"/>
  <c r="LA119" i="1" s="1"/>
  <c r="JF119" i="1"/>
  <c r="LB119" i="1" s="1"/>
  <c r="JG119" i="1"/>
  <c r="LC119" i="1" s="1"/>
  <c r="JH119" i="1"/>
  <c r="LD119" i="1" s="1"/>
  <c r="JI119" i="1"/>
  <c r="LE119" i="1" s="1"/>
  <c r="JJ119" i="1"/>
  <c r="LF119" i="1" s="1"/>
  <c r="JK119" i="1"/>
  <c r="LG119" i="1" s="1"/>
  <c r="JL119" i="1"/>
  <c r="LH119" i="1" s="1"/>
  <c r="JM119" i="1"/>
  <c r="LI119" i="1" s="1"/>
  <c r="JN119" i="1"/>
  <c r="LJ119" i="1" s="1"/>
  <c r="JO119" i="1"/>
  <c r="LK119" i="1" s="1"/>
  <c r="LL119" i="1"/>
  <c r="KF71" i="1"/>
  <c r="IK71" i="1"/>
  <c r="KG71" i="1" s="1"/>
  <c r="IL71" i="1"/>
  <c r="KH71" i="1" s="1"/>
  <c r="IM71" i="1"/>
  <c r="KI71" i="1" s="1"/>
  <c r="IN71" i="1"/>
  <c r="KJ71" i="1" s="1"/>
  <c r="IO71" i="1"/>
  <c r="KK71" i="1" s="1"/>
  <c r="IP71" i="1"/>
  <c r="KL71" i="1" s="1"/>
  <c r="IQ71" i="1"/>
  <c r="KM71" i="1" s="1"/>
  <c r="IR71" i="1"/>
  <c r="KN71" i="1" s="1"/>
  <c r="IS71" i="1"/>
  <c r="KO71" i="1" s="1"/>
  <c r="IT71" i="1"/>
  <c r="KP71" i="1" s="1"/>
  <c r="IU71" i="1"/>
  <c r="KQ71" i="1" s="1"/>
  <c r="IV71" i="1"/>
  <c r="KR71" i="1" s="1"/>
  <c r="IW71" i="1"/>
  <c r="KS71" i="1" s="1"/>
  <c r="IX71" i="1"/>
  <c r="KT71" i="1" s="1"/>
  <c r="IY71" i="1"/>
  <c r="KU71" i="1" s="1"/>
  <c r="IZ71" i="1"/>
  <c r="KV71" i="1" s="1"/>
  <c r="JA71" i="1"/>
  <c r="KW71" i="1" s="1"/>
  <c r="JB71" i="1"/>
  <c r="KX71" i="1" s="1"/>
  <c r="JC71" i="1"/>
  <c r="KY71" i="1" s="1"/>
  <c r="JD71" i="1"/>
  <c r="KZ71" i="1" s="1"/>
  <c r="JE71" i="1"/>
  <c r="LA71" i="1" s="1"/>
  <c r="JF71" i="1"/>
  <c r="LB71" i="1" s="1"/>
  <c r="JG71" i="1"/>
  <c r="LC71" i="1" s="1"/>
  <c r="JH71" i="1"/>
  <c r="LD71" i="1" s="1"/>
  <c r="JI71" i="1"/>
  <c r="LE71" i="1" s="1"/>
  <c r="JJ71" i="1"/>
  <c r="LF71" i="1" s="1"/>
  <c r="JK71" i="1"/>
  <c r="LG71" i="1" s="1"/>
  <c r="JL71" i="1"/>
  <c r="LH71" i="1" s="1"/>
  <c r="JM71" i="1"/>
  <c r="LI71" i="1" s="1"/>
  <c r="JN71" i="1"/>
  <c r="LJ71" i="1" s="1"/>
  <c r="JO71" i="1"/>
  <c r="LK71" i="1" s="1"/>
  <c r="LL71" i="1"/>
  <c r="KF73" i="1"/>
  <c r="IK73" i="1"/>
  <c r="KG73" i="1" s="1"/>
  <c r="IL73" i="1"/>
  <c r="KH73" i="1" s="1"/>
  <c r="IM73" i="1"/>
  <c r="KI73" i="1" s="1"/>
  <c r="IN73" i="1"/>
  <c r="KJ73" i="1" s="1"/>
  <c r="IO73" i="1"/>
  <c r="KK73" i="1" s="1"/>
  <c r="IP73" i="1"/>
  <c r="KL73" i="1" s="1"/>
  <c r="IQ73" i="1"/>
  <c r="KM73" i="1" s="1"/>
  <c r="IR73" i="1"/>
  <c r="KN73" i="1" s="1"/>
  <c r="IS73" i="1"/>
  <c r="KO73" i="1" s="1"/>
  <c r="IT73" i="1"/>
  <c r="KP73" i="1" s="1"/>
  <c r="IU73" i="1"/>
  <c r="KQ73" i="1" s="1"/>
  <c r="IV73" i="1"/>
  <c r="KR73" i="1" s="1"/>
  <c r="IW73" i="1"/>
  <c r="KS73" i="1" s="1"/>
  <c r="IX73" i="1"/>
  <c r="KT73" i="1" s="1"/>
  <c r="IY73" i="1"/>
  <c r="KU73" i="1" s="1"/>
  <c r="IZ73" i="1"/>
  <c r="KV73" i="1" s="1"/>
  <c r="JA73" i="1"/>
  <c r="KW73" i="1" s="1"/>
  <c r="JB73" i="1"/>
  <c r="KX73" i="1" s="1"/>
  <c r="JC73" i="1"/>
  <c r="KY73" i="1" s="1"/>
  <c r="JD73" i="1"/>
  <c r="KZ73" i="1" s="1"/>
  <c r="JE73" i="1"/>
  <c r="LA73" i="1" s="1"/>
  <c r="JF73" i="1"/>
  <c r="LB73" i="1" s="1"/>
  <c r="JG73" i="1"/>
  <c r="LC73" i="1" s="1"/>
  <c r="JH73" i="1"/>
  <c r="LD73" i="1" s="1"/>
  <c r="JI73" i="1"/>
  <c r="LE73" i="1" s="1"/>
  <c r="JJ73" i="1"/>
  <c r="LF73" i="1" s="1"/>
  <c r="JK73" i="1"/>
  <c r="LG73" i="1" s="1"/>
  <c r="JL73" i="1"/>
  <c r="LH73" i="1" s="1"/>
  <c r="JM73" i="1"/>
  <c r="LI73" i="1" s="1"/>
  <c r="JN73" i="1"/>
  <c r="LJ73" i="1" s="1"/>
  <c r="JO73" i="1"/>
  <c r="LK73" i="1" s="1"/>
  <c r="LL73" i="1"/>
  <c r="KF72" i="1"/>
  <c r="IK72" i="1"/>
  <c r="KG72" i="1" s="1"/>
  <c r="IL72" i="1"/>
  <c r="KH72" i="1" s="1"/>
  <c r="IM72" i="1"/>
  <c r="KI72" i="1" s="1"/>
  <c r="IN72" i="1"/>
  <c r="KJ72" i="1" s="1"/>
  <c r="IO72" i="1"/>
  <c r="KK72" i="1" s="1"/>
  <c r="IP72" i="1"/>
  <c r="KL72" i="1" s="1"/>
  <c r="IQ72" i="1"/>
  <c r="KM72" i="1" s="1"/>
  <c r="IR72" i="1"/>
  <c r="KN72" i="1" s="1"/>
  <c r="IS72" i="1"/>
  <c r="KO72" i="1" s="1"/>
  <c r="IT72" i="1"/>
  <c r="KP72" i="1" s="1"/>
  <c r="IU72" i="1"/>
  <c r="KQ72" i="1" s="1"/>
  <c r="IV72" i="1"/>
  <c r="KR72" i="1" s="1"/>
  <c r="IW72" i="1"/>
  <c r="KS72" i="1" s="1"/>
  <c r="IX72" i="1"/>
  <c r="KT72" i="1" s="1"/>
  <c r="IY72" i="1"/>
  <c r="KU72" i="1" s="1"/>
  <c r="IZ72" i="1"/>
  <c r="KV72" i="1" s="1"/>
  <c r="JA72" i="1"/>
  <c r="KW72" i="1" s="1"/>
  <c r="JB72" i="1"/>
  <c r="KX72" i="1" s="1"/>
  <c r="JC72" i="1"/>
  <c r="KY72" i="1" s="1"/>
  <c r="JD72" i="1"/>
  <c r="KZ72" i="1" s="1"/>
  <c r="JE72" i="1"/>
  <c r="LA72" i="1" s="1"/>
  <c r="JF72" i="1"/>
  <c r="LB72" i="1" s="1"/>
  <c r="JG72" i="1"/>
  <c r="LC72" i="1" s="1"/>
  <c r="JH72" i="1"/>
  <c r="LD72" i="1" s="1"/>
  <c r="JI72" i="1"/>
  <c r="LE72" i="1" s="1"/>
  <c r="JJ72" i="1"/>
  <c r="LF72" i="1" s="1"/>
  <c r="JK72" i="1"/>
  <c r="LG72" i="1" s="1"/>
  <c r="JL72" i="1"/>
  <c r="LH72" i="1" s="1"/>
  <c r="JM72" i="1"/>
  <c r="LI72" i="1" s="1"/>
  <c r="JN72" i="1"/>
  <c r="LJ72" i="1" s="1"/>
  <c r="JO72" i="1"/>
  <c r="LK72" i="1" s="1"/>
  <c r="LL72" i="1"/>
  <c r="KF75" i="1"/>
  <c r="IK75" i="1"/>
  <c r="KG75" i="1" s="1"/>
  <c r="IL75" i="1"/>
  <c r="KH75" i="1" s="1"/>
  <c r="IM75" i="1"/>
  <c r="KI75" i="1" s="1"/>
  <c r="IN75" i="1"/>
  <c r="KJ75" i="1" s="1"/>
  <c r="IO75" i="1"/>
  <c r="KK75" i="1" s="1"/>
  <c r="IP75" i="1"/>
  <c r="KL75" i="1" s="1"/>
  <c r="IQ75" i="1"/>
  <c r="KM75" i="1" s="1"/>
  <c r="IR75" i="1"/>
  <c r="KN75" i="1" s="1"/>
  <c r="IS75" i="1"/>
  <c r="KO75" i="1" s="1"/>
  <c r="IT75" i="1"/>
  <c r="KP75" i="1" s="1"/>
  <c r="IU75" i="1"/>
  <c r="KQ75" i="1" s="1"/>
  <c r="IV75" i="1"/>
  <c r="KR75" i="1" s="1"/>
  <c r="IW75" i="1"/>
  <c r="KS75" i="1" s="1"/>
  <c r="IX75" i="1"/>
  <c r="KT75" i="1" s="1"/>
  <c r="IY75" i="1"/>
  <c r="KU75" i="1" s="1"/>
  <c r="IZ75" i="1"/>
  <c r="KV75" i="1" s="1"/>
  <c r="JA75" i="1"/>
  <c r="KW75" i="1" s="1"/>
  <c r="JB75" i="1"/>
  <c r="KX75" i="1" s="1"/>
  <c r="JC75" i="1"/>
  <c r="KY75" i="1" s="1"/>
  <c r="JD75" i="1"/>
  <c r="KZ75" i="1" s="1"/>
  <c r="JE75" i="1"/>
  <c r="LA75" i="1" s="1"/>
  <c r="JF75" i="1"/>
  <c r="LB75" i="1" s="1"/>
  <c r="JG75" i="1"/>
  <c r="LC75" i="1" s="1"/>
  <c r="JH75" i="1"/>
  <c r="LD75" i="1" s="1"/>
  <c r="JI75" i="1"/>
  <c r="LE75" i="1" s="1"/>
  <c r="JJ75" i="1"/>
  <c r="LF75" i="1" s="1"/>
  <c r="JK75" i="1"/>
  <c r="LG75" i="1" s="1"/>
  <c r="JL75" i="1"/>
  <c r="LH75" i="1" s="1"/>
  <c r="JM75" i="1"/>
  <c r="LI75" i="1" s="1"/>
  <c r="JN75" i="1"/>
  <c r="LJ75" i="1" s="1"/>
  <c r="JO75" i="1"/>
  <c r="LK75" i="1" s="1"/>
  <c r="LL75" i="1"/>
  <c r="KF74" i="1"/>
  <c r="IK74" i="1"/>
  <c r="KG74" i="1" s="1"/>
  <c r="IL74" i="1"/>
  <c r="KH74" i="1" s="1"/>
  <c r="IM74" i="1"/>
  <c r="KI74" i="1" s="1"/>
  <c r="IN74" i="1"/>
  <c r="KJ74" i="1" s="1"/>
  <c r="IO74" i="1"/>
  <c r="KK74" i="1" s="1"/>
  <c r="IP74" i="1"/>
  <c r="KL74" i="1" s="1"/>
  <c r="IQ74" i="1"/>
  <c r="KM74" i="1" s="1"/>
  <c r="IR74" i="1"/>
  <c r="KN74" i="1" s="1"/>
  <c r="IS74" i="1"/>
  <c r="KO74" i="1" s="1"/>
  <c r="IT74" i="1"/>
  <c r="KP74" i="1" s="1"/>
  <c r="IU74" i="1"/>
  <c r="KQ74" i="1" s="1"/>
  <c r="IV74" i="1"/>
  <c r="KR74" i="1" s="1"/>
  <c r="IW74" i="1"/>
  <c r="KS74" i="1" s="1"/>
  <c r="IX74" i="1"/>
  <c r="KT74" i="1" s="1"/>
  <c r="IY74" i="1"/>
  <c r="KU74" i="1" s="1"/>
  <c r="IZ74" i="1"/>
  <c r="KV74" i="1" s="1"/>
  <c r="JA74" i="1"/>
  <c r="KW74" i="1" s="1"/>
  <c r="JB74" i="1"/>
  <c r="KX74" i="1" s="1"/>
  <c r="JC74" i="1"/>
  <c r="KY74" i="1" s="1"/>
  <c r="JD74" i="1"/>
  <c r="KZ74" i="1" s="1"/>
  <c r="JE74" i="1"/>
  <c r="LA74" i="1" s="1"/>
  <c r="JF74" i="1"/>
  <c r="LB74" i="1" s="1"/>
  <c r="JG74" i="1"/>
  <c r="LC74" i="1" s="1"/>
  <c r="JH74" i="1"/>
  <c r="LD74" i="1" s="1"/>
  <c r="JI74" i="1"/>
  <c r="LE74" i="1" s="1"/>
  <c r="JJ74" i="1"/>
  <c r="LF74" i="1" s="1"/>
  <c r="JK74" i="1"/>
  <c r="LG74" i="1" s="1"/>
  <c r="JL74" i="1"/>
  <c r="LH74" i="1" s="1"/>
  <c r="JM74" i="1"/>
  <c r="LI74" i="1" s="1"/>
  <c r="JN74" i="1"/>
  <c r="LJ74" i="1" s="1"/>
  <c r="JO74" i="1"/>
  <c r="LK74" i="1" s="1"/>
  <c r="LL74" i="1"/>
  <c r="KF76" i="1"/>
  <c r="IK76" i="1"/>
  <c r="KG76" i="1" s="1"/>
  <c r="IL76" i="1"/>
  <c r="KH76" i="1" s="1"/>
  <c r="IM76" i="1"/>
  <c r="KI76" i="1" s="1"/>
  <c r="IN76" i="1"/>
  <c r="KJ76" i="1" s="1"/>
  <c r="IO76" i="1"/>
  <c r="KK76" i="1" s="1"/>
  <c r="IP76" i="1"/>
  <c r="KL76" i="1" s="1"/>
  <c r="IQ76" i="1"/>
  <c r="KM76" i="1" s="1"/>
  <c r="IR76" i="1"/>
  <c r="KN76" i="1" s="1"/>
  <c r="IS76" i="1"/>
  <c r="KO76" i="1" s="1"/>
  <c r="IT76" i="1"/>
  <c r="KP76" i="1" s="1"/>
  <c r="IU76" i="1"/>
  <c r="KQ76" i="1" s="1"/>
  <c r="IV76" i="1"/>
  <c r="KR76" i="1" s="1"/>
  <c r="IW76" i="1"/>
  <c r="KS76" i="1" s="1"/>
  <c r="IX76" i="1"/>
  <c r="KT76" i="1" s="1"/>
  <c r="IY76" i="1"/>
  <c r="KU76" i="1" s="1"/>
  <c r="IZ76" i="1"/>
  <c r="KV76" i="1" s="1"/>
  <c r="JA76" i="1"/>
  <c r="KW76" i="1" s="1"/>
  <c r="JB76" i="1"/>
  <c r="KX76" i="1" s="1"/>
  <c r="JC76" i="1"/>
  <c r="KY76" i="1" s="1"/>
  <c r="JD76" i="1"/>
  <c r="KZ76" i="1" s="1"/>
  <c r="JE76" i="1"/>
  <c r="LA76" i="1" s="1"/>
  <c r="JF76" i="1"/>
  <c r="LB76" i="1" s="1"/>
  <c r="JG76" i="1"/>
  <c r="LC76" i="1" s="1"/>
  <c r="JH76" i="1"/>
  <c r="LD76" i="1" s="1"/>
  <c r="JI76" i="1"/>
  <c r="LE76" i="1" s="1"/>
  <c r="JJ76" i="1"/>
  <c r="LF76" i="1" s="1"/>
  <c r="JK76" i="1"/>
  <c r="LG76" i="1" s="1"/>
  <c r="JL76" i="1"/>
  <c r="LH76" i="1" s="1"/>
  <c r="JM76" i="1"/>
  <c r="LI76" i="1" s="1"/>
  <c r="JN76" i="1"/>
  <c r="LJ76" i="1" s="1"/>
  <c r="JO76" i="1"/>
  <c r="LK76" i="1" s="1"/>
  <c r="LL76" i="1"/>
  <c r="KF77" i="1"/>
  <c r="IK77" i="1"/>
  <c r="KG77" i="1" s="1"/>
  <c r="IL77" i="1"/>
  <c r="KH77" i="1" s="1"/>
  <c r="IM77" i="1"/>
  <c r="KI77" i="1" s="1"/>
  <c r="IN77" i="1"/>
  <c r="KJ77" i="1" s="1"/>
  <c r="IO77" i="1"/>
  <c r="KK77" i="1" s="1"/>
  <c r="IP77" i="1"/>
  <c r="KL77" i="1" s="1"/>
  <c r="IQ77" i="1"/>
  <c r="KM77" i="1" s="1"/>
  <c r="IR77" i="1"/>
  <c r="KN77" i="1" s="1"/>
  <c r="IS77" i="1"/>
  <c r="KO77" i="1" s="1"/>
  <c r="IT77" i="1"/>
  <c r="KP77" i="1" s="1"/>
  <c r="IU77" i="1"/>
  <c r="KQ77" i="1" s="1"/>
  <c r="IV77" i="1"/>
  <c r="KR77" i="1" s="1"/>
  <c r="IW77" i="1"/>
  <c r="KS77" i="1" s="1"/>
  <c r="IX77" i="1"/>
  <c r="KT77" i="1" s="1"/>
  <c r="IY77" i="1"/>
  <c r="KU77" i="1" s="1"/>
  <c r="IZ77" i="1"/>
  <c r="KV77" i="1" s="1"/>
  <c r="JA77" i="1"/>
  <c r="KW77" i="1" s="1"/>
  <c r="JB77" i="1"/>
  <c r="KX77" i="1" s="1"/>
  <c r="JC77" i="1"/>
  <c r="KY77" i="1" s="1"/>
  <c r="JD77" i="1"/>
  <c r="KZ77" i="1" s="1"/>
  <c r="JE77" i="1"/>
  <c r="LA77" i="1" s="1"/>
  <c r="JF77" i="1"/>
  <c r="LB77" i="1" s="1"/>
  <c r="JG77" i="1"/>
  <c r="LC77" i="1" s="1"/>
  <c r="JH77" i="1"/>
  <c r="LD77" i="1" s="1"/>
  <c r="JI77" i="1"/>
  <c r="LE77" i="1" s="1"/>
  <c r="JJ77" i="1"/>
  <c r="LF77" i="1" s="1"/>
  <c r="JK77" i="1"/>
  <c r="LG77" i="1" s="1"/>
  <c r="JL77" i="1"/>
  <c r="LH77" i="1" s="1"/>
  <c r="JM77" i="1"/>
  <c r="LI77" i="1" s="1"/>
  <c r="JN77" i="1"/>
  <c r="LJ77" i="1" s="1"/>
  <c r="JO77" i="1"/>
  <c r="LK77" i="1" s="1"/>
  <c r="LL77" i="1"/>
  <c r="KF9" i="1"/>
  <c r="IK9" i="1"/>
  <c r="KG9" i="1" s="1"/>
  <c r="IL9" i="1"/>
  <c r="KH9" i="1" s="1"/>
  <c r="IM9" i="1"/>
  <c r="KI9" i="1" s="1"/>
  <c r="IN9" i="1"/>
  <c r="KJ9" i="1" s="1"/>
  <c r="IO9" i="1"/>
  <c r="KK9" i="1" s="1"/>
  <c r="IP9" i="1"/>
  <c r="KL9" i="1" s="1"/>
  <c r="IQ9" i="1"/>
  <c r="KM9" i="1" s="1"/>
  <c r="IR9" i="1"/>
  <c r="KN9" i="1" s="1"/>
  <c r="IS9" i="1"/>
  <c r="KO9" i="1" s="1"/>
  <c r="IT9" i="1"/>
  <c r="KP9" i="1" s="1"/>
  <c r="IU9" i="1"/>
  <c r="KQ9" i="1" s="1"/>
  <c r="IV9" i="1"/>
  <c r="KR9" i="1" s="1"/>
  <c r="IW9" i="1"/>
  <c r="KS9" i="1" s="1"/>
  <c r="IX9" i="1"/>
  <c r="KT9" i="1" s="1"/>
  <c r="IY9" i="1"/>
  <c r="KU9" i="1" s="1"/>
  <c r="IZ9" i="1"/>
  <c r="KV9" i="1" s="1"/>
  <c r="JA9" i="1"/>
  <c r="KW9" i="1" s="1"/>
  <c r="JB9" i="1"/>
  <c r="KX9" i="1" s="1"/>
  <c r="JC9" i="1"/>
  <c r="KY9" i="1" s="1"/>
  <c r="JD9" i="1"/>
  <c r="KZ9" i="1" s="1"/>
  <c r="JE9" i="1"/>
  <c r="LA9" i="1" s="1"/>
  <c r="JF9" i="1"/>
  <c r="LB9" i="1" s="1"/>
  <c r="JG9" i="1"/>
  <c r="LC9" i="1" s="1"/>
  <c r="JH9" i="1"/>
  <c r="LD9" i="1" s="1"/>
  <c r="JI9" i="1"/>
  <c r="LE9" i="1" s="1"/>
  <c r="JJ9" i="1"/>
  <c r="LF9" i="1" s="1"/>
  <c r="JK9" i="1"/>
  <c r="LG9" i="1" s="1"/>
  <c r="JL9" i="1"/>
  <c r="LH9" i="1" s="1"/>
  <c r="JM9" i="1"/>
  <c r="LI9" i="1" s="1"/>
  <c r="JN9" i="1"/>
  <c r="LJ9" i="1" s="1"/>
  <c r="JO9" i="1"/>
  <c r="LK9" i="1" s="1"/>
  <c r="LL9" i="1"/>
  <c r="KF10" i="1"/>
  <c r="IK10" i="1"/>
  <c r="KG10" i="1" s="1"/>
  <c r="IL10" i="1"/>
  <c r="KH10" i="1" s="1"/>
  <c r="IM10" i="1"/>
  <c r="KI10" i="1" s="1"/>
  <c r="IN10" i="1"/>
  <c r="KJ10" i="1" s="1"/>
  <c r="IO10" i="1"/>
  <c r="KK10" i="1" s="1"/>
  <c r="IP10" i="1"/>
  <c r="KL10" i="1" s="1"/>
  <c r="IQ10" i="1"/>
  <c r="KM10" i="1" s="1"/>
  <c r="IR10" i="1"/>
  <c r="KN10" i="1" s="1"/>
  <c r="IS10" i="1"/>
  <c r="KO10" i="1" s="1"/>
  <c r="IT10" i="1"/>
  <c r="KP10" i="1" s="1"/>
  <c r="IU10" i="1"/>
  <c r="KQ10" i="1" s="1"/>
  <c r="IV10" i="1"/>
  <c r="KR10" i="1" s="1"/>
  <c r="IW10" i="1"/>
  <c r="KS10" i="1" s="1"/>
  <c r="IX10" i="1"/>
  <c r="KT10" i="1" s="1"/>
  <c r="IY10" i="1"/>
  <c r="KU10" i="1" s="1"/>
  <c r="IZ10" i="1"/>
  <c r="KV10" i="1" s="1"/>
  <c r="JA10" i="1"/>
  <c r="KW10" i="1" s="1"/>
  <c r="JB10" i="1"/>
  <c r="KX10" i="1" s="1"/>
  <c r="JC10" i="1"/>
  <c r="KY10" i="1" s="1"/>
  <c r="JD10" i="1"/>
  <c r="KZ10" i="1" s="1"/>
  <c r="JE10" i="1"/>
  <c r="LA10" i="1" s="1"/>
  <c r="JF10" i="1"/>
  <c r="LB10" i="1" s="1"/>
  <c r="JG10" i="1"/>
  <c r="LC10" i="1" s="1"/>
  <c r="JH10" i="1"/>
  <c r="LD10" i="1" s="1"/>
  <c r="JI10" i="1"/>
  <c r="LE10" i="1" s="1"/>
  <c r="JJ10" i="1"/>
  <c r="LF10" i="1" s="1"/>
  <c r="JK10" i="1"/>
  <c r="LG10" i="1" s="1"/>
  <c r="JL10" i="1"/>
  <c r="LH10" i="1" s="1"/>
  <c r="JM10" i="1"/>
  <c r="LI10" i="1" s="1"/>
  <c r="JN10" i="1"/>
  <c r="LJ10" i="1" s="1"/>
  <c r="JO10" i="1"/>
  <c r="LK10" i="1" s="1"/>
  <c r="LL10" i="1"/>
  <c r="KF11" i="1"/>
  <c r="IK11" i="1"/>
  <c r="KG11" i="1" s="1"/>
  <c r="IL11" i="1"/>
  <c r="KH11" i="1" s="1"/>
  <c r="IM11" i="1"/>
  <c r="KI11" i="1" s="1"/>
  <c r="IN11" i="1"/>
  <c r="KJ11" i="1" s="1"/>
  <c r="IO11" i="1"/>
  <c r="KK11" i="1" s="1"/>
  <c r="IP11" i="1"/>
  <c r="KL11" i="1" s="1"/>
  <c r="IQ11" i="1"/>
  <c r="KM11" i="1" s="1"/>
  <c r="IR11" i="1"/>
  <c r="KN11" i="1" s="1"/>
  <c r="IS11" i="1"/>
  <c r="KO11" i="1" s="1"/>
  <c r="IT11" i="1"/>
  <c r="KP11" i="1" s="1"/>
  <c r="IU11" i="1"/>
  <c r="KQ11" i="1" s="1"/>
  <c r="IV11" i="1"/>
  <c r="KR11" i="1" s="1"/>
  <c r="IW11" i="1"/>
  <c r="KS11" i="1" s="1"/>
  <c r="IX11" i="1"/>
  <c r="KT11" i="1" s="1"/>
  <c r="IY11" i="1"/>
  <c r="KU11" i="1" s="1"/>
  <c r="IZ11" i="1"/>
  <c r="KV11" i="1" s="1"/>
  <c r="JA11" i="1"/>
  <c r="KW11" i="1" s="1"/>
  <c r="JB11" i="1"/>
  <c r="KX11" i="1" s="1"/>
  <c r="JC11" i="1"/>
  <c r="KY11" i="1" s="1"/>
  <c r="JD11" i="1"/>
  <c r="KZ11" i="1" s="1"/>
  <c r="JE11" i="1"/>
  <c r="LA11" i="1" s="1"/>
  <c r="JF11" i="1"/>
  <c r="LB11" i="1" s="1"/>
  <c r="JG11" i="1"/>
  <c r="LC11" i="1" s="1"/>
  <c r="JH11" i="1"/>
  <c r="LD11" i="1" s="1"/>
  <c r="JI11" i="1"/>
  <c r="LE11" i="1" s="1"/>
  <c r="JJ11" i="1"/>
  <c r="LF11" i="1" s="1"/>
  <c r="JK11" i="1"/>
  <c r="LG11" i="1" s="1"/>
  <c r="JL11" i="1"/>
  <c r="LH11" i="1" s="1"/>
  <c r="JM11" i="1"/>
  <c r="LI11" i="1" s="1"/>
  <c r="JN11" i="1"/>
  <c r="LJ11" i="1" s="1"/>
  <c r="JO11" i="1"/>
  <c r="LK11" i="1" s="1"/>
  <c r="LL11" i="1"/>
  <c r="KF12" i="1"/>
  <c r="IK12" i="1"/>
  <c r="KG12" i="1" s="1"/>
  <c r="IL12" i="1"/>
  <c r="KH12" i="1" s="1"/>
  <c r="IM12" i="1"/>
  <c r="KI12" i="1" s="1"/>
  <c r="IN12" i="1"/>
  <c r="KJ12" i="1" s="1"/>
  <c r="IO12" i="1"/>
  <c r="KK12" i="1" s="1"/>
  <c r="IP12" i="1"/>
  <c r="KL12" i="1" s="1"/>
  <c r="IQ12" i="1"/>
  <c r="KM12" i="1" s="1"/>
  <c r="IR12" i="1"/>
  <c r="KN12" i="1" s="1"/>
  <c r="IS12" i="1"/>
  <c r="KO12" i="1" s="1"/>
  <c r="IT12" i="1"/>
  <c r="KP12" i="1" s="1"/>
  <c r="IU12" i="1"/>
  <c r="KQ12" i="1" s="1"/>
  <c r="IV12" i="1"/>
  <c r="KR12" i="1" s="1"/>
  <c r="IW12" i="1"/>
  <c r="KS12" i="1" s="1"/>
  <c r="IX12" i="1"/>
  <c r="KT12" i="1" s="1"/>
  <c r="IY12" i="1"/>
  <c r="KU12" i="1" s="1"/>
  <c r="IZ12" i="1"/>
  <c r="KV12" i="1" s="1"/>
  <c r="JA12" i="1"/>
  <c r="KW12" i="1" s="1"/>
  <c r="JB12" i="1"/>
  <c r="KX12" i="1" s="1"/>
  <c r="JC12" i="1"/>
  <c r="KY12" i="1" s="1"/>
  <c r="JD12" i="1"/>
  <c r="KZ12" i="1" s="1"/>
  <c r="JE12" i="1"/>
  <c r="LA12" i="1" s="1"/>
  <c r="JF12" i="1"/>
  <c r="LB12" i="1" s="1"/>
  <c r="JG12" i="1"/>
  <c r="LC12" i="1" s="1"/>
  <c r="JH12" i="1"/>
  <c r="LD12" i="1" s="1"/>
  <c r="JI12" i="1"/>
  <c r="LE12" i="1" s="1"/>
  <c r="JJ12" i="1"/>
  <c r="LF12" i="1" s="1"/>
  <c r="JK12" i="1"/>
  <c r="LG12" i="1" s="1"/>
  <c r="JL12" i="1"/>
  <c r="LH12" i="1" s="1"/>
  <c r="JM12" i="1"/>
  <c r="LI12" i="1" s="1"/>
  <c r="JN12" i="1"/>
  <c r="LJ12" i="1" s="1"/>
  <c r="JO12" i="1"/>
  <c r="LK12" i="1" s="1"/>
  <c r="LL12" i="1"/>
  <c r="KF13" i="1"/>
  <c r="IK13" i="1"/>
  <c r="KG13" i="1" s="1"/>
  <c r="IL13" i="1"/>
  <c r="KH13" i="1" s="1"/>
  <c r="IM13" i="1"/>
  <c r="KI13" i="1" s="1"/>
  <c r="IN13" i="1"/>
  <c r="KJ13" i="1" s="1"/>
  <c r="IO13" i="1"/>
  <c r="KK13" i="1" s="1"/>
  <c r="IP13" i="1"/>
  <c r="KL13" i="1" s="1"/>
  <c r="IQ13" i="1"/>
  <c r="KM13" i="1" s="1"/>
  <c r="IR13" i="1"/>
  <c r="KN13" i="1" s="1"/>
  <c r="IS13" i="1"/>
  <c r="KO13" i="1" s="1"/>
  <c r="IT13" i="1"/>
  <c r="KP13" i="1" s="1"/>
  <c r="IU13" i="1"/>
  <c r="KQ13" i="1" s="1"/>
  <c r="IV13" i="1"/>
  <c r="KR13" i="1" s="1"/>
  <c r="IW13" i="1"/>
  <c r="KS13" i="1" s="1"/>
  <c r="IX13" i="1"/>
  <c r="KT13" i="1" s="1"/>
  <c r="IY13" i="1"/>
  <c r="KU13" i="1" s="1"/>
  <c r="IZ13" i="1"/>
  <c r="KV13" i="1" s="1"/>
  <c r="JA13" i="1"/>
  <c r="KW13" i="1" s="1"/>
  <c r="JB13" i="1"/>
  <c r="KX13" i="1" s="1"/>
  <c r="JC13" i="1"/>
  <c r="KY13" i="1" s="1"/>
  <c r="JD13" i="1"/>
  <c r="KZ13" i="1" s="1"/>
  <c r="JE13" i="1"/>
  <c r="LA13" i="1" s="1"/>
  <c r="JF13" i="1"/>
  <c r="LB13" i="1" s="1"/>
  <c r="JG13" i="1"/>
  <c r="LC13" i="1" s="1"/>
  <c r="JH13" i="1"/>
  <c r="LD13" i="1" s="1"/>
  <c r="JI13" i="1"/>
  <c r="LE13" i="1" s="1"/>
  <c r="JJ13" i="1"/>
  <c r="LF13" i="1" s="1"/>
  <c r="JK13" i="1"/>
  <c r="LG13" i="1" s="1"/>
  <c r="JL13" i="1"/>
  <c r="LH13" i="1" s="1"/>
  <c r="JM13" i="1"/>
  <c r="LI13" i="1" s="1"/>
  <c r="JN13" i="1"/>
  <c r="LJ13" i="1" s="1"/>
  <c r="JO13" i="1"/>
  <c r="LK13" i="1" s="1"/>
  <c r="LL13" i="1"/>
  <c r="KF120" i="1"/>
  <c r="IK120" i="1"/>
  <c r="KG120" i="1" s="1"/>
  <c r="IL120" i="1"/>
  <c r="KH120" i="1" s="1"/>
  <c r="IM120" i="1"/>
  <c r="KI120" i="1" s="1"/>
  <c r="IN120" i="1"/>
  <c r="KJ120" i="1" s="1"/>
  <c r="IO120" i="1"/>
  <c r="KK120" i="1" s="1"/>
  <c r="IP120" i="1"/>
  <c r="KL120" i="1" s="1"/>
  <c r="IQ120" i="1"/>
  <c r="KM120" i="1" s="1"/>
  <c r="IR120" i="1"/>
  <c r="KN120" i="1" s="1"/>
  <c r="IS120" i="1"/>
  <c r="KO120" i="1" s="1"/>
  <c r="IT120" i="1"/>
  <c r="KP120" i="1" s="1"/>
  <c r="IU120" i="1"/>
  <c r="KQ120" i="1" s="1"/>
  <c r="IV120" i="1"/>
  <c r="KR120" i="1" s="1"/>
  <c r="IW120" i="1"/>
  <c r="KS120" i="1" s="1"/>
  <c r="IX120" i="1"/>
  <c r="KT120" i="1" s="1"/>
  <c r="IY120" i="1"/>
  <c r="KU120" i="1" s="1"/>
  <c r="IZ120" i="1"/>
  <c r="KV120" i="1" s="1"/>
  <c r="JA120" i="1"/>
  <c r="KW120" i="1" s="1"/>
  <c r="JB120" i="1"/>
  <c r="KX120" i="1" s="1"/>
  <c r="JC120" i="1"/>
  <c r="KY120" i="1" s="1"/>
  <c r="JD120" i="1"/>
  <c r="KZ120" i="1" s="1"/>
  <c r="JE120" i="1"/>
  <c r="LA120" i="1" s="1"/>
  <c r="JF120" i="1"/>
  <c r="LB120" i="1" s="1"/>
  <c r="JG120" i="1"/>
  <c r="LC120" i="1" s="1"/>
  <c r="JH120" i="1"/>
  <c r="LD120" i="1" s="1"/>
  <c r="JI120" i="1"/>
  <c r="LE120" i="1" s="1"/>
  <c r="JJ120" i="1"/>
  <c r="LF120" i="1" s="1"/>
  <c r="JK120" i="1"/>
  <c r="LG120" i="1" s="1"/>
  <c r="JL120" i="1"/>
  <c r="LH120" i="1" s="1"/>
  <c r="JM120" i="1"/>
  <c r="LI120" i="1" s="1"/>
  <c r="JN120" i="1"/>
  <c r="LJ120" i="1" s="1"/>
  <c r="JO120" i="1"/>
  <c r="LK120" i="1" s="1"/>
  <c r="LL120" i="1"/>
  <c r="KF14" i="1"/>
  <c r="IK14" i="1"/>
  <c r="KG14" i="1" s="1"/>
  <c r="IL14" i="1"/>
  <c r="KH14" i="1" s="1"/>
  <c r="IM14" i="1"/>
  <c r="KI14" i="1" s="1"/>
  <c r="IN14" i="1"/>
  <c r="KJ14" i="1" s="1"/>
  <c r="IO14" i="1"/>
  <c r="KK14" i="1" s="1"/>
  <c r="IP14" i="1"/>
  <c r="KL14" i="1" s="1"/>
  <c r="IQ14" i="1"/>
  <c r="KM14" i="1" s="1"/>
  <c r="IR14" i="1"/>
  <c r="KN14" i="1" s="1"/>
  <c r="IS14" i="1"/>
  <c r="KO14" i="1" s="1"/>
  <c r="IT14" i="1"/>
  <c r="KP14" i="1" s="1"/>
  <c r="IU14" i="1"/>
  <c r="KQ14" i="1" s="1"/>
  <c r="IV14" i="1"/>
  <c r="KR14" i="1" s="1"/>
  <c r="IW14" i="1"/>
  <c r="KS14" i="1" s="1"/>
  <c r="IX14" i="1"/>
  <c r="KT14" i="1" s="1"/>
  <c r="IY14" i="1"/>
  <c r="KU14" i="1" s="1"/>
  <c r="IZ14" i="1"/>
  <c r="KV14" i="1" s="1"/>
  <c r="JA14" i="1"/>
  <c r="KW14" i="1" s="1"/>
  <c r="JB14" i="1"/>
  <c r="KX14" i="1" s="1"/>
  <c r="JC14" i="1"/>
  <c r="KY14" i="1" s="1"/>
  <c r="JD14" i="1"/>
  <c r="KZ14" i="1" s="1"/>
  <c r="JE14" i="1"/>
  <c r="LA14" i="1" s="1"/>
  <c r="JF14" i="1"/>
  <c r="LB14" i="1" s="1"/>
  <c r="JG14" i="1"/>
  <c r="LC14" i="1" s="1"/>
  <c r="JH14" i="1"/>
  <c r="LD14" i="1" s="1"/>
  <c r="JI14" i="1"/>
  <c r="LE14" i="1" s="1"/>
  <c r="JJ14" i="1"/>
  <c r="LF14" i="1" s="1"/>
  <c r="JK14" i="1"/>
  <c r="LG14" i="1" s="1"/>
  <c r="JL14" i="1"/>
  <c r="LH14" i="1" s="1"/>
  <c r="JM14" i="1"/>
  <c r="LI14" i="1" s="1"/>
  <c r="JN14" i="1"/>
  <c r="LJ14" i="1" s="1"/>
  <c r="JO14" i="1"/>
  <c r="LK14" i="1" s="1"/>
  <c r="LL14" i="1"/>
  <c r="KF78" i="1"/>
  <c r="IK78" i="1"/>
  <c r="KG78" i="1" s="1"/>
  <c r="IL78" i="1"/>
  <c r="KH78" i="1" s="1"/>
  <c r="IM78" i="1"/>
  <c r="KI78" i="1" s="1"/>
  <c r="IN78" i="1"/>
  <c r="KJ78" i="1" s="1"/>
  <c r="IO78" i="1"/>
  <c r="KK78" i="1" s="1"/>
  <c r="IP78" i="1"/>
  <c r="KL78" i="1" s="1"/>
  <c r="IQ78" i="1"/>
  <c r="KM78" i="1" s="1"/>
  <c r="IR78" i="1"/>
  <c r="KN78" i="1" s="1"/>
  <c r="IS78" i="1"/>
  <c r="KO78" i="1" s="1"/>
  <c r="IT78" i="1"/>
  <c r="KP78" i="1" s="1"/>
  <c r="IU78" i="1"/>
  <c r="KQ78" i="1" s="1"/>
  <c r="IV78" i="1"/>
  <c r="KR78" i="1" s="1"/>
  <c r="IW78" i="1"/>
  <c r="KS78" i="1" s="1"/>
  <c r="IX78" i="1"/>
  <c r="KT78" i="1" s="1"/>
  <c r="IY78" i="1"/>
  <c r="KU78" i="1" s="1"/>
  <c r="IZ78" i="1"/>
  <c r="KV78" i="1" s="1"/>
  <c r="JA78" i="1"/>
  <c r="KW78" i="1" s="1"/>
  <c r="JB78" i="1"/>
  <c r="KX78" i="1" s="1"/>
  <c r="JC78" i="1"/>
  <c r="KY78" i="1" s="1"/>
  <c r="JD78" i="1"/>
  <c r="KZ78" i="1" s="1"/>
  <c r="JE78" i="1"/>
  <c r="LA78" i="1" s="1"/>
  <c r="JF78" i="1"/>
  <c r="LB78" i="1" s="1"/>
  <c r="JG78" i="1"/>
  <c r="LC78" i="1" s="1"/>
  <c r="JH78" i="1"/>
  <c r="LD78" i="1" s="1"/>
  <c r="JI78" i="1"/>
  <c r="LE78" i="1" s="1"/>
  <c r="JJ78" i="1"/>
  <c r="LF78" i="1" s="1"/>
  <c r="JK78" i="1"/>
  <c r="LG78" i="1" s="1"/>
  <c r="JL78" i="1"/>
  <c r="LH78" i="1" s="1"/>
  <c r="JM78" i="1"/>
  <c r="LI78" i="1" s="1"/>
  <c r="JN78" i="1"/>
  <c r="LJ78" i="1" s="1"/>
  <c r="JO78" i="1"/>
  <c r="LK78" i="1" s="1"/>
  <c r="LL78" i="1"/>
  <c r="KF79" i="1"/>
  <c r="IK79" i="1"/>
  <c r="KG79" i="1" s="1"/>
  <c r="IL79" i="1"/>
  <c r="KH79" i="1" s="1"/>
  <c r="IM79" i="1"/>
  <c r="KI79" i="1" s="1"/>
  <c r="IN79" i="1"/>
  <c r="KJ79" i="1" s="1"/>
  <c r="IO79" i="1"/>
  <c r="KK79" i="1" s="1"/>
  <c r="IP79" i="1"/>
  <c r="KL79" i="1" s="1"/>
  <c r="IQ79" i="1"/>
  <c r="KM79" i="1" s="1"/>
  <c r="IR79" i="1"/>
  <c r="KN79" i="1" s="1"/>
  <c r="IS79" i="1"/>
  <c r="KO79" i="1" s="1"/>
  <c r="IT79" i="1"/>
  <c r="KP79" i="1" s="1"/>
  <c r="IU79" i="1"/>
  <c r="KQ79" i="1" s="1"/>
  <c r="IV79" i="1"/>
  <c r="KR79" i="1" s="1"/>
  <c r="IW79" i="1"/>
  <c r="KS79" i="1" s="1"/>
  <c r="IX79" i="1"/>
  <c r="KT79" i="1" s="1"/>
  <c r="IY79" i="1"/>
  <c r="KU79" i="1" s="1"/>
  <c r="IZ79" i="1"/>
  <c r="KV79" i="1" s="1"/>
  <c r="JA79" i="1"/>
  <c r="KW79" i="1" s="1"/>
  <c r="JB79" i="1"/>
  <c r="KX79" i="1" s="1"/>
  <c r="JC79" i="1"/>
  <c r="KY79" i="1" s="1"/>
  <c r="JD79" i="1"/>
  <c r="KZ79" i="1" s="1"/>
  <c r="JE79" i="1"/>
  <c r="LA79" i="1" s="1"/>
  <c r="JF79" i="1"/>
  <c r="LB79" i="1" s="1"/>
  <c r="JG79" i="1"/>
  <c r="LC79" i="1" s="1"/>
  <c r="JH79" i="1"/>
  <c r="LD79" i="1" s="1"/>
  <c r="JI79" i="1"/>
  <c r="LE79" i="1" s="1"/>
  <c r="JJ79" i="1"/>
  <c r="LF79" i="1" s="1"/>
  <c r="JK79" i="1"/>
  <c r="LG79" i="1" s="1"/>
  <c r="JL79" i="1"/>
  <c r="LH79" i="1" s="1"/>
  <c r="JM79" i="1"/>
  <c r="LI79" i="1" s="1"/>
  <c r="JN79" i="1"/>
  <c r="LJ79" i="1" s="1"/>
  <c r="JO79" i="1"/>
  <c r="LK79" i="1" s="1"/>
  <c r="LL79" i="1"/>
  <c r="KF80" i="1"/>
  <c r="IK80" i="1"/>
  <c r="KG80" i="1" s="1"/>
  <c r="IL80" i="1"/>
  <c r="KH80" i="1" s="1"/>
  <c r="IM80" i="1"/>
  <c r="KI80" i="1" s="1"/>
  <c r="IN80" i="1"/>
  <c r="KJ80" i="1" s="1"/>
  <c r="IO80" i="1"/>
  <c r="KK80" i="1" s="1"/>
  <c r="IP80" i="1"/>
  <c r="KL80" i="1" s="1"/>
  <c r="IQ80" i="1"/>
  <c r="KM80" i="1" s="1"/>
  <c r="IR80" i="1"/>
  <c r="KN80" i="1" s="1"/>
  <c r="IS80" i="1"/>
  <c r="KO80" i="1" s="1"/>
  <c r="IT80" i="1"/>
  <c r="KP80" i="1" s="1"/>
  <c r="IU80" i="1"/>
  <c r="KQ80" i="1" s="1"/>
  <c r="IV80" i="1"/>
  <c r="KR80" i="1" s="1"/>
  <c r="IW80" i="1"/>
  <c r="KS80" i="1" s="1"/>
  <c r="IX80" i="1"/>
  <c r="KT80" i="1" s="1"/>
  <c r="IY80" i="1"/>
  <c r="KU80" i="1" s="1"/>
  <c r="IZ80" i="1"/>
  <c r="KV80" i="1" s="1"/>
  <c r="JA80" i="1"/>
  <c r="KW80" i="1" s="1"/>
  <c r="JB80" i="1"/>
  <c r="KX80" i="1" s="1"/>
  <c r="JC80" i="1"/>
  <c r="KY80" i="1" s="1"/>
  <c r="JD80" i="1"/>
  <c r="KZ80" i="1" s="1"/>
  <c r="JE80" i="1"/>
  <c r="LA80" i="1" s="1"/>
  <c r="JF80" i="1"/>
  <c r="LB80" i="1" s="1"/>
  <c r="JG80" i="1"/>
  <c r="LC80" i="1" s="1"/>
  <c r="JH80" i="1"/>
  <c r="LD80" i="1" s="1"/>
  <c r="JI80" i="1"/>
  <c r="LE80" i="1" s="1"/>
  <c r="JJ80" i="1"/>
  <c r="LF80" i="1" s="1"/>
  <c r="JK80" i="1"/>
  <c r="LG80" i="1" s="1"/>
  <c r="JL80" i="1"/>
  <c r="LH80" i="1" s="1"/>
  <c r="JM80" i="1"/>
  <c r="LI80" i="1" s="1"/>
  <c r="JN80" i="1"/>
  <c r="LJ80" i="1" s="1"/>
  <c r="JO80" i="1"/>
  <c r="LK80" i="1" s="1"/>
  <c r="LL80" i="1"/>
  <c r="KF15" i="1"/>
  <c r="IK15" i="1"/>
  <c r="KG15" i="1" s="1"/>
  <c r="IL15" i="1"/>
  <c r="KH15" i="1" s="1"/>
  <c r="IM15" i="1"/>
  <c r="KI15" i="1" s="1"/>
  <c r="IN15" i="1"/>
  <c r="KJ15" i="1" s="1"/>
  <c r="IO15" i="1"/>
  <c r="KK15" i="1" s="1"/>
  <c r="IP15" i="1"/>
  <c r="KL15" i="1" s="1"/>
  <c r="IQ15" i="1"/>
  <c r="KM15" i="1" s="1"/>
  <c r="IR15" i="1"/>
  <c r="KN15" i="1" s="1"/>
  <c r="IS15" i="1"/>
  <c r="KO15" i="1" s="1"/>
  <c r="IT15" i="1"/>
  <c r="KP15" i="1" s="1"/>
  <c r="IU15" i="1"/>
  <c r="KQ15" i="1" s="1"/>
  <c r="IV15" i="1"/>
  <c r="KR15" i="1" s="1"/>
  <c r="IW15" i="1"/>
  <c r="KS15" i="1" s="1"/>
  <c r="IX15" i="1"/>
  <c r="KT15" i="1" s="1"/>
  <c r="IY15" i="1"/>
  <c r="KU15" i="1" s="1"/>
  <c r="IZ15" i="1"/>
  <c r="KV15" i="1" s="1"/>
  <c r="JA15" i="1"/>
  <c r="KW15" i="1" s="1"/>
  <c r="JB15" i="1"/>
  <c r="KX15" i="1" s="1"/>
  <c r="JC15" i="1"/>
  <c r="KY15" i="1" s="1"/>
  <c r="JD15" i="1"/>
  <c r="KZ15" i="1" s="1"/>
  <c r="JE15" i="1"/>
  <c r="LA15" i="1" s="1"/>
  <c r="JF15" i="1"/>
  <c r="LB15" i="1" s="1"/>
  <c r="JG15" i="1"/>
  <c r="LC15" i="1" s="1"/>
  <c r="JH15" i="1"/>
  <c r="LD15" i="1" s="1"/>
  <c r="JI15" i="1"/>
  <c r="LE15" i="1" s="1"/>
  <c r="JJ15" i="1"/>
  <c r="LF15" i="1" s="1"/>
  <c r="JK15" i="1"/>
  <c r="LG15" i="1" s="1"/>
  <c r="JL15" i="1"/>
  <c r="LH15" i="1" s="1"/>
  <c r="JM15" i="1"/>
  <c r="LI15" i="1" s="1"/>
  <c r="JN15" i="1"/>
  <c r="LJ15" i="1" s="1"/>
  <c r="JO15" i="1"/>
  <c r="LK15" i="1" s="1"/>
  <c r="LL15" i="1"/>
  <c r="KF81" i="1"/>
  <c r="IK81" i="1"/>
  <c r="KG81" i="1" s="1"/>
  <c r="IL81" i="1"/>
  <c r="KH81" i="1" s="1"/>
  <c r="IM81" i="1"/>
  <c r="KI81" i="1" s="1"/>
  <c r="IN81" i="1"/>
  <c r="KJ81" i="1" s="1"/>
  <c r="IO81" i="1"/>
  <c r="KK81" i="1" s="1"/>
  <c r="IP81" i="1"/>
  <c r="KL81" i="1" s="1"/>
  <c r="IQ81" i="1"/>
  <c r="KM81" i="1" s="1"/>
  <c r="IR81" i="1"/>
  <c r="KN81" i="1" s="1"/>
  <c r="IS81" i="1"/>
  <c r="KO81" i="1" s="1"/>
  <c r="IT81" i="1"/>
  <c r="KP81" i="1" s="1"/>
  <c r="IU81" i="1"/>
  <c r="KQ81" i="1" s="1"/>
  <c r="IV81" i="1"/>
  <c r="KR81" i="1" s="1"/>
  <c r="IW81" i="1"/>
  <c r="KS81" i="1" s="1"/>
  <c r="IX81" i="1"/>
  <c r="KT81" i="1" s="1"/>
  <c r="IY81" i="1"/>
  <c r="KU81" i="1" s="1"/>
  <c r="IZ81" i="1"/>
  <c r="KV81" i="1" s="1"/>
  <c r="JA81" i="1"/>
  <c r="KW81" i="1" s="1"/>
  <c r="JB81" i="1"/>
  <c r="KX81" i="1" s="1"/>
  <c r="JC81" i="1"/>
  <c r="KY81" i="1" s="1"/>
  <c r="JD81" i="1"/>
  <c r="KZ81" i="1" s="1"/>
  <c r="JE81" i="1"/>
  <c r="LA81" i="1" s="1"/>
  <c r="JF81" i="1"/>
  <c r="LB81" i="1" s="1"/>
  <c r="JG81" i="1"/>
  <c r="LC81" i="1" s="1"/>
  <c r="JH81" i="1"/>
  <c r="LD81" i="1" s="1"/>
  <c r="JI81" i="1"/>
  <c r="LE81" i="1" s="1"/>
  <c r="JJ81" i="1"/>
  <c r="LF81" i="1" s="1"/>
  <c r="JK81" i="1"/>
  <c r="LG81" i="1" s="1"/>
  <c r="JL81" i="1"/>
  <c r="LH81" i="1" s="1"/>
  <c r="JM81" i="1"/>
  <c r="LI81" i="1" s="1"/>
  <c r="JN81" i="1"/>
  <c r="LJ81" i="1" s="1"/>
  <c r="JO81" i="1"/>
  <c r="LK81" i="1" s="1"/>
  <c r="LL81" i="1"/>
  <c r="KF121" i="1"/>
  <c r="IK121" i="1"/>
  <c r="KG121" i="1" s="1"/>
  <c r="IL121" i="1"/>
  <c r="KH121" i="1" s="1"/>
  <c r="IM121" i="1"/>
  <c r="KI121" i="1" s="1"/>
  <c r="IN121" i="1"/>
  <c r="KJ121" i="1" s="1"/>
  <c r="IO121" i="1"/>
  <c r="KK121" i="1" s="1"/>
  <c r="IP121" i="1"/>
  <c r="KL121" i="1" s="1"/>
  <c r="IQ121" i="1"/>
  <c r="KM121" i="1" s="1"/>
  <c r="IR121" i="1"/>
  <c r="KN121" i="1" s="1"/>
  <c r="IS121" i="1"/>
  <c r="KO121" i="1" s="1"/>
  <c r="IT121" i="1"/>
  <c r="KP121" i="1" s="1"/>
  <c r="IU121" i="1"/>
  <c r="KQ121" i="1" s="1"/>
  <c r="IV121" i="1"/>
  <c r="KR121" i="1" s="1"/>
  <c r="IW121" i="1"/>
  <c r="KS121" i="1" s="1"/>
  <c r="IX121" i="1"/>
  <c r="KT121" i="1" s="1"/>
  <c r="IY121" i="1"/>
  <c r="KU121" i="1" s="1"/>
  <c r="IZ121" i="1"/>
  <c r="KV121" i="1" s="1"/>
  <c r="JA121" i="1"/>
  <c r="KW121" i="1" s="1"/>
  <c r="JB121" i="1"/>
  <c r="KX121" i="1" s="1"/>
  <c r="JC121" i="1"/>
  <c r="KY121" i="1" s="1"/>
  <c r="JD121" i="1"/>
  <c r="KZ121" i="1" s="1"/>
  <c r="JE121" i="1"/>
  <c r="LA121" i="1" s="1"/>
  <c r="JF121" i="1"/>
  <c r="LB121" i="1" s="1"/>
  <c r="JG121" i="1"/>
  <c r="LC121" i="1" s="1"/>
  <c r="JH121" i="1"/>
  <c r="LD121" i="1" s="1"/>
  <c r="JI121" i="1"/>
  <c r="LE121" i="1" s="1"/>
  <c r="JJ121" i="1"/>
  <c r="LF121" i="1" s="1"/>
  <c r="JK121" i="1"/>
  <c r="LG121" i="1" s="1"/>
  <c r="JL121" i="1"/>
  <c r="LH121" i="1" s="1"/>
  <c r="JM121" i="1"/>
  <c r="LI121" i="1" s="1"/>
  <c r="JN121" i="1"/>
  <c r="LJ121" i="1" s="1"/>
  <c r="JO121" i="1"/>
  <c r="LK121" i="1" s="1"/>
  <c r="LL121" i="1"/>
  <c r="KF82" i="1"/>
  <c r="IK82" i="1"/>
  <c r="KG82" i="1" s="1"/>
  <c r="IL82" i="1"/>
  <c r="KH82" i="1" s="1"/>
  <c r="IM82" i="1"/>
  <c r="KI82" i="1" s="1"/>
  <c r="IN82" i="1"/>
  <c r="KJ82" i="1" s="1"/>
  <c r="IO82" i="1"/>
  <c r="KK82" i="1" s="1"/>
  <c r="IP82" i="1"/>
  <c r="KL82" i="1" s="1"/>
  <c r="IQ82" i="1"/>
  <c r="KM82" i="1" s="1"/>
  <c r="IR82" i="1"/>
  <c r="KN82" i="1" s="1"/>
  <c r="IS82" i="1"/>
  <c r="KO82" i="1" s="1"/>
  <c r="IT82" i="1"/>
  <c r="KP82" i="1" s="1"/>
  <c r="IU82" i="1"/>
  <c r="KQ82" i="1" s="1"/>
  <c r="IV82" i="1"/>
  <c r="KR82" i="1" s="1"/>
  <c r="IW82" i="1"/>
  <c r="KS82" i="1" s="1"/>
  <c r="IX82" i="1"/>
  <c r="KT82" i="1" s="1"/>
  <c r="IY82" i="1"/>
  <c r="KU82" i="1" s="1"/>
  <c r="IZ82" i="1"/>
  <c r="KV82" i="1" s="1"/>
  <c r="JA82" i="1"/>
  <c r="KW82" i="1" s="1"/>
  <c r="JB82" i="1"/>
  <c r="KX82" i="1" s="1"/>
  <c r="JC82" i="1"/>
  <c r="KY82" i="1" s="1"/>
  <c r="JD82" i="1"/>
  <c r="KZ82" i="1" s="1"/>
  <c r="JE82" i="1"/>
  <c r="LA82" i="1" s="1"/>
  <c r="JF82" i="1"/>
  <c r="LB82" i="1" s="1"/>
  <c r="JG82" i="1"/>
  <c r="LC82" i="1" s="1"/>
  <c r="JH82" i="1"/>
  <c r="LD82" i="1" s="1"/>
  <c r="JI82" i="1"/>
  <c r="LE82" i="1" s="1"/>
  <c r="JJ82" i="1"/>
  <c r="LF82" i="1" s="1"/>
  <c r="JK82" i="1"/>
  <c r="LG82" i="1" s="1"/>
  <c r="JL82" i="1"/>
  <c r="LH82" i="1" s="1"/>
  <c r="JM82" i="1"/>
  <c r="LI82" i="1" s="1"/>
  <c r="JN82" i="1"/>
  <c r="LJ82" i="1" s="1"/>
  <c r="JO82" i="1"/>
  <c r="LK82" i="1" s="1"/>
  <c r="LL82" i="1"/>
  <c r="KF16" i="1"/>
  <c r="IK16" i="1"/>
  <c r="KG16" i="1" s="1"/>
  <c r="IL16" i="1"/>
  <c r="KH16" i="1" s="1"/>
  <c r="IM16" i="1"/>
  <c r="KI16" i="1" s="1"/>
  <c r="IN16" i="1"/>
  <c r="KJ16" i="1" s="1"/>
  <c r="IO16" i="1"/>
  <c r="KK16" i="1" s="1"/>
  <c r="IP16" i="1"/>
  <c r="KL16" i="1" s="1"/>
  <c r="IQ16" i="1"/>
  <c r="KM16" i="1" s="1"/>
  <c r="IR16" i="1"/>
  <c r="KN16" i="1" s="1"/>
  <c r="IS16" i="1"/>
  <c r="KO16" i="1" s="1"/>
  <c r="IT16" i="1"/>
  <c r="KP16" i="1" s="1"/>
  <c r="IU16" i="1"/>
  <c r="KQ16" i="1" s="1"/>
  <c r="IV16" i="1"/>
  <c r="KR16" i="1" s="1"/>
  <c r="IW16" i="1"/>
  <c r="KS16" i="1" s="1"/>
  <c r="IX16" i="1"/>
  <c r="KT16" i="1" s="1"/>
  <c r="IY16" i="1"/>
  <c r="KU16" i="1" s="1"/>
  <c r="IZ16" i="1"/>
  <c r="KV16" i="1" s="1"/>
  <c r="JA16" i="1"/>
  <c r="KW16" i="1" s="1"/>
  <c r="JB16" i="1"/>
  <c r="KX16" i="1" s="1"/>
  <c r="JC16" i="1"/>
  <c r="KY16" i="1" s="1"/>
  <c r="JD16" i="1"/>
  <c r="KZ16" i="1" s="1"/>
  <c r="JE16" i="1"/>
  <c r="LA16" i="1" s="1"/>
  <c r="JF16" i="1"/>
  <c r="LB16" i="1" s="1"/>
  <c r="JG16" i="1"/>
  <c r="LC16" i="1" s="1"/>
  <c r="JH16" i="1"/>
  <c r="LD16" i="1" s="1"/>
  <c r="JI16" i="1"/>
  <c r="LE16" i="1" s="1"/>
  <c r="JJ16" i="1"/>
  <c r="LF16" i="1" s="1"/>
  <c r="JK16" i="1"/>
  <c r="LG16" i="1" s="1"/>
  <c r="JL16" i="1"/>
  <c r="LH16" i="1" s="1"/>
  <c r="JM16" i="1"/>
  <c r="LI16" i="1" s="1"/>
  <c r="JN16" i="1"/>
  <c r="LJ16" i="1" s="1"/>
  <c r="JO16" i="1"/>
  <c r="LK16" i="1" s="1"/>
  <c r="LL16" i="1"/>
  <c r="KF83" i="1"/>
  <c r="IK83" i="1"/>
  <c r="KG83" i="1" s="1"/>
  <c r="IL83" i="1"/>
  <c r="KH83" i="1" s="1"/>
  <c r="IM83" i="1"/>
  <c r="KI83" i="1" s="1"/>
  <c r="IN83" i="1"/>
  <c r="KJ83" i="1" s="1"/>
  <c r="IO83" i="1"/>
  <c r="KK83" i="1" s="1"/>
  <c r="IP83" i="1"/>
  <c r="KL83" i="1" s="1"/>
  <c r="IQ83" i="1"/>
  <c r="KM83" i="1" s="1"/>
  <c r="IR83" i="1"/>
  <c r="KN83" i="1" s="1"/>
  <c r="IS83" i="1"/>
  <c r="KO83" i="1" s="1"/>
  <c r="IT83" i="1"/>
  <c r="KP83" i="1" s="1"/>
  <c r="IU83" i="1"/>
  <c r="KQ83" i="1" s="1"/>
  <c r="IV83" i="1"/>
  <c r="KR83" i="1" s="1"/>
  <c r="IW83" i="1"/>
  <c r="KS83" i="1" s="1"/>
  <c r="IX83" i="1"/>
  <c r="KT83" i="1" s="1"/>
  <c r="IY83" i="1"/>
  <c r="KU83" i="1" s="1"/>
  <c r="IZ83" i="1"/>
  <c r="KV83" i="1" s="1"/>
  <c r="JA83" i="1"/>
  <c r="KW83" i="1" s="1"/>
  <c r="JB83" i="1"/>
  <c r="KX83" i="1" s="1"/>
  <c r="JC83" i="1"/>
  <c r="KY83" i="1" s="1"/>
  <c r="JD83" i="1"/>
  <c r="KZ83" i="1" s="1"/>
  <c r="JE83" i="1"/>
  <c r="LA83" i="1" s="1"/>
  <c r="JF83" i="1"/>
  <c r="LB83" i="1" s="1"/>
  <c r="JG83" i="1"/>
  <c r="LC83" i="1" s="1"/>
  <c r="JH83" i="1"/>
  <c r="LD83" i="1" s="1"/>
  <c r="JI83" i="1"/>
  <c r="LE83" i="1" s="1"/>
  <c r="JJ83" i="1"/>
  <c r="LF83" i="1" s="1"/>
  <c r="JK83" i="1"/>
  <c r="LG83" i="1" s="1"/>
  <c r="JL83" i="1"/>
  <c r="LH83" i="1" s="1"/>
  <c r="JM83" i="1"/>
  <c r="LI83" i="1" s="1"/>
  <c r="JN83" i="1"/>
  <c r="LJ83" i="1" s="1"/>
  <c r="JO83" i="1"/>
  <c r="LK83" i="1" s="1"/>
  <c r="LL83" i="1"/>
  <c r="KF85" i="1"/>
  <c r="IK85" i="1"/>
  <c r="KG85" i="1" s="1"/>
  <c r="IL85" i="1"/>
  <c r="KH85" i="1" s="1"/>
  <c r="IM85" i="1"/>
  <c r="KI85" i="1" s="1"/>
  <c r="IN85" i="1"/>
  <c r="KJ85" i="1" s="1"/>
  <c r="IO85" i="1"/>
  <c r="KK85" i="1" s="1"/>
  <c r="IP85" i="1"/>
  <c r="KL85" i="1" s="1"/>
  <c r="IQ85" i="1"/>
  <c r="KM85" i="1" s="1"/>
  <c r="IR85" i="1"/>
  <c r="KN85" i="1" s="1"/>
  <c r="IS85" i="1"/>
  <c r="KO85" i="1" s="1"/>
  <c r="IT85" i="1"/>
  <c r="KP85" i="1" s="1"/>
  <c r="IU85" i="1"/>
  <c r="KQ85" i="1" s="1"/>
  <c r="IV85" i="1"/>
  <c r="KR85" i="1" s="1"/>
  <c r="IW85" i="1"/>
  <c r="KS85" i="1" s="1"/>
  <c r="IX85" i="1"/>
  <c r="KT85" i="1" s="1"/>
  <c r="IY85" i="1"/>
  <c r="KU85" i="1" s="1"/>
  <c r="IZ85" i="1"/>
  <c r="KV85" i="1" s="1"/>
  <c r="JA85" i="1"/>
  <c r="KW85" i="1" s="1"/>
  <c r="JB85" i="1"/>
  <c r="KX85" i="1" s="1"/>
  <c r="JC85" i="1"/>
  <c r="KY85" i="1" s="1"/>
  <c r="JD85" i="1"/>
  <c r="KZ85" i="1" s="1"/>
  <c r="JE85" i="1"/>
  <c r="LA85" i="1" s="1"/>
  <c r="JF85" i="1"/>
  <c r="LB85" i="1" s="1"/>
  <c r="JG85" i="1"/>
  <c r="LC85" i="1" s="1"/>
  <c r="JH85" i="1"/>
  <c r="LD85" i="1" s="1"/>
  <c r="JI85" i="1"/>
  <c r="LE85" i="1" s="1"/>
  <c r="JJ85" i="1"/>
  <c r="LF85" i="1" s="1"/>
  <c r="JK85" i="1"/>
  <c r="LG85" i="1" s="1"/>
  <c r="JL85" i="1"/>
  <c r="LH85" i="1" s="1"/>
  <c r="JM85" i="1"/>
  <c r="LI85" i="1" s="1"/>
  <c r="JN85" i="1"/>
  <c r="LJ85" i="1" s="1"/>
  <c r="JO85" i="1"/>
  <c r="LK85" i="1" s="1"/>
  <c r="LL85" i="1"/>
  <c r="KF84" i="1"/>
  <c r="IK84" i="1"/>
  <c r="KG84" i="1" s="1"/>
  <c r="IL84" i="1"/>
  <c r="KH84" i="1" s="1"/>
  <c r="IM84" i="1"/>
  <c r="KI84" i="1" s="1"/>
  <c r="IN84" i="1"/>
  <c r="KJ84" i="1" s="1"/>
  <c r="IO84" i="1"/>
  <c r="KK84" i="1" s="1"/>
  <c r="IP84" i="1"/>
  <c r="KL84" i="1" s="1"/>
  <c r="IQ84" i="1"/>
  <c r="KM84" i="1" s="1"/>
  <c r="IR84" i="1"/>
  <c r="KN84" i="1" s="1"/>
  <c r="IS84" i="1"/>
  <c r="KO84" i="1" s="1"/>
  <c r="IT84" i="1"/>
  <c r="KP84" i="1" s="1"/>
  <c r="IU84" i="1"/>
  <c r="KQ84" i="1" s="1"/>
  <c r="IV84" i="1"/>
  <c r="KR84" i="1" s="1"/>
  <c r="IW84" i="1"/>
  <c r="KS84" i="1" s="1"/>
  <c r="IX84" i="1"/>
  <c r="KT84" i="1" s="1"/>
  <c r="IY84" i="1"/>
  <c r="KU84" i="1" s="1"/>
  <c r="IZ84" i="1"/>
  <c r="KV84" i="1" s="1"/>
  <c r="JA84" i="1"/>
  <c r="KW84" i="1" s="1"/>
  <c r="JB84" i="1"/>
  <c r="KX84" i="1" s="1"/>
  <c r="JC84" i="1"/>
  <c r="KY84" i="1" s="1"/>
  <c r="JD84" i="1"/>
  <c r="KZ84" i="1" s="1"/>
  <c r="JE84" i="1"/>
  <c r="LA84" i="1" s="1"/>
  <c r="JF84" i="1"/>
  <c r="LB84" i="1" s="1"/>
  <c r="JG84" i="1"/>
  <c r="LC84" i="1" s="1"/>
  <c r="JH84" i="1"/>
  <c r="LD84" i="1" s="1"/>
  <c r="JI84" i="1"/>
  <c r="LE84" i="1" s="1"/>
  <c r="JJ84" i="1"/>
  <c r="LF84" i="1" s="1"/>
  <c r="JK84" i="1"/>
  <c r="LG84" i="1" s="1"/>
  <c r="JL84" i="1"/>
  <c r="LH84" i="1" s="1"/>
  <c r="JM84" i="1"/>
  <c r="LI84" i="1" s="1"/>
  <c r="JN84" i="1"/>
  <c r="LJ84" i="1" s="1"/>
  <c r="JO84" i="1"/>
  <c r="LK84" i="1" s="1"/>
  <c r="LL84" i="1"/>
  <c r="KF17" i="1"/>
  <c r="IK17" i="1"/>
  <c r="KG17" i="1" s="1"/>
  <c r="IL17" i="1"/>
  <c r="KH17" i="1" s="1"/>
  <c r="IM17" i="1"/>
  <c r="KI17" i="1" s="1"/>
  <c r="IN17" i="1"/>
  <c r="KJ17" i="1" s="1"/>
  <c r="IO17" i="1"/>
  <c r="KK17" i="1" s="1"/>
  <c r="IP17" i="1"/>
  <c r="KL17" i="1" s="1"/>
  <c r="IQ17" i="1"/>
  <c r="KM17" i="1" s="1"/>
  <c r="IR17" i="1"/>
  <c r="KN17" i="1" s="1"/>
  <c r="IS17" i="1"/>
  <c r="KO17" i="1" s="1"/>
  <c r="IT17" i="1"/>
  <c r="KP17" i="1" s="1"/>
  <c r="IU17" i="1"/>
  <c r="KQ17" i="1" s="1"/>
  <c r="IV17" i="1"/>
  <c r="KR17" i="1" s="1"/>
  <c r="IW17" i="1"/>
  <c r="KS17" i="1" s="1"/>
  <c r="IX17" i="1"/>
  <c r="KT17" i="1" s="1"/>
  <c r="IY17" i="1"/>
  <c r="KU17" i="1" s="1"/>
  <c r="IZ17" i="1"/>
  <c r="KV17" i="1" s="1"/>
  <c r="JA17" i="1"/>
  <c r="KW17" i="1" s="1"/>
  <c r="JB17" i="1"/>
  <c r="KX17" i="1" s="1"/>
  <c r="JC17" i="1"/>
  <c r="KY17" i="1" s="1"/>
  <c r="JD17" i="1"/>
  <c r="KZ17" i="1" s="1"/>
  <c r="JE17" i="1"/>
  <c r="LA17" i="1" s="1"/>
  <c r="JF17" i="1"/>
  <c r="LB17" i="1" s="1"/>
  <c r="JG17" i="1"/>
  <c r="LC17" i="1" s="1"/>
  <c r="JH17" i="1"/>
  <c r="LD17" i="1" s="1"/>
  <c r="JI17" i="1"/>
  <c r="LE17" i="1" s="1"/>
  <c r="JJ17" i="1"/>
  <c r="LF17" i="1" s="1"/>
  <c r="JK17" i="1"/>
  <c r="LG17" i="1" s="1"/>
  <c r="JL17" i="1"/>
  <c r="LH17" i="1" s="1"/>
  <c r="JM17" i="1"/>
  <c r="LI17" i="1" s="1"/>
  <c r="JN17" i="1"/>
  <c r="LJ17" i="1" s="1"/>
  <c r="JO17" i="1"/>
  <c r="LK17" i="1" s="1"/>
  <c r="LL17" i="1"/>
  <c r="KF18" i="1"/>
  <c r="IK18" i="1"/>
  <c r="KG18" i="1" s="1"/>
  <c r="IL18" i="1"/>
  <c r="KH18" i="1" s="1"/>
  <c r="IM18" i="1"/>
  <c r="KI18" i="1" s="1"/>
  <c r="IN18" i="1"/>
  <c r="KJ18" i="1" s="1"/>
  <c r="IO18" i="1"/>
  <c r="KK18" i="1" s="1"/>
  <c r="IP18" i="1"/>
  <c r="KL18" i="1" s="1"/>
  <c r="IQ18" i="1"/>
  <c r="KM18" i="1" s="1"/>
  <c r="IR18" i="1"/>
  <c r="KN18" i="1" s="1"/>
  <c r="IS18" i="1"/>
  <c r="KO18" i="1" s="1"/>
  <c r="IT18" i="1"/>
  <c r="KP18" i="1" s="1"/>
  <c r="IU18" i="1"/>
  <c r="KQ18" i="1" s="1"/>
  <c r="IV18" i="1"/>
  <c r="KR18" i="1" s="1"/>
  <c r="IW18" i="1"/>
  <c r="KS18" i="1" s="1"/>
  <c r="IX18" i="1"/>
  <c r="KT18" i="1" s="1"/>
  <c r="IY18" i="1"/>
  <c r="KU18" i="1" s="1"/>
  <c r="IZ18" i="1"/>
  <c r="KV18" i="1" s="1"/>
  <c r="JA18" i="1"/>
  <c r="KW18" i="1" s="1"/>
  <c r="JB18" i="1"/>
  <c r="KX18" i="1" s="1"/>
  <c r="JC18" i="1"/>
  <c r="KY18" i="1" s="1"/>
  <c r="JD18" i="1"/>
  <c r="KZ18" i="1" s="1"/>
  <c r="JE18" i="1"/>
  <c r="LA18" i="1" s="1"/>
  <c r="JF18" i="1"/>
  <c r="LB18" i="1" s="1"/>
  <c r="JG18" i="1"/>
  <c r="LC18" i="1" s="1"/>
  <c r="JH18" i="1"/>
  <c r="LD18" i="1" s="1"/>
  <c r="JI18" i="1"/>
  <c r="LE18" i="1" s="1"/>
  <c r="JJ18" i="1"/>
  <c r="LF18" i="1" s="1"/>
  <c r="JK18" i="1"/>
  <c r="LG18" i="1" s="1"/>
  <c r="JL18" i="1"/>
  <c r="LH18" i="1" s="1"/>
  <c r="JM18" i="1"/>
  <c r="LI18" i="1" s="1"/>
  <c r="JN18" i="1"/>
  <c r="LJ18" i="1" s="1"/>
  <c r="JO18" i="1"/>
  <c r="LK18" i="1" s="1"/>
  <c r="LL18" i="1"/>
  <c r="KF86" i="1"/>
  <c r="IK86" i="1"/>
  <c r="KG86" i="1" s="1"/>
  <c r="IL86" i="1"/>
  <c r="KH86" i="1" s="1"/>
  <c r="IM86" i="1"/>
  <c r="KI86" i="1" s="1"/>
  <c r="IN86" i="1"/>
  <c r="KJ86" i="1" s="1"/>
  <c r="IO86" i="1"/>
  <c r="KK86" i="1" s="1"/>
  <c r="IP86" i="1"/>
  <c r="KL86" i="1" s="1"/>
  <c r="IQ86" i="1"/>
  <c r="KM86" i="1" s="1"/>
  <c r="IR86" i="1"/>
  <c r="KN86" i="1" s="1"/>
  <c r="IS86" i="1"/>
  <c r="KO86" i="1" s="1"/>
  <c r="IT86" i="1"/>
  <c r="KP86" i="1" s="1"/>
  <c r="IU86" i="1"/>
  <c r="KQ86" i="1" s="1"/>
  <c r="IV86" i="1"/>
  <c r="KR86" i="1" s="1"/>
  <c r="IW86" i="1"/>
  <c r="KS86" i="1" s="1"/>
  <c r="IX86" i="1"/>
  <c r="KT86" i="1" s="1"/>
  <c r="IY86" i="1"/>
  <c r="KU86" i="1" s="1"/>
  <c r="IZ86" i="1"/>
  <c r="KV86" i="1" s="1"/>
  <c r="JA86" i="1"/>
  <c r="KW86" i="1" s="1"/>
  <c r="JB86" i="1"/>
  <c r="KX86" i="1" s="1"/>
  <c r="JC86" i="1"/>
  <c r="KY86" i="1" s="1"/>
  <c r="JD86" i="1"/>
  <c r="KZ86" i="1" s="1"/>
  <c r="JE86" i="1"/>
  <c r="LA86" i="1" s="1"/>
  <c r="JF86" i="1"/>
  <c r="LB86" i="1" s="1"/>
  <c r="JG86" i="1"/>
  <c r="LC86" i="1" s="1"/>
  <c r="JH86" i="1"/>
  <c r="LD86" i="1" s="1"/>
  <c r="JI86" i="1"/>
  <c r="LE86" i="1" s="1"/>
  <c r="JJ86" i="1"/>
  <c r="LF86" i="1" s="1"/>
  <c r="JK86" i="1"/>
  <c r="LG86" i="1" s="1"/>
  <c r="JL86" i="1"/>
  <c r="LH86" i="1" s="1"/>
  <c r="JM86" i="1"/>
  <c r="LI86" i="1" s="1"/>
  <c r="JN86" i="1"/>
  <c r="LJ86" i="1" s="1"/>
  <c r="JO86" i="1"/>
  <c r="LK86" i="1" s="1"/>
  <c r="LL86" i="1"/>
  <c r="KF19" i="1"/>
  <c r="IK19" i="1"/>
  <c r="KG19" i="1" s="1"/>
  <c r="IL19" i="1"/>
  <c r="KH19" i="1" s="1"/>
  <c r="IM19" i="1"/>
  <c r="KI19" i="1" s="1"/>
  <c r="IN19" i="1"/>
  <c r="KJ19" i="1" s="1"/>
  <c r="IO19" i="1"/>
  <c r="KK19" i="1" s="1"/>
  <c r="IP19" i="1"/>
  <c r="KL19" i="1" s="1"/>
  <c r="IQ19" i="1"/>
  <c r="KM19" i="1" s="1"/>
  <c r="IR19" i="1"/>
  <c r="KN19" i="1" s="1"/>
  <c r="IS19" i="1"/>
  <c r="KO19" i="1" s="1"/>
  <c r="IT19" i="1"/>
  <c r="KP19" i="1" s="1"/>
  <c r="IU19" i="1"/>
  <c r="KQ19" i="1" s="1"/>
  <c r="IV19" i="1"/>
  <c r="KR19" i="1" s="1"/>
  <c r="IW19" i="1"/>
  <c r="KS19" i="1" s="1"/>
  <c r="IX19" i="1"/>
  <c r="KT19" i="1" s="1"/>
  <c r="IY19" i="1"/>
  <c r="KU19" i="1" s="1"/>
  <c r="IZ19" i="1"/>
  <c r="KV19" i="1" s="1"/>
  <c r="JA19" i="1"/>
  <c r="KW19" i="1" s="1"/>
  <c r="JB19" i="1"/>
  <c r="KX19" i="1" s="1"/>
  <c r="JC19" i="1"/>
  <c r="KY19" i="1" s="1"/>
  <c r="JD19" i="1"/>
  <c r="KZ19" i="1" s="1"/>
  <c r="JE19" i="1"/>
  <c r="LA19" i="1" s="1"/>
  <c r="JF19" i="1"/>
  <c r="LB19" i="1" s="1"/>
  <c r="JG19" i="1"/>
  <c r="LC19" i="1" s="1"/>
  <c r="JH19" i="1"/>
  <c r="LD19" i="1" s="1"/>
  <c r="JI19" i="1"/>
  <c r="LE19" i="1" s="1"/>
  <c r="JJ19" i="1"/>
  <c r="LF19" i="1" s="1"/>
  <c r="JK19" i="1"/>
  <c r="LG19" i="1" s="1"/>
  <c r="JL19" i="1"/>
  <c r="LH19" i="1" s="1"/>
  <c r="JM19" i="1"/>
  <c r="LI19" i="1" s="1"/>
  <c r="JN19" i="1"/>
  <c r="LJ19" i="1" s="1"/>
  <c r="JO19" i="1"/>
  <c r="LK19" i="1" s="1"/>
  <c r="LL19" i="1"/>
  <c r="KF20" i="1"/>
  <c r="IK20" i="1"/>
  <c r="KG20" i="1" s="1"/>
  <c r="IL20" i="1"/>
  <c r="KH20" i="1" s="1"/>
  <c r="IM20" i="1"/>
  <c r="KI20" i="1" s="1"/>
  <c r="IN20" i="1"/>
  <c r="KJ20" i="1" s="1"/>
  <c r="IO20" i="1"/>
  <c r="KK20" i="1" s="1"/>
  <c r="IP20" i="1"/>
  <c r="KL20" i="1" s="1"/>
  <c r="IQ20" i="1"/>
  <c r="KM20" i="1" s="1"/>
  <c r="IR20" i="1"/>
  <c r="KN20" i="1" s="1"/>
  <c r="IS20" i="1"/>
  <c r="KO20" i="1" s="1"/>
  <c r="IT20" i="1"/>
  <c r="KP20" i="1" s="1"/>
  <c r="IU20" i="1"/>
  <c r="KQ20" i="1" s="1"/>
  <c r="IV20" i="1"/>
  <c r="KR20" i="1" s="1"/>
  <c r="IW20" i="1"/>
  <c r="KS20" i="1" s="1"/>
  <c r="IX20" i="1"/>
  <c r="KT20" i="1" s="1"/>
  <c r="IY20" i="1"/>
  <c r="KU20" i="1" s="1"/>
  <c r="IZ20" i="1"/>
  <c r="KV20" i="1" s="1"/>
  <c r="JA20" i="1"/>
  <c r="KW20" i="1" s="1"/>
  <c r="JB20" i="1"/>
  <c r="KX20" i="1" s="1"/>
  <c r="JC20" i="1"/>
  <c r="KY20" i="1" s="1"/>
  <c r="JD20" i="1"/>
  <c r="KZ20" i="1" s="1"/>
  <c r="JE20" i="1"/>
  <c r="LA20" i="1" s="1"/>
  <c r="JF20" i="1"/>
  <c r="LB20" i="1" s="1"/>
  <c r="JG20" i="1"/>
  <c r="LC20" i="1" s="1"/>
  <c r="JH20" i="1"/>
  <c r="LD20" i="1" s="1"/>
  <c r="JI20" i="1"/>
  <c r="LE20" i="1" s="1"/>
  <c r="JJ20" i="1"/>
  <c r="LF20" i="1" s="1"/>
  <c r="JK20" i="1"/>
  <c r="LG20" i="1" s="1"/>
  <c r="JL20" i="1"/>
  <c r="LH20" i="1" s="1"/>
  <c r="JM20" i="1"/>
  <c r="LI20" i="1" s="1"/>
  <c r="JN20" i="1"/>
  <c r="LJ20" i="1" s="1"/>
  <c r="JO20" i="1"/>
  <c r="LK20" i="1" s="1"/>
  <c r="LL20" i="1"/>
  <c r="KF21" i="1"/>
  <c r="IK21" i="1"/>
  <c r="KG21" i="1" s="1"/>
  <c r="IL21" i="1"/>
  <c r="KH21" i="1" s="1"/>
  <c r="IM21" i="1"/>
  <c r="KI21" i="1" s="1"/>
  <c r="IN21" i="1"/>
  <c r="KJ21" i="1" s="1"/>
  <c r="IO21" i="1"/>
  <c r="KK21" i="1" s="1"/>
  <c r="IP21" i="1"/>
  <c r="KL21" i="1" s="1"/>
  <c r="IQ21" i="1"/>
  <c r="KM21" i="1" s="1"/>
  <c r="IR21" i="1"/>
  <c r="KN21" i="1" s="1"/>
  <c r="IS21" i="1"/>
  <c r="KO21" i="1" s="1"/>
  <c r="IT21" i="1"/>
  <c r="KP21" i="1" s="1"/>
  <c r="IU21" i="1"/>
  <c r="KQ21" i="1" s="1"/>
  <c r="IV21" i="1"/>
  <c r="KR21" i="1" s="1"/>
  <c r="IW21" i="1"/>
  <c r="KS21" i="1" s="1"/>
  <c r="IX21" i="1"/>
  <c r="KT21" i="1" s="1"/>
  <c r="IY21" i="1"/>
  <c r="KU21" i="1" s="1"/>
  <c r="IZ21" i="1"/>
  <c r="KV21" i="1" s="1"/>
  <c r="JA21" i="1"/>
  <c r="KW21" i="1" s="1"/>
  <c r="JB21" i="1"/>
  <c r="KX21" i="1" s="1"/>
  <c r="JC21" i="1"/>
  <c r="KY21" i="1" s="1"/>
  <c r="JD21" i="1"/>
  <c r="KZ21" i="1" s="1"/>
  <c r="JE21" i="1"/>
  <c r="LA21" i="1" s="1"/>
  <c r="JF21" i="1"/>
  <c r="LB21" i="1" s="1"/>
  <c r="JG21" i="1"/>
  <c r="LC21" i="1" s="1"/>
  <c r="JH21" i="1"/>
  <c r="LD21" i="1" s="1"/>
  <c r="JI21" i="1"/>
  <c r="LE21" i="1" s="1"/>
  <c r="JJ21" i="1"/>
  <c r="LF21" i="1" s="1"/>
  <c r="JK21" i="1"/>
  <c r="LG21" i="1" s="1"/>
  <c r="JL21" i="1"/>
  <c r="LH21" i="1" s="1"/>
  <c r="JM21" i="1"/>
  <c r="LI21" i="1" s="1"/>
  <c r="JN21" i="1"/>
  <c r="LJ21" i="1" s="1"/>
  <c r="JO21" i="1"/>
  <c r="LK21" i="1" s="1"/>
  <c r="LL21" i="1"/>
  <c r="KF22" i="1"/>
  <c r="IK22" i="1"/>
  <c r="KG22" i="1" s="1"/>
  <c r="IL22" i="1"/>
  <c r="KH22" i="1" s="1"/>
  <c r="IM22" i="1"/>
  <c r="KI22" i="1" s="1"/>
  <c r="IN22" i="1"/>
  <c r="KJ22" i="1" s="1"/>
  <c r="IO22" i="1"/>
  <c r="KK22" i="1" s="1"/>
  <c r="IP22" i="1"/>
  <c r="KL22" i="1" s="1"/>
  <c r="IQ22" i="1"/>
  <c r="KM22" i="1" s="1"/>
  <c r="IR22" i="1"/>
  <c r="KN22" i="1" s="1"/>
  <c r="IS22" i="1"/>
  <c r="KO22" i="1" s="1"/>
  <c r="IT22" i="1"/>
  <c r="KP22" i="1" s="1"/>
  <c r="IU22" i="1"/>
  <c r="KQ22" i="1" s="1"/>
  <c r="IV22" i="1"/>
  <c r="KR22" i="1" s="1"/>
  <c r="IW22" i="1"/>
  <c r="KS22" i="1" s="1"/>
  <c r="IX22" i="1"/>
  <c r="KT22" i="1" s="1"/>
  <c r="IY22" i="1"/>
  <c r="KU22" i="1" s="1"/>
  <c r="IZ22" i="1"/>
  <c r="KV22" i="1" s="1"/>
  <c r="JA22" i="1"/>
  <c r="KW22" i="1" s="1"/>
  <c r="JB22" i="1"/>
  <c r="KX22" i="1" s="1"/>
  <c r="JC22" i="1"/>
  <c r="KY22" i="1" s="1"/>
  <c r="JD22" i="1"/>
  <c r="KZ22" i="1" s="1"/>
  <c r="JE22" i="1"/>
  <c r="LA22" i="1" s="1"/>
  <c r="JF22" i="1"/>
  <c r="LB22" i="1" s="1"/>
  <c r="JG22" i="1"/>
  <c r="LC22" i="1" s="1"/>
  <c r="JH22" i="1"/>
  <c r="LD22" i="1" s="1"/>
  <c r="JI22" i="1"/>
  <c r="LE22" i="1" s="1"/>
  <c r="JJ22" i="1"/>
  <c r="LF22" i="1" s="1"/>
  <c r="JK22" i="1"/>
  <c r="LG22" i="1" s="1"/>
  <c r="JL22" i="1"/>
  <c r="LH22" i="1" s="1"/>
  <c r="JM22" i="1"/>
  <c r="LI22" i="1" s="1"/>
  <c r="JN22" i="1"/>
  <c r="LJ22" i="1" s="1"/>
  <c r="JO22" i="1"/>
  <c r="LK22" i="1" s="1"/>
  <c r="LL22" i="1"/>
  <c r="KF87" i="1"/>
  <c r="IK87" i="1"/>
  <c r="KG87" i="1" s="1"/>
  <c r="IL87" i="1"/>
  <c r="KH87" i="1" s="1"/>
  <c r="IM87" i="1"/>
  <c r="KI87" i="1" s="1"/>
  <c r="IN87" i="1"/>
  <c r="KJ87" i="1" s="1"/>
  <c r="IO87" i="1"/>
  <c r="KK87" i="1" s="1"/>
  <c r="IP87" i="1"/>
  <c r="KL87" i="1" s="1"/>
  <c r="IQ87" i="1"/>
  <c r="KM87" i="1" s="1"/>
  <c r="IR87" i="1"/>
  <c r="KN87" i="1" s="1"/>
  <c r="IS87" i="1"/>
  <c r="KO87" i="1" s="1"/>
  <c r="IT87" i="1"/>
  <c r="KP87" i="1" s="1"/>
  <c r="IU87" i="1"/>
  <c r="KQ87" i="1" s="1"/>
  <c r="IV87" i="1"/>
  <c r="KR87" i="1" s="1"/>
  <c r="IW87" i="1"/>
  <c r="KS87" i="1" s="1"/>
  <c r="IX87" i="1"/>
  <c r="KT87" i="1" s="1"/>
  <c r="IY87" i="1"/>
  <c r="KU87" i="1" s="1"/>
  <c r="IZ87" i="1"/>
  <c r="KV87" i="1" s="1"/>
  <c r="JA87" i="1"/>
  <c r="KW87" i="1" s="1"/>
  <c r="JB87" i="1"/>
  <c r="KX87" i="1" s="1"/>
  <c r="JC87" i="1"/>
  <c r="KY87" i="1" s="1"/>
  <c r="JD87" i="1"/>
  <c r="KZ87" i="1" s="1"/>
  <c r="JE87" i="1"/>
  <c r="LA87" i="1" s="1"/>
  <c r="JF87" i="1"/>
  <c r="LB87" i="1" s="1"/>
  <c r="JG87" i="1"/>
  <c r="LC87" i="1" s="1"/>
  <c r="JH87" i="1"/>
  <c r="LD87" i="1" s="1"/>
  <c r="JI87" i="1"/>
  <c r="LE87" i="1" s="1"/>
  <c r="JJ87" i="1"/>
  <c r="LF87" i="1" s="1"/>
  <c r="JK87" i="1"/>
  <c r="LG87" i="1" s="1"/>
  <c r="JL87" i="1"/>
  <c r="LH87" i="1" s="1"/>
  <c r="JM87" i="1"/>
  <c r="LI87" i="1" s="1"/>
  <c r="JN87" i="1"/>
  <c r="LJ87" i="1" s="1"/>
  <c r="JO87" i="1"/>
  <c r="LK87" i="1" s="1"/>
  <c r="LL87" i="1"/>
  <c r="KF88" i="1"/>
  <c r="IK88" i="1"/>
  <c r="KG88" i="1" s="1"/>
  <c r="IL88" i="1"/>
  <c r="KH88" i="1" s="1"/>
  <c r="IM88" i="1"/>
  <c r="KI88" i="1" s="1"/>
  <c r="IN88" i="1"/>
  <c r="KJ88" i="1" s="1"/>
  <c r="IO88" i="1"/>
  <c r="KK88" i="1" s="1"/>
  <c r="IP88" i="1"/>
  <c r="KL88" i="1" s="1"/>
  <c r="IQ88" i="1"/>
  <c r="KM88" i="1" s="1"/>
  <c r="IR88" i="1"/>
  <c r="KN88" i="1" s="1"/>
  <c r="IS88" i="1"/>
  <c r="KO88" i="1" s="1"/>
  <c r="IT88" i="1"/>
  <c r="KP88" i="1" s="1"/>
  <c r="IU88" i="1"/>
  <c r="KQ88" i="1" s="1"/>
  <c r="IV88" i="1"/>
  <c r="KR88" i="1" s="1"/>
  <c r="IW88" i="1"/>
  <c r="KS88" i="1" s="1"/>
  <c r="IX88" i="1"/>
  <c r="KT88" i="1" s="1"/>
  <c r="IY88" i="1"/>
  <c r="KU88" i="1" s="1"/>
  <c r="IZ88" i="1"/>
  <c r="KV88" i="1" s="1"/>
  <c r="JA88" i="1"/>
  <c r="KW88" i="1" s="1"/>
  <c r="JB88" i="1"/>
  <c r="KX88" i="1" s="1"/>
  <c r="JC88" i="1"/>
  <c r="KY88" i="1" s="1"/>
  <c r="JD88" i="1"/>
  <c r="KZ88" i="1" s="1"/>
  <c r="JE88" i="1"/>
  <c r="LA88" i="1" s="1"/>
  <c r="JF88" i="1"/>
  <c r="LB88" i="1" s="1"/>
  <c r="JG88" i="1"/>
  <c r="LC88" i="1" s="1"/>
  <c r="JH88" i="1"/>
  <c r="LD88" i="1" s="1"/>
  <c r="JI88" i="1"/>
  <c r="LE88" i="1" s="1"/>
  <c r="JJ88" i="1"/>
  <c r="LF88" i="1" s="1"/>
  <c r="JK88" i="1"/>
  <c r="LG88" i="1" s="1"/>
  <c r="JL88" i="1"/>
  <c r="LH88" i="1" s="1"/>
  <c r="JM88" i="1"/>
  <c r="LI88" i="1" s="1"/>
  <c r="JN88" i="1"/>
  <c r="LJ88" i="1" s="1"/>
  <c r="JO88" i="1"/>
  <c r="LK88" i="1" s="1"/>
  <c r="LL88" i="1"/>
  <c r="KF89" i="1"/>
  <c r="IK89" i="1"/>
  <c r="KG89" i="1" s="1"/>
  <c r="IL89" i="1"/>
  <c r="KH89" i="1" s="1"/>
  <c r="IM89" i="1"/>
  <c r="KI89" i="1" s="1"/>
  <c r="IN89" i="1"/>
  <c r="KJ89" i="1" s="1"/>
  <c r="IO89" i="1"/>
  <c r="KK89" i="1" s="1"/>
  <c r="IP89" i="1"/>
  <c r="KL89" i="1" s="1"/>
  <c r="IQ89" i="1"/>
  <c r="KM89" i="1" s="1"/>
  <c r="IR89" i="1"/>
  <c r="KN89" i="1" s="1"/>
  <c r="IS89" i="1"/>
  <c r="KO89" i="1" s="1"/>
  <c r="IT89" i="1"/>
  <c r="KP89" i="1" s="1"/>
  <c r="IU89" i="1"/>
  <c r="KQ89" i="1" s="1"/>
  <c r="IV89" i="1"/>
  <c r="KR89" i="1" s="1"/>
  <c r="IW89" i="1"/>
  <c r="KS89" i="1" s="1"/>
  <c r="IX89" i="1"/>
  <c r="KT89" i="1" s="1"/>
  <c r="IY89" i="1"/>
  <c r="KU89" i="1" s="1"/>
  <c r="IZ89" i="1"/>
  <c r="KV89" i="1" s="1"/>
  <c r="JA89" i="1"/>
  <c r="KW89" i="1" s="1"/>
  <c r="JB89" i="1"/>
  <c r="KX89" i="1" s="1"/>
  <c r="JC89" i="1"/>
  <c r="KY89" i="1" s="1"/>
  <c r="JD89" i="1"/>
  <c r="KZ89" i="1" s="1"/>
  <c r="JE89" i="1"/>
  <c r="LA89" i="1" s="1"/>
  <c r="JF89" i="1"/>
  <c r="LB89" i="1" s="1"/>
  <c r="JG89" i="1"/>
  <c r="LC89" i="1" s="1"/>
  <c r="JH89" i="1"/>
  <c r="LD89" i="1" s="1"/>
  <c r="JI89" i="1"/>
  <c r="LE89" i="1" s="1"/>
  <c r="JJ89" i="1"/>
  <c r="LF89" i="1" s="1"/>
  <c r="JK89" i="1"/>
  <c r="LG89" i="1" s="1"/>
  <c r="JL89" i="1"/>
  <c r="LH89" i="1" s="1"/>
  <c r="JM89" i="1"/>
  <c r="LI89" i="1" s="1"/>
  <c r="JN89" i="1"/>
  <c r="LJ89" i="1" s="1"/>
  <c r="JO89" i="1"/>
  <c r="LK89" i="1" s="1"/>
  <c r="LL89" i="1"/>
  <c r="KF90" i="1"/>
  <c r="IK90" i="1"/>
  <c r="KG90" i="1" s="1"/>
  <c r="IL90" i="1"/>
  <c r="KH90" i="1" s="1"/>
  <c r="IM90" i="1"/>
  <c r="KI90" i="1" s="1"/>
  <c r="IN90" i="1"/>
  <c r="KJ90" i="1" s="1"/>
  <c r="IO90" i="1"/>
  <c r="KK90" i="1" s="1"/>
  <c r="IP90" i="1"/>
  <c r="KL90" i="1" s="1"/>
  <c r="IQ90" i="1"/>
  <c r="KM90" i="1" s="1"/>
  <c r="IR90" i="1"/>
  <c r="KN90" i="1" s="1"/>
  <c r="IS90" i="1"/>
  <c r="KO90" i="1" s="1"/>
  <c r="IT90" i="1"/>
  <c r="KP90" i="1" s="1"/>
  <c r="IU90" i="1"/>
  <c r="KQ90" i="1" s="1"/>
  <c r="IV90" i="1"/>
  <c r="KR90" i="1" s="1"/>
  <c r="IW90" i="1"/>
  <c r="KS90" i="1" s="1"/>
  <c r="IX90" i="1"/>
  <c r="KT90" i="1" s="1"/>
  <c r="IY90" i="1"/>
  <c r="KU90" i="1" s="1"/>
  <c r="IZ90" i="1"/>
  <c r="KV90" i="1" s="1"/>
  <c r="JA90" i="1"/>
  <c r="KW90" i="1" s="1"/>
  <c r="JB90" i="1"/>
  <c r="KX90" i="1" s="1"/>
  <c r="JC90" i="1"/>
  <c r="KY90" i="1" s="1"/>
  <c r="JD90" i="1"/>
  <c r="KZ90" i="1" s="1"/>
  <c r="JE90" i="1"/>
  <c r="LA90" i="1" s="1"/>
  <c r="JF90" i="1"/>
  <c r="LB90" i="1" s="1"/>
  <c r="JG90" i="1"/>
  <c r="LC90" i="1" s="1"/>
  <c r="JH90" i="1"/>
  <c r="LD90" i="1" s="1"/>
  <c r="JI90" i="1"/>
  <c r="LE90" i="1" s="1"/>
  <c r="JJ90" i="1"/>
  <c r="LF90" i="1" s="1"/>
  <c r="JK90" i="1"/>
  <c r="LG90" i="1" s="1"/>
  <c r="JL90" i="1"/>
  <c r="LH90" i="1" s="1"/>
  <c r="JM90" i="1"/>
  <c r="LI90" i="1" s="1"/>
  <c r="JN90" i="1"/>
  <c r="LJ90" i="1" s="1"/>
  <c r="JO90" i="1"/>
  <c r="LK90" i="1" s="1"/>
  <c r="LL90" i="1"/>
  <c r="KF91" i="1"/>
  <c r="IK91" i="1"/>
  <c r="KG91" i="1" s="1"/>
  <c r="IL91" i="1"/>
  <c r="KH91" i="1" s="1"/>
  <c r="IM91" i="1"/>
  <c r="KI91" i="1" s="1"/>
  <c r="IN91" i="1"/>
  <c r="KJ91" i="1" s="1"/>
  <c r="IO91" i="1"/>
  <c r="KK91" i="1" s="1"/>
  <c r="IP91" i="1"/>
  <c r="KL91" i="1" s="1"/>
  <c r="IQ91" i="1"/>
  <c r="KM91" i="1" s="1"/>
  <c r="IR91" i="1"/>
  <c r="KN91" i="1" s="1"/>
  <c r="IS91" i="1"/>
  <c r="KO91" i="1" s="1"/>
  <c r="IT91" i="1"/>
  <c r="KP91" i="1" s="1"/>
  <c r="IU91" i="1"/>
  <c r="KQ91" i="1" s="1"/>
  <c r="IV91" i="1"/>
  <c r="KR91" i="1" s="1"/>
  <c r="IW91" i="1"/>
  <c r="KS91" i="1" s="1"/>
  <c r="IX91" i="1"/>
  <c r="KT91" i="1" s="1"/>
  <c r="IY91" i="1"/>
  <c r="KU91" i="1" s="1"/>
  <c r="IZ91" i="1"/>
  <c r="KV91" i="1" s="1"/>
  <c r="JA91" i="1"/>
  <c r="KW91" i="1" s="1"/>
  <c r="JB91" i="1"/>
  <c r="KX91" i="1" s="1"/>
  <c r="JC91" i="1"/>
  <c r="KY91" i="1" s="1"/>
  <c r="JD91" i="1"/>
  <c r="KZ91" i="1" s="1"/>
  <c r="JE91" i="1"/>
  <c r="LA91" i="1" s="1"/>
  <c r="JF91" i="1"/>
  <c r="LB91" i="1" s="1"/>
  <c r="JG91" i="1"/>
  <c r="LC91" i="1" s="1"/>
  <c r="JH91" i="1"/>
  <c r="LD91" i="1" s="1"/>
  <c r="JI91" i="1"/>
  <c r="LE91" i="1" s="1"/>
  <c r="JJ91" i="1"/>
  <c r="LF91" i="1" s="1"/>
  <c r="JK91" i="1"/>
  <c r="LG91" i="1" s="1"/>
  <c r="JL91" i="1"/>
  <c r="LH91" i="1" s="1"/>
  <c r="JM91" i="1"/>
  <c r="LI91" i="1" s="1"/>
  <c r="JN91" i="1"/>
  <c r="LJ91" i="1" s="1"/>
  <c r="JO91" i="1"/>
  <c r="LK91" i="1" s="1"/>
  <c r="LL91" i="1"/>
  <c r="KF92" i="1"/>
  <c r="IK92" i="1"/>
  <c r="KG92" i="1" s="1"/>
  <c r="IL92" i="1"/>
  <c r="KH92" i="1" s="1"/>
  <c r="IM92" i="1"/>
  <c r="KI92" i="1" s="1"/>
  <c r="IN92" i="1"/>
  <c r="KJ92" i="1" s="1"/>
  <c r="IO92" i="1"/>
  <c r="KK92" i="1" s="1"/>
  <c r="IP92" i="1"/>
  <c r="KL92" i="1" s="1"/>
  <c r="IQ92" i="1"/>
  <c r="KM92" i="1" s="1"/>
  <c r="IR92" i="1"/>
  <c r="KN92" i="1" s="1"/>
  <c r="IS92" i="1"/>
  <c r="KO92" i="1" s="1"/>
  <c r="IT92" i="1"/>
  <c r="KP92" i="1" s="1"/>
  <c r="IU92" i="1"/>
  <c r="KQ92" i="1" s="1"/>
  <c r="IV92" i="1"/>
  <c r="KR92" i="1" s="1"/>
  <c r="IW92" i="1"/>
  <c r="KS92" i="1" s="1"/>
  <c r="IX92" i="1"/>
  <c r="KT92" i="1" s="1"/>
  <c r="IY92" i="1"/>
  <c r="KU92" i="1" s="1"/>
  <c r="IZ92" i="1"/>
  <c r="KV92" i="1" s="1"/>
  <c r="JA92" i="1"/>
  <c r="KW92" i="1" s="1"/>
  <c r="JB92" i="1"/>
  <c r="KX92" i="1" s="1"/>
  <c r="JC92" i="1"/>
  <c r="KY92" i="1" s="1"/>
  <c r="JD92" i="1"/>
  <c r="KZ92" i="1" s="1"/>
  <c r="JE92" i="1"/>
  <c r="LA92" i="1" s="1"/>
  <c r="JF92" i="1"/>
  <c r="LB92" i="1" s="1"/>
  <c r="JG92" i="1"/>
  <c r="LC92" i="1" s="1"/>
  <c r="JH92" i="1"/>
  <c r="LD92" i="1" s="1"/>
  <c r="JI92" i="1"/>
  <c r="LE92" i="1" s="1"/>
  <c r="JJ92" i="1"/>
  <c r="LF92" i="1" s="1"/>
  <c r="JK92" i="1"/>
  <c r="LG92" i="1" s="1"/>
  <c r="JL92" i="1"/>
  <c r="LH92" i="1" s="1"/>
  <c r="JM92" i="1"/>
  <c r="LI92" i="1" s="1"/>
  <c r="JN92" i="1"/>
  <c r="LJ92" i="1" s="1"/>
  <c r="JO92" i="1"/>
  <c r="LK92" i="1" s="1"/>
  <c r="LL92" i="1"/>
  <c r="KF23" i="1"/>
  <c r="IK23" i="1"/>
  <c r="KG23" i="1" s="1"/>
  <c r="IL23" i="1"/>
  <c r="KH23" i="1" s="1"/>
  <c r="IM23" i="1"/>
  <c r="KI23" i="1" s="1"/>
  <c r="IN23" i="1"/>
  <c r="KJ23" i="1" s="1"/>
  <c r="IO23" i="1"/>
  <c r="KK23" i="1" s="1"/>
  <c r="IP23" i="1"/>
  <c r="KL23" i="1" s="1"/>
  <c r="IQ23" i="1"/>
  <c r="KM23" i="1" s="1"/>
  <c r="IR23" i="1"/>
  <c r="KN23" i="1" s="1"/>
  <c r="IS23" i="1"/>
  <c r="KO23" i="1" s="1"/>
  <c r="IT23" i="1"/>
  <c r="KP23" i="1" s="1"/>
  <c r="IU23" i="1"/>
  <c r="KQ23" i="1" s="1"/>
  <c r="IV23" i="1"/>
  <c r="KR23" i="1" s="1"/>
  <c r="IW23" i="1"/>
  <c r="KS23" i="1" s="1"/>
  <c r="IX23" i="1"/>
  <c r="KT23" i="1" s="1"/>
  <c r="IY23" i="1"/>
  <c r="KU23" i="1" s="1"/>
  <c r="IZ23" i="1"/>
  <c r="KV23" i="1" s="1"/>
  <c r="JA23" i="1"/>
  <c r="KW23" i="1" s="1"/>
  <c r="JB23" i="1"/>
  <c r="KX23" i="1" s="1"/>
  <c r="JC23" i="1"/>
  <c r="KY23" i="1" s="1"/>
  <c r="JD23" i="1"/>
  <c r="KZ23" i="1" s="1"/>
  <c r="JE23" i="1"/>
  <c r="LA23" i="1" s="1"/>
  <c r="JF23" i="1"/>
  <c r="LB23" i="1" s="1"/>
  <c r="JG23" i="1"/>
  <c r="LC23" i="1" s="1"/>
  <c r="JH23" i="1"/>
  <c r="LD23" i="1" s="1"/>
  <c r="JI23" i="1"/>
  <c r="LE23" i="1" s="1"/>
  <c r="JJ23" i="1"/>
  <c r="LF23" i="1" s="1"/>
  <c r="JK23" i="1"/>
  <c r="LG23" i="1" s="1"/>
  <c r="JL23" i="1"/>
  <c r="LH23" i="1" s="1"/>
  <c r="JM23" i="1"/>
  <c r="LI23" i="1" s="1"/>
  <c r="JN23" i="1"/>
  <c r="LJ23" i="1" s="1"/>
  <c r="JO23" i="1"/>
  <c r="LK23" i="1" s="1"/>
  <c r="LL23" i="1"/>
  <c r="KF93" i="1"/>
  <c r="IK93" i="1"/>
  <c r="KG93" i="1" s="1"/>
  <c r="IL93" i="1"/>
  <c r="KH93" i="1" s="1"/>
  <c r="IM93" i="1"/>
  <c r="KI93" i="1" s="1"/>
  <c r="IN93" i="1"/>
  <c r="KJ93" i="1" s="1"/>
  <c r="IO93" i="1"/>
  <c r="KK93" i="1" s="1"/>
  <c r="IP93" i="1"/>
  <c r="KL93" i="1" s="1"/>
  <c r="IQ93" i="1"/>
  <c r="KM93" i="1" s="1"/>
  <c r="IR93" i="1"/>
  <c r="KN93" i="1" s="1"/>
  <c r="IS93" i="1"/>
  <c r="KO93" i="1" s="1"/>
  <c r="IT93" i="1"/>
  <c r="KP93" i="1" s="1"/>
  <c r="IU93" i="1"/>
  <c r="KQ93" i="1" s="1"/>
  <c r="IV93" i="1"/>
  <c r="KR93" i="1" s="1"/>
  <c r="IW93" i="1"/>
  <c r="KS93" i="1" s="1"/>
  <c r="IX93" i="1"/>
  <c r="KT93" i="1" s="1"/>
  <c r="IY93" i="1"/>
  <c r="KU93" i="1" s="1"/>
  <c r="IZ93" i="1"/>
  <c r="KV93" i="1" s="1"/>
  <c r="JA93" i="1"/>
  <c r="KW93" i="1" s="1"/>
  <c r="JB93" i="1"/>
  <c r="KX93" i="1" s="1"/>
  <c r="JC93" i="1"/>
  <c r="KY93" i="1" s="1"/>
  <c r="JD93" i="1"/>
  <c r="KZ93" i="1" s="1"/>
  <c r="JE93" i="1"/>
  <c r="LA93" i="1" s="1"/>
  <c r="JF93" i="1"/>
  <c r="LB93" i="1" s="1"/>
  <c r="JG93" i="1"/>
  <c r="LC93" i="1" s="1"/>
  <c r="JH93" i="1"/>
  <c r="LD93" i="1" s="1"/>
  <c r="JI93" i="1"/>
  <c r="LE93" i="1" s="1"/>
  <c r="JJ93" i="1"/>
  <c r="LF93" i="1" s="1"/>
  <c r="JK93" i="1"/>
  <c r="LG93" i="1" s="1"/>
  <c r="JL93" i="1"/>
  <c r="LH93" i="1" s="1"/>
  <c r="JM93" i="1"/>
  <c r="LI93" i="1" s="1"/>
  <c r="JN93" i="1"/>
  <c r="LJ93" i="1" s="1"/>
  <c r="JO93" i="1"/>
  <c r="LK93" i="1" s="1"/>
  <c r="LL93" i="1"/>
  <c r="KF94" i="1"/>
  <c r="IK94" i="1"/>
  <c r="KG94" i="1" s="1"/>
  <c r="IL94" i="1"/>
  <c r="KH94" i="1" s="1"/>
  <c r="IM94" i="1"/>
  <c r="KI94" i="1" s="1"/>
  <c r="IN94" i="1"/>
  <c r="KJ94" i="1" s="1"/>
  <c r="IO94" i="1"/>
  <c r="KK94" i="1" s="1"/>
  <c r="IP94" i="1"/>
  <c r="KL94" i="1" s="1"/>
  <c r="IQ94" i="1"/>
  <c r="KM94" i="1" s="1"/>
  <c r="IR94" i="1"/>
  <c r="KN94" i="1" s="1"/>
  <c r="IS94" i="1"/>
  <c r="KO94" i="1" s="1"/>
  <c r="IT94" i="1"/>
  <c r="KP94" i="1" s="1"/>
  <c r="IU94" i="1"/>
  <c r="KQ94" i="1" s="1"/>
  <c r="IV94" i="1"/>
  <c r="KR94" i="1" s="1"/>
  <c r="IW94" i="1"/>
  <c r="KS94" i="1" s="1"/>
  <c r="IX94" i="1"/>
  <c r="KT94" i="1" s="1"/>
  <c r="IY94" i="1"/>
  <c r="KU94" i="1" s="1"/>
  <c r="IZ94" i="1"/>
  <c r="KV94" i="1" s="1"/>
  <c r="JA94" i="1"/>
  <c r="KW94" i="1" s="1"/>
  <c r="JB94" i="1"/>
  <c r="KX94" i="1" s="1"/>
  <c r="JC94" i="1"/>
  <c r="KY94" i="1" s="1"/>
  <c r="JD94" i="1"/>
  <c r="KZ94" i="1" s="1"/>
  <c r="JE94" i="1"/>
  <c r="LA94" i="1" s="1"/>
  <c r="JF94" i="1"/>
  <c r="LB94" i="1" s="1"/>
  <c r="JG94" i="1"/>
  <c r="LC94" i="1" s="1"/>
  <c r="JH94" i="1"/>
  <c r="LD94" i="1" s="1"/>
  <c r="JI94" i="1"/>
  <c r="LE94" i="1" s="1"/>
  <c r="JJ94" i="1"/>
  <c r="LF94" i="1" s="1"/>
  <c r="JK94" i="1"/>
  <c r="LG94" i="1" s="1"/>
  <c r="JL94" i="1"/>
  <c r="LH94" i="1" s="1"/>
  <c r="JM94" i="1"/>
  <c r="LI94" i="1" s="1"/>
  <c r="JN94" i="1"/>
  <c r="LJ94" i="1" s="1"/>
  <c r="JO94" i="1"/>
  <c r="LK94" i="1" s="1"/>
  <c r="LL94" i="1"/>
  <c r="KF96" i="1"/>
  <c r="IK96" i="1"/>
  <c r="KG96" i="1" s="1"/>
  <c r="IL96" i="1"/>
  <c r="KH96" i="1" s="1"/>
  <c r="IM96" i="1"/>
  <c r="KI96" i="1" s="1"/>
  <c r="IN96" i="1"/>
  <c r="KJ96" i="1" s="1"/>
  <c r="IO96" i="1"/>
  <c r="KK96" i="1" s="1"/>
  <c r="IP96" i="1"/>
  <c r="KL96" i="1" s="1"/>
  <c r="IQ96" i="1"/>
  <c r="KM96" i="1" s="1"/>
  <c r="IR96" i="1"/>
  <c r="KN96" i="1" s="1"/>
  <c r="IS96" i="1"/>
  <c r="KO96" i="1" s="1"/>
  <c r="IT96" i="1"/>
  <c r="KP96" i="1" s="1"/>
  <c r="IU96" i="1"/>
  <c r="KQ96" i="1" s="1"/>
  <c r="IV96" i="1"/>
  <c r="KR96" i="1" s="1"/>
  <c r="IW96" i="1"/>
  <c r="KS96" i="1" s="1"/>
  <c r="IX96" i="1"/>
  <c r="KT96" i="1" s="1"/>
  <c r="IY96" i="1"/>
  <c r="KU96" i="1" s="1"/>
  <c r="IZ96" i="1"/>
  <c r="KV96" i="1" s="1"/>
  <c r="JA96" i="1"/>
  <c r="KW96" i="1" s="1"/>
  <c r="JB96" i="1"/>
  <c r="KX96" i="1" s="1"/>
  <c r="JC96" i="1"/>
  <c r="KY96" i="1" s="1"/>
  <c r="JD96" i="1"/>
  <c r="KZ96" i="1" s="1"/>
  <c r="JE96" i="1"/>
  <c r="LA96" i="1" s="1"/>
  <c r="JF96" i="1"/>
  <c r="LB96" i="1" s="1"/>
  <c r="JG96" i="1"/>
  <c r="LC96" i="1" s="1"/>
  <c r="JH96" i="1"/>
  <c r="LD96" i="1" s="1"/>
  <c r="JI96" i="1"/>
  <c r="LE96" i="1" s="1"/>
  <c r="JJ96" i="1"/>
  <c r="LF96" i="1" s="1"/>
  <c r="JK96" i="1"/>
  <c r="LG96" i="1" s="1"/>
  <c r="JL96" i="1"/>
  <c r="LH96" i="1" s="1"/>
  <c r="JM96" i="1"/>
  <c r="LI96" i="1" s="1"/>
  <c r="JN96" i="1"/>
  <c r="LJ96" i="1" s="1"/>
  <c r="JO96" i="1"/>
  <c r="LK96" i="1" s="1"/>
  <c r="LL96" i="1"/>
  <c r="KF95" i="1"/>
  <c r="IK95" i="1"/>
  <c r="KG95" i="1" s="1"/>
  <c r="IL95" i="1"/>
  <c r="KH95" i="1" s="1"/>
  <c r="IM95" i="1"/>
  <c r="KI95" i="1" s="1"/>
  <c r="IN95" i="1"/>
  <c r="KJ95" i="1" s="1"/>
  <c r="IO95" i="1"/>
  <c r="KK95" i="1" s="1"/>
  <c r="IP95" i="1"/>
  <c r="KL95" i="1" s="1"/>
  <c r="IQ95" i="1"/>
  <c r="KM95" i="1" s="1"/>
  <c r="IR95" i="1"/>
  <c r="KN95" i="1" s="1"/>
  <c r="IS95" i="1"/>
  <c r="KO95" i="1" s="1"/>
  <c r="IT95" i="1"/>
  <c r="KP95" i="1" s="1"/>
  <c r="IU95" i="1"/>
  <c r="KQ95" i="1" s="1"/>
  <c r="IV95" i="1"/>
  <c r="KR95" i="1" s="1"/>
  <c r="IW95" i="1"/>
  <c r="KS95" i="1" s="1"/>
  <c r="IX95" i="1"/>
  <c r="KT95" i="1" s="1"/>
  <c r="IY95" i="1"/>
  <c r="KU95" i="1" s="1"/>
  <c r="IZ95" i="1"/>
  <c r="KV95" i="1" s="1"/>
  <c r="JA95" i="1"/>
  <c r="KW95" i="1" s="1"/>
  <c r="JB95" i="1"/>
  <c r="KX95" i="1" s="1"/>
  <c r="JC95" i="1"/>
  <c r="KY95" i="1" s="1"/>
  <c r="JD95" i="1"/>
  <c r="KZ95" i="1" s="1"/>
  <c r="JE95" i="1"/>
  <c r="LA95" i="1" s="1"/>
  <c r="JF95" i="1"/>
  <c r="LB95" i="1" s="1"/>
  <c r="JG95" i="1"/>
  <c r="LC95" i="1" s="1"/>
  <c r="JH95" i="1"/>
  <c r="LD95" i="1" s="1"/>
  <c r="JI95" i="1"/>
  <c r="LE95" i="1" s="1"/>
  <c r="JJ95" i="1"/>
  <c r="LF95" i="1" s="1"/>
  <c r="JK95" i="1"/>
  <c r="LG95" i="1" s="1"/>
  <c r="JL95" i="1"/>
  <c r="LH95" i="1" s="1"/>
  <c r="JM95" i="1"/>
  <c r="LI95" i="1" s="1"/>
  <c r="JN95" i="1"/>
  <c r="LJ95" i="1" s="1"/>
  <c r="JO95" i="1"/>
  <c r="LK95" i="1" s="1"/>
  <c r="LL95" i="1"/>
  <c r="KF97" i="1"/>
  <c r="IK97" i="1"/>
  <c r="KG97" i="1" s="1"/>
  <c r="IL97" i="1"/>
  <c r="KH97" i="1" s="1"/>
  <c r="IM97" i="1"/>
  <c r="KI97" i="1" s="1"/>
  <c r="IN97" i="1"/>
  <c r="KJ97" i="1" s="1"/>
  <c r="IO97" i="1"/>
  <c r="KK97" i="1" s="1"/>
  <c r="IP97" i="1"/>
  <c r="KL97" i="1" s="1"/>
  <c r="IQ97" i="1"/>
  <c r="KM97" i="1" s="1"/>
  <c r="IR97" i="1"/>
  <c r="KN97" i="1" s="1"/>
  <c r="IS97" i="1"/>
  <c r="KO97" i="1" s="1"/>
  <c r="IT97" i="1"/>
  <c r="KP97" i="1" s="1"/>
  <c r="IU97" i="1"/>
  <c r="KQ97" i="1" s="1"/>
  <c r="IV97" i="1"/>
  <c r="KR97" i="1" s="1"/>
  <c r="IW97" i="1"/>
  <c r="KS97" i="1" s="1"/>
  <c r="IX97" i="1"/>
  <c r="KT97" i="1" s="1"/>
  <c r="IY97" i="1"/>
  <c r="KU97" i="1" s="1"/>
  <c r="IZ97" i="1"/>
  <c r="KV97" i="1" s="1"/>
  <c r="JA97" i="1"/>
  <c r="KW97" i="1" s="1"/>
  <c r="JB97" i="1"/>
  <c r="KX97" i="1" s="1"/>
  <c r="JC97" i="1"/>
  <c r="KY97" i="1" s="1"/>
  <c r="JD97" i="1"/>
  <c r="KZ97" i="1" s="1"/>
  <c r="JE97" i="1"/>
  <c r="LA97" i="1" s="1"/>
  <c r="JF97" i="1"/>
  <c r="LB97" i="1" s="1"/>
  <c r="JG97" i="1"/>
  <c r="LC97" i="1" s="1"/>
  <c r="JH97" i="1"/>
  <c r="LD97" i="1" s="1"/>
  <c r="JI97" i="1"/>
  <c r="LE97" i="1" s="1"/>
  <c r="JJ97" i="1"/>
  <c r="LF97" i="1" s="1"/>
  <c r="JK97" i="1"/>
  <c r="LG97" i="1" s="1"/>
  <c r="JL97" i="1"/>
  <c r="LH97" i="1" s="1"/>
  <c r="JM97" i="1"/>
  <c r="LI97" i="1" s="1"/>
  <c r="JN97" i="1"/>
  <c r="LJ97" i="1" s="1"/>
  <c r="JO97" i="1"/>
  <c r="LK97" i="1" s="1"/>
  <c r="LL97" i="1"/>
  <c r="KF98" i="1"/>
  <c r="IK98" i="1"/>
  <c r="KG98" i="1" s="1"/>
  <c r="IL98" i="1"/>
  <c r="KH98" i="1" s="1"/>
  <c r="IM98" i="1"/>
  <c r="KI98" i="1" s="1"/>
  <c r="IN98" i="1"/>
  <c r="KJ98" i="1" s="1"/>
  <c r="IO98" i="1"/>
  <c r="KK98" i="1" s="1"/>
  <c r="IP98" i="1"/>
  <c r="KL98" i="1" s="1"/>
  <c r="IQ98" i="1"/>
  <c r="KM98" i="1" s="1"/>
  <c r="IR98" i="1"/>
  <c r="KN98" i="1" s="1"/>
  <c r="IS98" i="1"/>
  <c r="KO98" i="1" s="1"/>
  <c r="IT98" i="1"/>
  <c r="KP98" i="1" s="1"/>
  <c r="IU98" i="1"/>
  <c r="KQ98" i="1" s="1"/>
  <c r="IV98" i="1"/>
  <c r="KR98" i="1" s="1"/>
  <c r="IW98" i="1"/>
  <c r="KS98" i="1" s="1"/>
  <c r="IX98" i="1"/>
  <c r="KT98" i="1" s="1"/>
  <c r="IY98" i="1"/>
  <c r="KU98" i="1" s="1"/>
  <c r="IZ98" i="1"/>
  <c r="KV98" i="1" s="1"/>
  <c r="JA98" i="1"/>
  <c r="KW98" i="1" s="1"/>
  <c r="JB98" i="1"/>
  <c r="KX98" i="1" s="1"/>
  <c r="JC98" i="1"/>
  <c r="KY98" i="1" s="1"/>
  <c r="JD98" i="1"/>
  <c r="KZ98" i="1" s="1"/>
  <c r="JE98" i="1"/>
  <c r="LA98" i="1" s="1"/>
  <c r="JF98" i="1"/>
  <c r="LB98" i="1" s="1"/>
  <c r="JG98" i="1"/>
  <c r="LC98" i="1" s="1"/>
  <c r="JH98" i="1"/>
  <c r="LD98" i="1" s="1"/>
  <c r="JI98" i="1"/>
  <c r="LE98" i="1" s="1"/>
  <c r="JJ98" i="1"/>
  <c r="LF98" i="1" s="1"/>
  <c r="JK98" i="1"/>
  <c r="LG98" i="1" s="1"/>
  <c r="JL98" i="1"/>
  <c r="LH98" i="1" s="1"/>
  <c r="JM98" i="1"/>
  <c r="LI98" i="1" s="1"/>
  <c r="JN98" i="1"/>
  <c r="LJ98" i="1" s="1"/>
  <c r="JO98" i="1"/>
  <c r="LK98" i="1" s="1"/>
  <c r="LL98" i="1"/>
  <c r="KF99" i="1"/>
  <c r="IK99" i="1"/>
  <c r="KG99" i="1" s="1"/>
  <c r="IL99" i="1"/>
  <c r="KH99" i="1" s="1"/>
  <c r="IM99" i="1"/>
  <c r="KI99" i="1" s="1"/>
  <c r="IN99" i="1"/>
  <c r="KJ99" i="1" s="1"/>
  <c r="IO99" i="1"/>
  <c r="KK99" i="1" s="1"/>
  <c r="IP99" i="1"/>
  <c r="KL99" i="1" s="1"/>
  <c r="IQ99" i="1"/>
  <c r="KM99" i="1" s="1"/>
  <c r="IR99" i="1"/>
  <c r="KN99" i="1" s="1"/>
  <c r="IS99" i="1"/>
  <c r="KO99" i="1" s="1"/>
  <c r="IT99" i="1"/>
  <c r="KP99" i="1" s="1"/>
  <c r="IU99" i="1"/>
  <c r="KQ99" i="1" s="1"/>
  <c r="IV99" i="1"/>
  <c r="KR99" i="1" s="1"/>
  <c r="IW99" i="1"/>
  <c r="KS99" i="1" s="1"/>
  <c r="IX99" i="1"/>
  <c r="KT99" i="1" s="1"/>
  <c r="IY99" i="1"/>
  <c r="KU99" i="1" s="1"/>
  <c r="IZ99" i="1"/>
  <c r="KV99" i="1" s="1"/>
  <c r="JA99" i="1"/>
  <c r="KW99" i="1" s="1"/>
  <c r="JB99" i="1"/>
  <c r="KX99" i="1" s="1"/>
  <c r="JC99" i="1"/>
  <c r="KY99" i="1" s="1"/>
  <c r="JD99" i="1"/>
  <c r="KZ99" i="1" s="1"/>
  <c r="JE99" i="1"/>
  <c r="LA99" i="1" s="1"/>
  <c r="JF99" i="1"/>
  <c r="LB99" i="1" s="1"/>
  <c r="JG99" i="1"/>
  <c r="LC99" i="1" s="1"/>
  <c r="JH99" i="1"/>
  <c r="LD99" i="1" s="1"/>
  <c r="JI99" i="1"/>
  <c r="LE99" i="1" s="1"/>
  <c r="JJ99" i="1"/>
  <c r="LF99" i="1" s="1"/>
  <c r="JK99" i="1"/>
  <c r="LG99" i="1" s="1"/>
  <c r="JL99" i="1"/>
  <c r="LH99" i="1" s="1"/>
  <c r="JM99" i="1"/>
  <c r="LI99" i="1" s="1"/>
  <c r="JN99" i="1"/>
  <c r="LJ99" i="1" s="1"/>
  <c r="JO99" i="1"/>
  <c r="LK99" i="1" s="1"/>
  <c r="LL99" i="1"/>
  <c r="KF24" i="1"/>
  <c r="IK24" i="1"/>
  <c r="KG24" i="1" s="1"/>
  <c r="IL24" i="1"/>
  <c r="KH24" i="1" s="1"/>
  <c r="IM24" i="1"/>
  <c r="KI24" i="1" s="1"/>
  <c r="IN24" i="1"/>
  <c r="KJ24" i="1" s="1"/>
  <c r="IO24" i="1"/>
  <c r="KK24" i="1" s="1"/>
  <c r="IP24" i="1"/>
  <c r="KL24" i="1" s="1"/>
  <c r="IQ24" i="1"/>
  <c r="KM24" i="1" s="1"/>
  <c r="IR24" i="1"/>
  <c r="KN24" i="1" s="1"/>
  <c r="IS24" i="1"/>
  <c r="KO24" i="1" s="1"/>
  <c r="IT24" i="1"/>
  <c r="KP24" i="1" s="1"/>
  <c r="IU24" i="1"/>
  <c r="KQ24" i="1" s="1"/>
  <c r="IV24" i="1"/>
  <c r="KR24" i="1" s="1"/>
  <c r="IW24" i="1"/>
  <c r="KS24" i="1" s="1"/>
  <c r="IX24" i="1"/>
  <c r="KT24" i="1" s="1"/>
  <c r="IY24" i="1"/>
  <c r="KU24" i="1" s="1"/>
  <c r="IZ24" i="1"/>
  <c r="KV24" i="1" s="1"/>
  <c r="JA24" i="1"/>
  <c r="KW24" i="1" s="1"/>
  <c r="JB24" i="1"/>
  <c r="KX24" i="1" s="1"/>
  <c r="JC24" i="1"/>
  <c r="KY24" i="1" s="1"/>
  <c r="JD24" i="1"/>
  <c r="KZ24" i="1" s="1"/>
  <c r="JE24" i="1"/>
  <c r="LA24" i="1" s="1"/>
  <c r="JF24" i="1"/>
  <c r="LB24" i="1" s="1"/>
  <c r="JG24" i="1"/>
  <c r="LC24" i="1" s="1"/>
  <c r="JH24" i="1"/>
  <c r="LD24" i="1" s="1"/>
  <c r="JI24" i="1"/>
  <c r="LE24" i="1" s="1"/>
  <c r="JJ24" i="1"/>
  <c r="LF24" i="1" s="1"/>
  <c r="JK24" i="1"/>
  <c r="LG24" i="1" s="1"/>
  <c r="JL24" i="1"/>
  <c r="LH24" i="1" s="1"/>
  <c r="JM24" i="1"/>
  <c r="LI24" i="1" s="1"/>
  <c r="JN24" i="1"/>
  <c r="LJ24" i="1" s="1"/>
  <c r="JO24" i="1"/>
  <c r="LK24" i="1" s="1"/>
  <c r="LL24" i="1"/>
  <c r="KF25" i="1"/>
  <c r="IK25" i="1"/>
  <c r="KG25" i="1" s="1"/>
  <c r="IL25" i="1"/>
  <c r="KH25" i="1" s="1"/>
  <c r="IM25" i="1"/>
  <c r="KI25" i="1" s="1"/>
  <c r="IN25" i="1"/>
  <c r="KJ25" i="1" s="1"/>
  <c r="IO25" i="1"/>
  <c r="KK25" i="1" s="1"/>
  <c r="IP25" i="1"/>
  <c r="KL25" i="1" s="1"/>
  <c r="IQ25" i="1"/>
  <c r="KM25" i="1" s="1"/>
  <c r="IR25" i="1"/>
  <c r="KN25" i="1" s="1"/>
  <c r="IS25" i="1"/>
  <c r="KO25" i="1" s="1"/>
  <c r="IT25" i="1"/>
  <c r="KP25" i="1" s="1"/>
  <c r="IU25" i="1"/>
  <c r="KQ25" i="1" s="1"/>
  <c r="IV25" i="1"/>
  <c r="KR25" i="1" s="1"/>
  <c r="IW25" i="1"/>
  <c r="KS25" i="1" s="1"/>
  <c r="IX25" i="1"/>
  <c r="KT25" i="1" s="1"/>
  <c r="IY25" i="1"/>
  <c r="KU25" i="1" s="1"/>
  <c r="IZ25" i="1"/>
  <c r="KV25" i="1" s="1"/>
  <c r="JA25" i="1"/>
  <c r="KW25" i="1" s="1"/>
  <c r="JB25" i="1"/>
  <c r="KX25" i="1" s="1"/>
  <c r="JC25" i="1"/>
  <c r="KY25" i="1" s="1"/>
  <c r="JD25" i="1"/>
  <c r="KZ25" i="1" s="1"/>
  <c r="JE25" i="1"/>
  <c r="LA25" i="1" s="1"/>
  <c r="JF25" i="1"/>
  <c r="LB25" i="1" s="1"/>
  <c r="JG25" i="1"/>
  <c r="LC25" i="1" s="1"/>
  <c r="JH25" i="1"/>
  <c r="LD25" i="1" s="1"/>
  <c r="JI25" i="1"/>
  <c r="LE25" i="1" s="1"/>
  <c r="JJ25" i="1"/>
  <c r="LF25" i="1" s="1"/>
  <c r="JK25" i="1"/>
  <c r="LG25" i="1" s="1"/>
  <c r="JL25" i="1"/>
  <c r="LH25" i="1" s="1"/>
  <c r="JM25" i="1"/>
  <c r="LI25" i="1" s="1"/>
  <c r="JN25" i="1"/>
  <c r="LJ25" i="1" s="1"/>
  <c r="JO25" i="1"/>
  <c r="LK25" i="1" s="1"/>
  <c r="LL25" i="1"/>
  <c r="KF26" i="1"/>
  <c r="IK26" i="1"/>
  <c r="KG26" i="1" s="1"/>
  <c r="IL26" i="1"/>
  <c r="KH26" i="1" s="1"/>
  <c r="IM26" i="1"/>
  <c r="KI26" i="1" s="1"/>
  <c r="IN26" i="1"/>
  <c r="KJ26" i="1" s="1"/>
  <c r="IO26" i="1"/>
  <c r="KK26" i="1" s="1"/>
  <c r="IP26" i="1"/>
  <c r="KL26" i="1" s="1"/>
  <c r="IQ26" i="1"/>
  <c r="KM26" i="1" s="1"/>
  <c r="IR26" i="1"/>
  <c r="KN26" i="1" s="1"/>
  <c r="IS26" i="1"/>
  <c r="KO26" i="1" s="1"/>
  <c r="IT26" i="1"/>
  <c r="KP26" i="1" s="1"/>
  <c r="IU26" i="1"/>
  <c r="KQ26" i="1" s="1"/>
  <c r="IV26" i="1"/>
  <c r="KR26" i="1" s="1"/>
  <c r="IW26" i="1"/>
  <c r="KS26" i="1" s="1"/>
  <c r="IX26" i="1"/>
  <c r="KT26" i="1" s="1"/>
  <c r="IY26" i="1"/>
  <c r="KU26" i="1" s="1"/>
  <c r="IZ26" i="1"/>
  <c r="KV26" i="1" s="1"/>
  <c r="JA26" i="1"/>
  <c r="KW26" i="1" s="1"/>
  <c r="JB26" i="1"/>
  <c r="KX26" i="1" s="1"/>
  <c r="JC26" i="1"/>
  <c r="KY26" i="1" s="1"/>
  <c r="JD26" i="1"/>
  <c r="KZ26" i="1" s="1"/>
  <c r="JE26" i="1"/>
  <c r="LA26" i="1" s="1"/>
  <c r="JF26" i="1"/>
  <c r="LB26" i="1" s="1"/>
  <c r="JG26" i="1"/>
  <c r="LC26" i="1" s="1"/>
  <c r="JH26" i="1"/>
  <c r="LD26" i="1" s="1"/>
  <c r="JI26" i="1"/>
  <c r="LE26" i="1" s="1"/>
  <c r="JJ26" i="1"/>
  <c r="LF26" i="1" s="1"/>
  <c r="JK26" i="1"/>
  <c r="LG26" i="1" s="1"/>
  <c r="JL26" i="1"/>
  <c r="LH26" i="1" s="1"/>
  <c r="JM26" i="1"/>
  <c r="LI26" i="1" s="1"/>
  <c r="JN26" i="1"/>
  <c r="LJ26" i="1" s="1"/>
  <c r="JO26" i="1"/>
  <c r="LK26" i="1" s="1"/>
  <c r="LL26" i="1"/>
  <c r="KF100" i="1"/>
  <c r="IK100" i="1"/>
  <c r="KG100" i="1" s="1"/>
  <c r="IL100" i="1"/>
  <c r="KH100" i="1" s="1"/>
  <c r="IM100" i="1"/>
  <c r="KI100" i="1" s="1"/>
  <c r="IN100" i="1"/>
  <c r="KJ100" i="1" s="1"/>
  <c r="IO100" i="1"/>
  <c r="KK100" i="1" s="1"/>
  <c r="IP100" i="1"/>
  <c r="KL100" i="1" s="1"/>
  <c r="IQ100" i="1"/>
  <c r="KM100" i="1" s="1"/>
  <c r="IR100" i="1"/>
  <c r="KN100" i="1" s="1"/>
  <c r="IS100" i="1"/>
  <c r="KO100" i="1" s="1"/>
  <c r="IT100" i="1"/>
  <c r="KP100" i="1" s="1"/>
  <c r="IU100" i="1"/>
  <c r="KQ100" i="1" s="1"/>
  <c r="IV100" i="1"/>
  <c r="KR100" i="1" s="1"/>
  <c r="IW100" i="1"/>
  <c r="KS100" i="1" s="1"/>
  <c r="IX100" i="1"/>
  <c r="KT100" i="1" s="1"/>
  <c r="IY100" i="1"/>
  <c r="KU100" i="1" s="1"/>
  <c r="IZ100" i="1"/>
  <c r="KV100" i="1" s="1"/>
  <c r="JA100" i="1"/>
  <c r="KW100" i="1" s="1"/>
  <c r="JB100" i="1"/>
  <c r="KX100" i="1" s="1"/>
  <c r="JC100" i="1"/>
  <c r="KY100" i="1" s="1"/>
  <c r="JD100" i="1"/>
  <c r="KZ100" i="1" s="1"/>
  <c r="JE100" i="1"/>
  <c r="LA100" i="1" s="1"/>
  <c r="JF100" i="1"/>
  <c r="LB100" i="1" s="1"/>
  <c r="JG100" i="1"/>
  <c r="LC100" i="1" s="1"/>
  <c r="JH100" i="1"/>
  <c r="LD100" i="1" s="1"/>
  <c r="JI100" i="1"/>
  <c r="LE100" i="1" s="1"/>
  <c r="JJ100" i="1"/>
  <c r="LF100" i="1" s="1"/>
  <c r="JK100" i="1"/>
  <c r="LG100" i="1" s="1"/>
  <c r="JL100" i="1"/>
  <c r="LH100" i="1" s="1"/>
  <c r="JM100" i="1"/>
  <c r="LI100" i="1" s="1"/>
  <c r="JN100" i="1"/>
  <c r="LJ100" i="1" s="1"/>
  <c r="JO100" i="1"/>
  <c r="LK100" i="1" s="1"/>
  <c r="LL100" i="1"/>
  <c r="KF27" i="1"/>
  <c r="IK27" i="1"/>
  <c r="KG27" i="1" s="1"/>
  <c r="IL27" i="1"/>
  <c r="KH27" i="1" s="1"/>
  <c r="IM27" i="1"/>
  <c r="KI27" i="1" s="1"/>
  <c r="IN27" i="1"/>
  <c r="KJ27" i="1" s="1"/>
  <c r="IO27" i="1"/>
  <c r="KK27" i="1" s="1"/>
  <c r="IP27" i="1"/>
  <c r="KL27" i="1" s="1"/>
  <c r="IQ27" i="1"/>
  <c r="KM27" i="1" s="1"/>
  <c r="IR27" i="1"/>
  <c r="KN27" i="1" s="1"/>
  <c r="IS27" i="1"/>
  <c r="KO27" i="1" s="1"/>
  <c r="IT27" i="1"/>
  <c r="KP27" i="1" s="1"/>
  <c r="IU27" i="1"/>
  <c r="KQ27" i="1" s="1"/>
  <c r="IV27" i="1"/>
  <c r="KR27" i="1" s="1"/>
  <c r="IW27" i="1"/>
  <c r="KS27" i="1" s="1"/>
  <c r="IX27" i="1"/>
  <c r="KT27" i="1" s="1"/>
  <c r="IY27" i="1"/>
  <c r="KU27" i="1" s="1"/>
  <c r="IZ27" i="1"/>
  <c r="KV27" i="1" s="1"/>
  <c r="JA27" i="1"/>
  <c r="KW27" i="1" s="1"/>
  <c r="JB27" i="1"/>
  <c r="KX27" i="1" s="1"/>
  <c r="JC27" i="1"/>
  <c r="KY27" i="1" s="1"/>
  <c r="JD27" i="1"/>
  <c r="KZ27" i="1" s="1"/>
  <c r="JE27" i="1"/>
  <c r="LA27" i="1" s="1"/>
  <c r="JF27" i="1"/>
  <c r="LB27" i="1" s="1"/>
  <c r="JG27" i="1"/>
  <c r="LC27" i="1" s="1"/>
  <c r="JH27" i="1"/>
  <c r="LD27" i="1" s="1"/>
  <c r="JI27" i="1"/>
  <c r="LE27" i="1" s="1"/>
  <c r="JJ27" i="1"/>
  <c r="LF27" i="1" s="1"/>
  <c r="JK27" i="1"/>
  <c r="LG27" i="1" s="1"/>
  <c r="JL27" i="1"/>
  <c r="LH27" i="1" s="1"/>
  <c r="JM27" i="1"/>
  <c r="LI27" i="1" s="1"/>
  <c r="JN27" i="1"/>
  <c r="LJ27" i="1" s="1"/>
  <c r="JO27" i="1"/>
  <c r="LK27" i="1" s="1"/>
  <c r="LL27" i="1"/>
  <c r="KF101" i="1"/>
  <c r="IK101" i="1"/>
  <c r="KG101" i="1" s="1"/>
  <c r="IL101" i="1"/>
  <c r="KH101" i="1" s="1"/>
  <c r="IM101" i="1"/>
  <c r="KI101" i="1" s="1"/>
  <c r="IN101" i="1"/>
  <c r="KJ101" i="1" s="1"/>
  <c r="IO101" i="1"/>
  <c r="KK101" i="1" s="1"/>
  <c r="IP101" i="1"/>
  <c r="KL101" i="1" s="1"/>
  <c r="IQ101" i="1"/>
  <c r="KM101" i="1" s="1"/>
  <c r="IR101" i="1"/>
  <c r="KN101" i="1" s="1"/>
  <c r="IS101" i="1"/>
  <c r="KO101" i="1" s="1"/>
  <c r="IT101" i="1"/>
  <c r="KP101" i="1" s="1"/>
  <c r="IU101" i="1"/>
  <c r="KQ101" i="1" s="1"/>
  <c r="IV101" i="1"/>
  <c r="KR101" i="1" s="1"/>
  <c r="IW101" i="1"/>
  <c r="KS101" i="1" s="1"/>
  <c r="IX101" i="1"/>
  <c r="KT101" i="1" s="1"/>
  <c r="IY101" i="1"/>
  <c r="KU101" i="1" s="1"/>
  <c r="IZ101" i="1"/>
  <c r="KV101" i="1" s="1"/>
  <c r="JA101" i="1"/>
  <c r="KW101" i="1" s="1"/>
  <c r="JB101" i="1"/>
  <c r="KX101" i="1" s="1"/>
  <c r="JC101" i="1"/>
  <c r="KY101" i="1" s="1"/>
  <c r="JD101" i="1"/>
  <c r="KZ101" i="1" s="1"/>
  <c r="JE101" i="1"/>
  <c r="LA101" i="1" s="1"/>
  <c r="JF101" i="1"/>
  <c r="LB101" i="1" s="1"/>
  <c r="JG101" i="1"/>
  <c r="LC101" i="1" s="1"/>
  <c r="JH101" i="1"/>
  <c r="LD101" i="1" s="1"/>
  <c r="JI101" i="1"/>
  <c r="LE101" i="1" s="1"/>
  <c r="JJ101" i="1"/>
  <c r="LF101" i="1" s="1"/>
  <c r="JK101" i="1"/>
  <c r="LG101" i="1" s="1"/>
  <c r="JL101" i="1"/>
  <c r="LH101" i="1" s="1"/>
  <c r="JM101" i="1"/>
  <c r="LI101" i="1" s="1"/>
  <c r="JN101" i="1"/>
  <c r="LJ101" i="1" s="1"/>
  <c r="JO101" i="1"/>
  <c r="LK101" i="1" s="1"/>
  <c r="LL101" i="1"/>
  <c r="KF102" i="1"/>
  <c r="IK102" i="1"/>
  <c r="KG102" i="1" s="1"/>
  <c r="IL102" i="1"/>
  <c r="KH102" i="1" s="1"/>
  <c r="IM102" i="1"/>
  <c r="KI102" i="1" s="1"/>
  <c r="IN102" i="1"/>
  <c r="KJ102" i="1" s="1"/>
  <c r="IO102" i="1"/>
  <c r="KK102" i="1" s="1"/>
  <c r="IP102" i="1"/>
  <c r="KL102" i="1" s="1"/>
  <c r="IQ102" i="1"/>
  <c r="KM102" i="1" s="1"/>
  <c r="IR102" i="1"/>
  <c r="KN102" i="1" s="1"/>
  <c r="IS102" i="1"/>
  <c r="KO102" i="1" s="1"/>
  <c r="IT102" i="1"/>
  <c r="KP102" i="1" s="1"/>
  <c r="IU102" i="1"/>
  <c r="KQ102" i="1" s="1"/>
  <c r="IV102" i="1"/>
  <c r="KR102" i="1" s="1"/>
  <c r="IW102" i="1"/>
  <c r="KS102" i="1" s="1"/>
  <c r="IX102" i="1"/>
  <c r="KT102" i="1" s="1"/>
  <c r="IY102" i="1"/>
  <c r="KU102" i="1" s="1"/>
  <c r="IZ102" i="1"/>
  <c r="KV102" i="1" s="1"/>
  <c r="JA102" i="1"/>
  <c r="KW102" i="1" s="1"/>
  <c r="JB102" i="1"/>
  <c r="KX102" i="1" s="1"/>
  <c r="JC102" i="1"/>
  <c r="KY102" i="1" s="1"/>
  <c r="JD102" i="1"/>
  <c r="KZ102" i="1" s="1"/>
  <c r="JE102" i="1"/>
  <c r="LA102" i="1" s="1"/>
  <c r="JF102" i="1"/>
  <c r="LB102" i="1" s="1"/>
  <c r="JG102" i="1"/>
  <c r="LC102" i="1" s="1"/>
  <c r="JH102" i="1"/>
  <c r="LD102" i="1" s="1"/>
  <c r="JI102" i="1"/>
  <c r="LE102" i="1" s="1"/>
  <c r="JJ102" i="1"/>
  <c r="LF102" i="1" s="1"/>
  <c r="JK102" i="1"/>
  <c r="LG102" i="1" s="1"/>
  <c r="JL102" i="1"/>
  <c r="LH102" i="1" s="1"/>
  <c r="JM102" i="1"/>
  <c r="LI102" i="1" s="1"/>
  <c r="JN102" i="1"/>
  <c r="LJ102" i="1" s="1"/>
  <c r="JO102" i="1"/>
  <c r="LK102" i="1" s="1"/>
  <c r="LL102" i="1"/>
  <c r="KF103" i="1"/>
  <c r="IK103" i="1"/>
  <c r="KG103" i="1" s="1"/>
  <c r="IL103" i="1"/>
  <c r="KH103" i="1" s="1"/>
  <c r="IM103" i="1"/>
  <c r="KI103" i="1" s="1"/>
  <c r="IN103" i="1"/>
  <c r="KJ103" i="1" s="1"/>
  <c r="IO103" i="1"/>
  <c r="KK103" i="1" s="1"/>
  <c r="IP103" i="1"/>
  <c r="KL103" i="1" s="1"/>
  <c r="IQ103" i="1"/>
  <c r="KM103" i="1" s="1"/>
  <c r="IR103" i="1"/>
  <c r="KN103" i="1" s="1"/>
  <c r="IS103" i="1"/>
  <c r="KO103" i="1" s="1"/>
  <c r="IT103" i="1"/>
  <c r="KP103" i="1" s="1"/>
  <c r="IU103" i="1"/>
  <c r="KQ103" i="1" s="1"/>
  <c r="IV103" i="1"/>
  <c r="KR103" i="1" s="1"/>
  <c r="IW103" i="1"/>
  <c r="KS103" i="1" s="1"/>
  <c r="IX103" i="1"/>
  <c r="KT103" i="1" s="1"/>
  <c r="IY103" i="1"/>
  <c r="KU103" i="1" s="1"/>
  <c r="IZ103" i="1"/>
  <c r="KV103" i="1" s="1"/>
  <c r="JA103" i="1"/>
  <c r="KW103" i="1" s="1"/>
  <c r="JB103" i="1"/>
  <c r="KX103" i="1" s="1"/>
  <c r="JC103" i="1"/>
  <c r="KY103" i="1" s="1"/>
  <c r="JD103" i="1"/>
  <c r="KZ103" i="1" s="1"/>
  <c r="JE103" i="1"/>
  <c r="LA103" i="1" s="1"/>
  <c r="JF103" i="1"/>
  <c r="LB103" i="1" s="1"/>
  <c r="JG103" i="1"/>
  <c r="LC103" i="1" s="1"/>
  <c r="JH103" i="1"/>
  <c r="LD103" i="1" s="1"/>
  <c r="JI103" i="1"/>
  <c r="LE103" i="1" s="1"/>
  <c r="JJ103" i="1"/>
  <c r="LF103" i="1" s="1"/>
  <c r="JK103" i="1"/>
  <c r="LG103" i="1" s="1"/>
  <c r="JL103" i="1"/>
  <c r="LH103" i="1" s="1"/>
  <c r="JM103" i="1"/>
  <c r="LI103" i="1" s="1"/>
  <c r="JN103" i="1"/>
  <c r="LJ103" i="1" s="1"/>
  <c r="JO103" i="1"/>
  <c r="LK103" i="1" s="1"/>
  <c r="LL103" i="1"/>
  <c r="KF28" i="1"/>
  <c r="IK28" i="1"/>
  <c r="KG28" i="1" s="1"/>
  <c r="IL28" i="1"/>
  <c r="KH28" i="1" s="1"/>
  <c r="IM28" i="1"/>
  <c r="KI28" i="1" s="1"/>
  <c r="IN28" i="1"/>
  <c r="KJ28" i="1" s="1"/>
  <c r="IO28" i="1"/>
  <c r="KK28" i="1" s="1"/>
  <c r="IP28" i="1"/>
  <c r="KL28" i="1" s="1"/>
  <c r="IQ28" i="1"/>
  <c r="KM28" i="1" s="1"/>
  <c r="IR28" i="1"/>
  <c r="KN28" i="1" s="1"/>
  <c r="IS28" i="1"/>
  <c r="KO28" i="1" s="1"/>
  <c r="IT28" i="1"/>
  <c r="KP28" i="1" s="1"/>
  <c r="IU28" i="1"/>
  <c r="KQ28" i="1" s="1"/>
  <c r="IV28" i="1"/>
  <c r="KR28" i="1" s="1"/>
  <c r="IW28" i="1"/>
  <c r="KS28" i="1" s="1"/>
  <c r="IX28" i="1"/>
  <c r="KT28" i="1" s="1"/>
  <c r="IY28" i="1"/>
  <c r="KU28" i="1" s="1"/>
  <c r="IZ28" i="1"/>
  <c r="KV28" i="1" s="1"/>
  <c r="JA28" i="1"/>
  <c r="KW28" i="1" s="1"/>
  <c r="JB28" i="1"/>
  <c r="KX28" i="1" s="1"/>
  <c r="JC28" i="1"/>
  <c r="KY28" i="1" s="1"/>
  <c r="JD28" i="1"/>
  <c r="KZ28" i="1" s="1"/>
  <c r="JE28" i="1"/>
  <c r="LA28" i="1" s="1"/>
  <c r="JF28" i="1"/>
  <c r="LB28" i="1" s="1"/>
  <c r="JG28" i="1"/>
  <c r="LC28" i="1" s="1"/>
  <c r="JH28" i="1"/>
  <c r="LD28" i="1" s="1"/>
  <c r="JI28" i="1"/>
  <c r="LE28" i="1" s="1"/>
  <c r="JJ28" i="1"/>
  <c r="LF28" i="1" s="1"/>
  <c r="JK28" i="1"/>
  <c r="LG28" i="1" s="1"/>
  <c r="JL28" i="1"/>
  <c r="LH28" i="1" s="1"/>
  <c r="JM28" i="1"/>
  <c r="LI28" i="1" s="1"/>
  <c r="JN28" i="1"/>
  <c r="LJ28" i="1" s="1"/>
  <c r="JO28" i="1"/>
  <c r="LK28" i="1" s="1"/>
  <c r="LL28" i="1"/>
  <c r="KF104" i="1"/>
  <c r="IK104" i="1"/>
  <c r="KG104" i="1" s="1"/>
  <c r="IL104" i="1"/>
  <c r="KH104" i="1" s="1"/>
  <c r="IM104" i="1"/>
  <c r="KI104" i="1" s="1"/>
  <c r="IN104" i="1"/>
  <c r="KJ104" i="1" s="1"/>
  <c r="IO104" i="1"/>
  <c r="KK104" i="1" s="1"/>
  <c r="IP104" i="1"/>
  <c r="KL104" i="1" s="1"/>
  <c r="IQ104" i="1"/>
  <c r="KM104" i="1" s="1"/>
  <c r="IR104" i="1"/>
  <c r="KN104" i="1" s="1"/>
  <c r="IS104" i="1"/>
  <c r="KO104" i="1" s="1"/>
  <c r="IT104" i="1"/>
  <c r="KP104" i="1" s="1"/>
  <c r="IU104" i="1"/>
  <c r="KQ104" i="1" s="1"/>
  <c r="IV104" i="1"/>
  <c r="KR104" i="1" s="1"/>
  <c r="IW104" i="1"/>
  <c r="KS104" i="1" s="1"/>
  <c r="IX104" i="1"/>
  <c r="KT104" i="1" s="1"/>
  <c r="IY104" i="1"/>
  <c r="KU104" i="1" s="1"/>
  <c r="IZ104" i="1"/>
  <c r="KV104" i="1" s="1"/>
  <c r="JA104" i="1"/>
  <c r="KW104" i="1" s="1"/>
  <c r="JB104" i="1"/>
  <c r="KX104" i="1" s="1"/>
  <c r="JC104" i="1"/>
  <c r="KY104" i="1" s="1"/>
  <c r="JD104" i="1"/>
  <c r="KZ104" i="1" s="1"/>
  <c r="JE104" i="1"/>
  <c r="LA104" i="1" s="1"/>
  <c r="JF104" i="1"/>
  <c r="LB104" i="1" s="1"/>
  <c r="JG104" i="1"/>
  <c r="LC104" i="1" s="1"/>
  <c r="JH104" i="1"/>
  <c r="LD104" i="1" s="1"/>
  <c r="JI104" i="1"/>
  <c r="LE104" i="1" s="1"/>
  <c r="JJ104" i="1"/>
  <c r="LF104" i="1" s="1"/>
  <c r="JK104" i="1"/>
  <c r="LG104" i="1" s="1"/>
  <c r="JL104" i="1"/>
  <c r="LH104" i="1" s="1"/>
  <c r="JM104" i="1"/>
  <c r="LI104" i="1" s="1"/>
  <c r="JN104" i="1"/>
  <c r="LJ104" i="1" s="1"/>
  <c r="JO104" i="1"/>
  <c r="LK104" i="1" s="1"/>
  <c r="LL104" i="1"/>
  <c r="KF105" i="1"/>
  <c r="IK105" i="1"/>
  <c r="KG105" i="1" s="1"/>
  <c r="IL105" i="1"/>
  <c r="KH105" i="1" s="1"/>
  <c r="IM105" i="1"/>
  <c r="KI105" i="1" s="1"/>
  <c r="IN105" i="1"/>
  <c r="KJ105" i="1" s="1"/>
  <c r="IO105" i="1"/>
  <c r="KK105" i="1" s="1"/>
  <c r="IP105" i="1"/>
  <c r="KL105" i="1" s="1"/>
  <c r="IQ105" i="1"/>
  <c r="KM105" i="1" s="1"/>
  <c r="IR105" i="1"/>
  <c r="KN105" i="1" s="1"/>
  <c r="IS105" i="1"/>
  <c r="KO105" i="1" s="1"/>
  <c r="IT105" i="1"/>
  <c r="KP105" i="1" s="1"/>
  <c r="IU105" i="1"/>
  <c r="KQ105" i="1" s="1"/>
  <c r="IV105" i="1"/>
  <c r="KR105" i="1" s="1"/>
  <c r="IW105" i="1"/>
  <c r="KS105" i="1" s="1"/>
  <c r="IX105" i="1"/>
  <c r="KT105" i="1" s="1"/>
  <c r="IY105" i="1"/>
  <c r="KU105" i="1" s="1"/>
  <c r="IZ105" i="1"/>
  <c r="KV105" i="1" s="1"/>
  <c r="JA105" i="1"/>
  <c r="KW105" i="1" s="1"/>
  <c r="JB105" i="1"/>
  <c r="KX105" i="1" s="1"/>
  <c r="JC105" i="1"/>
  <c r="KY105" i="1" s="1"/>
  <c r="JD105" i="1"/>
  <c r="KZ105" i="1" s="1"/>
  <c r="JE105" i="1"/>
  <c r="LA105" i="1" s="1"/>
  <c r="JF105" i="1"/>
  <c r="LB105" i="1" s="1"/>
  <c r="JG105" i="1"/>
  <c r="LC105" i="1" s="1"/>
  <c r="JH105" i="1"/>
  <c r="LD105" i="1" s="1"/>
  <c r="JI105" i="1"/>
  <c r="LE105" i="1" s="1"/>
  <c r="JJ105" i="1"/>
  <c r="LF105" i="1" s="1"/>
  <c r="JK105" i="1"/>
  <c r="LG105" i="1" s="1"/>
  <c r="JL105" i="1"/>
  <c r="LH105" i="1" s="1"/>
  <c r="JM105" i="1"/>
  <c r="LI105" i="1" s="1"/>
  <c r="JN105" i="1"/>
  <c r="LJ105" i="1" s="1"/>
  <c r="JO105" i="1"/>
  <c r="LK105" i="1" s="1"/>
  <c r="LL105" i="1"/>
  <c r="KF106" i="1"/>
  <c r="IK106" i="1"/>
  <c r="KG106" i="1" s="1"/>
  <c r="IL106" i="1"/>
  <c r="KH106" i="1" s="1"/>
  <c r="IM106" i="1"/>
  <c r="KI106" i="1" s="1"/>
  <c r="IN106" i="1"/>
  <c r="KJ106" i="1" s="1"/>
  <c r="IO106" i="1"/>
  <c r="KK106" i="1" s="1"/>
  <c r="IP106" i="1"/>
  <c r="KL106" i="1" s="1"/>
  <c r="IQ106" i="1"/>
  <c r="KM106" i="1" s="1"/>
  <c r="IR106" i="1"/>
  <c r="KN106" i="1" s="1"/>
  <c r="IS106" i="1"/>
  <c r="KO106" i="1" s="1"/>
  <c r="IT106" i="1"/>
  <c r="KP106" i="1" s="1"/>
  <c r="IU106" i="1"/>
  <c r="KQ106" i="1" s="1"/>
  <c r="IV106" i="1"/>
  <c r="KR106" i="1" s="1"/>
  <c r="IW106" i="1"/>
  <c r="KS106" i="1" s="1"/>
  <c r="IX106" i="1"/>
  <c r="KT106" i="1" s="1"/>
  <c r="IY106" i="1"/>
  <c r="KU106" i="1" s="1"/>
  <c r="IZ106" i="1"/>
  <c r="KV106" i="1" s="1"/>
  <c r="JA106" i="1"/>
  <c r="KW106" i="1" s="1"/>
  <c r="JB106" i="1"/>
  <c r="KX106" i="1" s="1"/>
  <c r="JC106" i="1"/>
  <c r="KY106" i="1" s="1"/>
  <c r="JD106" i="1"/>
  <c r="KZ106" i="1" s="1"/>
  <c r="JE106" i="1"/>
  <c r="LA106" i="1" s="1"/>
  <c r="JF106" i="1"/>
  <c r="LB106" i="1" s="1"/>
  <c r="JG106" i="1"/>
  <c r="LC106" i="1" s="1"/>
  <c r="JH106" i="1"/>
  <c r="LD106" i="1" s="1"/>
  <c r="JI106" i="1"/>
  <c r="LE106" i="1" s="1"/>
  <c r="JJ106" i="1"/>
  <c r="LF106" i="1" s="1"/>
  <c r="JK106" i="1"/>
  <c r="LG106" i="1" s="1"/>
  <c r="JL106" i="1"/>
  <c r="LH106" i="1" s="1"/>
  <c r="JM106" i="1"/>
  <c r="LI106" i="1" s="1"/>
  <c r="JN106" i="1"/>
  <c r="LJ106" i="1" s="1"/>
  <c r="JO106" i="1"/>
  <c r="LK106" i="1" s="1"/>
  <c r="LL106" i="1"/>
  <c r="KF107" i="1"/>
  <c r="IK107" i="1"/>
  <c r="KG107" i="1" s="1"/>
  <c r="IL107" i="1"/>
  <c r="KH107" i="1" s="1"/>
  <c r="IM107" i="1"/>
  <c r="KI107" i="1" s="1"/>
  <c r="IN107" i="1"/>
  <c r="KJ107" i="1" s="1"/>
  <c r="IO107" i="1"/>
  <c r="KK107" i="1" s="1"/>
  <c r="IP107" i="1"/>
  <c r="KL107" i="1" s="1"/>
  <c r="IQ107" i="1"/>
  <c r="KM107" i="1" s="1"/>
  <c r="IR107" i="1"/>
  <c r="KN107" i="1" s="1"/>
  <c r="IS107" i="1"/>
  <c r="KO107" i="1" s="1"/>
  <c r="IT107" i="1"/>
  <c r="KP107" i="1" s="1"/>
  <c r="IU107" i="1"/>
  <c r="KQ107" i="1" s="1"/>
  <c r="IV107" i="1"/>
  <c r="KR107" i="1" s="1"/>
  <c r="IW107" i="1"/>
  <c r="KS107" i="1" s="1"/>
  <c r="IX107" i="1"/>
  <c r="KT107" i="1" s="1"/>
  <c r="IY107" i="1"/>
  <c r="KU107" i="1" s="1"/>
  <c r="IZ107" i="1"/>
  <c r="KV107" i="1" s="1"/>
  <c r="JA107" i="1"/>
  <c r="KW107" i="1" s="1"/>
  <c r="JB107" i="1"/>
  <c r="KX107" i="1" s="1"/>
  <c r="JC107" i="1"/>
  <c r="KY107" i="1" s="1"/>
  <c r="JD107" i="1"/>
  <c r="KZ107" i="1" s="1"/>
  <c r="JE107" i="1"/>
  <c r="LA107" i="1" s="1"/>
  <c r="JF107" i="1"/>
  <c r="LB107" i="1" s="1"/>
  <c r="JG107" i="1"/>
  <c r="LC107" i="1" s="1"/>
  <c r="JH107" i="1"/>
  <c r="LD107" i="1" s="1"/>
  <c r="JI107" i="1"/>
  <c r="LE107" i="1" s="1"/>
  <c r="JJ107" i="1"/>
  <c r="LF107" i="1" s="1"/>
  <c r="JK107" i="1"/>
  <c r="LG107" i="1" s="1"/>
  <c r="JL107" i="1"/>
  <c r="LH107" i="1" s="1"/>
  <c r="JM107" i="1"/>
  <c r="LI107" i="1" s="1"/>
  <c r="JN107" i="1"/>
  <c r="LJ107" i="1" s="1"/>
  <c r="JO107" i="1"/>
  <c r="LK107" i="1" s="1"/>
  <c r="LL107" i="1"/>
  <c r="KF108" i="1"/>
  <c r="IK108" i="1"/>
  <c r="KG108" i="1" s="1"/>
  <c r="IL108" i="1"/>
  <c r="KH108" i="1" s="1"/>
  <c r="IM108" i="1"/>
  <c r="KI108" i="1" s="1"/>
  <c r="IN108" i="1"/>
  <c r="KJ108" i="1" s="1"/>
  <c r="IO108" i="1"/>
  <c r="KK108" i="1" s="1"/>
  <c r="IP108" i="1"/>
  <c r="KL108" i="1" s="1"/>
  <c r="IQ108" i="1"/>
  <c r="KM108" i="1" s="1"/>
  <c r="IR108" i="1"/>
  <c r="KN108" i="1" s="1"/>
  <c r="IS108" i="1"/>
  <c r="KO108" i="1" s="1"/>
  <c r="IT108" i="1"/>
  <c r="KP108" i="1" s="1"/>
  <c r="IU108" i="1"/>
  <c r="KQ108" i="1" s="1"/>
  <c r="IV108" i="1"/>
  <c r="KR108" i="1" s="1"/>
  <c r="IW108" i="1"/>
  <c r="KS108" i="1" s="1"/>
  <c r="IX108" i="1"/>
  <c r="KT108" i="1" s="1"/>
  <c r="IY108" i="1"/>
  <c r="KU108" i="1" s="1"/>
  <c r="IZ108" i="1"/>
  <c r="KV108" i="1" s="1"/>
  <c r="JA108" i="1"/>
  <c r="KW108" i="1" s="1"/>
  <c r="JB108" i="1"/>
  <c r="KX108" i="1" s="1"/>
  <c r="JC108" i="1"/>
  <c r="KY108" i="1" s="1"/>
  <c r="JD108" i="1"/>
  <c r="KZ108" i="1" s="1"/>
  <c r="JE108" i="1"/>
  <c r="LA108" i="1" s="1"/>
  <c r="JF108" i="1"/>
  <c r="LB108" i="1" s="1"/>
  <c r="JG108" i="1"/>
  <c r="LC108" i="1" s="1"/>
  <c r="JH108" i="1"/>
  <c r="LD108" i="1" s="1"/>
  <c r="JI108" i="1"/>
  <c r="LE108" i="1" s="1"/>
  <c r="JJ108" i="1"/>
  <c r="LF108" i="1" s="1"/>
  <c r="JK108" i="1"/>
  <c r="LG108" i="1" s="1"/>
  <c r="JL108" i="1"/>
  <c r="LH108" i="1" s="1"/>
  <c r="JM108" i="1"/>
  <c r="LI108" i="1" s="1"/>
  <c r="JN108" i="1"/>
  <c r="LJ108" i="1" s="1"/>
  <c r="JO108" i="1"/>
  <c r="LK108" i="1" s="1"/>
  <c r="LL108" i="1"/>
  <c r="KF109" i="1"/>
  <c r="IK109" i="1"/>
  <c r="KG109" i="1" s="1"/>
  <c r="IL109" i="1"/>
  <c r="KH109" i="1" s="1"/>
  <c r="IM109" i="1"/>
  <c r="KI109" i="1" s="1"/>
  <c r="IN109" i="1"/>
  <c r="KJ109" i="1" s="1"/>
  <c r="IO109" i="1"/>
  <c r="KK109" i="1" s="1"/>
  <c r="IP109" i="1"/>
  <c r="KL109" i="1" s="1"/>
  <c r="IQ109" i="1"/>
  <c r="KM109" i="1" s="1"/>
  <c r="IR109" i="1"/>
  <c r="KN109" i="1" s="1"/>
  <c r="IS109" i="1"/>
  <c r="KO109" i="1" s="1"/>
  <c r="IT109" i="1"/>
  <c r="KP109" i="1" s="1"/>
  <c r="IU109" i="1"/>
  <c r="KQ109" i="1" s="1"/>
  <c r="IV109" i="1"/>
  <c r="KR109" i="1" s="1"/>
  <c r="IW109" i="1"/>
  <c r="KS109" i="1" s="1"/>
  <c r="IX109" i="1"/>
  <c r="KT109" i="1" s="1"/>
  <c r="IY109" i="1"/>
  <c r="KU109" i="1" s="1"/>
  <c r="IZ109" i="1"/>
  <c r="KV109" i="1" s="1"/>
  <c r="JA109" i="1"/>
  <c r="KW109" i="1" s="1"/>
  <c r="JB109" i="1"/>
  <c r="KX109" i="1" s="1"/>
  <c r="JC109" i="1"/>
  <c r="KY109" i="1" s="1"/>
  <c r="JD109" i="1"/>
  <c r="KZ109" i="1" s="1"/>
  <c r="JE109" i="1"/>
  <c r="LA109" i="1" s="1"/>
  <c r="JF109" i="1"/>
  <c r="LB109" i="1" s="1"/>
  <c r="JG109" i="1"/>
  <c r="LC109" i="1" s="1"/>
  <c r="JH109" i="1"/>
  <c r="LD109" i="1" s="1"/>
  <c r="JI109" i="1"/>
  <c r="LE109" i="1" s="1"/>
  <c r="JJ109" i="1"/>
  <c r="LF109" i="1" s="1"/>
  <c r="JK109" i="1"/>
  <c r="LG109" i="1" s="1"/>
  <c r="JL109" i="1"/>
  <c r="LH109" i="1" s="1"/>
  <c r="JM109" i="1"/>
  <c r="LI109" i="1" s="1"/>
  <c r="JN109" i="1"/>
  <c r="LJ109" i="1" s="1"/>
  <c r="JO109" i="1"/>
  <c r="LK109" i="1" s="1"/>
  <c r="LL109" i="1"/>
  <c r="KF29" i="1"/>
  <c r="IK29" i="1"/>
  <c r="KG29" i="1" s="1"/>
  <c r="IL29" i="1"/>
  <c r="KH29" i="1" s="1"/>
  <c r="IM29" i="1"/>
  <c r="KI29" i="1" s="1"/>
  <c r="IN29" i="1"/>
  <c r="KJ29" i="1" s="1"/>
  <c r="IO29" i="1"/>
  <c r="KK29" i="1" s="1"/>
  <c r="IP29" i="1"/>
  <c r="KL29" i="1" s="1"/>
  <c r="IQ29" i="1"/>
  <c r="KM29" i="1" s="1"/>
  <c r="IR29" i="1"/>
  <c r="KN29" i="1" s="1"/>
  <c r="IS29" i="1"/>
  <c r="KO29" i="1" s="1"/>
  <c r="IT29" i="1"/>
  <c r="KP29" i="1" s="1"/>
  <c r="IU29" i="1"/>
  <c r="KQ29" i="1" s="1"/>
  <c r="IV29" i="1"/>
  <c r="KR29" i="1" s="1"/>
  <c r="IW29" i="1"/>
  <c r="KS29" i="1" s="1"/>
  <c r="IX29" i="1"/>
  <c r="KT29" i="1" s="1"/>
  <c r="IY29" i="1"/>
  <c r="KU29" i="1" s="1"/>
  <c r="IZ29" i="1"/>
  <c r="KV29" i="1" s="1"/>
  <c r="JA29" i="1"/>
  <c r="KW29" i="1" s="1"/>
  <c r="JB29" i="1"/>
  <c r="KX29" i="1" s="1"/>
  <c r="JC29" i="1"/>
  <c r="KY29" i="1" s="1"/>
  <c r="JD29" i="1"/>
  <c r="KZ29" i="1" s="1"/>
  <c r="JE29" i="1"/>
  <c r="LA29" i="1" s="1"/>
  <c r="JF29" i="1"/>
  <c r="LB29" i="1" s="1"/>
  <c r="JG29" i="1"/>
  <c r="LC29" i="1" s="1"/>
  <c r="JH29" i="1"/>
  <c r="LD29" i="1" s="1"/>
  <c r="JI29" i="1"/>
  <c r="LE29" i="1" s="1"/>
  <c r="JJ29" i="1"/>
  <c r="LF29" i="1" s="1"/>
  <c r="JK29" i="1"/>
  <c r="LG29" i="1" s="1"/>
  <c r="JL29" i="1"/>
  <c r="LH29" i="1" s="1"/>
  <c r="JM29" i="1"/>
  <c r="LI29" i="1" s="1"/>
  <c r="JN29" i="1"/>
  <c r="LJ29" i="1" s="1"/>
  <c r="JO29" i="1"/>
  <c r="LK29" i="1" s="1"/>
  <c r="LL29" i="1"/>
  <c r="KF110" i="1"/>
  <c r="IK110" i="1"/>
  <c r="KG110" i="1" s="1"/>
  <c r="IL110" i="1"/>
  <c r="KH110" i="1" s="1"/>
  <c r="IM110" i="1"/>
  <c r="KI110" i="1" s="1"/>
  <c r="IN110" i="1"/>
  <c r="KJ110" i="1" s="1"/>
  <c r="IO110" i="1"/>
  <c r="KK110" i="1" s="1"/>
  <c r="IP110" i="1"/>
  <c r="KL110" i="1" s="1"/>
  <c r="IQ110" i="1"/>
  <c r="KM110" i="1" s="1"/>
  <c r="IR110" i="1"/>
  <c r="KN110" i="1" s="1"/>
  <c r="IS110" i="1"/>
  <c r="KO110" i="1" s="1"/>
  <c r="IT110" i="1"/>
  <c r="KP110" i="1" s="1"/>
  <c r="IU110" i="1"/>
  <c r="KQ110" i="1" s="1"/>
  <c r="IV110" i="1"/>
  <c r="KR110" i="1" s="1"/>
  <c r="IW110" i="1"/>
  <c r="KS110" i="1" s="1"/>
  <c r="IX110" i="1"/>
  <c r="KT110" i="1" s="1"/>
  <c r="IY110" i="1"/>
  <c r="KU110" i="1" s="1"/>
  <c r="IZ110" i="1"/>
  <c r="KV110" i="1" s="1"/>
  <c r="JA110" i="1"/>
  <c r="KW110" i="1" s="1"/>
  <c r="JB110" i="1"/>
  <c r="KX110" i="1" s="1"/>
  <c r="JC110" i="1"/>
  <c r="KY110" i="1" s="1"/>
  <c r="JD110" i="1"/>
  <c r="KZ110" i="1" s="1"/>
  <c r="JE110" i="1"/>
  <c r="LA110" i="1" s="1"/>
  <c r="JF110" i="1"/>
  <c r="LB110" i="1" s="1"/>
  <c r="JG110" i="1"/>
  <c r="LC110" i="1" s="1"/>
  <c r="JH110" i="1"/>
  <c r="LD110" i="1" s="1"/>
  <c r="JI110" i="1"/>
  <c r="LE110" i="1" s="1"/>
  <c r="JJ110" i="1"/>
  <c r="LF110" i="1" s="1"/>
  <c r="JK110" i="1"/>
  <c r="LG110" i="1" s="1"/>
  <c r="JL110" i="1"/>
  <c r="LH110" i="1" s="1"/>
  <c r="JM110" i="1"/>
  <c r="LI110" i="1" s="1"/>
  <c r="JN110" i="1"/>
  <c r="LJ110" i="1" s="1"/>
  <c r="JO110" i="1"/>
  <c r="LK110" i="1" s="1"/>
  <c r="LL110" i="1"/>
  <c r="KF30" i="1"/>
  <c r="IK30" i="1"/>
  <c r="KG30" i="1" s="1"/>
  <c r="IL30" i="1"/>
  <c r="KH30" i="1" s="1"/>
  <c r="IM30" i="1"/>
  <c r="KI30" i="1" s="1"/>
  <c r="IN30" i="1"/>
  <c r="KJ30" i="1" s="1"/>
  <c r="IO30" i="1"/>
  <c r="KK30" i="1" s="1"/>
  <c r="IP30" i="1"/>
  <c r="KL30" i="1" s="1"/>
  <c r="IQ30" i="1"/>
  <c r="KM30" i="1" s="1"/>
  <c r="IR30" i="1"/>
  <c r="KN30" i="1" s="1"/>
  <c r="IS30" i="1"/>
  <c r="KO30" i="1" s="1"/>
  <c r="IT30" i="1"/>
  <c r="KP30" i="1" s="1"/>
  <c r="IU30" i="1"/>
  <c r="KQ30" i="1" s="1"/>
  <c r="IV30" i="1"/>
  <c r="KR30" i="1" s="1"/>
  <c r="IW30" i="1"/>
  <c r="KS30" i="1" s="1"/>
  <c r="IX30" i="1"/>
  <c r="KT30" i="1" s="1"/>
  <c r="IY30" i="1"/>
  <c r="KU30" i="1" s="1"/>
  <c r="IZ30" i="1"/>
  <c r="KV30" i="1" s="1"/>
  <c r="JA30" i="1"/>
  <c r="KW30" i="1" s="1"/>
  <c r="JB30" i="1"/>
  <c r="KX30" i="1" s="1"/>
  <c r="JC30" i="1"/>
  <c r="KY30" i="1" s="1"/>
  <c r="JD30" i="1"/>
  <c r="KZ30" i="1" s="1"/>
  <c r="JE30" i="1"/>
  <c r="LA30" i="1" s="1"/>
  <c r="JF30" i="1"/>
  <c r="LB30" i="1" s="1"/>
  <c r="JG30" i="1"/>
  <c r="LC30" i="1" s="1"/>
  <c r="JH30" i="1"/>
  <c r="LD30" i="1" s="1"/>
  <c r="JI30" i="1"/>
  <c r="LE30" i="1" s="1"/>
  <c r="JJ30" i="1"/>
  <c r="LF30" i="1" s="1"/>
  <c r="JK30" i="1"/>
  <c r="LG30" i="1" s="1"/>
  <c r="JL30" i="1"/>
  <c r="LH30" i="1" s="1"/>
  <c r="JM30" i="1"/>
  <c r="LI30" i="1" s="1"/>
  <c r="JN30" i="1"/>
  <c r="LJ30" i="1" s="1"/>
  <c r="JO30" i="1"/>
  <c r="LK30" i="1" s="1"/>
  <c r="LL30" i="1"/>
  <c r="KF31" i="1"/>
  <c r="IK31" i="1"/>
  <c r="KG31" i="1" s="1"/>
  <c r="IL31" i="1"/>
  <c r="KH31" i="1" s="1"/>
  <c r="IM31" i="1"/>
  <c r="KI31" i="1" s="1"/>
  <c r="IN31" i="1"/>
  <c r="KJ31" i="1" s="1"/>
  <c r="IO31" i="1"/>
  <c r="KK31" i="1" s="1"/>
  <c r="IP31" i="1"/>
  <c r="KL31" i="1" s="1"/>
  <c r="IQ31" i="1"/>
  <c r="KM31" i="1" s="1"/>
  <c r="IR31" i="1"/>
  <c r="KN31" i="1" s="1"/>
  <c r="IS31" i="1"/>
  <c r="KO31" i="1" s="1"/>
  <c r="IT31" i="1"/>
  <c r="KP31" i="1" s="1"/>
  <c r="IU31" i="1"/>
  <c r="KQ31" i="1" s="1"/>
  <c r="IV31" i="1"/>
  <c r="KR31" i="1" s="1"/>
  <c r="IW31" i="1"/>
  <c r="KS31" i="1" s="1"/>
  <c r="IX31" i="1"/>
  <c r="KT31" i="1" s="1"/>
  <c r="IY31" i="1"/>
  <c r="KU31" i="1" s="1"/>
  <c r="IZ31" i="1"/>
  <c r="KV31" i="1" s="1"/>
  <c r="JA31" i="1"/>
  <c r="KW31" i="1" s="1"/>
  <c r="JB31" i="1"/>
  <c r="KX31" i="1" s="1"/>
  <c r="JC31" i="1"/>
  <c r="KY31" i="1" s="1"/>
  <c r="JD31" i="1"/>
  <c r="KZ31" i="1" s="1"/>
  <c r="JE31" i="1"/>
  <c r="LA31" i="1" s="1"/>
  <c r="JF31" i="1"/>
  <c r="LB31" i="1" s="1"/>
  <c r="JG31" i="1"/>
  <c r="LC31" i="1" s="1"/>
  <c r="JH31" i="1"/>
  <c r="LD31" i="1" s="1"/>
  <c r="JI31" i="1"/>
  <c r="LE31" i="1" s="1"/>
  <c r="JJ31" i="1"/>
  <c r="LF31" i="1" s="1"/>
  <c r="JK31" i="1"/>
  <c r="LG31" i="1" s="1"/>
  <c r="JL31" i="1"/>
  <c r="LH31" i="1" s="1"/>
  <c r="JM31" i="1"/>
  <c r="LI31" i="1" s="1"/>
  <c r="JN31" i="1"/>
  <c r="LJ31" i="1" s="1"/>
  <c r="JO31" i="1"/>
  <c r="LK31" i="1" s="1"/>
  <c r="LL31" i="1"/>
  <c r="KF111" i="1"/>
  <c r="IK111" i="1"/>
  <c r="KG111" i="1" s="1"/>
  <c r="IL111" i="1"/>
  <c r="KH111" i="1" s="1"/>
  <c r="IM111" i="1"/>
  <c r="KI111" i="1" s="1"/>
  <c r="IN111" i="1"/>
  <c r="KJ111" i="1" s="1"/>
  <c r="IO111" i="1"/>
  <c r="KK111" i="1" s="1"/>
  <c r="IP111" i="1"/>
  <c r="KL111" i="1" s="1"/>
  <c r="IQ111" i="1"/>
  <c r="KM111" i="1" s="1"/>
  <c r="IR111" i="1"/>
  <c r="KN111" i="1" s="1"/>
  <c r="IS111" i="1"/>
  <c r="KO111" i="1" s="1"/>
  <c r="IT111" i="1"/>
  <c r="KP111" i="1" s="1"/>
  <c r="IU111" i="1"/>
  <c r="KQ111" i="1" s="1"/>
  <c r="IV111" i="1"/>
  <c r="KR111" i="1" s="1"/>
  <c r="IW111" i="1"/>
  <c r="KS111" i="1" s="1"/>
  <c r="IX111" i="1"/>
  <c r="KT111" i="1" s="1"/>
  <c r="IY111" i="1"/>
  <c r="KU111" i="1" s="1"/>
  <c r="IZ111" i="1"/>
  <c r="KV111" i="1" s="1"/>
  <c r="JA111" i="1"/>
  <c r="KW111" i="1" s="1"/>
  <c r="JB111" i="1"/>
  <c r="KX111" i="1" s="1"/>
  <c r="JC111" i="1"/>
  <c r="KY111" i="1" s="1"/>
  <c r="JD111" i="1"/>
  <c r="KZ111" i="1" s="1"/>
  <c r="JE111" i="1"/>
  <c r="LA111" i="1" s="1"/>
  <c r="JF111" i="1"/>
  <c r="LB111" i="1" s="1"/>
  <c r="JG111" i="1"/>
  <c r="LC111" i="1" s="1"/>
  <c r="JH111" i="1"/>
  <c r="LD111" i="1" s="1"/>
  <c r="JI111" i="1"/>
  <c r="LE111" i="1" s="1"/>
  <c r="JJ111" i="1"/>
  <c r="LF111" i="1" s="1"/>
  <c r="JK111" i="1"/>
  <c r="LG111" i="1" s="1"/>
  <c r="JL111" i="1"/>
  <c r="LH111" i="1" s="1"/>
  <c r="JM111" i="1"/>
  <c r="LI111" i="1" s="1"/>
  <c r="JN111" i="1"/>
  <c r="LJ111" i="1" s="1"/>
  <c r="JO111" i="1"/>
  <c r="LK111" i="1" s="1"/>
  <c r="LL111" i="1"/>
  <c r="KF112" i="1"/>
  <c r="IK112" i="1"/>
  <c r="KG112" i="1" s="1"/>
  <c r="IL112" i="1"/>
  <c r="KH112" i="1" s="1"/>
  <c r="IM112" i="1"/>
  <c r="KI112" i="1" s="1"/>
  <c r="IN112" i="1"/>
  <c r="KJ112" i="1" s="1"/>
  <c r="IO112" i="1"/>
  <c r="KK112" i="1" s="1"/>
  <c r="IP112" i="1"/>
  <c r="KL112" i="1" s="1"/>
  <c r="IQ112" i="1"/>
  <c r="KM112" i="1" s="1"/>
  <c r="IR112" i="1"/>
  <c r="KN112" i="1" s="1"/>
  <c r="IS112" i="1"/>
  <c r="KO112" i="1" s="1"/>
  <c r="IT112" i="1"/>
  <c r="KP112" i="1" s="1"/>
  <c r="IU112" i="1"/>
  <c r="KQ112" i="1" s="1"/>
  <c r="IV112" i="1"/>
  <c r="KR112" i="1" s="1"/>
  <c r="IW112" i="1"/>
  <c r="KS112" i="1" s="1"/>
  <c r="IX112" i="1"/>
  <c r="KT112" i="1" s="1"/>
  <c r="IY112" i="1"/>
  <c r="KU112" i="1" s="1"/>
  <c r="IZ112" i="1"/>
  <c r="KV112" i="1" s="1"/>
  <c r="JA112" i="1"/>
  <c r="KW112" i="1" s="1"/>
  <c r="JB112" i="1"/>
  <c r="KX112" i="1" s="1"/>
  <c r="JC112" i="1"/>
  <c r="KY112" i="1" s="1"/>
  <c r="JD112" i="1"/>
  <c r="KZ112" i="1" s="1"/>
  <c r="JE112" i="1"/>
  <c r="LA112" i="1" s="1"/>
  <c r="JF112" i="1"/>
  <c r="LB112" i="1" s="1"/>
  <c r="JG112" i="1"/>
  <c r="LC112" i="1" s="1"/>
  <c r="JH112" i="1"/>
  <c r="LD112" i="1" s="1"/>
  <c r="JI112" i="1"/>
  <c r="LE112" i="1" s="1"/>
  <c r="JJ112" i="1"/>
  <c r="LF112" i="1" s="1"/>
  <c r="JK112" i="1"/>
  <c r="LG112" i="1" s="1"/>
  <c r="JL112" i="1"/>
  <c r="LH112" i="1" s="1"/>
  <c r="JM112" i="1"/>
  <c r="LI112" i="1" s="1"/>
  <c r="JN112" i="1"/>
  <c r="LJ112" i="1" s="1"/>
  <c r="JO112" i="1"/>
  <c r="LK112" i="1" s="1"/>
  <c r="LL112" i="1"/>
  <c r="KF32" i="1"/>
  <c r="IK32" i="1"/>
  <c r="KG32" i="1" s="1"/>
  <c r="IL32" i="1"/>
  <c r="KH32" i="1" s="1"/>
  <c r="IM32" i="1"/>
  <c r="KI32" i="1" s="1"/>
  <c r="IN32" i="1"/>
  <c r="KJ32" i="1" s="1"/>
  <c r="IO32" i="1"/>
  <c r="KK32" i="1" s="1"/>
  <c r="IP32" i="1"/>
  <c r="KL32" i="1" s="1"/>
  <c r="IQ32" i="1"/>
  <c r="KM32" i="1" s="1"/>
  <c r="IR32" i="1"/>
  <c r="KN32" i="1" s="1"/>
  <c r="IS32" i="1"/>
  <c r="KO32" i="1" s="1"/>
  <c r="IT32" i="1"/>
  <c r="KP32" i="1" s="1"/>
  <c r="IU32" i="1"/>
  <c r="KQ32" i="1" s="1"/>
  <c r="IV32" i="1"/>
  <c r="KR32" i="1" s="1"/>
  <c r="IW32" i="1"/>
  <c r="KS32" i="1" s="1"/>
  <c r="IX32" i="1"/>
  <c r="KT32" i="1" s="1"/>
  <c r="IY32" i="1"/>
  <c r="KU32" i="1" s="1"/>
  <c r="IZ32" i="1"/>
  <c r="KV32" i="1" s="1"/>
  <c r="JA32" i="1"/>
  <c r="KW32" i="1" s="1"/>
  <c r="JB32" i="1"/>
  <c r="KX32" i="1" s="1"/>
  <c r="JC32" i="1"/>
  <c r="KY32" i="1" s="1"/>
  <c r="JD32" i="1"/>
  <c r="KZ32" i="1" s="1"/>
  <c r="JE32" i="1"/>
  <c r="LA32" i="1" s="1"/>
  <c r="JF32" i="1"/>
  <c r="LB32" i="1" s="1"/>
  <c r="JG32" i="1"/>
  <c r="LC32" i="1" s="1"/>
  <c r="JH32" i="1"/>
  <c r="LD32" i="1" s="1"/>
  <c r="JI32" i="1"/>
  <c r="LE32" i="1" s="1"/>
  <c r="JJ32" i="1"/>
  <c r="LF32" i="1" s="1"/>
  <c r="JK32" i="1"/>
  <c r="LG32" i="1" s="1"/>
  <c r="JL32" i="1"/>
  <c r="LH32" i="1" s="1"/>
  <c r="JM32" i="1"/>
  <c r="LI32" i="1" s="1"/>
  <c r="JN32" i="1"/>
  <c r="LJ32" i="1" s="1"/>
  <c r="JO32" i="1"/>
  <c r="LK32" i="1" s="1"/>
  <c r="LL32" i="1"/>
  <c r="KF113" i="1"/>
  <c r="IK113" i="1"/>
  <c r="KG113" i="1" s="1"/>
  <c r="IL113" i="1"/>
  <c r="KH113" i="1" s="1"/>
  <c r="IM113" i="1"/>
  <c r="KI113" i="1" s="1"/>
  <c r="IN113" i="1"/>
  <c r="KJ113" i="1" s="1"/>
  <c r="IO113" i="1"/>
  <c r="KK113" i="1" s="1"/>
  <c r="IP113" i="1"/>
  <c r="KL113" i="1" s="1"/>
  <c r="IQ113" i="1"/>
  <c r="KM113" i="1" s="1"/>
  <c r="IR113" i="1"/>
  <c r="KN113" i="1" s="1"/>
  <c r="IS113" i="1"/>
  <c r="KO113" i="1" s="1"/>
  <c r="IT113" i="1"/>
  <c r="KP113" i="1" s="1"/>
  <c r="IU113" i="1"/>
  <c r="KQ113" i="1" s="1"/>
  <c r="IV113" i="1"/>
  <c r="KR113" i="1" s="1"/>
  <c r="IW113" i="1"/>
  <c r="KS113" i="1" s="1"/>
  <c r="IX113" i="1"/>
  <c r="KT113" i="1" s="1"/>
  <c r="IY113" i="1"/>
  <c r="KU113" i="1" s="1"/>
  <c r="IZ113" i="1"/>
  <c r="KV113" i="1" s="1"/>
  <c r="JA113" i="1"/>
  <c r="KW113" i="1" s="1"/>
  <c r="JB113" i="1"/>
  <c r="KX113" i="1" s="1"/>
  <c r="JC113" i="1"/>
  <c r="KY113" i="1" s="1"/>
  <c r="JD113" i="1"/>
  <c r="KZ113" i="1" s="1"/>
  <c r="JE113" i="1"/>
  <c r="LA113" i="1" s="1"/>
  <c r="JF113" i="1"/>
  <c r="LB113" i="1" s="1"/>
  <c r="JG113" i="1"/>
  <c r="LC113" i="1" s="1"/>
  <c r="JH113" i="1"/>
  <c r="LD113" i="1" s="1"/>
  <c r="JI113" i="1"/>
  <c r="LE113" i="1" s="1"/>
  <c r="JJ113" i="1"/>
  <c r="LF113" i="1" s="1"/>
  <c r="JK113" i="1"/>
  <c r="LG113" i="1" s="1"/>
  <c r="JL113" i="1"/>
  <c r="LH113" i="1" s="1"/>
  <c r="JM113" i="1"/>
  <c r="LI113" i="1" s="1"/>
  <c r="JN113" i="1"/>
  <c r="LJ113" i="1" s="1"/>
  <c r="JO113" i="1"/>
  <c r="LK113" i="1" s="1"/>
  <c r="LL113" i="1"/>
  <c r="KF114" i="1"/>
  <c r="IK114" i="1"/>
  <c r="KG114" i="1" s="1"/>
  <c r="IL114" i="1"/>
  <c r="KH114" i="1" s="1"/>
  <c r="IM114" i="1"/>
  <c r="KI114" i="1" s="1"/>
  <c r="IN114" i="1"/>
  <c r="KJ114" i="1" s="1"/>
  <c r="IO114" i="1"/>
  <c r="KK114" i="1" s="1"/>
  <c r="IP114" i="1"/>
  <c r="KL114" i="1" s="1"/>
  <c r="IQ114" i="1"/>
  <c r="KM114" i="1" s="1"/>
  <c r="IR114" i="1"/>
  <c r="KN114" i="1" s="1"/>
  <c r="IS114" i="1"/>
  <c r="KO114" i="1" s="1"/>
  <c r="IT114" i="1"/>
  <c r="KP114" i="1" s="1"/>
  <c r="IU114" i="1"/>
  <c r="KQ114" i="1" s="1"/>
  <c r="IV114" i="1"/>
  <c r="KR114" i="1" s="1"/>
  <c r="IW114" i="1"/>
  <c r="KS114" i="1" s="1"/>
  <c r="IX114" i="1"/>
  <c r="KT114" i="1" s="1"/>
  <c r="IY114" i="1"/>
  <c r="KU114" i="1" s="1"/>
  <c r="IZ114" i="1"/>
  <c r="KV114" i="1" s="1"/>
  <c r="JA114" i="1"/>
  <c r="KW114" i="1" s="1"/>
  <c r="JB114" i="1"/>
  <c r="KX114" i="1" s="1"/>
  <c r="JC114" i="1"/>
  <c r="KY114" i="1" s="1"/>
  <c r="JD114" i="1"/>
  <c r="KZ114" i="1" s="1"/>
  <c r="JE114" i="1"/>
  <c r="LA114" i="1" s="1"/>
  <c r="JF114" i="1"/>
  <c r="LB114" i="1" s="1"/>
  <c r="JG114" i="1"/>
  <c r="LC114" i="1" s="1"/>
  <c r="JH114" i="1"/>
  <c r="LD114" i="1" s="1"/>
  <c r="JI114" i="1"/>
  <c r="LE114" i="1" s="1"/>
  <c r="JJ114" i="1"/>
  <c r="LF114" i="1" s="1"/>
  <c r="JK114" i="1"/>
  <c r="LG114" i="1" s="1"/>
  <c r="JL114" i="1"/>
  <c r="LH114" i="1" s="1"/>
  <c r="JM114" i="1"/>
  <c r="LI114" i="1" s="1"/>
  <c r="JN114" i="1"/>
  <c r="LJ114" i="1" s="1"/>
  <c r="JO114" i="1"/>
  <c r="LK114" i="1" s="1"/>
  <c r="LL114" i="1"/>
  <c r="KF117" i="1"/>
  <c r="IK117" i="1"/>
  <c r="KG117" i="1" s="1"/>
  <c r="IL117" i="1"/>
  <c r="KH117" i="1" s="1"/>
  <c r="IM117" i="1"/>
  <c r="KI117" i="1" s="1"/>
  <c r="IN117" i="1"/>
  <c r="KJ117" i="1" s="1"/>
  <c r="IO117" i="1"/>
  <c r="KK117" i="1" s="1"/>
  <c r="IP117" i="1"/>
  <c r="KL117" i="1" s="1"/>
  <c r="IQ117" i="1"/>
  <c r="KM117" i="1" s="1"/>
  <c r="IR117" i="1"/>
  <c r="KN117" i="1" s="1"/>
  <c r="IS117" i="1"/>
  <c r="KO117" i="1" s="1"/>
  <c r="IT117" i="1"/>
  <c r="KP117" i="1" s="1"/>
  <c r="IU117" i="1"/>
  <c r="KQ117" i="1" s="1"/>
  <c r="IV117" i="1"/>
  <c r="KR117" i="1" s="1"/>
  <c r="IW117" i="1"/>
  <c r="KS117" i="1" s="1"/>
  <c r="IX117" i="1"/>
  <c r="KT117" i="1" s="1"/>
  <c r="IY117" i="1"/>
  <c r="KU117" i="1" s="1"/>
  <c r="IZ117" i="1"/>
  <c r="KV117" i="1" s="1"/>
  <c r="JA117" i="1"/>
  <c r="KW117" i="1" s="1"/>
  <c r="JB117" i="1"/>
  <c r="KX117" i="1" s="1"/>
  <c r="JC117" i="1"/>
  <c r="KY117" i="1" s="1"/>
  <c r="JD117" i="1"/>
  <c r="KZ117" i="1" s="1"/>
  <c r="JE117" i="1"/>
  <c r="LA117" i="1" s="1"/>
  <c r="JF117" i="1"/>
  <c r="LB117" i="1" s="1"/>
  <c r="JG117" i="1"/>
  <c r="LC117" i="1" s="1"/>
  <c r="JH117" i="1"/>
  <c r="LD117" i="1" s="1"/>
  <c r="JI117" i="1"/>
  <c r="LE117" i="1" s="1"/>
  <c r="JJ117" i="1"/>
  <c r="LF117" i="1" s="1"/>
  <c r="JK117" i="1"/>
  <c r="LG117" i="1" s="1"/>
  <c r="JL117" i="1"/>
  <c r="LH117" i="1" s="1"/>
  <c r="JM117" i="1"/>
  <c r="LI117" i="1" s="1"/>
  <c r="JN117" i="1"/>
  <c r="LJ117" i="1" s="1"/>
  <c r="JO117" i="1"/>
  <c r="LK117" i="1" s="1"/>
  <c r="LL117" i="1"/>
  <c r="KF115" i="1"/>
  <c r="IK115" i="1"/>
  <c r="KG115" i="1" s="1"/>
  <c r="IL115" i="1"/>
  <c r="KH115" i="1" s="1"/>
  <c r="IM115" i="1"/>
  <c r="KI115" i="1" s="1"/>
  <c r="IN115" i="1"/>
  <c r="KJ115" i="1" s="1"/>
  <c r="IO115" i="1"/>
  <c r="KK115" i="1" s="1"/>
  <c r="IP115" i="1"/>
  <c r="KL115" i="1" s="1"/>
  <c r="IQ115" i="1"/>
  <c r="KM115" i="1" s="1"/>
  <c r="IR115" i="1"/>
  <c r="KN115" i="1" s="1"/>
  <c r="IS115" i="1"/>
  <c r="KO115" i="1" s="1"/>
  <c r="IT115" i="1"/>
  <c r="KP115" i="1" s="1"/>
  <c r="IU115" i="1"/>
  <c r="KQ115" i="1" s="1"/>
  <c r="IV115" i="1"/>
  <c r="KR115" i="1" s="1"/>
  <c r="IW115" i="1"/>
  <c r="KS115" i="1" s="1"/>
  <c r="IX115" i="1"/>
  <c r="KT115" i="1" s="1"/>
  <c r="IY115" i="1"/>
  <c r="KU115" i="1" s="1"/>
  <c r="IZ115" i="1"/>
  <c r="KV115" i="1" s="1"/>
  <c r="JA115" i="1"/>
  <c r="KW115" i="1" s="1"/>
  <c r="JB115" i="1"/>
  <c r="KX115" i="1" s="1"/>
  <c r="JC115" i="1"/>
  <c r="KY115" i="1" s="1"/>
  <c r="JD115" i="1"/>
  <c r="KZ115" i="1" s="1"/>
  <c r="JE115" i="1"/>
  <c r="LA115" i="1" s="1"/>
  <c r="JF115" i="1"/>
  <c r="LB115" i="1" s="1"/>
  <c r="JG115" i="1"/>
  <c r="LC115" i="1" s="1"/>
  <c r="JH115" i="1"/>
  <c r="LD115" i="1" s="1"/>
  <c r="JI115" i="1"/>
  <c r="LE115" i="1" s="1"/>
  <c r="JJ115" i="1"/>
  <c r="LF115" i="1" s="1"/>
  <c r="JK115" i="1"/>
  <c r="LG115" i="1" s="1"/>
  <c r="JL115" i="1"/>
  <c r="LH115" i="1" s="1"/>
  <c r="JM115" i="1"/>
  <c r="LI115" i="1" s="1"/>
  <c r="JN115" i="1"/>
  <c r="LJ115" i="1" s="1"/>
  <c r="JO115" i="1"/>
  <c r="LK115" i="1" s="1"/>
  <c r="LL115" i="1"/>
  <c r="KF122" i="1"/>
  <c r="IK122" i="1"/>
  <c r="KG122" i="1" s="1"/>
  <c r="IL122" i="1"/>
  <c r="KH122" i="1" s="1"/>
  <c r="IM122" i="1"/>
  <c r="KI122" i="1" s="1"/>
  <c r="IN122" i="1"/>
  <c r="KJ122" i="1" s="1"/>
  <c r="IO122" i="1"/>
  <c r="KK122" i="1" s="1"/>
  <c r="IP122" i="1"/>
  <c r="KL122" i="1" s="1"/>
  <c r="IQ122" i="1"/>
  <c r="KM122" i="1" s="1"/>
  <c r="IR122" i="1"/>
  <c r="KN122" i="1" s="1"/>
  <c r="IS122" i="1"/>
  <c r="KO122" i="1" s="1"/>
  <c r="IT122" i="1"/>
  <c r="KP122" i="1" s="1"/>
  <c r="IU122" i="1"/>
  <c r="KQ122" i="1" s="1"/>
  <c r="IV122" i="1"/>
  <c r="KR122" i="1" s="1"/>
  <c r="IW122" i="1"/>
  <c r="KS122" i="1" s="1"/>
  <c r="IX122" i="1"/>
  <c r="KT122" i="1" s="1"/>
  <c r="IY122" i="1"/>
  <c r="KU122" i="1" s="1"/>
  <c r="IZ122" i="1"/>
  <c r="KV122" i="1" s="1"/>
  <c r="JA122" i="1"/>
  <c r="KW122" i="1" s="1"/>
  <c r="JB122" i="1"/>
  <c r="KX122" i="1" s="1"/>
  <c r="JC122" i="1"/>
  <c r="KY122" i="1" s="1"/>
  <c r="JD122" i="1"/>
  <c r="KZ122" i="1" s="1"/>
  <c r="JE122" i="1"/>
  <c r="LA122" i="1" s="1"/>
  <c r="JF122" i="1"/>
  <c r="LB122" i="1" s="1"/>
  <c r="JG122" i="1"/>
  <c r="LC122" i="1" s="1"/>
  <c r="JH122" i="1"/>
  <c r="LD122" i="1" s="1"/>
  <c r="JI122" i="1"/>
  <c r="LE122" i="1" s="1"/>
  <c r="JJ122" i="1"/>
  <c r="LF122" i="1" s="1"/>
  <c r="JK122" i="1"/>
  <c r="LG122" i="1" s="1"/>
  <c r="JL122" i="1"/>
  <c r="LH122" i="1" s="1"/>
  <c r="JM122" i="1"/>
  <c r="LI122" i="1" s="1"/>
  <c r="JN122" i="1"/>
  <c r="LJ122" i="1" s="1"/>
  <c r="JO122" i="1"/>
  <c r="LK122" i="1" s="1"/>
  <c r="LL122" i="1"/>
  <c r="KF33" i="1"/>
  <c r="IK33" i="1"/>
  <c r="KG33" i="1" s="1"/>
  <c r="IL33" i="1"/>
  <c r="KH33" i="1" s="1"/>
  <c r="IM33" i="1"/>
  <c r="KI33" i="1" s="1"/>
  <c r="IN33" i="1"/>
  <c r="KJ33" i="1" s="1"/>
  <c r="IO33" i="1"/>
  <c r="KK33" i="1" s="1"/>
  <c r="IP33" i="1"/>
  <c r="KL33" i="1" s="1"/>
  <c r="IQ33" i="1"/>
  <c r="KM33" i="1" s="1"/>
  <c r="IR33" i="1"/>
  <c r="KN33" i="1" s="1"/>
  <c r="IS33" i="1"/>
  <c r="KO33" i="1" s="1"/>
  <c r="IT33" i="1"/>
  <c r="KP33" i="1" s="1"/>
  <c r="IU33" i="1"/>
  <c r="KQ33" i="1" s="1"/>
  <c r="IV33" i="1"/>
  <c r="KR33" i="1" s="1"/>
  <c r="IW33" i="1"/>
  <c r="KS33" i="1" s="1"/>
  <c r="IX33" i="1"/>
  <c r="KT33" i="1" s="1"/>
  <c r="IY33" i="1"/>
  <c r="KU33" i="1" s="1"/>
  <c r="IZ33" i="1"/>
  <c r="KV33" i="1" s="1"/>
  <c r="JA33" i="1"/>
  <c r="KW33" i="1" s="1"/>
  <c r="JB33" i="1"/>
  <c r="KX33" i="1" s="1"/>
  <c r="JC33" i="1"/>
  <c r="KY33" i="1" s="1"/>
  <c r="JD33" i="1"/>
  <c r="KZ33" i="1" s="1"/>
  <c r="JE33" i="1"/>
  <c r="LA33" i="1" s="1"/>
  <c r="JF33" i="1"/>
  <c r="LB33" i="1" s="1"/>
  <c r="JG33" i="1"/>
  <c r="LC33" i="1" s="1"/>
  <c r="JH33" i="1"/>
  <c r="LD33" i="1" s="1"/>
  <c r="JI33" i="1"/>
  <c r="LE33" i="1" s="1"/>
  <c r="JJ33" i="1"/>
  <c r="LF33" i="1" s="1"/>
  <c r="JK33" i="1"/>
  <c r="LG33" i="1" s="1"/>
  <c r="JL33" i="1"/>
  <c r="LH33" i="1" s="1"/>
  <c r="JM33" i="1"/>
  <c r="LI33" i="1" s="1"/>
  <c r="JN33" i="1"/>
  <c r="LJ33" i="1" s="1"/>
  <c r="JO33" i="1"/>
  <c r="LK33" i="1" s="1"/>
  <c r="LL33" i="1"/>
  <c r="KF34" i="1"/>
  <c r="IK34" i="1"/>
  <c r="KG34" i="1" s="1"/>
  <c r="IL34" i="1"/>
  <c r="KH34" i="1" s="1"/>
  <c r="IM34" i="1"/>
  <c r="KI34" i="1" s="1"/>
  <c r="IN34" i="1"/>
  <c r="KJ34" i="1" s="1"/>
  <c r="IO34" i="1"/>
  <c r="KK34" i="1" s="1"/>
  <c r="IP34" i="1"/>
  <c r="KL34" i="1" s="1"/>
  <c r="IQ34" i="1"/>
  <c r="KM34" i="1" s="1"/>
  <c r="IR34" i="1"/>
  <c r="KN34" i="1" s="1"/>
  <c r="IS34" i="1"/>
  <c r="KO34" i="1" s="1"/>
  <c r="IT34" i="1"/>
  <c r="KP34" i="1" s="1"/>
  <c r="IU34" i="1"/>
  <c r="KQ34" i="1" s="1"/>
  <c r="IV34" i="1"/>
  <c r="KR34" i="1" s="1"/>
  <c r="IW34" i="1"/>
  <c r="KS34" i="1" s="1"/>
  <c r="IX34" i="1"/>
  <c r="KT34" i="1" s="1"/>
  <c r="IY34" i="1"/>
  <c r="KU34" i="1" s="1"/>
  <c r="IZ34" i="1"/>
  <c r="KV34" i="1" s="1"/>
  <c r="JA34" i="1"/>
  <c r="KW34" i="1" s="1"/>
  <c r="JB34" i="1"/>
  <c r="KX34" i="1" s="1"/>
  <c r="JC34" i="1"/>
  <c r="KY34" i="1" s="1"/>
  <c r="JD34" i="1"/>
  <c r="KZ34" i="1" s="1"/>
  <c r="JE34" i="1"/>
  <c r="LA34" i="1" s="1"/>
  <c r="JF34" i="1"/>
  <c r="LB34" i="1" s="1"/>
  <c r="JG34" i="1"/>
  <c r="LC34" i="1" s="1"/>
  <c r="JH34" i="1"/>
  <c r="LD34" i="1" s="1"/>
  <c r="JI34" i="1"/>
  <c r="LE34" i="1" s="1"/>
  <c r="JJ34" i="1"/>
  <c r="LF34" i="1" s="1"/>
  <c r="JK34" i="1"/>
  <c r="LG34" i="1" s="1"/>
  <c r="JL34" i="1"/>
  <c r="LH34" i="1" s="1"/>
  <c r="JM34" i="1"/>
  <c r="LI34" i="1" s="1"/>
  <c r="JN34" i="1"/>
  <c r="LJ34" i="1" s="1"/>
  <c r="JO34" i="1"/>
  <c r="LK34" i="1" s="1"/>
  <c r="LL34" i="1"/>
  <c r="KF123" i="1"/>
  <c r="IK123" i="1"/>
  <c r="KG123" i="1" s="1"/>
  <c r="IL123" i="1"/>
  <c r="KH123" i="1" s="1"/>
  <c r="IM123" i="1"/>
  <c r="KI123" i="1" s="1"/>
  <c r="IN123" i="1"/>
  <c r="KJ123" i="1" s="1"/>
  <c r="IO123" i="1"/>
  <c r="KK123" i="1" s="1"/>
  <c r="IP123" i="1"/>
  <c r="KL123" i="1" s="1"/>
  <c r="IQ123" i="1"/>
  <c r="KM123" i="1" s="1"/>
  <c r="IR123" i="1"/>
  <c r="KN123" i="1" s="1"/>
  <c r="IS123" i="1"/>
  <c r="KO123" i="1" s="1"/>
  <c r="IT123" i="1"/>
  <c r="KP123" i="1" s="1"/>
  <c r="IU123" i="1"/>
  <c r="KQ123" i="1" s="1"/>
  <c r="IV123" i="1"/>
  <c r="KR123" i="1" s="1"/>
  <c r="IW123" i="1"/>
  <c r="KS123" i="1" s="1"/>
  <c r="IX123" i="1"/>
  <c r="KT123" i="1" s="1"/>
  <c r="IY123" i="1"/>
  <c r="KU123" i="1" s="1"/>
  <c r="IZ123" i="1"/>
  <c r="KV123" i="1" s="1"/>
  <c r="JA123" i="1"/>
  <c r="KW123" i="1" s="1"/>
  <c r="JB123" i="1"/>
  <c r="KX123" i="1" s="1"/>
  <c r="JC123" i="1"/>
  <c r="KY123" i="1" s="1"/>
  <c r="JD123" i="1"/>
  <c r="KZ123" i="1" s="1"/>
  <c r="JE123" i="1"/>
  <c r="LA123" i="1" s="1"/>
  <c r="JF123" i="1"/>
  <c r="LB123" i="1" s="1"/>
  <c r="JG123" i="1"/>
  <c r="LC123" i="1" s="1"/>
  <c r="JH123" i="1"/>
  <c r="LD123" i="1" s="1"/>
  <c r="JI123" i="1"/>
  <c r="LE123" i="1" s="1"/>
  <c r="JJ123" i="1"/>
  <c r="LF123" i="1" s="1"/>
  <c r="JK123" i="1"/>
  <c r="LG123" i="1" s="1"/>
  <c r="JL123" i="1"/>
  <c r="LH123" i="1" s="1"/>
  <c r="JM123" i="1"/>
  <c r="LI123" i="1" s="1"/>
  <c r="JN123" i="1"/>
  <c r="LJ123" i="1" s="1"/>
  <c r="JO123" i="1"/>
  <c r="LK123" i="1" s="1"/>
  <c r="LL123" i="1"/>
  <c r="KF35" i="1"/>
  <c r="IK35" i="1"/>
  <c r="KG35" i="1" s="1"/>
  <c r="IL35" i="1"/>
  <c r="KH35" i="1" s="1"/>
  <c r="IM35" i="1"/>
  <c r="KI35" i="1" s="1"/>
  <c r="IN35" i="1"/>
  <c r="KJ35" i="1" s="1"/>
  <c r="IO35" i="1"/>
  <c r="KK35" i="1" s="1"/>
  <c r="IP35" i="1"/>
  <c r="KL35" i="1" s="1"/>
  <c r="IQ35" i="1"/>
  <c r="KM35" i="1" s="1"/>
  <c r="IR35" i="1"/>
  <c r="KN35" i="1" s="1"/>
  <c r="IS35" i="1"/>
  <c r="KO35" i="1" s="1"/>
  <c r="IT35" i="1"/>
  <c r="KP35" i="1" s="1"/>
  <c r="IU35" i="1"/>
  <c r="KQ35" i="1" s="1"/>
  <c r="IV35" i="1"/>
  <c r="KR35" i="1" s="1"/>
  <c r="IW35" i="1"/>
  <c r="KS35" i="1" s="1"/>
  <c r="IX35" i="1"/>
  <c r="KT35" i="1" s="1"/>
  <c r="IY35" i="1"/>
  <c r="KU35" i="1" s="1"/>
  <c r="IZ35" i="1"/>
  <c r="KV35" i="1" s="1"/>
  <c r="JA35" i="1"/>
  <c r="KW35" i="1" s="1"/>
  <c r="JB35" i="1"/>
  <c r="KX35" i="1" s="1"/>
  <c r="JC35" i="1"/>
  <c r="KY35" i="1" s="1"/>
  <c r="JD35" i="1"/>
  <c r="KZ35" i="1" s="1"/>
  <c r="JE35" i="1"/>
  <c r="LA35" i="1" s="1"/>
  <c r="JF35" i="1"/>
  <c r="LB35" i="1" s="1"/>
  <c r="JG35" i="1"/>
  <c r="LC35" i="1" s="1"/>
  <c r="JH35" i="1"/>
  <c r="LD35" i="1" s="1"/>
  <c r="JI35" i="1"/>
  <c r="LE35" i="1" s="1"/>
  <c r="JJ35" i="1"/>
  <c r="LF35" i="1" s="1"/>
  <c r="JK35" i="1"/>
  <c r="LG35" i="1" s="1"/>
  <c r="JL35" i="1"/>
  <c r="LH35" i="1" s="1"/>
  <c r="JM35" i="1"/>
  <c r="LI35" i="1" s="1"/>
  <c r="JN35" i="1"/>
  <c r="LJ35" i="1" s="1"/>
  <c r="JO35" i="1"/>
  <c r="LK35" i="1" s="1"/>
  <c r="LL35" i="1"/>
  <c r="KF124" i="1"/>
  <c r="IK124" i="1"/>
  <c r="KG124" i="1" s="1"/>
  <c r="IL124" i="1"/>
  <c r="KH124" i="1" s="1"/>
  <c r="IM124" i="1"/>
  <c r="KI124" i="1" s="1"/>
  <c r="IN124" i="1"/>
  <c r="KJ124" i="1" s="1"/>
  <c r="IO124" i="1"/>
  <c r="KK124" i="1" s="1"/>
  <c r="IP124" i="1"/>
  <c r="KL124" i="1" s="1"/>
  <c r="IQ124" i="1"/>
  <c r="KM124" i="1" s="1"/>
  <c r="IR124" i="1"/>
  <c r="KN124" i="1" s="1"/>
  <c r="IS124" i="1"/>
  <c r="KO124" i="1" s="1"/>
  <c r="IT124" i="1"/>
  <c r="KP124" i="1" s="1"/>
  <c r="IU124" i="1"/>
  <c r="KQ124" i="1" s="1"/>
  <c r="IV124" i="1"/>
  <c r="KR124" i="1" s="1"/>
  <c r="IW124" i="1"/>
  <c r="KS124" i="1" s="1"/>
  <c r="IX124" i="1"/>
  <c r="KT124" i="1" s="1"/>
  <c r="IY124" i="1"/>
  <c r="KU124" i="1" s="1"/>
  <c r="IZ124" i="1"/>
  <c r="KV124" i="1" s="1"/>
  <c r="JA124" i="1"/>
  <c r="KW124" i="1" s="1"/>
  <c r="JB124" i="1"/>
  <c r="KX124" i="1" s="1"/>
  <c r="JC124" i="1"/>
  <c r="KY124" i="1" s="1"/>
  <c r="JD124" i="1"/>
  <c r="KZ124" i="1" s="1"/>
  <c r="JE124" i="1"/>
  <c r="LA124" i="1" s="1"/>
  <c r="JF124" i="1"/>
  <c r="LB124" i="1" s="1"/>
  <c r="JG124" i="1"/>
  <c r="LC124" i="1" s="1"/>
  <c r="JH124" i="1"/>
  <c r="LD124" i="1" s="1"/>
  <c r="JI124" i="1"/>
  <c r="LE124" i="1" s="1"/>
  <c r="JJ124" i="1"/>
  <c r="LF124" i="1" s="1"/>
  <c r="JK124" i="1"/>
  <c r="LG124" i="1" s="1"/>
  <c r="JL124" i="1"/>
  <c r="LH124" i="1" s="1"/>
  <c r="JM124" i="1"/>
  <c r="LI124" i="1" s="1"/>
  <c r="JN124" i="1"/>
  <c r="LJ124" i="1" s="1"/>
  <c r="JO124" i="1"/>
  <c r="LK124" i="1" s="1"/>
  <c r="LL124" i="1"/>
  <c r="KF125" i="1"/>
  <c r="IK125" i="1"/>
  <c r="KG125" i="1" s="1"/>
  <c r="IL125" i="1"/>
  <c r="KH125" i="1" s="1"/>
  <c r="IM125" i="1"/>
  <c r="KI125" i="1" s="1"/>
  <c r="IN125" i="1"/>
  <c r="KJ125" i="1" s="1"/>
  <c r="IO125" i="1"/>
  <c r="KK125" i="1" s="1"/>
  <c r="IP125" i="1"/>
  <c r="KL125" i="1" s="1"/>
  <c r="IQ125" i="1"/>
  <c r="KM125" i="1" s="1"/>
  <c r="IR125" i="1"/>
  <c r="KN125" i="1" s="1"/>
  <c r="IS125" i="1"/>
  <c r="KO125" i="1" s="1"/>
  <c r="IT125" i="1"/>
  <c r="KP125" i="1" s="1"/>
  <c r="IU125" i="1"/>
  <c r="KQ125" i="1" s="1"/>
  <c r="IV125" i="1"/>
  <c r="KR125" i="1" s="1"/>
  <c r="IW125" i="1"/>
  <c r="KS125" i="1" s="1"/>
  <c r="IX125" i="1"/>
  <c r="KT125" i="1" s="1"/>
  <c r="IY125" i="1"/>
  <c r="KU125" i="1" s="1"/>
  <c r="IZ125" i="1"/>
  <c r="KV125" i="1" s="1"/>
  <c r="JA125" i="1"/>
  <c r="KW125" i="1" s="1"/>
  <c r="JB125" i="1"/>
  <c r="KX125" i="1" s="1"/>
  <c r="JC125" i="1"/>
  <c r="KY125" i="1" s="1"/>
  <c r="JD125" i="1"/>
  <c r="KZ125" i="1" s="1"/>
  <c r="JE125" i="1"/>
  <c r="LA125" i="1" s="1"/>
  <c r="JF125" i="1"/>
  <c r="LB125" i="1" s="1"/>
  <c r="JG125" i="1"/>
  <c r="LC125" i="1" s="1"/>
  <c r="JH125" i="1"/>
  <c r="LD125" i="1" s="1"/>
  <c r="JI125" i="1"/>
  <c r="LE125" i="1" s="1"/>
  <c r="JJ125" i="1"/>
  <c r="LF125" i="1" s="1"/>
  <c r="JK125" i="1"/>
  <c r="LG125" i="1" s="1"/>
  <c r="JL125" i="1"/>
  <c r="LH125" i="1" s="1"/>
  <c r="JM125" i="1"/>
  <c r="LI125" i="1" s="1"/>
  <c r="JN125" i="1"/>
  <c r="LJ125" i="1" s="1"/>
  <c r="JO125" i="1"/>
  <c r="LK125" i="1" s="1"/>
  <c r="LL125" i="1"/>
  <c r="KF116" i="1"/>
  <c r="IK116" i="1"/>
  <c r="KG116" i="1" s="1"/>
  <c r="IL116" i="1"/>
  <c r="KH116" i="1" s="1"/>
  <c r="IM116" i="1"/>
  <c r="KI116" i="1" s="1"/>
  <c r="IN116" i="1"/>
  <c r="KJ116" i="1" s="1"/>
  <c r="IO116" i="1"/>
  <c r="KK116" i="1" s="1"/>
  <c r="IP116" i="1"/>
  <c r="KL116" i="1" s="1"/>
  <c r="IQ116" i="1"/>
  <c r="KM116" i="1" s="1"/>
  <c r="IR116" i="1"/>
  <c r="KN116" i="1" s="1"/>
  <c r="IS116" i="1"/>
  <c r="KO116" i="1" s="1"/>
  <c r="IT116" i="1"/>
  <c r="KP116" i="1" s="1"/>
  <c r="IU116" i="1"/>
  <c r="KQ116" i="1" s="1"/>
  <c r="IV116" i="1"/>
  <c r="KR116" i="1" s="1"/>
  <c r="IW116" i="1"/>
  <c r="KS116" i="1" s="1"/>
  <c r="IX116" i="1"/>
  <c r="KT116" i="1" s="1"/>
  <c r="IY116" i="1"/>
  <c r="KU116" i="1" s="1"/>
  <c r="IZ116" i="1"/>
  <c r="KV116" i="1" s="1"/>
  <c r="JA116" i="1"/>
  <c r="KW116" i="1" s="1"/>
  <c r="JB116" i="1"/>
  <c r="KX116" i="1" s="1"/>
  <c r="JC116" i="1"/>
  <c r="KY116" i="1" s="1"/>
  <c r="JD116" i="1"/>
  <c r="KZ116" i="1" s="1"/>
  <c r="JE116" i="1"/>
  <c r="LA116" i="1" s="1"/>
  <c r="JF116" i="1"/>
  <c r="LB116" i="1" s="1"/>
  <c r="JG116" i="1"/>
  <c r="LC116" i="1" s="1"/>
  <c r="JH116" i="1"/>
  <c r="LD116" i="1" s="1"/>
  <c r="JI116" i="1"/>
  <c r="LE116" i="1" s="1"/>
  <c r="JJ116" i="1"/>
  <c r="LF116" i="1" s="1"/>
  <c r="JK116" i="1"/>
  <c r="LG116" i="1" s="1"/>
  <c r="JL116" i="1"/>
  <c r="LH116" i="1" s="1"/>
  <c r="JM116" i="1"/>
  <c r="LI116" i="1" s="1"/>
  <c r="JN116" i="1"/>
  <c r="LJ116" i="1" s="1"/>
  <c r="JO116" i="1"/>
  <c r="LK116" i="1" s="1"/>
  <c r="LL116" i="1"/>
  <c r="IK36" i="1"/>
  <c r="KG36" i="1" s="1"/>
  <c r="IL36" i="1"/>
  <c r="KH36" i="1" s="1"/>
  <c r="IM36" i="1"/>
  <c r="KI36" i="1" s="1"/>
  <c r="IN36" i="1"/>
  <c r="KJ36" i="1" s="1"/>
  <c r="IO36" i="1"/>
  <c r="KK36" i="1" s="1"/>
  <c r="IP36" i="1"/>
  <c r="KL36" i="1" s="1"/>
  <c r="IQ36" i="1"/>
  <c r="KM36" i="1" s="1"/>
  <c r="IR36" i="1"/>
  <c r="KN36" i="1" s="1"/>
  <c r="IS36" i="1"/>
  <c r="KO36" i="1" s="1"/>
  <c r="IT36" i="1"/>
  <c r="KP36" i="1" s="1"/>
  <c r="IU36" i="1"/>
  <c r="KQ36" i="1" s="1"/>
  <c r="IV36" i="1"/>
  <c r="KR36" i="1" s="1"/>
  <c r="IW36" i="1"/>
  <c r="KS36" i="1" s="1"/>
  <c r="IX36" i="1"/>
  <c r="KT36" i="1" s="1"/>
  <c r="IY36" i="1"/>
  <c r="KU36" i="1" s="1"/>
  <c r="IZ36" i="1"/>
  <c r="KV36" i="1" s="1"/>
  <c r="JA36" i="1"/>
  <c r="KW36" i="1" s="1"/>
  <c r="JB36" i="1"/>
  <c r="KX36" i="1" s="1"/>
  <c r="JC36" i="1"/>
  <c r="KY36" i="1" s="1"/>
  <c r="JD36" i="1"/>
  <c r="KZ36" i="1" s="1"/>
  <c r="JE36" i="1"/>
  <c r="LA36" i="1" s="1"/>
  <c r="JF36" i="1"/>
  <c r="LB36" i="1" s="1"/>
  <c r="JG36" i="1"/>
  <c r="LC36" i="1" s="1"/>
  <c r="JH36" i="1"/>
  <c r="LD36" i="1" s="1"/>
  <c r="JI36" i="1"/>
  <c r="LE36" i="1" s="1"/>
  <c r="JJ36" i="1"/>
  <c r="LF36" i="1" s="1"/>
  <c r="JK36" i="1"/>
  <c r="LG36" i="1" s="1"/>
  <c r="JL36" i="1"/>
  <c r="LH36" i="1" s="1"/>
  <c r="JM36" i="1"/>
  <c r="LI36" i="1" s="1"/>
  <c r="JN36" i="1"/>
  <c r="LJ36" i="1" s="1"/>
  <c r="JO36" i="1"/>
  <c r="LK36" i="1" s="1"/>
  <c r="LL36" i="1"/>
  <c r="KF36" i="1"/>
  <c r="AR2" i="2" l="1"/>
  <c r="BI2" i="2"/>
  <c r="BJ2" i="2" s="1"/>
  <c r="BK2" i="2"/>
  <c r="BL2" i="2"/>
  <c r="BM2" i="2" s="1"/>
  <c r="BO2" i="2"/>
  <c r="BP2" i="2"/>
  <c r="AR3" i="2"/>
  <c r="BI3" i="2"/>
  <c r="BJ3" i="2" s="1"/>
  <c r="BK3" i="2"/>
  <c r="BL3" i="2"/>
  <c r="BM3" i="2" s="1"/>
  <c r="BO3" i="2"/>
  <c r="BP3" i="2"/>
  <c r="AR4" i="2"/>
  <c r="AS4" i="2" s="1"/>
  <c r="BI4" i="2"/>
  <c r="BJ4" i="2" s="1"/>
  <c r="BK4" i="2"/>
  <c r="BL4" i="2"/>
  <c r="BM4" i="2" s="1"/>
  <c r="BO4" i="2"/>
  <c r="BP4" i="2"/>
  <c r="AR5" i="2"/>
  <c r="AS5" i="2" s="1"/>
  <c r="BI5" i="2"/>
  <c r="BJ5" i="2" s="1"/>
  <c r="BK5" i="2"/>
  <c r="BL5" i="2"/>
  <c r="BM5" i="2" s="1"/>
  <c r="BO5" i="2"/>
  <c r="BP5" i="2"/>
  <c r="AS6" i="2"/>
  <c r="AT6" i="2" s="1"/>
  <c r="AU6" i="2"/>
  <c r="BK6" i="2"/>
  <c r="BL6" i="2" s="1"/>
  <c r="BM6" i="2"/>
  <c r="BN6" i="2"/>
  <c r="BO6" i="2"/>
  <c r="BP6" i="2" s="1"/>
  <c r="BR6" i="2"/>
  <c r="BS6" i="2"/>
  <c r="AS7" i="2"/>
  <c r="BQ7" i="2" s="1"/>
  <c r="AU7" i="2"/>
  <c r="BL7" i="2"/>
  <c r="BM7" i="2"/>
  <c r="BO7" i="2"/>
  <c r="BP7" i="2" s="1"/>
  <c r="BR7" i="2"/>
  <c r="BS7" i="2"/>
  <c r="BA36" i="1"/>
  <c r="BB36" i="1" s="1"/>
  <c r="BC36" i="1"/>
  <c r="BS36" i="1"/>
  <c r="BU36" i="1"/>
  <c r="CB36" i="1"/>
  <c r="CD36" i="1"/>
  <c r="CE36" i="1"/>
  <c r="CJ36" i="1"/>
  <c r="CK36" i="1"/>
  <c r="BA118" i="1"/>
  <c r="BC118" i="1"/>
  <c r="BT118" i="1"/>
  <c r="BU118" i="1"/>
  <c r="CB118" i="1"/>
  <c r="CD118" i="1"/>
  <c r="CE118" i="1"/>
  <c r="CJ118" i="1"/>
  <c r="CK118" i="1"/>
  <c r="BA2" i="1"/>
  <c r="BB2" i="1" s="1"/>
  <c r="BC2" i="1"/>
  <c r="BS2" i="1"/>
  <c r="BU2" i="1"/>
  <c r="BV2" i="1"/>
  <c r="CB2" i="1"/>
  <c r="CD2" i="1"/>
  <c r="CE2" i="1"/>
  <c r="CJ2" i="1"/>
  <c r="CK2" i="1"/>
  <c r="BA37" i="1"/>
  <c r="BC37" i="1"/>
  <c r="BS37" i="1"/>
  <c r="BZ37" i="1" s="1"/>
  <c r="BU37" i="1"/>
  <c r="CB37" i="1"/>
  <c r="CD37" i="1"/>
  <c r="CE37" i="1"/>
  <c r="CF37" i="1" s="1"/>
  <c r="CJ37" i="1"/>
  <c r="CK37" i="1"/>
  <c r="BA38" i="1"/>
  <c r="BC38" i="1"/>
  <c r="BS38" i="1"/>
  <c r="BZ38" i="1" s="1"/>
  <c r="BU38" i="1"/>
  <c r="CB38" i="1"/>
  <c r="CD38" i="1"/>
  <c r="CE38" i="1"/>
  <c r="CF38" i="1" s="1"/>
  <c r="CJ38" i="1"/>
  <c r="CK38" i="1"/>
  <c r="BA39" i="1"/>
  <c r="BB39" i="1" s="1"/>
  <c r="BC39" i="1"/>
  <c r="BS39" i="1"/>
  <c r="BU39" i="1"/>
  <c r="CB39" i="1"/>
  <c r="CD39" i="1"/>
  <c r="CE39" i="1"/>
  <c r="CF39" i="1" s="1"/>
  <c r="CJ39" i="1"/>
  <c r="CK39" i="1"/>
  <c r="BA41" i="1"/>
  <c r="BC41" i="1"/>
  <c r="BS41" i="1"/>
  <c r="BZ41" i="1" s="1"/>
  <c r="BU41" i="1"/>
  <c r="CB41" i="1"/>
  <c r="CD41" i="1"/>
  <c r="CE41" i="1"/>
  <c r="CF41" i="1" s="1"/>
  <c r="CJ41" i="1"/>
  <c r="CK41" i="1"/>
  <c r="BA40" i="1"/>
  <c r="BY40" i="1" s="1"/>
  <c r="BC40" i="1"/>
  <c r="BS40" i="1"/>
  <c r="BZ40" i="1" s="1"/>
  <c r="BU40" i="1"/>
  <c r="CB40" i="1"/>
  <c r="CD40" i="1"/>
  <c r="CE40" i="1"/>
  <c r="CF40" i="1" s="1"/>
  <c r="CJ40" i="1"/>
  <c r="CK40" i="1"/>
  <c r="BA42" i="1"/>
  <c r="BB42" i="1" s="1"/>
  <c r="BC42" i="1"/>
  <c r="BS42" i="1"/>
  <c r="BU42" i="1"/>
  <c r="CB42" i="1"/>
  <c r="CD42" i="1"/>
  <c r="CE42" i="1"/>
  <c r="CF42" i="1" s="1"/>
  <c r="CJ42" i="1"/>
  <c r="CK42" i="1"/>
  <c r="BA43" i="1"/>
  <c r="BB43" i="1" s="1"/>
  <c r="BC43" i="1"/>
  <c r="BS43" i="1"/>
  <c r="BU43" i="1"/>
  <c r="CB43" i="1"/>
  <c r="CD43" i="1"/>
  <c r="CE43" i="1"/>
  <c r="CJ43" i="1"/>
  <c r="CK43" i="1"/>
  <c r="BA44" i="1"/>
  <c r="BC44" i="1"/>
  <c r="BS44" i="1"/>
  <c r="BZ44" i="1" s="1"/>
  <c r="BU44" i="1"/>
  <c r="CB44" i="1"/>
  <c r="CD44" i="1"/>
  <c r="CE44" i="1"/>
  <c r="CF44" i="1" s="1"/>
  <c r="CJ44" i="1"/>
  <c r="CK44" i="1"/>
  <c r="BA45" i="1"/>
  <c r="BB45" i="1" s="1"/>
  <c r="BC45" i="1"/>
  <c r="BS45" i="1"/>
  <c r="BU45" i="1"/>
  <c r="CB45" i="1"/>
  <c r="CD45" i="1"/>
  <c r="CE45" i="1"/>
  <c r="CJ45" i="1"/>
  <c r="CK45" i="1"/>
  <c r="BA46" i="1"/>
  <c r="BC46" i="1"/>
  <c r="BS46" i="1"/>
  <c r="BZ46" i="1" s="1"/>
  <c r="BU46" i="1"/>
  <c r="CB46" i="1"/>
  <c r="CD46" i="1"/>
  <c r="CE46" i="1"/>
  <c r="CF46" i="1" s="1"/>
  <c r="CJ46" i="1"/>
  <c r="CK46" i="1"/>
  <c r="BA3" i="1"/>
  <c r="BB3" i="1" s="1"/>
  <c r="BC3" i="1"/>
  <c r="BS3" i="1"/>
  <c r="BU3" i="1"/>
  <c r="BV3" i="1"/>
  <c r="CB3" i="1"/>
  <c r="CD3" i="1"/>
  <c r="CE3" i="1"/>
  <c r="CJ3" i="1"/>
  <c r="CK3" i="1"/>
  <c r="BA47" i="1"/>
  <c r="BC47" i="1"/>
  <c r="BS47" i="1"/>
  <c r="BZ47" i="1" s="1"/>
  <c r="BU47" i="1"/>
  <c r="CB47" i="1"/>
  <c r="CD47" i="1"/>
  <c r="CE47" i="1"/>
  <c r="CF47" i="1" s="1"/>
  <c r="CJ47" i="1"/>
  <c r="CK47" i="1"/>
  <c r="BA48" i="1"/>
  <c r="BC48" i="1"/>
  <c r="BS48" i="1"/>
  <c r="BU48" i="1"/>
  <c r="CB48" i="1"/>
  <c r="CD48" i="1"/>
  <c r="CE48" i="1"/>
  <c r="CF48" i="1" s="1"/>
  <c r="CJ48" i="1"/>
  <c r="CK48" i="1"/>
  <c r="BA49" i="1"/>
  <c r="BC49" i="1"/>
  <c r="BS49" i="1"/>
  <c r="BZ49" i="1" s="1"/>
  <c r="BU49" i="1"/>
  <c r="CB49" i="1"/>
  <c r="CD49" i="1"/>
  <c r="CE49" i="1"/>
  <c r="CF49" i="1" s="1"/>
  <c r="CJ49" i="1"/>
  <c r="CK49" i="1"/>
  <c r="BA50" i="1"/>
  <c r="BB50" i="1" s="1"/>
  <c r="BC50" i="1"/>
  <c r="BS50" i="1"/>
  <c r="BU50" i="1"/>
  <c r="CB50" i="1"/>
  <c r="CD50" i="1"/>
  <c r="CE50" i="1"/>
  <c r="CJ50" i="1"/>
  <c r="CK50" i="1"/>
  <c r="BA51" i="1"/>
  <c r="BB51" i="1" s="1"/>
  <c r="BC51" i="1"/>
  <c r="BS51" i="1"/>
  <c r="BU51" i="1"/>
  <c r="CB51" i="1"/>
  <c r="CD51" i="1"/>
  <c r="CE51" i="1"/>
  <c r="CJ51" i="1"/>
  <c r="CK51" i="1"/>
  <c r="BA52" i="1"/>
  <c r="BC52" i="1"/>
  <c r="BS52" i="1"/>
  <c r="BZ52" i="1" s="1"/>
  <c r="BU52" i="1"/>
  <c r="CB52" i="1"/>
  <c r="CD52" i="1"/>
  <c r="CE52" i="1"/>
  <c r="CF52" i="1" s="1"/>
  <c r="CJ52" i="1"/>
  <c r="CK52" i="1"/>
  <c r="BA53" i="1"/>
  <c r="BC53" i="1"/>
  <c r="BS53" i="1"/>
  <c r="BU53" i="1"/>
  <c r="CB53" i="1"/>
  <c r="CD53" i="1"/>
  <c r="CE53" i="1"/>
  <c r="CF53" i="1" s="1"/>
  <c r="CJ53" i="1"/>
  <c r="CK53" i="1"/>
  <c r="BA54" i="1"/>
  <c r="BB54" i="1" s="1"/>
  <c r="BC54" i="1"/>
  <c r="BS54" i="1"/>
  <c r="BU54" i="1"/>
  <c r="CB54" i="1"/>
  <c r="CD54" i="1"/>
  <c r="CE54" i="1"/>
  <c r="CJ54" i="1"/>
  <c r="CK54" i="1"/>
  <c r="BA4" i="1"/>
  <c r="BB4" i="1" s="1"/>
  <c r="BC4" i="1"/>
  <c r="BS4" i="1"/>
  <c r="BU4" i="1"/>
  <c r="BV4" i="1"/>
  <c r="CB4" i="1"/>
  <c r="CD4" i="1"/>
  <c r="CE4" i="1"/>
  <c r="CJ4" i="1"/>
  <c r="CK4" i="1"/>
  <c r="BA55" i="1"/>
  <c r="BB55" i="1" s="1"/>
  <c r="BC55" i="1"/>
  <c r="BS55" i="1"/>
  <c r="BU55" i="1"/>
  <c r="CB55" i="1"/>
  <c r="CD55" i="1"/>
  <c r="CE55" i="1"/>
  <c r="CJ55" i="1"/>
  <c r="CK55" i="1"/>
  <c r="BA5" i="1"/>
  <c r="BB5" i="1" s="1"/>
  <c r="BC5" i="1"/>
  <c r="BS5" i="1"/>
  <c r="BU5" i="1"/>
  <c r="BV5" i="1"/>
  <c r="CB5" i="1"/>
  <c r="CD5" i="1"/>
  <c r="CE5" i="1"/>
  <c r="CJ5" i="1"/>
  <c r="CK5" i="1"/>
  <c r="BA56" i="1"/>
  <c r="BC56" i="1"/>
  <c r="BS56" i="1"/>
  <c r="BZ56" i="1" s="1"/>
  <c r="BU56" i="1"/>
  <c r="CB56" i="1"/>
  <c r="CD56" i="1"/>
  <c r="CE56" i="1"/>
  <c r="CJ56" i="1"/>
  <c r="CK56" i="1"/>
  <c r="BA57" i="1"/>
  <c r="BB57" i="1" s="1"/>
  <c r="BC57" i="1"/>
  <c r="BS57" i="1"/>
  <c r="BU57" i="1"/>
  <c r="CB57" i="1"/>
  <c r="CD57" i="1"/>
  <c r="CE57" i="1"/>
  <c r="CJ57" i="1"/>
  <c r="CK57" i="1"/>
  <c r="BA58" i="1"/>
  <c r="BC58" i="1"/>
  <c r="BS58" i="1"/>
  <c r="BZ58" i="1" s="1"/>
  <c r="BU58" i="1"/>
  <c r="CB58" i="1"/>
  <c r="CD58" i="1"/>
  <c r="CE58" i="1"/>
  <c r="CF58" i="1" s="1"/>
  <c r="CJ58" i="1"/>
  <c r="CK58" i="1"/>
  <c r="BA59" i="1"/>
  <c r="BC59" i="1"/>
  <c r="BS59" i="1"/>
  <c r="BZ59" i="1" s="1"/>
  <c r="BU59" i="1"/>
  <c r="CB59" i="1"/>
  <c r="CD59" i="1"/>
  <c r="CE59" i="1"/>
  <c r="CJ59" i="1"/>
  <c r="CK59" i="1"/>
  <c r="BA60" i="1"/>
  <c r="BC60" i="1"/>
  <c r="BS60" i="1"/>
  <c r="BU60" i="1"/>
  <c r="CB60" i="1"/>
  <c r="CD60" i="1"/>
  <c r="CE60" i="1"/>
  <c r="CF60" i="1" s="1"/>
  <c r="CJ60" i="1"/>
  <c r="CK60" i="1"/>
  <c r="BA61" i="1"/>
  <c r="BB61" i="1" s="1"/>
  <c r="BC61" i="1"/>
  <c r="BS61" i="1"/>
  <c r="BU61" i="1"/>
  <c r="CB61" i="1"/>
  <c r="CD61" i="1"/>
  <c r="CE61" i="1"/>
  <c r="CJ61" i="1"/>
  <c r="CK61" i="1"/>
  <c r="BA62" i="1"/>
  <c r="BC62" i="1"/>
  <c r="BT62" i="1"/>
  <c r="BU62" i="1"/>
  <c r="CB62" i="1"/>
  <c r="CD62" i="1"/>
  <c r="CE62" i="1"/>
  <c r="CJ62" i="1"/>
  <c r="CK62" i="1"/>
  <c r="BA63" i="1"/>
  <c r="BC63" i="1"/>
  <c r="BS63" i="1"/>
  <c r="BU63" i="1"/>
  <c r="CB63" i="1"/>
  <c r="CD63" i="1"/>
  <c r="CE63" i="1"/>
  <c r="CJ63" i="1"/>
  <c r="CK63" i="1"/>
  <c r="BA65" i="1"/>
  <c r="BC65" i="1"/>
  <c r="BS65" i="1"/>
  <c r="BZ65" i="1" s="1"/>
  <c r="BU65" i="1"/>
  <c r="CB65" i="1"/>
  <c r="CD65" i="1"/>
  <c r="CE65" i="1"/>
  <c r="CJ65" i="1"/>
  <c r="CK65" i="1"/>
  <c r="BA64" i="1"/>
  <c r="BC64" i="1"/>
  <c r="BS64" i="1"/>
  <c r="BZ64" i="1" s="1"/>
  <c r="BU64" i="1"/>
  <c r="CB64" i="1"/>
  <c r="CD64" i="1"/>
  <c r="CE64" i="1"/>
  <c r="CJ64" i="1"/>
  <c r="CK64" i="1"/>
  <c r="BA66" i="1"/>
  <c r="BC66" i="1"/>
  <c r="BS66" i="1"/>
  <c r="BZ66" i="1" s="1"/>
  <c r="BU66" i="1"/>
  <c r="CB66" i="1"/>
  <c r="CD66" i="1"/>
  <c r="CE66" i="1"/>
  <c r="CF66" i="1" s="1"/>
  <c r="CJ66" i="1"/>
  <c r="CK66" i="1"/>
  <c r="BA6" i="1"/>
  <c r="BC6" i="1"/>
  <c r="BS6" i="1"/>
  <c r="BU6" i="1"/>
  <c r="BV6" i="1"/>
  <c r="CB6" i="1"/>
  <c r="CD6" i="1"/>
  <c r="CE6" i="1"/>
  <c r="CJ6" i="1"/>
  <c r="CK6" i="1"/>
  <c r="BA7" i="1"/>
  <c r="BB7" i="1" s="1"/>
  <c r="BC7" i="1"/>
  <c r="BS7" i="1"/>
  <c r="BU7" i="1"/>
  <c r="BV7" i="1"/>
  <c r="CB7" i="1"/>
  <c r="CD7" i="1"/>
  <c r="CE7" i="1"/>
  <c r="CJ7" i="1"/>
  <c r="CK7" i="1"/>
  <c r="BA8" i="1"/>
  <c r="BB8" i="1" s="1"/>
  <c r="BC8" i="1"/>
  <c r="BS8" i="1"/>
  <c r="BU8" i="1"/>
  <c r="CB8" i="1"/>
  <c r="CD8" i="1"/>
  <c r="CE8" i="1"/>
  <c r="CJ8" i="1"/>
  <c r="CK8" i="1"/>
  <c r="BA68" i="1"/>
  <c r="BC68" i="1"/>
  <c r="BS68" i="1"/>
  <c r="BZ68" i="1" s="1"/>
  <c r="BU68" i="1"/>
  <c r="CB68" i="1"/>
  <c r="CD68" i="1"/>
  <c r="CE68" i="1"/>
  <c r="CJ68" i="1"/>
  <c r="CK68" i="1"/>
  <c r="BA67" i="1"/>
  <c r="BC67" i="1"/>
  <c r="BS67" i="1"/>
  <c r="BU67" i="1"/>
  <c r="CB67" i="1"/>
  <c r="CD67" i="1"/>
  <c r="CE67" i="1"/>
  <c r="CJ67" i="1"/>
  <c r="CK67" i="1"/>
  <c r="BA69" i="1"/>
  <c r="BC69" i="1"/>
  <c r="BS69" i="1"/>
  <c r="BU69" i="1"/>
  <c r="CB69" i="1"/>
  <c r="CD69" i="1"/>
  <c r="CE69" i="1"/>
  <c r="CF69" i="1" s="1"/>
  <c r="CJ69" i="1"/>
  <c r="CK69" i="1"/>
  <c r="BA70" i="1"/>
  <c r="BC70" i="1"/>
  <c r="BS70" i="1"/>
  <c r="BU70" i="1"/>
  <c r="CB70" i="1"/>
  <c r="CD70" i="1"/>
  <c r="CE70" i="1"/>
  <c r="CJ70" i="1"/>
  <c r="CK70" i="1"/>
  <c r="BC119" i="1"/>
  <c r="BT119" i="1"/>
  <c r="BU119" i="1"/>
  <c r="CB119" i="1"/>
  <c r="CC119" i="1"/>
  <c r="CD119" i="1"/>
  <c r="CE119" i="1"/>
  <c r="CJ119" i="1"/>
  <c r="CK119" i="1"/>
  <c r="BA71" i="1"/>
  <c r="BY71" i="1" s="1"/>
  <c r="BC71" i="1"/>
  <c r="BS71" i="1"/>
  <c r="BU71" i="1"/>
  <c r="CB71" i="1"/>
  <c r="CD71" i="1"/>
  <c r="CE71" i="1"/>
  <c r="CF71" i="1" s="1"/>
  <c r="CJ71" i="1"/>
  <c r="CK71" i="1"/>
  <c r="BA73" i="1"/>
  <c r="BC73" i="1"/>
  <c r="BS73" i="1"/>
  <c r="BU73" i="1"/>
  <c r="CB73" i="1"/>
  <c r="CD73" i="1"/>
  <c r="CE73" i="1"/>
  <c r="CF73" i="1" s="1"/>
  <c r="CJ73" i="1"/>
  <c r="CK73" i="1"/>
  <c r="BA72" i="1"/>
  <c r="BC72" i="1"/>
  <c r="BS72" i="1"/>
  <c r="BZ72" i="1" s="1"/>
  <c r="BU72" i="1"/>
  <c r="CB72" i="1"/>
  <c r="CD72" i="1"/>
  <c r="CE72" i="1"/>
  <c r="CF72" i="1" s="1"/>
  <c r="CJ72" i="1"/>
  <c r="CK72" i="1"/>
  <c r="BA75" i="1"/>
  <c r="BB75" i="1" s="1"/>
  <c r="BC75" i="1"/>
  <c r="BS75" i="1"/>
  <c r="CH75" i="1" s="1"/>
  <c r="BU75" i="1"/>
  <c r="CB75" i="1"/>
  <c r="CD75" i="1"/>
  <c r="CE75" i="1"/>
  <c r="CF75" i="1" s="1"/>
  <c r="CJ75" i="1"/>
  <c r="CK75" i="1"/>
  <c r="BA74" i="1"/>
  <c r="BB74" i="1" s="1"/>
  <c r="BC74" i="1"/>
  <c r="BS74" i="1"/>
  <c r="CH74" i="1" s="1"/>
  <c r="BU74" i="1"/>
  <c r="CB74" i="1"/>
  <c r="CD74" i="1"/>
  <c r="CE74" i="1"/>
  <c r="CF74" i="1" s="1"/>
  <c r="CJ74" i="1"/>
  <c r="CK74" i="1"/>
  <c r="BA76" i="1"/>
  <c r="BY76" i="1" s="1"/>
  <c r="BC76" i="1"/>
  <c r="BS76" i="1"/>
  <c r="BZ76" i="1" s="1"/>
  <c r="BU76" i="1"/>
  <c r="CB76" i="1"/>
  <c r="CD76" i="1"/>
  <c r="CE76" i="1"/>
  <c r="CJ76" i="1"/>
  <c r="CK76" i="1"/>
  <c r="BA77" i="1"/>
  <c r="BQ9" i="2" s="1"/>
  <c r="BC77" i="1"/>
  <c r="BS77" i="1"/>
  <c r="BU77" i="1"/>
  <c r="CB77" i="1"/>
  <c r="CD77" i="1"/>
  <c r="CE77" i="1"/>
  <c r="CF77" i="1" s="1"/>
  <c r="CJ77" i="1"/>
  <c r="CK77" i="1"/>
  <c r="BA9" i="1"/>
  <c r="BB9" i="1" s="1"/>
  <c r="BC9" i="1"/>
  <c r="BS9" i="1"/>
  <c r="BU9" i="1"/>
  <c r="CB9" i="1"/>
  <c r="CD9" i="1"/>
  <c r="CE9" i="1"/>
  <c r="CJ9" i="1"/>
  <c r="CK9" i="1"/>
  <c r="BA10" i="1"/>
  <c r="BB10" i="1" s="1"/>
  <c r="BC10" i="1"/>
  <c r="BS10" i="1"/>
  <c r="BU10" i="1"/>
  <c r="CB10" i="1"/>
  <c r="CD10" i="1"/>
  <c r="CE10" i="1"/>
  <c r="CJ10" i="1"/>
  <c r="CK10" i="1"/>
  <c r="BA11" i="1"/>
  <c r="BB11" i="1" s="1"/>
  <c r="BC11" i="1"/>
  <c r="BS11" i="1"/>
  <c r="BU11" i="1"/>
  <c r="CB11" i="1"/>
  <c r="CD11" i="1"/>
  <c r="CE11" i="1"/>
  <c r="CJ11" i="1"/>
  <c r="CK11" i="1"/>
  <c r="BA12" i="1"/>
  <c r="BB12" i="1" s="1"/>
  <c r="BC12" i="1"/>
  <c r="BS12" i="1"/>
  <c r="BU12" i="1"/>
  <c r="CB12" i="1"/>
  <c r="CD12" i="1"/>
  <c r="CE12" i="1"/>
  <c r="CJ12" i="1"/>
  <c r="CK12" i="1"/>
  <c r="BA13" i="1"/>
  <c r="BB13" i="1" s="1"/>
  <c r="BC13" i="1"/>
  <c r="BS13" i="1"/>
  <c r="BU13" i="1"/>
  <c r="CB13" i="1"/>
  <c r="CD13" i="1"/>
  <c r="CE13" i="1"/>
  <c r="CJ13" i="1"/>
  <c r="CK13" i="1"/>
  <c r="BA120" i="1"/>
  <c r="BC120" i="1"/>
  <c r="BT120" i="1"/>
  <c r="BU120" i="1"/>
  <c r="CB120" i="1"/>
  <c r="CD120" i="1"/>
  <c r="CE120" i="1"/>
  <c r="CJ120" i="1"/>
  <c r="CK120" i="1"/>
  <c r="BA14" i="1"/>
  <c r="BC14" i="1"/>
  <c r="BS14" i="1"/>
  <c r="BU14" i="1"/>
  <c r="CB14" i="1"/>
  <c r="CD14" i="1"/>
  <c r="CE14" i="1"/>
  <c r="CJ14" i="1"/>
  <c r="CK14" i="1"/>
  <c r="BA78" i="1"/>
  <c r="BB78" i="1" s="1"/>
  <c r="BC78" i="1"/>
  <c r="BS78" i="1"/>
  <c r="BU78" i="1"/>
  <c r="CB78" i="1"/>
  <c r="CD78" i="1"/>
  <c r="CE78" i="1"/>
  <c r="CJ78" i="1"/>
  <c r="CK78" i="1"/>
  <c r="BA79" i="1"/>
  <c r="BB79" i="1" s="1"/>
  <c r="BC79" i="1"/>
  <c r="BS79" i="1"/>
  <c r="BU79" i="1"/>
  <c r="CB79" i="1"/>
  <c r="CD79" i="1"/>
  <c r="CE79" i="1"/>
  <c r="CJ79" i="1"/>
  <c r="CK79" i="1"/>
  <c r="BA80" i="1"/>
  <c r="BB80" i="1" s="1"/>
  <c r="BC80" i="1"/>
  <c r="BS80" i="1"/>
  <c r="BU80" i="1"/>
  <c r="CB80" i="1"/>
  <c r="CD80" i="1"/>
  <c r="CE80" i="1"/>
  <c r="CJ80" i="1"/>
  <c r="CK80" i="1"/>
  <c r="BA15" i="1"/>
  <c r="BB15" i="1" s="1"/>
  <c r="BC15" i="1"/>
  <c r="BS15" i="1"/>
  <c r="BU15" i="1"/>
  <c r="CB15" i="1"/>
  <c r="CD15" i="1"/>
  <c r="CE15" i="1"/>
  <c r="CJ15" i="1"/>
  <c r="CK15" i="1"/>
  <c r="BA81" i="1"/>
  <c r="BC81" i="1"/>
  <c r="BS81" i="1"/>
  <c r="BU81" i="1"/>
  <c r="CB81" i="1"/>
  <c r="CD81" i="1"/>
  <c r="CE81" i="1"/>
  <c r="CF81" i="1" s="1"/>
  <c r="CJ81" i="1"/>
  <c r="CK81" i="1"/>
  <c r="BA121" i="1"/>
  <c r="BC121" i="1"/>
  <c r="BT121" i="1"/>
  <c r="BU121" i="1"/>
  <c r="CB121" i="1"/>
  <c r="CD121" i="1"/>
  <c r="CE121" i="1"/>
  <c r="CJ121" i="1"/>
  <c r="CK121" i="1"/>
  <c r="BA82" i="1"/>
  <c r="BC82" i="1"/>
  <c r="BS82" i="1"/>
  <c r="BZ82" i="1" s="1"/>
  <c r="BU82" i="1"/>
  <c r="CB82" i="1"/>
  <c r="CD82" i="1"/>
  <c r="CE82" i="1"/>
  <c r="CF82" i="1" s="1"/>
  <c r="CJ82" i="1"/>
  <c r="CK82" i="1"/>
  <c r="BA16" i="1"/>
  <c r="BB16" i="1" s="1"/>
  <c r="BC16" i="1"/>
  <c r="BS16" i="1"/>
  <c r="BU16" i="1"/>
  <c r="CB16" i="1"/>
  <c r="CD16" i="1"/>
  <c r="CE16" i="1"/>
  <c r="CJ16" i="1"/>
  <c r="CK16" i="1"/>
  <c r="BA83" i="1"/>
  <c r="BC83" i="1"/>
  <c r="BS83" i="1"/>
  <c r="BT83" i="1" s="1"/>
  <c r="BU83" i="1"/>
  <c r="CB83" i="1"/>
  <c r="CD83" i="1"/>
  <c r="CE83" i="1"/>
  <c r="CF83" i="1" s="1"/>
  <c r="CJ83" i="1"/>
  <c r="CK83" i="1"/>
  <c r="BA85" i="1"/>
  <c r="BB85" i="1" s="1"/>
  <c r="BC85" i="1"/>
  <c r="BS85" i="1"/>
  <c r="BU85" i="1"/>
  <c r="CB85" i="1"/>
  <c r="CD85" i="1"/>
  <c r="CE85" i="1"/>
  <c r="CJ85" i="1"/>
  <c r="CK85" i="1"/>
  <c r="BA84" i="1"/>
  <c r="BC84" i="1"/>
  <c r="BS84" i="1"/>
  <c r="BZ84" i="1" s="1"/>
  <c r="BU84" i="1"/>
  <c r="CB84" i="1"/>
  <c r="CD84" i="1"/>
  <c r="CE84" i="1"/>
  <c r="CF84" i="1" s="1"/>
  <c r="CJ84" i="1"/>
  <c r="CK84" i="1"/>
  <c r="BA17" i="1"/>
  <c r="BB17" i="1" s="1"/>
  <c r="BC17" i="1"/>
  <c r="BS17" i="1"/>
  <c r="BU17" i="1"/>
  <c r="CB17" i="1"/>
  <c r="CD17" i="1"/>
  <c r="CE17" i="1"/>
  <c r="CJ17" i="1"/>
  <c r="CK17" i="1"/>
  <c r="BA18" i="1"/>
  <c r="BB18" i="1" s="1"/>
  <c r="BC18" i="1"/>
  <c r="BS18" i="1"/>
  <c r="BT18" i="1" s="1"/>
  <c r="BU18" i="1"/>
  <c r="CB18" i="1"/>
  <c r="CD18" i="1"/>
  <c r="CE18" i="1"/>
  <c r="CJ18" i="1"/>
  <c r="CK18" i="1"/>
  <c r="BA86" i="1"/>
  <c r="BC86" i="1"/>
  <c r="BS86" i="1"/>
  <c r="BU86" i="1"/>
  <c r="CB86" i="1"/>
  <c r="CD86" i="1"/>
  <c r="CE86" i="1"/>
  <c r="CJ86" i="1"/>
  <c r="CK86" i="1"/>
  <c r="BA19" i="1"/>
  <c r="BB19" i="1" s="1"/>
  <c r="BC19" i="1"/>
  <c r="BS19" i="1"/>
  <c r="BU19" i="1"/>
  <c r="CB19" i="1"/>
  <c r="CD19" i="1"/>
  <c r="CE19" i="1"/>
  <c r="CJ19" i="1"/>
  <c r="CK19" i="1"/>
  <c r="BA20" i="1"/>
  <c r="BB20" i="1" s="1"/>
  <c r="BC20" i="1"/>
  <c r="BS20" i="1"/>
  <c r="BU20" i="1"/>
  <c r="CB20" i="1"/>
  <c r="CD20" i="1"/>
  <c r="CE20" i="1"/>
  <c r="CJ20" i="1"/>
  <c r="CK20" i="1"/>
  <c r="BA21" i="1"/>
  <c r="BB21" i="1" s="1"/>
  <c r="BC21" i="1"/>
  <c r="BS21" i="1"/>
  <c r="BT21" i="1" s="1"/>
  <c r="BU21" i="1"/>
  <c r="CB21" i="1"/>
  <c r="CD21" i="1"/>
  <c r="CE21" i="1"/>
  <c r="CJ21" i="1"/>
  <c r="CK21" i="1"/>
  <c r="BA22" i="1"/>
  <c r="BC22" i="1"/>
  <c r="BS22" i="1"/>
  <c r="BU22" i="1"/>
  <c r="CB22" i="1"/>
  <c r="CD22" i="1"/>
  <c r="CE22" i="1"/>
  <c r="CJ22" i="1"/>
  <c r="CK22" i="1"/>
  <c r="BA87" i="1"/>
  <c r="BB87" i="1" s="1"/>
  <c r="BC87" i="1"/>
  <c r="BS87" i="1"/>
  <c r="BU87" i="1"/>
  <c r="CB87" i="1"/>
  <c r="CD87" i="1"/>
  <c r="CE87" i="1"/>
  <c r="CJ87" i="1"/>
  <c r="CK87" i="1"/>
  <c r="BA88" i="1"/>
  <c r="BC88" i="1"/>
  <c r="BS88" i="1"/>
  <c r="BT88" i="1" s="1"/>
  <c r="BU88" i="1"/>
  <c r="CB88" i="1"/>
  <c r="CD88" i="1"/>
  <c r="CE88" i="1"/>
  <c r="CF88" i="1" s="1"/>
  <c r="CJ88" i="1"/>
  <c r="CK88" i="1"/>
  <c r="BA89" i="1"/>
  <c r="BC89" i="1"/>
  <c r="BS89" i="1"/>
  <c r="BZ89" i="1" s="1"/>
  <c r="BU89" i="1"/>
  <c r="CB89" i="1"/>
  <c r="CD89" i="1"/>
  <c r="CE89" i="1"/>
  <c r="CJ89" i="1"/>
  <c r="CK89" i="1"/>
  <c r="BA90" i="1"/>
  <c r="BC90" i="1"/>
  <c r="BS90" i="1"/>
  <c r="BZ90" i="1" s="1"/>
  <c r="BU90" i="1"/>
  <c r="CB90" i="1"/>
  <c r="CD90" i="1"/>
  <c r="CE90" i="1"/>
  <c r="CJ90" i="1"/>
  <c r="CK90" i="1"/>
  <c r="BA91" i="1"/>
  <c r="BB91" i="1" s="1"/>
  <c r="BC91" i="1"/>
  <c r="BS91" i="1"/>
  <c r="BU91" i="1"/>
  <c r="CB91" i="1"/>
  <c r="CD91" i="1"/>
  <c r="CE91" i="1"/>
  <c r="CJ91" i="1"/>
  <c r="CK91" i="1"/>
  <c r="BA92" i="1"/>
  <c r="BB92" i="1" s="1"/>
  <c r="BC92" i="1"/>
  <c r="BS92" i="1"/>
  <c r="BT92" i="1" s="1"/>
  <c r="BU92" i="1"/>
  <c r="CB92" i="1"/>
  <c r="CD92" i="1"/>
  <c r="CE92" i="1"/>
  <c r="CJ92" i="1"/>
  <c r="CK92" i="1"/>
  <c r="BA23" i="1"/>
  <c r="BB23" i="1" s="1"/>
  <c r="BC23" i="1"/>
  <c r="BS23" i="1"/>
  <c r="BU23" i="1"/>
  <c r="CB23" i="1"/>
  <c r="CD23" i="1"/>
  <c r="CE23" i="1"/>
  <c r="CJ23" i="1"/>
  <c r="CK23" i="1"/>
  <c r="BA93" i="1"/>
  <c r="BB93" i="1" s="1"/>
  <c r="BC93" i="1"/>
  <c r="BS93" i="1"/>
  <c r="BT93" i="1" s="1"/>
  <c r="BU93" i="1"/>
  <c r="CB93" i="1"/>
  <c r="CD93" i="1"/>
  <c r="CE93" i="1"/>
  <c r="CJ93" i="1"/>
  <c r="CK93" i="1"/>
  <c r="BA94" i="1"/>
  <c r="BC94" i="1"/>
  <c r="BS94" i="1"/>
  <c r="BU94" i="1"/>
  <c r="CB94" i="1"/>
  <c r="CD94" i="1"/>
  <c r="CE94" i="1"/>
  <c r="CJ94" i="1"/>
  <c r="CK94" i="1"/>
  <c r="BA96" i="1"/>
  <c r="BB96" i="1" s="1"/>
  <c r="BC96" i="1"/>
  <c r="BS96" i="1"/>
  <c r="BU96" i="1"/>
  <c r="CB96" i="1"/>
  <c r="CD96" i="1"/>
  <c r="CE96" i="1"/>
  <c r="CJ96" i="1"/>
  <c r="CK96" i="1"/>
  <c r="BA95" i="1"/>
  <c r="BB95" i="1" s="1"/>
  <c r="BC95" i="1"/>
  <c r="BS95" i="1"/>
  <c r="BU95" i="1"/>
  <c r="CB95" i="1"/>
  <c r="CD95" i="1"/>
  <c r="CE95" i="1"/>
  <c r="CJ95" i="1"/>
  <c r="CK95" i="1"/>
  <c r="BA97" i="1"/>
  <c r="BB97" i="1" s="1"/>
  <c r="BC97" i="1"/>
  <c r="BS97" i="1"/>
  <c r="BU97" i="1"/>
  <c r="CB97" i="1"/>
  <c r="CD97" i="1"/>
  <c r="CE97" i="1"/>
  <c r="CJ97" i="1"/>
  <c r="CK97" i="1"/>
  <c r="BA98" i="1"/>
  <c r="BB98" i="1" s="1"/>
  <c r="BC98" i="1"/>
  <c r="BS98" i="1"/>
  <c r="BU98" i="1"/>
  <c r="CB98" i="1"/>
  <c r="CD98" i="1"/>
  <c r="CE98" i="1"/>
  <c r="CJ98" i="1"/>
  <c r="CK98" i="1"/>
  <c r="BA99" i="1"/>
  <c r="BY99" i="1" s="1"/>
  <c r="BC99" i="1"/>
  <c r="BS99" i="1"/>
  <c r="BZ99" i="1" s="1"/>
  <c r="BU99" i="1"/>
  <c r="CB99" i="1"/>
  <c r="CD99" i="1"/>
  <c r="CE99" i="1"/>
  <c r="CF99" i="1" s="1"/>
  <c r="CJ99" i="1"/>
  <c r="CK99" i="1"/>
  <c r="BA24" i="1"/>
  <c r="BC24" i="1"/>
  <c r="BS24" i="1"/>
  <c r="BU24" i="1"/>
  <c r="CB24" i="1"/>
  <c r="CD24" i="1"/>
  <c r="CE24" i="1"/>
  <c r="CJ24" i="1"/>
  <c r="CK24" i="1"/>
  <c r="BA25" i="1"/>
  <c r="BB25" i="1" s="1"/>
  <c r="BC25" i="1"/>
  <c r="BS25" i="1"/>
  <c r="BU25" i="1"/>
  <c r="CB25" i="1"/>
  <c r="CD25" i="1"/>
  <c r="CE25" i="1"/>
  <c r="CJ25" i="1"/>
  <c r="CK25" i="1"/>
  <c r="BA26" i="1"/>
  <c r="BB26" i="1" s="1"/>
  <c r="BC26" i="1"/>
  <c r="BS26" i="1"/>
  <c r="BU26" i="1"/>
  <c r="CB26" i="1"/>
  <c r="CD26" i="1"/>
  <c r="CE26" i="1"/>
  <c r="CJ26" i="1"/>
  <c r="CK26" i="1"/>
  <c r="BA100" i="1"/>
  <c r="BB100" i="1" s="1"/>
  <c r="BC100" i="1"/>
  <c r="BS100" i="1"/>
  <c r="BU100" i="1"/>
  <c r="CB100" i="1"/>
  <c r="CD100" i="1"/>
  <c r="CE100" i="1"/>
  <c r="CJ100" i="1"/>
  <c r="CK100" i="1"/>
  <c r="BA27" i="1"/>
  <c r="BB27" i="1" s="1"/>
  <c r="BC27" i="1"/>
  <c r="BS27" i="1"/>
  <c r="BU27" i="1"/>
  <c r="CB27" i="1"/>
  <c r="CD27" i="1"/>
  <c r="CE27" i="1"/>
  <c r="CJ27" i="1"/>
  <c r="CK27" i="1"/>
  <c r="BA101" i="1"/>
  <c r="BB101" i="1" s="1"/>
  <c r="BC101" i="1"/>
  <c r="BS101" i="1"/>
  <c r="BT101" i="1" s="1"/>
  <c r="BU101" i="1"/>
  <c r="CB101" i="1"/>
  <c r="CD101" i="1"/>
  <c r="CE101" i="1"/>
  <c r="CJ101" i="1"/>
  <c r="CK101" i="1"/>
  <c r="BA102" i="1"/>
  <c r="BB102" i="1" s="1"/>
  <c r="BC102" i="1"/>
  <c r="BS102" i="1"/>
  <c r="BU102" i="1"/>
  <c r="CB102" i="1"/>
  <c r="CD102" i="1"/>
  <c r="CE102" i="1"/>
  <c r="CJ102" i="1"/>
  <c r="CK102" i="1"/>
  <c r="BA103" i="1"/>
  <c r="BC103" i="1"/>
  <c r="BS103" i="1"/>
  <c r="BU103" i="1"/>
  <c r="CB103" i="1"/>
  <c r="CD103" i="1"/>
  <c r="CE103" i="1"/>
  <c r="CJ103" i="1"/>
  <c r="CK103" i="1"/>
  <c r="BA28" i="1"/>
  <c r="BB28" i="1" s="1"/>
  <c r="BC28" i="1"/>
  <c r="BS28" i="1"/>
  <c r="BU28" i="1"/>
  <c r="CB28" i="1"/>
  <c r="CD28" i="1"/>
  <c r="CE28" i="1"/>
  <c r="CJ28" i="1"/>
  <c r="CK28" i="1"/>
  <c r="BA104" i="1"/>
  <c r="BB104" i="1" s="1"/>
  <c r="BC104" i="1"/>
  <c r="BS104" i="1"/>
  <c r="BT104" i="1" s="1"/>
  <c r="BU104" i="1"/>
  <c r="CB104" i="1"/>
  <c r="CD104" i="1"/>
  <c r="CE104" i="1"/>
  <c r="CJ104" i="1"/>
  <c r="CK104" i="1"/>
  <c r="BA105" i="1"/>
  <c r="BB105" i="1" s="1"/>
  <c r="BC105" i="1"/>
  <c r="BS105" i="1"/>
  <c r="BU105" i="1"/>
  <c r="CB105" i="1"/>
  <c r="CD105" i="1"/>
  <c r="CE105" i="1"/>
  <c r="CJ105" i="1"/>
  <c r="CK105" i="1"/>
  <c r="BA106" i="1"/>
  <c r="BB106" i="1" s="1"/>
  <c r="BC106" i="1"/>
  <c r="BS106" i="1"/>
  <c r="BU106" i="1"/>
  <c r="CB106" i="1"/>
  <c r="CD106" i="1"/>
  <c r="CE106" i="1"/>
  <c r="CJ106" i="1"/>
  <c r="CK106" i="1"/>
  <c r="BA107" i="1"/>
  <c r="BC107" i="1"/>
  <c r="BT107" i="1"/>
  <c r="BU107" i="1"/>
  <c r="CB107" i="1"/>
  <c r="CD107" i="1"/>
  <c r="CE107" i="1"/>
  <c r="CJ107" i="1"/>
  <c r="CK107" i="1"/>
  <c r="BA108" i="1"/>
  <c r="BB108" i="1" s="1"/>
  <c r="BC108" i="1"/>
  <c r="BS108" i="1"/>
  <c r="BU108" i="1"/>
  <c r="CB108" i="1"/>
  <c r="CD108" i="1"/>
  <c r="CE108" i="1"/>
  <c r="CJ108" i="1"/>
  <c r="CK108" i="1"/>
  <c r="BA109" i="1"/>
  <c r="BB109" i="1" s="1"/>
  <c r="BC109" i="1"/>
  <c r="BS109" i="1"/>
  <c r="BU109" i="1"/>
  <c r="CB109" i="1"/>
  <c r="CD109" i="1"/>
  <c r="CE109" i="1"/>
  <c r="CJ109" i="1"/>
  <c r="CK109" i="1"/>
  <c r="BA29" i="1"/>
  <c r="BB29" i="1" s="1"/>
  <c r="BC29" i="1"/>
  <c r="BS29" i="1"/>
  <c r="BU29" i="1"/>
  <c r="CB29" i="1"/>
  <c r="CD29" i="1"/>
  <c r="CE29" i="1"/>
  <c r="CJ29" i="1"/>
  <c r="CK29" i="1"/>
  <c r="BA110" i="1"/>
  <c r="BB110" i="1" s="1"/>
  <c r="BC110" i="1"/>
  <c r="BS110" i="1"/>
  <c r="BU110" i="1"/>
  <c r="CB110" i="1"/>
  <c r="CD110" i="1"/>
  <c r="CE110" i="1"/>
  <c r="CJ110" i="1"/>
  <c r="CK110" i="1"/>
  <c r="BA30" i="1"/>
  <c r="BB30" i="1" s="1"/>
  <c r="BC30" i="1"/>
  <c r="BS30" i="1"/>
  <c r="BU30" i="1"/>
  <c r="CB30" i="1"/>
  <c r="CD30" i="1"/>
  <c r="CE30" i="1"/>
  <c r="CJ30" i="1"/>
  <c r="CK30" i="1"/>
  <c r="BA31" i="1"/>
  <c r="BB31" i="1" s="1"/>
  <c r="BC31" i="1"/>
  <c r="BS31" i="1"/>
  <c r="BU31" i="1"/>
  <c r="CB31" i="1"/>
  <c r="CD31" i="1"/>
  <c r="CE31" i="1"/>
  <c r="CJ31" i="1"/>
  <c r="CK31" i="1"/>
  <c r="BA111" i="1"/>
  <c r="BB111" i="1" s="1"/>
  <c r="BC111" i="1"/>
  <c r="BS111" i="1"/>
  <c r="BU111" i="1"/>
  <c r="CB111" i="1"/>
  <c r="CD111" i="1"/>
  <c r="CE111" i="1"/>
  <c r="CJ111" i="1"/>
  <c r="CK111" i="1"/>
  <c r="BA112" i="1"/>
  <c r="BB112" i="1" s="1"/>
  <c r="BC112" i="1"/>
  <c r="BS112" i="1"/>
  <c r="BU112" i="1"/>
  <c r="CB112" i="1"/>
  <c r="CD112" i="1"/>
  <c r="CE112" i="1"/>
  <c r="CJ112" i="1"/>
  <c r="CK112" i="1"/>
  <c r="BA32" i="1"/>
  <c r="BB32" i="1" s="1"/>
  <c r="BC32" i="1"/>
  <c r="BS32" i="1"/>
  <c r="BU32" i="1"/>
  <c r="CB32" i="1"/>
  <c r="CD32" i="1"/>
  <c r="CE32" i="1"/>
  <c r="CJ32" i="1"/>
  <c r="CK32" i="1"/>
  <c r="BA113" i="1"/>
  <c r="CH113" i="1" s="1"/>
  <c r="BC113" i="1"/>
  <c r="BT113" i="1"/>
  <c r="BU113" i="1"/>
  <c r="CB113" i="1"/>
  <c r="CD113" i="1"/>
  <c r="CE113" i="1"/>
  <c r="CJ113" i="1"/>
  <c r="CK113" i="1"/>
  <c r="BA114" i="1"/>
  <c r="BC114" i="1"/>
  <c r="BT114" i="1"/>
  <c r="BU114" i="1"/>
  <c r="CB114" i="1"/>
  <c r="CD114" i="1"/>
  <c r="CE114" i="1"/>
  <c r="CJ114" i="1"/>
  <c r="CK114" i="1"/>
  <c r="BC117" i="1"/>
  <c r="BT117" i="1"/>
  <c r="BU117" i="1"/>
  <c r="CB117" i="1"/>
  <c r="CD117" i="1"/>
  <c r="CE117" i="1"/>
  <c r="CJ117" i="1"/>
  <c r="CK117" i="1"/>
  <c r="BA115" i="1"/>
  <c r="BC115" i="1"/>
  <c r="BT115" i="1"/>
  <c r="BU115" i="1"/>
  <c r="CB115" i="1"/>
  <c r="CD115" i="1"/>
  <c r="CE115" i="1"/>
  <c r="CJ115" i="1"/>
  <c r="CK115" i="1"/>
  <c r="BC122" i="1"/>
  <c r="BT122" i="1"/>
  <c r="BU122" i="1"/>
  <c r="CB122" i="1"/>
  <c r="CC122" i="1"/>
  <c r="CD122" i="1"/>
  <c r="CE122" i="1"/>
  <c r="CJ122" i="1"/>
  <c r="CK122" i="1"/>
  <c r="BA33" i="1"/>
  <c r="BB33" i="1" s="1"/>
  <c r="BC33" i="1"/>
  <c r="BS33" i="1"/>
  <c r="BU33" i="1"/>
  <c r="CB33" i="1"/>
  <c r="CD33" i="1"/>
  <c r="CE33" i="1"/>
  <c r="CJ33" i="1"/>
  <c r="CK33" i="1"/>
  <c r="BA34" i="1"/>
  <c r="BB34" i="1" s="1"/>
  <c r="BC34" i="1"/>
  <c r="BS34" i="1"/>
  <c r="BU34" i="1"/>
  <c r="CB34" i="1"/>
  <c r="CD34" i="1"/>
  <c r="CE34" i="1"/>
  <c r="CJ34" i="1"/>
  <c r="CK34" i="1"/>
  <c r="BC123" i="1"/>
  <c r="BT123" i="1"/>
  <c r="BU123" i="1"/>
  <c r="CB123" i="1"/>
  <c r="CC123" i="1"/>
  <c r="CD123" i="1"/>
  <c r="CE123" i="1"/>
  <c r="CJ123" i="1"/>
  <c r="CK123" i="1"/>
  <c r="BA35" i="1"/>
  <c r="BB35" i="1" s="1"/>
  <c r="BC35" i="1"/>
  <c r="BS35" i="1"/>
  <c r="BU35" i="1"/>
  <c r="CB35" i="1"/>
  <c r="CD35" i="1"/>
  <c r="CE35" i="1"/>
  <c r="CJ35" i="1"/>
  <c r="CK35" i="1"/>
  <c r="BC124" i="1"/>
  <c r="BT124" i="1"/>
  <c r="BU124" i="1"/>
  <c r="CB124" i="1"/>
  <c r="CC124" i="1"/>
  <c r="CD124" i="1"/>
  <c r="CE124" i="1"/>
  <c r="CJ124" i="1"/>
  <c r="CK124" i="1"/>
  <c r="BC125" i="1"/>
  <c r="BT125" i="1"/>
  <c r="BU125" i="1"/>
  <c r="CB125" i="1"/>
  <c r="CC125" i="1"/>
  <c r="CD125" i="1"/>
  <c r="CE125" i="1"/>
  <c r="CJ125" i="1"/>
  <c r="CK125" i="1"/>
  <c r="BA116" i="1"/>
  <c r="BC116" i="1"/>
  <c r="BT116" i="1"/>
  <c r="BU116" i="1"/>
  <c r="CB116" i="1"/>
  <c r="CD116" i="1"/>
  <c r="CE116" i="1"/>
  <c r="CJ116" i="1"/>
  <c r="CK116" i="1"/>
  <c r="CE128" i="1"/>
  <c r="CE129" i="1"/>
  <c r="CC115" i="1"/>
  <c r="BT25" i="1"/>
  <c r="BT87" i="1"/>
  <c r="BB121" i="1"/>
  <c r="BT80" i="1"/>
  <c r="BT12" i="1"/>
  <c r="BB76" i="1"/>
  <c r="BT73" i="1"/>
  <c r="CF70" i="1"/>
  <c r="BT65" i="1"/>
  <c r="BB67" i="1"/>
  <c r="CC67" i="1"/>
  <c r="BT69" i="1"/>
  <c r="BB6" i="1"/>
  <c r="CC6" i="1"/>
  <c r="BB71" i="1"/>
  <c r="BT7" i="1"/>
  <c r="BB63" i="1"/>
  <c r="CC63" i="1"/>
  <c r="CC54" i="1"/>
  <c r="CC50" i="1"/>
  <c r="CC3" i="1"/>
  <c r="CC44" i="1"/>
  <c r="CC41" i="1"/>
  <c r="CC2" i="1"/>
  <c r="CC118" i="1"/>
  <c r="CC69" i="1"/>
  <c r="CC7" i="1"/>
  <c r="CC65" i="1"/>
  <c r="CC59" i="1"/>
  <c r="CC5" i="1"/>
  <c r="CC53" i="1"/>
  <c r="CC49" i="1"/>
  <c r="CC43" i="1"/>
  <c r="CC39" i="1"/>
  <c r="CC58" i="1"/>
  <c r="CC55" i="1"/>
  <c r="CC52" i="1"/>
  <c r="CC48" i="1"/>
  <c r="CC46" i="1"/>
  <c r="CC42" i="1"/>
  <c r="CC38" i="1"/>
  <c r="BQ10" i="2" l="1"/>
  <c r="BR11" i="2"/>
  <c r="BZ53" i="1"/>
  <c r="CA11" i="2"/>
  <c r="BS11" i="2"/>
  <c r="BB89" i="1"/>
  <c r="BY89" i="1"/>
  <c r="BB64" i="1"/>
  <c r="BY64" i="1"/>
  <c r="BB90" i="1"/>
  <c r="BY90" i="1"/>
  <c r="BB65" i="1"/>
  <c r="BY65" i="1"/>
  <c r="BZ70" i="1"/>
  <c r="BZ10" i="2"/>
  <c r="BR10" i="2"/>
  <c r="BZ9" i="2"/>
  <c r="BR9" i="2"/>
  <c r="BP8" i="2"/>
  <c r="BB56" i="1"/>
  <c r="BY56" i="1"/>
  <c r="CC76" i="1"/>
  <c r="BQ3" i="2"/>
  <c r="BN3" i="2"/>
  <c r="CC24" i="1"/>
  <c r="BY8" i="2"/>
  <c r="BQ8" i="2"/>
  <c r="BT6" i="2"/>
  <c r="BU6" i="2" s="1"/>
  <c r="BN5" i="2"/>
  <c r="BQ5" i="2"/>
  <c r="BQ2" i="2"/>
  <c r="BT7" i="2"/>
  <c r="BU7" i="2" s="1"/>
  <c r="AT7" i="2"/>
  <c r="BQ4" i="2"/>
  <c r="BN4" i="2"/>
  <c r="AS3" i="2"/>
  <c r="BN2" i="2"/>
  <c r="BB81" i="1"/>
  <c r="BY81" i="1"/>
  <c r="BB69" i="1"/>
  <c r="BY69" i="1"/>
  <c r="BB68" i="1"/>
  <c r="BY68" i="1"/>
  <c r="BB66" i="1"/>
  <c r="BY66" i="1"/>
  <c r="BB60" i="1"/>
  <c r="BY60" i="1"/>
  <c r="BB58" i="1"/>
  <c r="BY58" i="1"/>
  <c r="BB52" i="1"/>
  <c r="BY52" i="1"/>
  <c r="BB48" i="1"/>
  <c r="BY48" i="1"/>
  <c r="BB46" i="1"/>
  <c r="BY46" i="1"/>
  <c r="BB44" i="1"/>
  <c r="BY44" i="1"/>
  <c r="BB41" i="1"/>
  <c r="BY41" i="1"/>
  <c r="BB38" i="1"/>
  <c r="BY38" i="1"/>
  <c r="BQ6" i="2"/>
  <c r="AS2" i="2"/>
  <c r="BB88" i="1"/>
  <c r="BY88" i="1"/>
  <c r="CH86" i="1"/>
  <c r="BZ86" i="1"/>
  <c r="BB84" i="1"/>
  <c r="BY84" i="1"/>
  <c r="BB83" i="1"/>
  <c r="BY83" i="1"/>
  <c r="BB82" i="1"/>
  <c r="BY82" i="1"/>
  <c r="CC77" i="1"/>
  <c r="BZ77" i="1"/>
  <c r="BB73" i="1"/>
  <c r="BY73" i="1"/>
  <c r="CH71" i="1"/>
  <c r="BZ71" i="1"/>
  <c r="CH81" i="1"/>
  <c r="BZ81" i="1"/>
  <c r="BB70" i="1"/>
  <c r="BY70" i="1"/>
  <c r="CH69" i="1"/>
  <c r="BZ69" i="1"/>
  <c r="BZ60" i="1"/>
  <c r="BB59" i="1"/>
  <c r="BY59" i="1"/>
  <c r="BB53" i="1"/>
  <c r="BY53" i="1"/>
  <c r="BB49" i="1"/>
  <c r="BY49" i="1"/>
  <c r="CH48" i="1"/>
  <c r="BZ48" i="1"/>
  <c r="BB47" i="1"/>
  <c r="BY47" i="1"/>
  <c r="BB37" i="1"/>
  <c r="BY37" i="1"/>
  <c r="CC27" i="1"/>
  <c r="CC97" i="1"/>
  <c r="CC94" i="1"/>
  <c r="CH93" i="1"/>
  <c r="CC92" i="1"/>
  <c r="CH88" i="1"/>
  <c r="BZ88" i="1"/>
  <c r="CH21" i="1"/>
  <c r="BB86" i="1"/>
  <c r="BY86" i="1"/>
  <c r="CH83" i="1"/>
  <c r="BZ83" i="1"/>
  <c r="CC11" i="1"/>
  <c r="BB77" i="1"/>
  <c r="BY77" i="1"/>
  <c r="BB72" i="1"/>
  <c r="BY72" i="1"/>
  <c r="CH73" i="1"/>
  <c r="BZ73" i="1"/>
  <c r="CC71" i="1"/>
  <c r="BT74" i="1"/>
  <c r="CC87" i="1"/>
  <c r="CC91" i="1"/>
  <c r="BB94" i="1"/>
  <c r="CC73" i="1"/>
  <c r="BT71" i="1"/>
  <c r="CC16" i="1"/>
  <c r="CC20" i="1"/>
  <c r="CC75" i="1"/>
  <c r="CC17" i="1"/>
  <c r="CC21" i="1"/>
  <c r="CC88" i="1"/>
  <c r="CH18" i="1"/>
  <c r="CI81" i="1"/>
  <c r="CL81" i="1" s="1"/>
  <c r="CI88" i="1"/>
  <c r="CL88" i="1" s="1"/>
  <c r="CI74" i="1"/>
  <c r="CL74" i="1" s="1"/>
  <c r="CG74" i="1"/>
  <c r="CI69" i="1"/>
  <c r="CL69" i="1" s="1"/>
  <c r="CG69" i="1"/>
  <c r="BX69" i="1" s="1"/>
  <c r="CI113" i="1"/>
  <c r="CL113" i="1" s="1"/>
  <c r="CG113" i="1"/>
  <c r="CI75" i="1"/>
  <c r="CL75" i="1" s="1"/>
  <c r="CG75" i="1"/>
  <c r="CH80" i="1"/>
  <c r="CH78" i="1"/>
  <c r="CH61" i="1"/>
  <c r="CH92" i="1"/>
  <c r="CH32" i="1"/>
  <c r="CH30" i="1"/>
  <c r="CH108" i="1"/>
  <c r="CH106" i="1"/>
  <c r="CH104" i="1"/>
  <c r="CH101" i="1"/>
  <c r="CH100" i="1"/>
  <c r="BT34" i="1"/>
  <c r="CH34" i="1"/>
  <c r="CC117" i="1"/>
  <c r="BT111" i="1"/>
  <c r="CH111" i="1"/>
  <c r="BT29" i="1"/>
  <c r="CH29" i="1"/>
  <c r="BB107" i="1"/>
  <c r="CH107" i="1"/>
  <c r="BT103" i="1"/>
  <c r="CH103" i="1"/>
  <c r="CH25" i="1"/>
  <c r="BT99" i="1"/>
  <c r="CH99" i="1"/>
  <c r="BT95" i="1"/>
  <c r="CH95" i="1"/>
  <c r="BT94" i="1"/>
  <c r="CH94" i="1"/>
  <c r="CH23" i="1"/>
  <c r="BT91" i="1"/>
  <c r="CH91" i="1"/>
  <c r="BT89" i="1"/>
  <c r="CH89" i="1"/>
  <c r="CH87" i="1"/>
  <c r="BT22" i="1"/>
  <c r="CH22" i="1"/>
  <c r="BT20" i="1"/>
  <c r="CH20" i="1"/>
  <c r="BT17" i="1"/>
  <c r="CH17" i="1"/>
  <c r="CH85" i="1"/>
  <c r="BT16" i="1"/>
  <c r="CH16" i="1"/>
  <c r="CH12" i="1"/>
  <c r="BT10" i="1"/>
  <c r="CH10" i="1"/>
  <c r="BT76" i="1"/>
  <c r="CH76" i="1"/>
  <c r="BT35" i="1"/>
  <c r="CH35" i="1"/>
  <c r="CC121" i="1"/>
  <c r="CH121" i="1"/>
  <c r="BT70" i="1"/>
  <c r="CH70" i="1"/>
  <c r="BT67" i="1"/>
  <c r="CH67" i="1"/>
  <c r="BT8" i="1"/>
  <c r="CH8" i="1"/>
  <c r="BT6" i="1"/>
  <c r="CH6" i="1"/>
  <c r="BT64" i="1"/>
  <c r="CH64" i="1"/>
  <c r="BT63" i="1"/>
  <c r="CH63" i="1"/>
  <c r="BB62" i="1"/>
  <c r="CH62" i="1"/>
  <c r="BT59" i="1"/>
  <c r="CH59" i="1"/>
  <c r="BT57" i="1"/>
  <c r="CH57" i="1"/>
  <c r="BT5" i="1"/>
  <c r="CH5" i="1"/>
  <c r="BT4" i="1"/>
  <c r="CH4" i="1"/>
  <c r="BT53" i="1"/>
  <c r="CH53" i="1"/>
  <c r="BT51" i="1"/>
  <c r="CH51" i="1"/>
  <c r="BT49" i="1"/>
  <c r="CH49" i="1"/>
  <c r="BT47" i="1"/>
  <c r="CH47" i="1"/>
  <c r="BT45" i="1"/>
  <c r="CH45" i="1"/>
  <c r="BT43" i="1"/>
  <c r="CH43" i="1"/>
  <c r="BT40" i="1"/>
  <c r="CH40" i="1"/>
  <c r="BT39" i="1"/>
  <c r="CH39" i="1"/>
  <c r="BT37" i="1"/>
  <c r="CH37" i="1"/>
  <c r="BT33" i="1"/>
  <c r="CH33" i="1"/>
  <c r="BB114" i="1"/>
  <c r="CH114" i="1"/>
  <c r="CH112" i="1"/>
  <c r="CH31" i="1"/>
  <c r="BT110" i="1"/>
  <c r="CH110" i="1"/>
  <c r="BT109" i="1"/>
  <c r="CH109" i="1"/>
  <c r="BT105" i="1"/>
  <c r="CH105" i="1"/>
  <c r="CC28" i="1"/>
  <c r="CH28" i="1"/>
  <c r="BT102" i="1"/>
  <c r="CH102" i="1"/>
  <c r="CH27" i="1"/>
  <c r="BT26" i="1"/>
  <c r="CH26" i="1"/>
  <c r="BT24" i="1"/>
  <c r="CH24" i="1"/>
  <c r="BT98" i="1"/>
  <c r="CH98" i="1"/>
  <c r="BT97" i="1"/>
  <c r="CH97" i="1"/>
  <c r="BT96" i="1"/>
  <c r="CH96" i="1"/>
  <c r="BT90" i="1"/>
  <c r="CH90" i="1"/>
  <c r="BT19" i="1"/>
  <c r="CH19" i="1"/>
  <c r="BT84" i="1"/>
  <c r="CH84" i="1"/>
  <c r="BT82" i="1"/>
  <c r="CH82" i="1"/>
  <c r="CC120" i="1"/>
  <c r="CH120" i="1"/>
  <c r="BT13" i="1"/>
  <c r="CH13" i="1"/>
  <c r="BT11" i="1"/>
  <c r="CH11" i="1"/>
  <c r="BT9" i="1"/>
  <c r="CH9" i="1"/>
  <c r="BT77" i="1"/>
  <c r="CH77" i="1"/>
  <c r="BT72" i="1"/>
  <c r="CH72" i="1"/>
  <c r="BB118" i="1"/>
  <c r="CH118" i="1"/>
  <c r="BT36" i="1"/>
  <c r="CH36" i="1"/>
  <c r="CC116" i="1"/>
  <c r="CH116" i="1"/>
  <c r="CH115" i="1"/>
  <c r="BT15" i="1"/>
  <c r="CH15" i="1"/>
  <c r="CH79" i="1"/>
  <c r="BT14" i="1"/>
  <c r="CH14" i="1"/>
  <c r="BT68" i="1"/>
  <c r="CH68" i="1"/>
  <c r="CH7" i="1"/>
  <c r="BT66" i="1"/>
  <c r="CH66" i="1"/>
  <c r="CH65" i="1"/>
  <c r="BT60" i="1"/>
  <c r="CH60" i="1"/>
  <c r="BT58" i="1"/>
  <c r="CH58" i="1"/>
  <c r="BT56" i="1"/>
  <c r="CH56" i="1"/>
  <c r="BT55" i="1"/>
  <c r="CH55" i="1"/>
  <c r="BT54" i="1"/>
  <c r="CH54" i="1"/>
  <c r="BT52" i="1"/>
  <c r="CH52" i="1"/>
  <c r="BT50" i="1"/>
  <c r="CH50" i="1"/>
  <c r="BT3" i="1"/>
  <c r="CH3" i="1"/>
  <c r="BT46" i="1"/>
  <c r="CH46" i="1"/>
  <c r="BT44" i="1"/>
  <c r="CH44" i="1"/>
  <c r="BT42" i="1"/>
  <c r="CH42" i="1"/>
  <c r="BT41" i="1"/>
  <c r="CH41" i="1"/>
  <c r="BT38" i="1"/>
  <c r="CH38" i="1"/>
  <c r="BT2" i="1"/>
  <c r="CH2" i="1"/>
  <c r="CC79" i="1"/>
  <c r="CF3" i="1"/>
  <c r="CC56" i="1"/>
  <c r="CC108" i="1"/>
  <c r="CC32" i="1"/>
  <c r="CC33" i="1"/>
  <c r="CC80" i="1"/>
  <c r="CC25" i="1"/>
  <c r="CF87" i="1"/>
  <c r="CF11" i="1"/>
  <c r="CC74" i="1"/>
  <c r="CF35" i="1"/>
  <c r="CF85" i="1"/>
  <c r="CF30" i="1"/>
  <c r="CF95" i="1"/>
  <c r="CC107" i="1"/>
  <c r="CF61" i="1"/>
  <c r="CF54" i="1"/>
  <c r="CF109" i="1"/>
  <c r="CF96" i="1"/>
  <c r="CF21" i="1"/>
  <c r="CC15" i="1"/>
  <c r="CF119" i="1"/>
  <c r="CF4" i="1"/>
  <c r="CF114" i="1"/>
  <c r="CC114" i="1"/>
  <c r="CF113" i="1"/>
  <c r="CF107" i="1"/>
  <c r="BT28" i="1"/>
  <c r="CC99" i="1"/>
  <c r="CF91" i="1"/>
  <c r="CF19" i="1"/>
  <c r="CC14" i="1"/>
  <c r="CF68" i="1"/>
  <c r="CC62" i="1"/>
  <c r="CC60" i="1"/>
  <c r="CF5" i="1"/>
  <c r="CF55" i="1"/>
  <c r="BT48" i="1"/>
  <c r="CF36" i="1"/>
  <c r="CC22" i="1"/>
  <c r="CF16" i="1"/>
  <c r="CF80" i="1"/>
  <c r="CF78" i="1"/>
  <c r="CF13" i="1"/>
  <c r="CF12" i="1"/>
  <c r="CC12" i="1"/>
  <c r="CC40" i="1"/>
  <c r="CF2" i="1"/>
  <c r="CC111" i="1"/>
  <c r="CC104" i="1"/>
  <c r="CF20" i="1"/>
  <c r="CF15" i="1"/>
  <c r="CF120" i="1"/>
  <c r="CF9" i="1"/>
  <c r="CF62" i="1"/>
  <c r="CF56" i="1"/>
  <c r="CF51" i="1"/>
  <c r="CF43" i="1"/>
  <c r="CF116" i="1"/>
  <c r="BB116" i="1"/>
  <c r="CF34" i="1"/>
  <c r="BB113" i="1"/>
  <c r="CF31" i="1"/>
  <c r="CF29" i="1"/>
  <c r="CF103" i="1"/>
  <c r="CF101" i="1"/>
  <c r="BB99" i="1"/>
  <c r="CF98" i="1"/>
  <c r="CF93" i="1"/>
  <c r="CF92" i="1"/>
  <c r="CF22" i="1"/>
  <c r="BB22" i="1"/>
  <c r="CF86" i="1"/>
  <c r="CF17" i="1"/>
  <c r="BT81" i="1"/>
  <c r="BT75" i="1"/>
  <c r="CF67" i="1"/>
  <c r="CF64" i="1"/>
  <c r="CF57" i="1"/>
  <c r="CC47" i="1"/>
  <c r="BB40" i="1"/>
  <c r="CF118" i="1"/>
  <c r="CF125" i="1"/>
  <c r="CC35" i="1"/>
  <c r="CF112" i="1"/>
  <c r="CF110" i="1"/>
  <c r="CF106" i="1"/>
  <c r="CF27" i="1"/>
  <c r="CC100" i="1"/>
  <c r="CF94" i="1"/>
  <c r="CF23" i="1"/>
  <c r="CF18" i="1"/>
  <c r="CF121" i="1"/>
  <c r="CF14" i="1"/>
  <c r="CF59" i="1"/>
  <c r="CC103" i="1"/>
  <c r="BT27" i="1"/>
  <c r="CF33" i="1"/>
  <c r="CF32" i="1"/>
  <c r="BT112" i="1"/>
  <c r="CC29" i="1"/>
  <c r="CF108" i="1"/>
  <c r="BT106" i="1"/>
  <c r="CC105" i="1"/>
  <c r="BB24" i="1"/>
  <c r="CF122" i="1"/>
  <c r="CC113" i="1"/>
  <c r="CF124" i="1"/>
  <c r="CF123" i="1"/>
  <c r="CF115" i="1"/>
  <c r="BB115" i="1"/>
  <c r="CF111" i="1"/>
  <c r="CC31" i="1"/>
  <c r="CF105" i="1"/>
  <c r="BB103" i="1"/>
  <c r="CF102" i="1"/>
  <c r="BT100" i="1"/>
  <c r="CF97" i="1"/>
  <c r="CF90" i="1"/>
  <c r="BT78" i="1"/>
  <c r="BB14" i="1"/>
  <c r="CF6" i="1"/>
  <c r="CF63" i="1"/>
  <c r="BT61" i="1"/>
  <c r="CF50" i="1"/>
  <c r="CC93" i="1"/>
  <c r="CF76" i="1"/>
  <c r="CF117" i="1"/>
  <c r="CC109" i="1"/>
  <c r="CF104" i="1"/>
  <c r="CF28" i="1"/>
  <c r="CC101" i="1"/>
  <c r="CF100" i="1"/>
  <c r="CF26" i="1"/>
  <c r="CF25" i="1"/>
  <c r="CF24" i="1"/>
  <c r="BT23" i="1"/>
  <c r="CF89" i="1"/>
  <c r="BT86" i="1"/>
  <c r="CC18" i="1"/>
  <c r="BT85" i="1"/>
  <c r="CC83" i="1"/>
  <c r="CF79" i="1"/>
  <c r="BB120" i="1"/>
  <c r="CF10" i="1"/>
  <c r="CF8" i="1"/>
  <c r="CF7" i="1"/>
  <c r="CF65" i="1"/>
  <c r="CF45" i="1"/>
  <c r="CC36" i="1"/>
  <c r="BT32" i="1"/>
  <c r="BT30" i="1"/>
  <c r="BT108" i="1"/>
  <c r="CC102" i="1"/>
  <c r="CC26" i="1"/>
  <c r="CC98" i="1"/>
  <c r="CC96" i="1"/>
  <c r="BT79" i="1"/>
  <c r="CC10" i="1"/>
  <c r="CC68" i="1"/>
  <c r="CC66" i="1"/>
  <c r="CC45" i="1"/>
  <c r="CC37" i="1"/>
  <c r="CC30" i="1"/>
  <c r="CC95" i="1"/>
  <c r="CC90" i="1"/>
  <c r="CC19" i="1"/>
  <c r="CC84" i="1"/>
  <c r="CC82" i="1"/>
  <c r="CC13" i="1"/>
  <c r="CC9" i="1"/>
  <c r="CC72" i="1"/>
  <c r="CC70" i="1"/>
  <c r="CC8" i="1"/>
  <c r="CC64" i="1"/>
  <c r="CC4" i="1"/>
  <c r="CC34" i="1"/>
  <c r="BT31" i="1"/>
  <c r="CC112" i="1"/>
  <c r="CC110" i="1"/>
  <c r="CC106" i="1"/>
  <c r="CC23" i="1"/>
  <c r="CC89" i="1"/>
  <c r="CC86" i="1"/>
  <c r="CC85" i="1"/>
  <c r="CC81" i="1"/>
  <c r="CC78" i="1"/>
  <c r="CC61" i="1"/>
  <c r="CC57" i="1"/>
  <c r="CC51" i="1"/>
  <c r="CG73" i="1" l="1"/>
  <c r="BX73" i="1" s="1"/>
  <c r="CG21" i="1"/>
  <c r="CI93" i="1"/>
  <c r="CL93" i="1" s="1"/>
  <c r="CG71" i="1"/>
  <c r="BX71" i="1" s="1"/>
  <c r="CG86" i="1"/>
  <c r="BX86" i="1" s="1"/>
  <c r="CI48" i="1"/>
  <c r="CL48" i="1" s="1"/>
  <c r="CG48" i="1"/>
  <c r="BX48" i="1" s="1"/>
  <c r="CG2" i="1"/>
  <c r="CG3" i="1"/>
  <c r="CL117" i="1"/>
  <c r="CI73" i="1"/>
  <c r="CL73" i="1" s="1"/>
  <c r="CI86" i="1"/>
  <c r="CL86" i="1" s="1"/>
  <c r="CI71" i="1"/>
  <c r="CL71" i="1" s="1"/>
  <c r="CI21" i="1"/>
  <c r="CL21" i="1" s="1"/>
  <c r="CG81" i="1"/>
  <c r="BX81" i="1" s="1"/>
  <c r="CB11" i="2"/>
  <c r="BZ11" i="2"/>
  <c r="CG88" i="1"/>
  <c r="BX88" i="1" s="1"/>
  <c r="CG16" i="1"/>
  <c r="CI34" i="1"/>
  <c r="CL34" i="1" s="1"/>
  <c r="CI32" i="1"/>
  <c r="CL32" i="1" s="1"/>
  <c r="CG93" i="1"/>
  <c r="CG18" i="1"/>
  <c r="CG7" i="1"/>
  <c r="CI33" i="1"/>
  <c r="CL33" i="1" s="1"/>
  <c r="CI35" i="1"/>
  <c r="CL35" i="1" s="1"/>
  <c r="CG20" i="1"/>
  <c r="CA10" i="2"/>
  <c r="BY10" i="2"/>
  <c r="CA9" i="2"/>
  <c r="BY9" i="2"/>
  <c r="CI83" i="1"/>
  <c r="CL83" i="1" s="1"/>
  <c r="CG109" i="1"/>
  <c r="CG42" i="1"/>
  <c r="CG72" i="1"/>
  <c r="BX72" i="1" s="1"/>
  <c r="CG83" i="1"/>
  <c r="BX83" i="1" s="1"/>
  <c r="BX8" i="2"/>
  <c r="BZ8" i="2"/>
  <c r="CI18" i="1"/>
  <c r="CL18" i="1" s="1"/>
  <c r="CI66" i="1"/>
  <c r="CL66" i="1" s="1"/>
  <c r="CG66" i="1"/>
  <c r="BX66" i="1" s="1"/>
  <c r="CI15" i="1"/>
  <c r="CL15" i="1" s="1"/>
  <c r="CG15" i="1"/>
  <c r="CI28" i="1"/>
  <c r="CL28" i="1" s="1"/>
  <c r="CG28" i="1"/>
  <c r="CI31" i="1"/>
  <c r="CL31" i="1" s="1"/>
  <c r="CG31" i="1"/>
  <c r="CI39" i="1"/>
  <c r="CL39" i="1" s="1"/>
  <c r="CG39" i="1"/>
  <c r="CI43" i="1"/>
  <c r="CL43" i="1" s="1"/>
  <c r="CG43" i="1"/>
  <c r="CI49" i="1"/>
  <c r="CL49" i="1" s="1"/>
  <c r="CG49" i="1"/>
  <c r="BX49" i="1" s="1"/>
  <c r="CI53" i="1"/>
  <c r="CG53" i="1"/>
  <c r="BX53" i="1" s="1"/>
  <c r="CI5" i="1"/>
  <c r="CL5" i="1" s="1"/>
  <c r="CG5" i="1"/>
  <c r="CI59" i="1"/>
  <c r="CL59" i="1" s="1"/>
  <c r="CG59" i="1"/>
  <c r="BX59" i="1" s="1"/>
  <c r="CI63" i="1"/>
  <c r="CL63" i="1" s="1"/>
  <c r="CG63" i="1"/>
  <c r="CI6" i="1"/>
  <c r="CL6" i="1" s="1"/>
  <c r="CG6" i="1"/>
  <c r="CI67" i="1"/>
  <c r="CL67" i="1" s="1"/>
  <c r="CG67" i="1"/>
  <c r="CI121" i="1"/>
  <c r="CL121" i="1" s="1"/>
  <c r="CG121" i="1"/>
  <c r="CI76" i="1"/>
  <c r="CL76" i="1" s="1"/>
  <c r="CG76" i="1"/>
  <c r="BX76" i="1" s="1"/>
  <c r="CI12" i="1"/>
  <c r="CL12" i="1" s="1"/>
  <c r="CG12" i="1"/>
  <c r="CI17" i="1"/>
  <c r="CL17" i="1" s="1"/>
  <c r="CG17" i="1"/>
  <c r="CI22" i="1"/>
  <c r="CL22" i="1" s="1"/>
  <c r="CG22" i="1"/>
  <c r="CI94" i="1"/>
  <c r="CL94" i="1" s="1"/>
  <c r="CG94" i="1"/>
  <c r="CI103" i="1"/>
  <c r="CL103" i="1" s="1"/>
  <c r="CG103" i="1"/>
  <c r="CI29" i="1"/>
  <c r="CL29" i="1" s="1"/>
  <c r="CG29" i="1"/>
  <c r="CI100" i="1"/>
  <c r="CL100" i="1" s="1"/>
  <c r="CG100" i="1"/>
  <c r="CI108" i="1"/>
  <c r="CL108" i="1" s="1"/>
  <c r="CG108" i="1"/>
  <c r="CI80" i="1"/>
  <c r="CL80" i="1" s="1"/>
  <c r="CG80" i="1"/>
  <c r="CI38" i="1"/>
  <c r="CL38" i="1" s="1"/>
  <c r="CG38" i="1"/>
  <c r="BX38" i="1" s="1"/>
  <c r="CI46" i="1"/>
  <c r="CL46" i="1" s="1"/>
  <c r="CG46" i="1"/>
  <c r="BX46" i="1" s="1"/>
  <c r="CI50" i="1"/>
  <c r="CL50" i="1" s="1"/>
  <c r="CG50" i="1"/>
  <c r="CI54" i="1"/>
  <c r="CL54" i="1" s="1"/>
  <c r="CG54" i="1"/>
  <c r="CI56" i="1"/>
  <c r="CL56" i="1" s="1"/>
  <c r="CG56" i="1"/>
  <c r="BX56" i="1" s="1"/>
  <c r="CI60" i="1"/>
  <c r="CL60" i="1" s="1"/>
  <c r="CG60" i="1"/>
  <c r="CI14" i="1"/>
  <c r="CL14" i="1" s="1"/>
  <c r="CG14" i="1"/>
  <c r="CI36" i="1"/>
  <c r="CL36" i="1" s="1"/>
  <c r="CG36" i="1"/>
  <c r="CI9" i="1"/>
  <c r="CL9" i="1" s="1"/>
  <c r="CG9" i="1"/>
  <c r="CI13" i="1"/>
  <c r="CL13" i="1" s="1"/>
  <c r="CG13" i="1"/>
  <c r="CI82" i="1"/>
  <c r="CL82" i="1" s="1"/>
  <c r="CG82" i="1"/>
  <c r="BX82" i="1" s="1"/>
  <c r="CI19" i="1"/>
  <c r="CL19" i="1" s="1"/>
  <c r="CG19" i="1"/>
  <c r="CI90" i="1"/>
  <c r="CL90" i="1" s="1"/>
  <c r="CG90" i="1"/>
  <c r="BX90" i="1" s="1"/>
  <c r="CI97" i="1"/>
  <c r="CL97" i="1" s="1"/>
  <c r="CG97" i="1"/>
  <c r="CI24" i="1"/>
  <c r="CL24" i="1" s="1"/>
  <c r="CG24" i="1"/>
  <c r="CI27" i="1"/>
  <c r="CL27" i="1" s="1"/>
  <c r="CG27" i="1"/>
  <c r="CI112" i="1"/>
  <c r="CL112" i="1" s="1"/>
  <c r="CG112" i="1"/>
  <c r="CI91" i="1"/>
  <c r="CL91" i="1" s="1"/>
  <c r="CG91" i="1"/>
  <c r="CI99" i="1"/>
  <c r="CL99" i="1" s="1"/>
  <c r="CG99" i="1"/>
  <c r="BX99" i="1" s="1"/>
  <c r="CI101" i="1"/>
  <c r="CL101" i="1" s="1"/>
  <c r="CG101" i="1"/>
  <c r="CI30" i="1"/>
  <c r="CL30" i="1" s="1"/>
  <c r="CG30" i="1"/>
  <c r="CI115" i="1"/>
  <c r="CL115" i="1" s="1"/>
  <c r="CG115" i="1"/>
  <c r="CI102" i="1"/>
  <c r="CL102" i="1" s="1"/>
  <c r="CG102" i="1"/>
  <c r="CI105" i="1"/>
  <c r="CL105" i="1" s="1"/>
  <c r="CG105" i="1"/>
  <c r="CI110" i="1"/>
  <c r="CL110" i="1" s="1"/>
  <c r="CG110" i="1"/>
  <c r="CI114" i="1"/>
  <c r="CL114" i="1" s="1"/>
  <c r="CG114" i="1"/>
  <c r="CI37" i="1"/>
  <c r="CL37" i="1" s="1"/>
  <c r="CG37" i="1"/>
  <c r="BX37" i="1" s="1"/>
  <c r="CI40" i="1"/>
  <c r="CL40" i="1" s="1"/>
  <c r="CG40" i="1"/>
  <c r="BX40" i="1" s="1"/>
  <c r="CI45" i="1"/>
  <c r="CL45" i="1" s="1"/>
  <c r="CG45" i="1"/>
  <c r="CI47" i="1"/>
  <c r="CL47" i="1" s="1"/>
  <c r="CG47" i="1"/>
  <c r="BX47" i="1" s="1"/>
  <c r="CI51" i="1"/>
  <c r="CL51" i="1" s="1"/>
  <c r="CG51" i="1"/>
  <c r="CI4" i="1"/>
  <c r="CL4" i="1" s="1"/>
  <c r="CG4" i="1"/>
  <c r="CI57" i="1"/>
  <c r="CL57" i="1" s="1"/>
  <c r="CG57" i="1"/>
  <c r="CI62" i="1"/>
  <c r="CL62" i="1" s="1"/>
  <c r="CG62" i="1"/>
  <c r="CI64" i="1"/>
  <c r="CL64" i="1" s="1"/>
  <c r="CG64" i="1"/>
  <c r="BX64" i="1" s="1"/>
  <c r="CI8" i="1"/>
  <c r="CL8" i="1" s="1"/>
  <c r="CG8" i="1"/>
  <c r="CI70" i="1"/>
  <c r="CG70" i="1"/>
  <c r="BX70" i="1" s="1"/>
  <c r="CI10" i="1"/>
  <c r="CL10" i="1" s="1"/>
  <c r="CG10" i="1"/>
  <c r="CI87" i="1"/>
  <c r="CL87" i="1" s="1"/>
  <c r="CG87" i="1"/>
  <c r="CI95" i="1"/>
  <c r="CL95" i="1" s="1"/>
  <c r="CG95" i="1"/>
  <c r="CI107" i="1"/>
  <c r="CL107" i="1" s="1"/>
  <c r="CG107" i="1"/>
  <c r="CI111" i="1"/>
  <c r="CL111" i="1" s="1"/>
  <c r="CG111" i="1"/>
  <c r="CI104" i="1"/>
  <c r="CL104" i="1" s="1"/>
  <c r="CG104" i="1"/>
  <c r="CI61" i="1"/>
  <c r="CL61" i="1" s="1"/>
  <c r="CG61" i="1"/>
  <c r="CI41" i="1"/>
  <c r="CL41" i="1" s="1"/>
  <c r="CG41" i="1"/>
  <c r="BX41" i="1" s="1"/>
  <c r="CI44" i="1"/>
  <c r="CL44" i="1" s="1"/>
  <c r="CG44" i="1"/>
  <c r="BX44" i="1" s="1"/>
  <c r="CI52" i="1"/>
  <c r="CL52" i="1" s="1"/>
  <c r="CG52" i="1"/>
  <c r="BX52" i="1" s="1"/>
  <c r="CI55" i="1"/>
  <c r="CL55" i="1" s="1"/>
  <c r="CG55" i="1"/>
  <c r="CI58" i="1"/>
  <c r="CL58" i="1" s="1"/>
  <c r="CG58" i="1"/>
  <c r="BX58" i="1" s="1"/>
  <c r="CI65" i="1"/>
  <c r="CL65" i="1" s="1"/>
  <c r="CG65" i="1"/>
  <c r="BX65" i="1" s="1"/>
  <c r="CI68" i="1"/>
  <c r="CL68" i="1" s="1"/>
  <c r="CG68" i="1"/>
  <c r="BX68" i="1" s="1"/>
  <c r="CI79" i="1"/>
  <c r="CL79" i="1" s="1"/>
  <c r="CG79" i="1"/>
  <c r="CI116" i="1"/>
  <c r="CL116" i="1" s="1"/>
  <c r="CG116" i="1"/>
  <c r="CI118" i="1"/>
  <c r="CL118" i="1" s="1"/>
  <c r="CG118" i="1"/>
  <c r="CI77" i="1"/>
  <c r="CG77" i="1"/>
  <c r="CI11" i="1"/>
  <c r="CL11" i="1" s="1"/>
  <c r="CG11" i="1"/>
  <c r="CI120" i="1"/>
  <c r="CL120" i="1" s="1"/>
  <c r="CG120" i="1"/>
  <c r="CI84" i="1"/>
  <c r="CL84" i="1" s="1"/>
  <c r="CG84" i="1"/>
  <c r="BX84" i="1" s="1"/>
  <c r="CI96" i="1"/>
  <c r="CL96" i="1" s="1"/>
  <c r="CG96" i="1"/>
  <c r="CI98" i="1"/>
  <c r="CL98" i="1" s="1"/>
  <c r="CG98" i="1"/>
  <c r="CI26" i="1"/>
  <c r="CL26" i="1" s="1"/>
  <c r="CG26" i="1"/>
  <c r="CI85" i="1"/>
  <c r="CL85" i="1" s="1"/>
  <c r="CG85" i="1"/>
  <c r="CI89" i="1"/>
  <c r="CL89" i="1" s="1"/>
  <c r="CG89" i="1"/>
  <c r="BX89" i="1" s="1"/>
  <c r="CI23" i="1"/>
  <c r="CL23" i="1" s="1"/>
  <c r="CG23" i="1"/>
  <c r="CI25" i="1"/>
  <c r="CL25" i="1" s="1"/>
  <c r="CG25" i="1"/>
  <c r="CI106" i="1"/>
  <c r="CL106" i="1" s="1"/>
  <c r="CG106" i="1"/>
  <c r="CI92" i="1"/>
  <c r="CL92" i="1" s="1"/>
  <c r="CG92" i="1"/>
  <c r="CI78" i="1"/>
  <c r="CL78" i="1" s="1"/>
  <c r="CG78" i="1"/>
  <c r="CI3" i="1"/>
  <c r="CL3" i="1" s="1"/>
  <c r="CI7" i="1"/>
  <c r="CL7" i="1" s="1"/>
  <c r="CI42" i="1"/>
  <c r="CL42" i="1" s="1"/>
  <c r="CI109" i="1"/>
  <c r="CL109" i="1" s="1"/>
  <c r="CI72" i="1"/>
  <c r="CL72" i="1" s="1"/>
  <c r="CI16" i="1"/>
  <c r="CL16" i="1" s="1"/>
  <c r="CI2" i="1"/>
  <c r="CL2" i="1" s="1"/>
  <c r="CI20" i="1"/>
  <c r="CL20" i="1" s="1"/>
  <c r="CL53" i="1" l="1"/>
  <c r="CE11" i="2"/>
  <c r="CL70" i="1"/>
  <c r="CD10" i="2"/>
  <c r="BX77" i="1"/>
  <c r="BP9" i="2"/>
  <c r="BO8" i="2"/>
  <c r="CL77" i="1"/>
  <c r="CD9" i="2"/>
  <c r="BX60" i="1"/>
</calcChain>
</file>

<file path=xl/sharedStrings.xml><?xml version="1.0" encoding="utf-8"?>
<sst xmlns="http://schemas.openxmlformats.org/spreadsheetml/2006/main" count="1744" uniqueCount="614">
  <si>
    <t>PreBCVA</t>
  </si>
  <si>
    <t>Benson</t>
  </si>
  <si>
    <t>Katiyar</t>
  </si>
  <si>
    <t>Hoffman</t>
  </si>
  <si>
    <t>Castelnovo</t>
  </si>
  <si>
    <t>Lenderman</t>
  </si>
  <si>
    <t>Matteson</t>
  </si>
  <si>
    <t>Nestor</t>
  </si>
  <si>
    <t>Rains</t>
  </si>
  <si>
    <t>Robel</t>
  </si>
  <si>
    <t>Jamison</t>
  </si>
  <si>
    <t>Rimstidt</t>
  </si>
  <si>
    <t>Nichols</t>
  </si>
  <si>
    <t xml:space="preserve">Demaggio </t>
  </si>
  <si>
    <t xml:space="preserve">Smith </t>
  </si>
  <si>
    <t>Dilley</t>
  </si>
  <si>
    <t xml:space="preserve">Ames </t>
  </si>
  <si>
    <t>Emilsson</t>
  </si>
  <si>
    <t>Harston</t>
  </si>
  <si>
    <t xml:space="preserve">Crupi </t>
  </si>
  <si>
    <t>Winkler</t>
  </si>
  <si>
    <t xml:space="preserve">Carroll </t>
  </si>
  <si>
    <t xml:space="preserve">Carlson </t>
  </si>
  <si>
    <t>Mirian</t>
  </si>
  <si>
    <t xml:space="preserve">Barrett </t>
  </si>
  <si>
    <t>Tanaka</t>
  </si>
  <si>
    <t xml:space="preserve">Noval </t>
  </si>
  <si>
    <t>Goolsby</t>
  </si>
  <si>
    <t>Davido</t>
  </si>
  <si>
    <t xml:space="preserve">Davanzo </t>
  </si>
  <si>
    <t>Demaree</t>
  </si>
  <si>
    <t>Dawn</t>
  </si>
  <si>
    <t>Traycoff</t>
  </si>
  <si>
    <t xml:space="preserve">Davido </t>
  </si>
  <si>
    <t>Matthews</t>
  </si>
  <si>
    <t xml:space="preserve">Schroen </t>
  </si>
  <si>
    <t>Homann</t>
  </si>
  <si>
    <t>Dittenber</t>
  </si>
  <si>
    <t>Beeny</t>
  </si>
  <si>
    <t>Frazier</t>
  </si>
  <si>
    <t>Callis</t>
  </si>
  <si>
    <t xml:space="preserve">Alexander </t>
  </si>
  <si>
    <t xml:space="preserve">Dowell </t>
  </si>
  <si>
    <t xml:space="preserve">Tharp </t>
  </si>
  <si>
    <t xml:space="preserve">Matteson </t>
  </si>
  <si>
    <t xml:space="preserve">Barber </t>
  </si>
  <si>
    <t>Bassett</t>
  </si>
  <si>
    <t xml:space="preserve">Robbins </t>
  </si>
  <si>
    <t xml:space="preserve">Day </t>
  </si>
  <si>
    <t>Chrisman</t>
  </si>
  <si>
    <t xml:space="preserve">Traycoff </t>
  </si>
  <si>
    <t xml:space="preserve">Salay </t>
  </si>
  <si>
    <t xml:space="preserve">Weissberg </t>
  </si>
  <si>
    <t xml:space="preserve">Schlater </t>
  </si>
  <si>
    <t>Lucius</t>
  </si>
  <si>
    <t xml:space="preserve">Gates </t>
  </si>
  <si>
    <t xml:space="preserve">Rich </t>
  </si>
  <si>
    <t xml:space="preserve">Woods </t>
  </si>
  <si>
    <t>Axial Length</t>
  </si>
  <si>
    <t>K1</t>
  </si>
  <si>
    <t>K1a</t>
  </si>
  <si>
    <t>K2</t>
  </si>
  <si>
    <t>K2a</t>
  </si>
  <si>
    <t>McIntosh</t>
  </si>
  <si>
    <t>preiop</t>
  </si>
  <si>
    <t>prepachy</t>
  </si>
  <si>
    <t>Phelps</t>
  </si>
  <si>
    <t>Owen</t>
  </si>
  <si>
    <t>MI #</t>
  </si>
  <si>
    <t>Preop</t>
  </si>
  <si>
    <t>IOP</t>
  </si>
  <si>
    <t>presph</t>
  </si>
  <si>
    <t>Pachy 1 year</t>
  </si>
  <si>
    <t>cyl6</t>
  </si>
  <si>
    <t>bcva6</t>
  </si>
  <si>
    <t>iop6</t>
  </si>
  <si>
    <t>pachy6</t>
  </si>
  <si>
    <t>ecd6</t>
  </si>
  <si>
    <t>missed</t>
  </si>
  <si>
    <t>Barnes</t>
  </si>
  <si>
    <t>ECD 1 year</t>
  </si>
  <si>
    <t>Krueger</t>
  </si>
  <si>
    <t>Not taken</t>
  </si>
  <si>
    <t>M cyl</t>
  </si>
  <si>
    <t>12 mo M sph</t>
  </si>
  <si>
    <t>sph6</t>
  </si>
  <si>
    <t>Pucher</t>
  </si>
  <si>
    <t>W</t>
  </si>
  <si>
    <t xml:space="preserve">Owen </t>
  </si>
  <si>
    <t>BCVA 12mo</t>
  </si>
  <si>
    <t>Andrews</t>
  </si>
  <si>
    <t>not taken</t>
  </si>
  <si>
    <t>precyl</t>
  </si>
  <si>
    <t>M axis</t>
  </si>
  <si>
    <t>Whitfield</t>
  </si>
  <si>
    <t>Carlson</t>
  </si>
  <si>
    <t>Moore</t>
  </si>
  <si>
    <t>Robbins</t>
  </si>
  <si>
    <t>Ball</t>
  </si>
  <si>
    <t>Eubanks</t>
  </si>
  <si>
    <t>Last Name</t>
  </si>
  <si>
    <t>First Name</t>
  </si>
  <si>
    <t>I</t>
  </si>
  <si>
    <t>DOB</t>
  </si>
  <si>
    <t>Sex</t>
  </si>
  <si>
    <t>Age</t>
  </si>
  <si>
    <t>Date of surgery</t>
  </si>
  <si>
    <t>Race</t>
  </si>
  <si>
    <t>F</t>
  </si>
  <si>
    <t>Eye</t>
  </si>
  <si>
    <t>OS</t>
  </si>
  <si>
    <t>OD</t>
  </si>
  <si>
    <t>M</t>
  </si>
  <si>
    <t>Smith</t>
  </si>
  <si>
    <t>Preston</t>
  </si>
  <si>
    <t>Swanson</t>
  </si>
  <si>
    <t xml:space="preserve">Janice  </t>
  </si>
  <si>
    <t>Georgia</t>
  </si>
  <si>
    <t>Douglass</t>
  </si>
  <si>
    <t>Webster</t>
  </si>
  <si>
    <t>Sean</t>
  </si>
  <si>
    <t>Richard J</t>
  </si>
  <si>
    <t>Michael</t>
  </si>
  <si>
    <t>Katia</t>
  </si>
  <si>
    <t>Goffin</t>
  </si>
  <si>
    <t>Vaughn</t>
  </si>
  <si>
    <t>Schurr</t>
  </si>
  <si>
    <t>Diana</t>
  </si>
  <si>
    <t>Machelle</t>
  </si>
  <si>
    <t>Joyce J</t>
  </si>
  <si>
    <t>Shelley</t>
  </si>
  <si>
    <t>Charles</t>
  </si>
  <si>
    <t>May</t>
  </si>
  <si>
    <t>Harold</t>
  </si>
  <si>
    <t>Nick</t>
  </si>
  <si>
    <t>Olmos Lau</t>
  </si>
  <si>
    <t>Dorothy M</t>
  </si>
  <si>
    <t>Kelly</t>
  </si>
  <si>
    <t>Thelma L</t>
  </si>
  <si>
    <t>Regina</t>
  </si>
  <si>
    <t>Carole</t>
  </si>
  <si>
    <t>Jean</t>
  </si>
  <si>
    <t xml:space="preserve">Mary </t>
  </si>
  <si>
    <t>Beverly</t>
  </si>
  <si>
    <t>William</t>
  </si>
  <si>
    <t>Ehresman</t>
  </si>
  <si>
    <t>Patricia</t>
  </si>
  <si>
    <t>Rosemary</t>
  </si>
  <si>
    <t>Richard</t>
  </si>
  <si>
    <t>Dan</t>
  </si>
  <si>
    <t>Nicole</t>
  </si>
  <si>
    <t>Barbara</t>
  </si>
  <si>
    <t>Kurtis</t>
  </si>
  <si>
    <t>Otis</t>
  </si>
  <si>
    <t>Harrison</t>
  </si>
  <si>
    <t>Antoinette</t>
  </si>
  <si>
    <t>Uma</t>
  </si>
  <si>
    <t>Mary</t>
  </si>
  <si>
    <t>Lauren</t>
  </si>
  <si>
    <t>Diane</t>
  </si>
  <si>
    <t>Gary R</t>
  </si>
  <si>
    <t xml:space="preserve">Loretta </t>
  </si>
  <si>
    <t>Jane</t>
  </si>
  <si>
    <t xml:space="preserve">Sue </t>
  </si>
  <si>
    <t xml:space="preserve">Michael </t>
  </si>
  <si>
    <t>Agee</t>
  </si>
  <si>
    <t>Dager (2)</t>
  </si>
  <si>
    <t>Dager (1)</t>
  </si>
  <si>
    <t>Sabine</t>
  </si>
  <si>
    <t>Oconnor</t>
  </si>
  <si>
    <t>Donna</t>
  </si>
  <si>
    <t>Johnson</t>
  </si>
  <si>
    <t xml:space="preserve">Theo </t>
  </si>
  <si>
    <t>Pykosz</t>
  </si>
  <si>
    <t>Gardner</t>
  </si>
  <si>
    <t>Larry</t>
  </si>
  <si>
    <t>Phillip</t>
  </si>
  <si>
    <t>Antionette</t>
  </si>
  <si>
    <t>Barry</t>
  </si>
  <si>
    <t>Leming</t>
  </si>
  <si>
    <t>Olga</t>
  </si>
  <si>
    <t xml:space="preserve">Judith  </t>
  </si>
  <si>
    <t>Thomas A.</t>
  </si>
  <si>
    <t>Vergene</t>
  </si>
  <si>
    <t>Norris</t>
  </si>
  <si>
    <t>Carol</t>
  </si>
  <si>
    <t xml:space="preserve">Theodore </t>
  </si>
  <si>
    <t>Joni</t>
  </si>
  <si>
    <t>Bonnie</t>
  </si>
  <si>
    <t>Lois</t>
  </si>
  <si>
    <t>Maripat</t>
  </si>
  <si>
    <t>Elsie</t>
  </si>
  <si>
    <t>Robertyne</t>
  </si>
  <si>
    <t>Bneta</t>
  </si>
  <si>
    <t>Brownfield</t>
  </si>
  <si>
    <t>Mary D</t>
  </si>
  <si>
    <t>David</t>
  </si>
  <si>
    <t>Jeanie</t>
  </si>
  <si>
    <t>Stephen R</t>
  </si>
  <si>
    <t>Paridokht</t>
  </si>
  <si>
    <t>Vincent</t>
  </si>
  <si>
    <t>Jill</t>
  </si>
  <si>
    <t>Lucas</t>
  </si>
  <si>
    <t>Ford</t>
  </si>
  <si>
    <t>Stephen</t>
  </si>
  <si>
    <t>Doris</t>
  </si>
  <si>
    <t xml:space="preserve">Don </t>
  </si>
  <si>
    <t>Decamp</t>
  </si>
  <si>
    <t>Annette</t>
  </si>
  <si>
    <t>Leota</t>
  </si>
  <si>
    <t>Frances</t>
  </si>
  <si>
    <t xml:space="preserve">Griffin </t>
  </si>
  <si>
    <t>Headley</t>
  </si>
  <si>
    <t>Janet</t>
  </si>
  <si>
    <t>Robert</t>
  </si>
  <si>
    <t>Blake</t>
  </si>
  <si>
    <t>Meess</t>
  </si>
  <si>
    <t>Robin</t>
  </si>
  <si>
    <t>Nancy</t>
  </si>
  <si>
    <t>Marilyn</t>
  </si>
  <si>
    <t>William H</t>
  </si>
  <si>
    <t>Rebecca</t>
  </si>
  <si>
    <t>Nurra</t>
  </si>
  <si>
    <t>Ronald</t>
  </si>
  <si>
    <t>Jeffrey K</t>
  </si>
  <si>
    <t>Suzanna</t>
  </si>
  <si>
    <t>Gibson</t>
  </si>
  <si>
    <t>Boulrece</t>
  </si>
  <si>
    <t>Elaine</t>
  </si>
  <si>
    <t>Schnick</t>
  </si>
  <si>
    <t>Worchuck</t>
  </si>
  <si>
    <t>Patricia A</t>
  </si>
  <si>
    <t>Bilicki</t>
  </si>
  <si>
    <t>Candace</t>
  </si>
  <si>
    <t>Kenneth</t>
  </si>
  <si>
    <t>Jones</t>
  </si>
  <si>
    <t>Catherine</t>
  </si>
  <si>
    <t>Shirley</t>
  </si>
  <si>
    <t>Jimmy</t>
  </si>
  <si>
    <r>
      <t xml:space="preserve">Esther </t>
    </r>
    <r>
      <rPr>
        <sz val="10"/>
        <rFont val="Arial"/>
        <family val="2"/>
      </rPr>
      <t>B</t>
    </r>
  </si>
  <si>
    <t>Miller</t>
  </si>
  <si>
    <t>Keesling</t>
  </si>
  <si>
    <t>Anterior Chamber Depth</t>
  </si>
  <si>
    <t>B</t>
  </si>
  <si>
    <t>H</t>
  </si>
  <si>
    <t>no appt</t>
  </si>
  <si>
    <t>9-14 mos</t>
  </si>
  <si>
    <t>6mo-8</t>
  </si>
  <si>
    <t>IOL Model</t>
  </si>
  <si>
    <t>SOFTEC HD</t>
  </si>
  <si>
    <t>Not Taken</t>
  </si>
  <si>
    <t>SN6AT6</t>
  </si>
  <si>
    <t>Documented Target Refraction</t>
  </si>
  <si>
    <t>Holladay II Target chosen</t>
  </si>
  <si>
    <t>[Calc] SE Error</t>
  </si>
  <si>
    <t>[Calc] Followup @ 6 or 12</t>
  </si>
  <si>
    <t>Ann</t>
  </si>
  <si>
    <t>Hubbard (2)</t>
  </si>
  <si>
    <t>Michael (2)</t>
  </si>
  <si>
    <t>Charles R</t>
  </si>
  <si>
    <t>Jackson</t>
  </si>
  <si>
    <t>Carleen</t>
  </si>
  <si>
    <t>Bartlett</t>
  </si>
  <si>
    <t>Dorothy</t>
  </si>
  <si>
    <t>Hyder</t>
  </si>
  <si>
    <t>Julie</t>
  </si>
  <si>
    <t>Soules</t>
  </si>
  <si>
    <t>Judy A</t>
  </si>
  <si>
    <t>Bell Jurak (2)</t>
  </si>
  <si>
    <t>Anna</t>
  </si>
  <si>
    <t>Brunswick</t>
  </si>
  <si>
    <t>Phakic Anterior Chamber Depth</t>
  </si>
  <si>
    <t>Phakic Lens Thickness</t>
  </si>
  <si>
    <t>Hor W-t-W</t>
  </si>
  <si>
    <t>Comments</t>
  </si>
  <si>
    <t>used old Ks</t>
  </si>
  <si>
    <t>SN6AT4</t>
  </si>
  <si>
    <t>EXCLUDE; PRIOR REFRACTIVE SURGERY</t>
  </si>
  <si>
    <t>uncorrected va (udva) 6</t>
  </si>
  <si>
    <t>uncorrected va (udva) 12</t>
  </si>
  <si>
    <t>[Calc] Length of Followup (days)</t>
  </si>
  <si>
    <t>[Calc] Length of followup (months)</t>
  </si>
  <si>
    <t>?</t>
  </si>
  <si>
    <t>[Calc] Difference 6 mo to 1 year Achieved SE</t>
  </si>
  <si>
    <t>[Calc] 6 month avg K - preop avg K</t>
  </si>
  <si>
    <t>[Calc] 12 month avg K - preop avg K</t>
  </si>
  <si>
    <t>posterior curvature</t>
  </si>
  <si>
    <t>?SK</t>
  </si>
  <si>
    <t>ELP - stnd ce/iol values</t>
  </si>
  <si>
    <t>dry eye measures -- q value from pentacam?</t>
  </si>
  <si>
    <t>[Calc] Achieved SE 6</t>
  </si>
  <si>
    <t>[Calc] Achieved SE 12</t>
  </si>
  <si>
    <t>[Calc] Last Achieved SE</t>
  </si>
  <si>
    <t>EXCLUDE: KCN</t>
  </si>
  <si>
    <t/>
  </si>
  <si>
    <t>ECC1 year</t>
  </si>
  <si>
    <t>EXCLUDE: LASIK</t>
  </si>
  <si>
    <t>9-14 mos (?=no appt)</t>
  </si>
  <si>
    <t>[Calc] Error in SE (last achieved vs target)</t>
  </si>
  <si>
    <t>*atypical fuch's - onset in 20s*</t>
  </si>
  <si>
    <t>no prepachy close to when Ks were done (cct 568  3 months prior)</t>
  </si>
  <si>
    <t>last pachy prior to sx 5 months earlier</t>
  </si>
  <si>
    <t>[Calc] Change in Pachy (Preop to 12)</t>
  </si>
  <si>
    <t>[Calc] Change in Pachy (Preop to 6)</t>
  </si>
  <si>
    <t>SK (0=no, 1=yes, 2=yes w MMC)</t>
  </si>
  <si>
    <t>s/p LASIK OU</t>
  </si>
  <si>
    <t>SN6AT5</t>
  </si>
  <si>
    <t>LRI</t>
  </si>
  <si>
    <t xml:space="preserve">*** IOL EXCHANGE 10/29/12 FOR MRx +3.50 (20/30); left for India after IOL exchange;  -1.00  +1.00  x 020 = 20/30 POW #1 s/p IOL exchange to Softec +23.75 </t>
  </si>
  <si>
    <t>Diagnosis</t>
  </si>
  <si>
    <t>Fuch's</t>
  </si>
  <si>
    <t>PBK</t>
  </si>
  <si>
    <t>Fuch's, VKH, posterior synechiae,h/o K ulcer</t>
  </si>
  <si>
    <t>also synechialysis</t>
  </si>
  <si>
    <t>EXCLUDE: post-LASIK ectasia</t>
  </si>
  <si>
    <t>PAST OCULAR MEDICAL HISTORY</t>
  </si>
  <si>
    <t>PAST MEDICAL HISTORY</t>
  </si>
  <si>
    <t>PAST OCULAR SURGERY</t>
  </si>
  <si>
    <t>Current Eye Medications</t>
  </si>
  <si>
    <t>Current Systemic Medications</t>
  </si>
  <si>
    <t xml:space="preserve">[Calc] Last Change in Pachy </t>
  </si>
  <si>
    <t>[Calc] Last SE Error</t>
  </si>
  <si>
    <t>[Calc] Last  SE</t>
  </si>
  <si>
    <t>[Calc] Change in AL</t>
  </si>
  <si>
    <t>[Calc] Last avg K - preop avg K</t>
  </si>
  <si>
    <t>Preop Rh:</t>
  </si>
  <si>
    <t>Preop Rv:</t>
  </si>
  <si>
    <t>Preop Axis (flat):</t>
  </si>
  <si>
    <t>Preop Astig:</t>
  </si>
  <si>
    <t>Preop Ecc:</t>
  </si>
  <si>
    <t>Preop EccSph:</t>
  </si>
  <si>
    <t>Preop C.Height(Endo):</t>
  </si>
  <si>
    <t>Preop C.Height(Epi):</t>
  </si>
  <si>
    <t>Preop Pachy Apex:</t>
  </si>
  <si>
    <t>Preop Pachy Pupil:</t>
  </si>
  <si>
    <t>Preop Pachy Sup:</t>
  </si>
  <si>
    <t>Preop Pachy Inf:</t>
  </si>
  <si>
    <t>Preop Pachy Nas:</t>
  </si>
  <si>
    <t>Preop Pachy Tem:</t>
  </si>
  <si>
    <t>Preop Pachy Min:</t>
  </si>
  <si>
    <t>Preop PachyMinX:</t>
  </si>
  <si>
    <t>Preop PachyMinY:</t>
  </si>
  <si>
    <t>Preop Sag3mm:</t>
  </si>
  <si>
    <t>Preop Sag5mm:</t>
  </si>
  <si>
    <t>Preop Sag7mm:</t>
  </si>
  <si>
    <t>Preop Sag9mm:</t>
  </si>
  <si>
    <t>Preop Sag11mm:</t>
  </si>
  <si>
    <t>Preop Sag13mm:</t>
  </si>
  <si>
    <t>Preop Sag15mm:</t>
  </si>
  <si>
    <t>Preop KPD:</t>
  </si>
  <si>
    <t>Preop Post Sag3mm:</t>
  </si>
  <si>
    <t>Preop Post Sag5mm:</t>
  </si>
  <si>
    <t>Preop Post Sag7mm:</t>
  </si>
  <si>
    <t>Preop Post Sag9mm:</t>
  </si>
  <si>
    <t>Preop Post Sag11mm:</t>
  </si>
  <si>
    <t>Preop Post Sag13mm:</t>
  </si>
  <si>
    <t>Preop Post Sag15mm:</t>
  </si>
  <si>
    <t>Preop Post KPD:</t>
  </si>
  <si>
    <t>6mo Rh:</t>
  </si>
  <si>
    <t>6mo Rv:</t>
  </si>
  <si>
    <t>6mo Axis (flat):</t>
  </si>
  <si>
    <t>6mo Astig:</t>
  </si>
  <si>
    <t>6mo Ecc:</t>
  </si>
  <si>
    <t>6mo EccSph:</t>
  </si>
  <si>
    <t>6mo C.Height(Endo):</t>
  </si>
  <si>
    <t>6mo C.Height(Epi):</t>
  </si>
  <si>
    <t>6mo Pachy Apex:</t>
  </si>
  <si>
    <t>6mo Pachy Pupil:</t>
  </si>
  <si>
    <t>6mo Pachy Sup:</t>
  </si>
  <si>
    <t>6mo Pachy Inf:</t>
  </si>
  <si>
    <t>6mo Pachy Nas:</t>
  </si>
  <si>
    <t>6mo Pachy Tem:</t>
  </si>
  <si>
    <t>6mo Pachy Min:</t>
  </si>
  <si>
    <t>6mo PachyMinX:</t>
  </si>
  <si>
    <t>6mo PachyMinY:</t>
  </si>
  <si>
    <t>6mo Sag3mm:</t>
  </si>
  <si>
    <t>6mo Sag5mm:</t>
  </si>
  <si>
    <t>6mo Sag7mm:</t>
  </si>
  <si>
    <t>6mo Sag9mm:</t>
  </si>
  <si>
    <t>6mo Sag11mm:</t>
  </si>
  <si>
    <t>6mo Sag13mm:</t>
  </si>
  <si>
    <t>6mo Sag15mm:</t>
  </si>
  <si>
    <t>6mo KPD:</t>
  </si>
  <si>
    <t>6mo Post Sag3mm:</t>
  </si>
  <si>
    <t>6mo Post Sag5mm:</t>
  </si>
  <si>
    <t>6mo Post Sag7mm:</t>
  </si>
  <si>
    <t>6mo Post Sag9mm:</t>
  </si>
  <si>
    <t>6mo Post Sag11mm:</t>
  </si>
  <si>
    <t>6mo Post Sag13mm:</t>
  </si>
  <si>
    <t>6mo Post Sag15mm:</t>
  </si>
  <si>
    <t>6mo Post KPD:</t>
  </si>
  <si>
    <t>12mo Rh:</t>
  </si>
  <si>
    <t>12mo Rv:</t>
  </si>
  <si>
    <t>12mo Axis (flat):</t>
  </si>
  <si>
    <t>12mo Astig:</t>
  </si>
  <si>
    <t>12mo Ecc:</t>
  </si>
  <si>
    <t>12mo EccSph:</t>
  </si>
  <si>
    <t>12mo C.Height(Endo):</t>
  </si>
  <si>
    <t>12mo C.Height(Epi):</t>
  </si>
  <si>
    <t>12mo Pachy Apex:</t>
  </si>
  <si>
    <t>12mo Pachy Pupil:</t>
  </si>
  <si>
    <t>12mo Pachy Sup:</t>
  </si>
  <si>
    <t>12mo Pachy Inf:</t>
  </si>
  <si>
    <t>12mo Pachy Nas:</t>
  </si>
  <si>
    <t>12mo Pachy Tem:</t>
  </si>
  <si>
    <t>12mo Pachy Min:</t>
  </si>
  <si>
    <t>12mo PachyMinX:</t>
  </si>
  <si>
    <t>12mo PachyMinY:</t>
  </si>
  <si>
    <t>12mo Sag3mm:</t>
  </si>
  <si>
    <t>12mo Sag5mm:</t>
  </si>
  <si>
    <t>12mo Sag7mm:</t>
  </si>
  <si>
    <t>12mo Sag9mm:</t>
  </si>
  <si>
    <t>12mo Sag11mm:</t>
  </si>
  <si>
    <t>12mo Sag13mm:</t>
  </si>
  <si>
    <t>12mo Sag15mm:</t>
  </si>
  <si>
    <t>12mo KPD:</t>
  </si>
  <si>
    <t>12mo Post Sag3mm:</t>
  </si>
  <si>
    <t>12mo Post Sag5mm:</t>
  </si>
  <si>
    <t>12mo Post Sag7mm:</t>
  </si>
  <si>
    <t>12mo Post Sag9mm:</t>
  </si>
  <si>
    <t>12mo Post Sag11mm:</t>
  </si>
  <si>
    <t>12mo Post Sag13mm:</t>
  </si>
  <si>
    <t>12mo Post Sag15mm:</t>
  </si>
  <si>
    <t>12mo Post KPD:</t>
  </si>
  <si>
    <t>could look at CorneaDens.CSV for dens avg</t>
  </si>
  <si>
    <t>Uncorrected Visual Acuity</t>
  </si>
  <si>
    <t>25 -1</t>
  </si>
  <si>
    <t>20 -1</t>
  </si>
  <si>
    <t>30 -1</t>
  </si>
  <si>
    <t>40 -2</t>
  </si>
  <si>
    <t>100 +1</t>
  </si>
  <si>
    <t>40 -1</t>
  </si>
  <si>
    <t>50 -2</t>
  </si>
  <si>
    <t>40 +2</t>
  </si>
  <si>
    <t>30 -2</t>
  </si>
  <si>
    <t>"-LOG(20/snellen_acuity)"</t>
  </si>
  <si>
    <t>Convert snellen to logmar</t>
  </si>
  <si>
    <t>Convert logmar to snellen</t>
  </si>
  <si>
    <t>"20/10^(-logMar)</t>
  </si>
  <si>
    <t>Lines of acuity difference</t>
  </si>
  <si>
    <t>"-LOG(20/snellen_acuity_1) - -LOG(20/snellen_acuity_2)"</t>
  </si>
  <si>
    <t>[Calc] Change in Last CDVA</t>
  </si>
  <si>
    <t>Not blank in COUNTIF</t>
  </si>
  <si>
    <t>""&lt;&gt;"&amp;"*""</t>
  </si>
  <si>
    <t>Preop K1 F (D):</t>
  </si>
  <si>
    <t>Preop K2 F (D):</t>
  </si>
  <si>
    <t>Preop Km F (mm):</t>
  </si>
  <si>
    <t>Preop Axis F (flat):</t>
  </si>
  <si>
    <t>Preop Astig F (D):</t>
  </si>
  <si>
    <t>Preop K1 B (D):</t>
  </si>
  <si>
    <t>Preop K2 B (D):</t>
  </si>
  <si>
    <t>Preop Km B (mm):</t>
  </si>
  <si>
    <t>Preop Axis B (flat):</t>
  </si>
  <si>
    <t>Preop Astig B (D):</t>
  </si>
  <si>
    <t>Preop C.Vol D 3mm:</t>
  </si>
  <si>
    <t>Preop C.Vol D 5mm:</t>
  </si>
  <si>
    <t>Preop C.Vol D 7mm:</t>
  </si>
  <si>
    <t>Preop C.Vol D 10mm:</t>
  </si>
  <si>
    <t>Preop ISV (Index Surface Variance)</t>
  </si>
  <si>
    <t>6 mo K1 F (D):</t>
  </si>
  <si>
    <t>6 mo K2 F (D):</t>
  </si>
  <si>
    <t>6 mo Axis F (flat):</t>
  </si>
  <si>
    <t>6 mo Astig F (D):</t>
  </si>
  <si>
    <t>6 mo K1 B (D):</t>
  </si>
  <si>
    <t>6 mo K2 B (D):</t>
  </si>
  <si>
    <t>6 mo Km B (mm):</t>
  </si>
  <si>
    <t>6 mo Axis B (flat):</t>
  </si>
  <si>
    <t>6 mo Astig B (D):</t>
  </si>
  <si>
    <t>6 mo C.Vol D 3mm:</t>
  </si>
  <si>
    <t>6 mo C.Vol D 5mm:</t>
  </si>
  <si>
    <t>6 mo C.Vol D 7mm:</t>
  </si>
  <si>
    <t>6 mo C.Vol D 10mm:</t>
  </si>
  <si>
    <t>6 mo ISV (Index Surface Variance)</t>
  </si>
  <si>
    <t>12 mo K1 F (D):</t>
  </si>
  <si>
    <t>12 mo K2 F (D):</t>
  </si>
  <si>
    <t>12 mo Km F (mm):</t>
  </si>
  <si>
    <t>12 mo Axis F (flat):</t>
  </si>
  <si>
    <t>12 mo Astig F (D):</t>
  </si>
  <si>
    <t>12 mo K1 B (D):</t>
  </si>
  <si>
    <t>12 mo K2 B (D):</t>
  </si>
  <si>
    <t>12 mo Km B (mm):</t>
  </si>
  <si>
    <t>12 mo Axis B (flat):</t>
  </si>
  <si>
    <t>12 mo Astig B (D):</t>
  </si>
  <si>
    <t>12 mo C.Vol D 3mm:</t>
  </si>
  <si>
    <t>12 mo C.Vol D 5mm:</t>
  </si>
  <si>
    <t>12 mo C.Vol D 7mm:</t>
  </si>
  <si>
    <t>12 mo C.Vol D 10mm:</t>
  </si>
  <si>
    <t>12 mo ISV (Index Surface Variance)</t>
  </si>
  <si>
    <t>[Calc] Last Cyl</t>
  </si>
  <si>
    <t>[Calc] Change in Cyl</t>
  </si>
  <si>
    <t>[Calc] Last UDVA - Distance Eyes Only</t>
  </si>
  <si>
    <t>[Calc] SE Error 12</t>
  </si>
  <si>
    <t>[Calc] Preop SE</t>
  </si>
  <si>
    <t>[Calc] Followup @ 6 and 12</t>
  </si>
  <si>
    <t>[Calc] Preop SE if f/u @ 6 &amp; 12</t>
  </si>
  <si>
    <t>[Calc] 6 mo SE if f/u @ 6 &amp; 12</t>
  </si>
  <si>
    <t>[Calc] 12 mo SE if f/u @ 6 &amp; 12</t>
  </si>
  <si>
    <t>EXCLUDE: prior phakic IOL** PBK (phakic IOL 2012, removal OS 2010) -- EXCLUDE?</t>
  </si>
  <si>
    <t>[Calc] Last CDVA</t>
  </si>
  <si>
    <t>Fuch's, ABMD, amblyopia</t>
  </si>
  <si>
    <t>[Calc] Target Refraction if SE Error known</t>
  </si>
  <si>
    <t>Astigmatism management</t>
  </si>
  <si>
    <t>irregular Ks and synechialysis</t>
  </si>
  <si>
    <t>5mo-8 (?=no scheduled)</t>
  </si>
  <si>
    <t>[Calc] Any SK</t>
  </si>
  <si>
    <t>? As of 2/6/14</t>
  </si>
  <si>
    <t>[Calc] Preop CDVA if Last CDVA Known</t>
  </si>
  <si>
    <t>[Calc]  Last Rh:</t>
  </si>
  <si>
    <t>[Calc]  Last Rv:</t>
  </si>
  <si>
    <t>[Calc]  Last Axis (flat):</t>
  </si>
  <si>
    <t>[Calc]  Last Astig:</t>
  </si>
  <si>
    <t>[Calc]  Last Ecc:</t>
  </si>
  <si>
    <t>[Calc]  Last EccSph:</t>
  </si>
  <si>
    <t>[Calc]  Last C.Height(Endo):</t>
  </si>
  <si>
    <t>[Calc]  Last C.Height(Epi):</t>
  </si>
  <si>
    <t>[Calc]  Last Pachy Apex:</t>
  </si>
  <si>
    <t>[Calc]  Last Pachy Pupil:</t>
  </si>
  <si>
    <t>[Calc]  Last Pachy Sup:</t>
  </si>
  <si>
    <t>[Calc]  Last Pachy Inf:</t>
  </si>
  <si>
    <t>[Calc]  Last Pachy Nas:</t>
  </si>
  <si>
    <t>[Calc]  Last Pachy Tem:</t>
  </si>
  <si>
    <t>[Calc]  Last Pachy Min:</t>
  </si>
  <si>
    <t>[Calc]  Last PachyMinX:</t>
  </si>
  <si>
    <t>[Calc]  Last PachyMinY:</t>
  </si>
  <si>
    <t>[Calc]  Last Sag3mm:</t>
  </si>
  <si>
    <t>[Calc]  Last Sag5mm:</t>
  </si>
  <si>
    <t>[Calc]  Last Sag7mm:</t>
  </si>
  <si>
    <t>[Calc]  Last Sag9mm:</t>
  </si>
  <si>
    <t>[Calc]  Last Sag11mm:</t>
  </si>
  <si>
    <t>[Calc]  Last Sag13mm:</t>
  </si>
  <si>
    <t>[Calc]  Last Sag15mm:</t>
  </si>
  <si>
    <t>[Calc]  Last KPD:</t>
  </si>
  <si>
    <t>[Calc]  Last Post Sag3mm:</t>
  </si>
  <si>
    <t>[Calc]  Last Post Sag5mm:</t>
  </si>
  <si>
    <t>[Calc]  Last Post Sag7mm:</t>
  </si>
  <si>
    <t>[Calc]  Last Post Sag9mm:</t>
  </si>
  <si>
    <t>[Calc]  Last Post Sag11mm:</t>
  </si>
  <si>
    <t>[Calc]  Last Post Sag13mm:</t>
  </si>
  <si>
    <t>[Calc]  Last Post Sag15mm:</t>
  </si>
  <si>
    <t>[Calc]  Last Post KPD:</t>
  </si>
  <si>
    <t>[Calc]  Last K1 F (D):</t>
  </si>
  <si>
    <t>[Calc]  Last K2 F (D):</t>
  </si>
  <si>
    <t>[Calc]  Last Km F (mm):</t>
  </si>
  <si>
    <t>[Calc]  Last Axis F (flat):</t>
  </si>
  <si>
    <t>[Calc]  Last Astig F (D):</t>
  </si>
  <si>
    <t>[Calc]  Last K1 B (D):</t>
  </si>
  <si>
    <t>[Calc]  Last K2 B (D):</t>
  </si>
  <si>
    <t>[Calc]  Last Km B (mm):</t>
  </si>
  <si>
    <t>[Calc]  Last Axis B (flat):</t>
  </si>
  <si>
    <t>[Calc]  Last Astig B (D):</t>
  </si>
  <si>
    <t>[Calc]  Last C.Vol D 3mm:</t>
  </si>
  <si>
    <t>[Calc]  Last C.Vol D 5mm:</t>
  </si>
  <si>
    <t>[Calc]  Last C.Vol D 7mm:</t>
  </si>
  <si>
    <t>[Calc]  Last C.Vol D 10mm:</t>
  </si>
  <si>
    <t>[Calc]  Last ISV (Index Surface Variance)</t>
  </si>
  <si>
    <t>[Calc]  Delta Last Rh:</t>
  </si>
  <si>
    <t>[Calc]  Delta Last Rv:</t>
  </si>
  <si>
    <t>[Calc]  Delta Last Axis (flat):</t>
  </si>
  <si>
    <t>[Calc]  Delta Last Astig:</t>
  </si>
  <si>
    <t>[Calc]  Delta Last Ecc:</t>
  </si>
  <si>
    <t>[Calc]  Delta Last EccSph:</t>
  </si>
  <si>
    <t>[Calc]  Delta Last C.Height(Endo):</t>
  </si>
  <si>
    <t>[Calc]  Delta Last C.Height(Epi):</t>
  </si>
  <si>
    <t>[Calc]  Delta Last Pachy Apex:</t>
  </si>
  <si>
    <t>[Calc]  Delta Last Pachy Pupil:</t>
  </si>
  <si>
    <t>[Calc]  Delta Last Pachy Sup:</t>
  </si>
  <si>
    <t>[Calc]  Delta Last Pachy Inf:</t>
  </si>
  <si>
    <t>[Calc]  Delta Last Pachy Nas:</t>
  </si>
  <si>
    <t>[Calc]  Delta Last Pachy Tem:</t>
  </si>
  <si>
    <t>[Calc]  Delta Last Pachy Min:</t>
  </si>
  <si>
    <t>[Calc]  Delta Last PachyMinX:</t>
  </si>
  <si>
    <t>[Calc]  Delta Last PachyMinY:</t>
  </si>
  <si>
    <t>[Calc]  Delta Last Sag3mm:</t>
  </si>
  <si>
    <t>[Calc]  Delta Last Sag5mm:</t>
  </si>
  <si>
    <t>[Calc]  Delta Last Sag7mm:</t>
  </si>
  <si>
    <t>[Calc]  Delta Last Sag9mm:</t>
  </si>
  <si>
    <t>[Calc]  Delta Last Sag11mm:</t>
  </si>
  <si>
    <t>[Calc]  Delta Last Sag13mm:</t>
  </si>
  <si>
    <t>[Calc]  Delta Last Sag15mm:</t>
  </si>
  <si>
    <t>[Calc]  Delta Last KPD:</t>
  </si>
  <si>
    <t>[Calc]  Delta Last Post Sag3mm:</t>
  </si>
  <si>
    <t>[Calc]  Delta Last Post Sag5mm:</t>
  </si>
  <si>
    <t>[Calc]  Delta Last Post Sag7mm:</t>
  </si>
  <si>
    <t>[Calc]  Delta Last Post Sag9mm:</t>
  </si>
  <si>
    <t>[Calc]  Delta Last Post Sag11mm:</t>
  </si>
  <si>
    <t>[Calc]  Delta Last Post Sag13mm:</t>
  </si>
  <si>
    <t>[Calc]  Delta Last Post Sag15mm:</t>
  </si>
  <si>
    <t>[Calc]  Delta Last Post KPD:</t>
  </si>
  <si>
    <t>[Calc]  Delta K1 F (D):</t>
  </si>
  <si>
    <t>[Calc]  Delta K2 F (D):</t>
  </si>
  <si>
    <t>[Calc]  Delta Km F (mm):</t>
  </si>
  <si>
    <t>[Calc]  Delta Axis F (flat):</t>
  </si>
  <si>
    <t>[Calc]  Delta Astig F (D):</t>
  </si>
  <si>
    <t>[Calc]  Delta K1 B (D):</t>
  </si>
  <si>
    <t>[Calc]  Delta K2 B (D):</t>
  </si>
  <si>
    <t>[Calc]  Delta Km B (mm):</t>
  </si>
  <si>
    <t>[Calc]  Delta Axis B (flat):</t>
  </si>
  <si>
    <t>[Calc]  Delta Astig B (D):</t>
  </si>
  <si>
    <t>[Calc]  Delta C.Vol D 3mm:</t>
  </si>
  <si>
    <t>[Calc]  Delta C.Vol D 5mm:</t>
  </si>
  <si>
    <t>[Calc]  Delta C.Vol D 7mm:</t>
  </si>
  <si>
    <t>[Calc]  Delta C.Vol D 10mm:</t>
  </si>
  <si>
    <t>[Calc]  Delta ISV (Index Surface Variance)</t>
  </si>
  <si>
    <t>[Calc]  6 vs 12 m K1 F</t>
  </si>
  <si>
    <t>[Calc]  6 vs 12 m K2 F</t>
  </si>
  <si>
    <t>[Calc]  6 vs 12 m K1 B</t>
  </si>
  <si>
    <t>[Calc]  6 vs 12 m K2 B</t>
  </si>
  <si>
    <t>Preop Date</t>
  </si>
  <si>
    <t>[Calc] MISSING PENTACAM 6 mo DATA?</t>
  </si>
  <si>
    <t>[Calc] MISSING PENTACAM 12 mo DATA?</t>
  </si>
  <si>
    <t>[Calc] Missing all followup pentacam with known preop</t>
  </si>
  <si>
    <t>6 mo Km F (D):</t>
  </si>
  <si>
    <t>IOL Power</t>
  </si>
  <si>
    <t>Astigmatism management - nasal RI</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</si>
</sst>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
    <numFmt numFmtId="165" formatCode="0.0"/>
    <numFmt numFmtId="166" formatCode="\+#0.00;\-#0.00;0;@"/>
  </numFmts>
  <fonts count="33" x14ac:knownFonts="1">
    <font>
      <sz val="10"/>
      <name val="Arial"/>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10"/>
      <name val="Arial"/>
      <family val="2"/>
    </font>
    <font>
      <b/>
      <sz val="10"/>
      <color indexed="63"/>
      <name val="Arial"/>
      <family val="2"/>
    </font>
    <font>
      <sz val="10"/>
      <color indexed="63"/>
      <name val="Arial"/>
      <family val="2"/>
    </font>
    <font>
      <sz val="8"/>
      <name val="Arial"/>
      <family val="2"/>
    </font>
    <font>
      <b/>
      <sz val="10"/>
      <color indexed="10"/>
      <name val="Arial"/>
      <family val="2"/>
    </font>
    <font>
      <sz val="10"/>
      <color indexed="20"/>
      <name val="Arial"/>
      <family val="2"/>
    </font>
    <font>
      <sz val="10"/>
      <color indexed="20"/>
      <name val="Arial"/>
      <family val="2"/>
    </font>
    <font>
      <sz val="6"/>
      <color indexed="8"/>
      <name val="Arial"/>
      <family val="2"/>
    </font>
    <font>
      <sz val="6"/>
      <name val="Arial"/>
      <family val="2"/>
    </font>
    <font>
      <sz val="8"/>
      <name val="Arial"/>
      <family val="2"/>
    </font>
    <font>
      <b/>
      <sz val="11"/>
      <color theme="1"/>
      <name val="Calibri"/>
      <family val="2"/>
      <scheme val="minor"/>
    </font>
    <font>
      <sz val="10"/>
      <color rgb="FF000000"/>
      <name val="Arial"/>
      <family val="2"/>
    </font>
    <font>
      <sz val="10"/>
      <color rgb="FF7030A0"/>
      <name val="Arial"/>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5"/>
        <bgColor indexed="64"/>
      </patternFill>
    </fill>
    <fill>
      <patternFill patternType="solid">
        <fgColor indexed="51"/>
        <bgColor indexed="64"/>
      </patternFill>
    </fill>
    <fill>
      <patternFill patternType="solid">
        <fgColor indexed="49"/>
        <bgColor indexed="64"/>
      </patternFill>
    </fill>
    <fill>
      <patternFill patternType="solid">
        <fgColor indexed="22"/>
        <bgColor indexed="64"/>
      </patternFill>
    </fill>
    <fill>
      <patternFill patternType="solid">
        <fgColor indexed="29"/>
        <bgColor indexed="64"/>
      </patternFill>
    </fill>
    <fill>
      <patternFill patternType="solid">
        <fgColor theme="0"/>
        <bgColor indexed="64"/>
      </patternFill>
    </fill>
    <fill>
      <patternFill patternType="solid">
        <fgColor theme="5" tint="0.39994506668294322"/>
        <bgColor indexed="64"/>
      </patternFill>
    </fill>
  </fills>
  <borders count="3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22"/>
      </left>
      <right style="medium">
        <color indexed="22"/>
      </right>
      <top style="medium">
        <color indexed="22"/>
      </top>
      <bottom style="medium">
        <color indexed="22"/>
      </bottom>
      <diagonal/>
    </border>
    <border>
      <left/>
      <right style="medium">
        <color indexed="22"/>
      </right>
      <top style="medium">
        <color indexed="22"/>
      </top>
      <bottom style="medium">
        <color indexed="22"/>
      </bottom>
      <diagonal/>
    </border>
    <border>
      <left style="medium">
        <color indexed="22"/>
      </left>
      <right style="medium">
        <color indexed="22"/>
      </right>
      <top/>
      <bottom style="medium">
        <color indexed="22"/>
      </bottom>
      <diagonal/>
    </border>
    <border>
      <left/>
      <right style="medium">
        <color indexed="22"/>
      </right>
      <top/>
      <bottom style="medium">
        <color indexed="22"/>
      </bottom>
      <diagonal/>
    </border>
    <border>
      <left/>
      <right style="thin">
        <color indexed="64"/>
      </right>
      <top style="thin">
        <color indexed="64"/>
      </top>
      <bottom style="thin">
        <color indexed="64"/>
      </bottom>
      <diagonal/>
    </border>
    <border>
      <left/>
      <right style="mediumDashed">
        <color indexed="64"/>
      </right>
      <top/>
      <bottom/>
      <diagonal/>
    </border>
    <border>
      <left style="thin">
        <color indexed="64"/>
      </left>
      <right style="mediumDashed">
        <color indexed="64"/>
      </right>
      <top style="thin">
        <color indexed="64"/>
      </top>
      <bottom style="thin">
        <color indexed="64"/>
      </bottom>
      <diagonal/>
    </border>
    <border>
      <left/>
      <right style="mediumDashDot">
        <color indexed="64"/>
      </right>
      <top/>
      <bottom/>
      <diagonal/>
    </border>
    <border>
      <left style="thin">
        <color indexed="64"/>
      </left>
      <right style="mediumDashDot">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double">
        <color auto="1"/>
      </right>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right style="medium">
        <color rgb="FFCCCCCC"/>
      </right>
      <top/>
      <bottom style="medium">
        <color rgb="FFCCCCCC"/>
      </bottom>
      <diagonal/>
    </border>
    <border>
      <left/>
      <right/>
      <top style="thin">
        <color indexed="64"/>
      </top>
      <bottom style="thin">
        <color indexed="64"/>
      </bottom>
      <diagonal/>
    </border>
    <border>
      <left/>
      <right style="dashed">
        <color auto="1"/>
      </right>
      <top/>
      <bottom/>
      <diagonal/>
    </border>
    <border>
      <left/>
      <right style="dashed">
        <color auto="1"/>
      </right>
      <top style="thin">
        <color indexed="64"/>
      </top>
      <bottom style="thin">
        <color indexed="64"/>
      </bottom>
      <diagonal/>
    </border>
    <border>
      <left style="thin">
        <color indexed="64"/>
      </left>
      <right/>
      <top style="thin">
        <color indexed="64"/>
      </top>
      <bottom style="thin">
        <color indexed="64"/>
      </bottom>
      <diagonal/>
    </border>
    <border>
      <left/>
      <right style="medium">
        <color auto="1"/>
      </right>
      <top/>
      <bottom/>
      <diagonal/>
    </border>
    <border>
      <left/>
      <right style="medium">
        <color auto="1"/>
      </right>
      <top style="thin">
        <color indexed="64"/>
      </top>
      <bottom style="thin">
        <color indexed="64"/>
      </bottom>
      <diagonal/>
    </border>
    <border>
      <left/>
      <right style="mediumDashed">
        <color auto="1"/>
      </right>
      <top style="thin">
        <color indexed="64"/>
      </top>
      <bottom style="thin">
        <color indexed="64"/>
      </bottom>
      <diagonal/>
    </border>
    <border>
      <left style="double">
        <color auto="1"/>
      </left>
      <right/>
      <top/>
      <bottom/>
      <diagonal/>
    </border>
  </borders>
  <cellStyleXfs count="86">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5" fillId="20" borderId="1" applyNumberFormat="0" applyAlignment="0" applyProtection="0"/>
    <xf numFmtId="0" fontId="6" fillId="21" borderId="2" applyNumberFormat="0" applyAlignment="0" applyProtection="0"/>
    <xf numFmtId="0" fontId="6" fillId="21" borderId="2" applyNumberFormat="0" applyAlignment="0" applyProtection="0"/>
    <xf numFmtId="0" fontId="7" fillId="0" borderId="0" applyNumberForma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9" fillId="0" borderId="3" applyNumberFormat="0" applyFill="0" applyAlignment="0" applyProtection="0"/>
    <xf numFmtId="0" fontId="9" fillId="0" borderId="3" applyNumberFormat="0" applyFill="0" applyAlignment="0" applyProtection="0"/>
    <xf numFmtId="0" fontId="10" fillId="0" borderId="4"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2" fillId="7" borderId="1" applyNumberFormat="0" applyAlignment="0" applyProtection="0"/>
    <xf numFmtId="0" fontId="12" fillId="7" borderId="1" applyNumberFormat="0" applyAlignment="0" applyProtection="0"/>
    <xf numFmtId="0" fontId="13" fillId="0" borderId="6" applyNumberFormat="0" applyFill="0" applyAlignment="0" applyProtection="0"/>
    <xf numFmtId="0" fontId="13" fillId="0" borderId="6" applyNumberFormat="0" applyFill="0" applyAlignment="0" applyProtection="0"/>
    <xf numFmtId="0" fontId="14" fillId="22" borderId="0" applyNumberFormat="0" applyBorder="0" applyAlignment="0" applyProtection="0"/>
    <xf numFmtId="0" fontId="14" fillId="22" borderId="0" applyNumberFormat="0" applyBorder="0" applyAlignment="0" applyProtection="0"/>
    <xf numFmtId="0" fontId="2" fillId="0" borderId="0"/>
    <xf numFmtId="0" fontId="20" fillId="0" borderId="0"/>
    <xf numFmtId="0" fontId="1" fillId="23" borderId="7" applyNumberFormat="0" applyFont="0" applyAlignment="0" applyProtection="0"/>
    <xf numFmtId="0" fontId="20" fillId="23" borderId="7" applyNumberFormat="0" applyFont="0" applyAlignment="0" applyProtection="0"/>
    <xf numFmtId="0" fontId="15" fillId="20" borderId="8" applyNumberFormat="0" applyAlignment="0" applyProtection="0"/>
    <xf numFmtId="0" fontId="15" fillId="20" borderId="8" applyNumberFormat="0" applyAlignment="0" applyProtection="0"/>
    <xf numFmtId="9" fontId="20" fillId="0" borderId="0" applyFon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7" fillId="0" borderId="9" applyNumberFormat="0" applyFill="0" applyAlignment="0" applyProtection="0"/>
    <xf numFmtId="0" fontId="17" fillId="0" borderId="9" applyNumberFormat="0" applyFill="0" applyAlignment="0" applyProtection="0"/>
    <xf numFmtId="0" fontId="18" fillId="0" borderId="0" applyNumberFormat="0" applyFill="0" applyBorder="0" applyAlignment="0" applyProtection="0"/>
    <xf numFmtId="0" fontId="18" fillId="0" borderId="0" applyNumberFormat="0" applyFill="0" applyBorder="0" applyAlignment="0" applyProtection="0"/>
  </cellStyleXfs>
  <cellXfs count="161">
    <xf numFmtId="0" fontId="0" fillId="0" borderId="0" xfId="0"/>
    <xf numFmtId="14" fontId="19" fillId="0" borderId="10" xfId="0" applyNumberFormat="1" applyFont="1" applyBorder="1" applyAlignment="1">
      <alignment horizontal="center"/>
    </xf>
    <xf numFmtId="0" fontId="19" fillId="0" borderId="10" xfId="0" applyFont="1" applyBorder="1" applyAlignment="1">
      <alignment horizontal="center"/>
    </xf>
    <xf numFmtId="14" fontId="0" fillId="0" borderId="10" xfId="0" applyNumberFormat="1" applyBorder="1" applyAlignment="1">
      <alignment horizontal="center"/>
    </xf>
    <xf numFmtId="0" fontId="0" fillId="0" borderId="10" xfId="0" applyBorder="1" applyAlignment="1">
      <alignment horizontal="center"/>
    </xf>
    <xf numFmtId="0" fontId="21" fillId="24" borderId="10" xfId="0" applyFont="1" applyFill="1" applyBorder="1" applyAlignment="1">
      <alignment horizontal="center" wrapText="1"/>
    </xf>
    <xf numFmtId="1" fontId="19" fillId="0" borderId="10" xfId="0" applyNumberFormat="1" applyFont="1" applyBorder="1" applyAlignment="1">
      <alignment horizontal="center"/>
    </xf>
    <xf numFmtId="0" fontId="19" fillId="25" borderId="10" xfId="0" applyNumberFormat="1" applyFont="1" applyFill="1" applyBorder="1" applyAlignment="1">
      <alignment horizontal="center" wrapText="1"/>
    </xf>
    <xf numFmtId="14" fontId="24" fillId="25" borderId="10" xfId="0" applyNumberFormat="1" applyFont="1" applyFill="1" applyBorder="1" applyAlignment="1">
      <alignment horizontal="center"/>
    </xf>
    <xf numFmtId="2" fontId="19" fillId="25" borderId="10" xfId="0" applyNumberFormat="1" applyFont="1" applyFill="1" applyBorder="1" applyAlignment="1">
      <alignment horizontal="center" wrapText="1"/>
    </xf>
    <xf numFmtId="2" fontId="19" fillId="25" borderId="10" xfId="0" applyNumberFormat="1" applyFont="1" applyFill="1" applyBorder="1" applyAlignment="1">
      <alignment horizontal="center"/>
    </xf>
    <xf numFmtId="164" fontId="19" fillId="25" borderId="10" xfId="0" applyNumberFormat="1" applyFont="1" applyFill="1" applyBorder="1" applyAlignment="1">
      <alignment horizontal="center"/>
    </xf>
    <xf numFmtId="0" fontId="19" fillId="25" borderId="10" xfId="0" applyFont="1" applyFill="1" applyBorder="1" applyAlignment="1">
      <alignment horizontal="center"/>
    </xf>
    <xf numFmtId="1" fontId="19" fillId="25" borderId="10" xfId="0" applyNumberFormat="1" applyFont="1" applyFill="1" applyBorder="1" applyAlignment="1">
      <alignment horizontal="center"/>
    </xf>
    <xf numFmtId="1" fontId="19" fillId="25" borderId="10" xfId="0" applyNumberFormat="1" applyFont="1" applyFill="1" applyBorder="1" applyAlignment="1">
      <alignment horizontal="center" wrapText="1"/>
    </xf>
    <xf numFmtId="14" fontId="24" fillId="26" borderId="10" xfId="0" applyNumberFormat="1" applyFont="1" applyFill="1" applyBorder="1" applyAlignment="1">
      <alignment horizontal="center"/>
    </xf>
    <xf numFmtId="2" fontId="19" fillId="26" borderId="10" xfId="0" applyNumberFormat="1" applyFont="1" applyFill="1" applyBorder="1" applyAlignment="1">
      <alignment horizontal="center" wrapText="1"/>
    </xf>
    <xf numFmtId="2" fontId="19" fillId="26" borderId="10" xfId="0" applyNumberFormat="1" applyFont="1" applyFill="1" applyBorder="1" applyAlignment="1">
      <alignment horizontal="center"/>
    </xf>
    <xf numFmtId="164" fontId="19" fillId="26" borderId="10" xfId="0" applyNumberFormat="1" applyFont="1" applyFill="1" applyBorder="1" applyAlignment="1">
      <alignment horizontal="center"/>
    </xf>
    <xf numFmtId="0" fontId="19" fillId="26" borderId="10" xfId="0" applyFont="1" applyFill="1" applyBorder="1" applyAlignment="1">
      <alignment horizontal="center"/>
    </xf>
    <xf numFmtId="0" fontId="19" fillId="26" borderId="10" xfId="0" applyFont="1" applyFill="1" applyBorder="1" applyAlignment="1">
      <alignment horizontal="center" wrapText="1"/>
    </xf>
    <xf numFmtId="1" fontId="19" fillId="26" borderId="10" xfId="0" applyNumberFormat="1" applyFont="1" applyFill="1" applyBorder="1" applyAlignment="1">
      <alignment horizontal="center" wrapText="1"/>
    </xf>
    <xf numFmtId="1" fontId="19" fillId="26" borderId="10" xfId="0" applyNumberFormat="1" applyFont="1" applyFill="1" applyBorder="1" applyAlignment="1">
      <alignment horizontal="center"/>
    </xf>
    <xf numFmtId="14" fontId="24" fillId="27" borderId="10" xfId="0" applyNumberFormat="1" applyFont="1" applyFill="1" applyBorder="1" applyAlignment="1">
      <alignment horizontal="center"/>
    </xf>
    <xf numFmtId="2" fontId="19" fillId="27" borderId="10" xfId="0" applyNumberFormat="1" applyFont="1" applyFill="1" applyBorder="1" applyAlignment="1">
      <alignment horizontal="center" wrapText="1"/>
    </xf>
    <xf numFmtId="2" fontId="19" fillId="27" borderId="10" xfId="0" applyNumberFormat="1" applyFont="1" applyFill="1" applyBorder="1" applyAlignment="1">
      <alignment horizontal="center"/>
    </xf>
    <xf numFmtId="164" fontId="19" fillId="27" borderId="10" xfId="0" applyNumberFormat="1" applyFont="1" applyFill="1" applyBorder="1" applyAlignment="1">
      <alignment horizontal="center"/>
    </xf>
    <xf numFmtId="0" fontId="19" fillId="27" borderId="10" xfId="0" applyFont="1" applyFill="1" applyBorder="1" applyAlignment="1">
      <alignment horizontal="center"/>
    </xf>
    <xf numFmtId="0" fontId="19" fillId="27" borderId="10" xfId="0" applyFont="1" applyFill="1" applyBorder="1" applyAlignment="1">
      <alignment horizontal="center" wrapText="1"/>
    </xf>
    <xf numFmtId="1" fontId="19" fillId="27" borderId="10" xfId="0" applyNumberFormat="1" applyFont="1" applyFill="1" applyBorder="1" applyAlignment="1">
      <alignment horizontal="center"/>
    </xf>
    <xf numFmtId="1" fontId="19" fillId="27" borderId="10" xfId="0" applyNumberFormat="1" applyFont="1" applyFill="1" applyBorder="1" applyAlignment="1">
      <alignment horizontal="center" wrapText="1"/>
    </xf>
    <xf numFmtId="0" fontId="21" fillId="24" borderId="10" xfId="0" applyFont="1" applyFill="1" applyBorder="1" applyAlignment="1">
      <alignment horizontal="center"/>
    </xf>
    <xf numFmtId="14" fontId="20" fillId="0" borderId="10" xfId="0" applyNumberFormat="1" applyFont="1" applyBorder="1" applyAlignment="1">
      <alignment horizontal="center"/>
    </xf>
    <xf numFmtId="0" fontId="0" fillId="0" borderId="10" xfId="0" applyNumberFormat="1" applyBorder="1" applyAlignment="1">
      <alignment horizontal="center"/>
    </xf>
    <xf numFmtId="0" fontId="22" fillId="24" borderId="10" xfId="0" applyFont="1" applyFill="1" applyBorder="1" applyAlignment="1">
      <alignment horizontal="center"/>
    </xf>
    <xf numFmtId="14" fontId="0" fillId="0" borderId="10" xfId="0" applyNumberFormat="1" applyFill="1" applyBorder="1" applyAlignment="1">
      <alignment horizontal="center"/>
    </xf>
    <xf numFmtId="0" fontId="0" fillId="0" borderId="10" xfId="0" applyFill="1" applyBorder="1" applyAlignment="1">
      <alignment horizontal="center"/>
    </xf>
    <xf numFmtId="14" fontId="1" fillId="0" borderId="10" xfId="0" applyNumberFormat="1" applyFont="1" applyBorder="1" applyAlignment="1">
      <alignment horizontal="center"/>
    </xf>
    <xf numFmtId="0" fontId="20" fillId="0" borderId="10" xfId="0" applyFont="1" applyBorder="1" applyAlignment="1">
      <alignment horizontal="center"/>
    </xf>
    <xf numFmtId="0" fontId="0" fillId="0" borderId="10" xfId="0" applyNumberFormat="1" applyFill="1" applyBorder="1" applyAlignment="1">
      <alignment horizontal="center"/>
    </xf>
    <xf numFmtId="14" fontId="26" fillId="0" borderId="10" xfId="0" applyNumberFormat="1" applyFont="1" applyBorder="1" applyAlignment="1">
      <alignment horizontal="center"/>
    </xf>
    <xf numFmtId="0" fontId="19" fillId="0" borderId="10" xfId="0" applyFont="1" applyFill="1" applyBorder="1" applyAlignment="1">
      <alignment horizontal="center" wrapText="1"/>
    </xf>
    <xf numFmtId="14" fontId="20" fillId="0" borderId="10" xfId="0" applyNumberFormat="1" applyFont="1" applyFill="1" applyBorder="1" applyAlignment="1">
      <alignment horizontal="center"/>
    </xf>
    <xf numFmtId="0" fontId="0" fillId="0" borderId="10" xfId="0" applyBorder="1" applyAlignment="1">
      <alignment horizontal="center" wrapText="1"/>
    </xf>
    <xf numFmtId="14" fontId="0" fillId="0" borderId="10" xfId="0" applyNumberFormat="1" applyBorder="1" applyAlignment="1">
      <alignment horizontal="left"/>
    </xf>
    <xf numFmtId="0" fontId="0" fillId="0" borderId="10" xfId="0" applyBorder="1" applyAlignment="1">
      <alignment horizontal="left"/>
    </xf>
    <xf numFmtId="14" fontId="0" fillId="0" borderId="10" xfId="0" applyNumberFormat="1" applyBorder="1"/>
    <xf numFmtId="14" fontId="20" fillId="28" borderId="10" xfId="0" applyNumberFormat="1" applyFont="1" applyFill="1" applyBorder="1" applyAlignment="1">
      <alignment horizontal="center"/>
    </xf>
    <xf numFmtId="0" fontId="20" fillId="28" borderId="10" xfId="0" applyFont="1" applyFill="1" applyBorder="1" applyAlignment="1">
      <alignment horizontal="center"/>
    </xf>
    <xf numFmtId="0" fontId="19" fillId="28" borderId="10" xfId="0" applyFont="1" applyFill="1" applyBorder="1" applyAlignment="1">
      <alignment horizontal="center"/>
    </xf>
    <xf numFmtId="0" fontId="20" fillId="28" borderId="10" xfId="0" applyFont="1" applyFill="1" applyBorder="1" applyAlignment="1">
      <alignment horizontal="center" wrapText="1"/>
    </xf>
    <xf numFmtId="0" fontId="1" fillId="0" borderId="10" xfId="0" applyFont="1" applyBorder="1" applyAlignment="1">
      <alignment horizontal="center"/>
    </xf>
    <xf numFmtId="0" fontId="19" fillId="0" borderId="10" xfId="0" applyFont="1" applyBorder="1" applyAlignment="1">
      <alignment horizontal="center" wrapText="1"/>
    </xf>
    <xf numFmtId="2" fontId="0" fillId="0" borderId="10" xfId="0" applyNumberFormat="1" applyBorder="1" applyAlignment="1">
      <alignment horizontal="center"/>
    </xf>
    <xf numFmtId="0" fontId="1" fillId="0" borderId="10" xfId="0" applyFont="1" applyBorder="1" applyAlignment="1">
      <alignment horizontal="center" wrapText="1"/>
    </xf>
    <xf numFmtId="165" fontId="0" fillId="0" borderId="10" xfId="0" applyNumberFormat="1" applyBorder="1" applyAlignment="1">
      <alignment horizontal="center"/>
    </xf>
    <xf numFmtId="1" fontId="0" fillId="0" borderId="10" xfId="0" applyNumberFormat="1" applyBorder="1" applyAlignment="1">
      <alignment horizontal="center"/>
    </xf>
    <xf numFmtId="1" fontId="20" fillId="28" borderId="10" xfId="0" applyNumberFormat="1" applyFont="1" applyFill="1" applyBorder="1" applyAlignment="1">
      <alignment horizontal="center"/>
    </xf>
    <xf numFmtId="1" fontId="26" fillId="0" borderId="10" xfId="0" applyNumberFormat="1" applyFont="1" applyBorder="1" applyAlignment="1">
      <alignment horizontal="center"/>
    </xf>
    <xf numFmtId="1" fontId="1" fillId="0" borderId="10" xfId="0" applyNumberFormat="1" applyFont="1" applyBorder="1" applyAlignment="1">
      <alignment horizontal="center"/>
    </xf>
    <xf numFmtId="1" fontId="20" fillId="0" borderId="10" xfId="0" applyNumberFormat="1" applyFont="1" applyBorder="1" applyAlignment="1">
      <alignment horizontal="center"/>
    </xf>
    <xf numFmtId="1" fontId="25" fillId="0" borderId="10" xfId="0" applyNumberFormat="1" applyFont="1" applyBorder="1" applyAlignment="1">
      <alignment horizontal="center"/>
    </xf>
    <xf numFmtId="1" fontId="20" fillId="0" borderId="10" xfId="0" applyNumberFormat="1" applyFont="1" applyFill="1" applyBorder="1" applyAlignment="1">
      <alignment horizontal="center"/>
    </xf>
    <xf numFmtId="0" fontId="1" fillId="0" borderId="0" xfId="0" applyFont="1"/>
    <xf numFmtId="0" fontId="19" fillId="29" borderId="10" xfId="0" applyFont="1" applyFill="1" applyBorder="1" applyAlignment="1">
      <alignment horizontal="center"/>
    </xf>
    <xf numFmtId="14" fontId="24" fillId="27" borderId="10" xfId="0" applyNumberFormat="1" applyFont="1" applyFill="1" applyBorder="1" applyAlignment="1">
      <alignment horizontal="center" wrapText="1"/>
    </xf>
    <xf numFmtId="166" fontId="19" fillId="27" borderId="10" xfId="0" applyNumberFormat="1" applyFont="1" applyFill="1" applyBorder="1" applyAlignment="1">
      <alignment horizontal="center" wrapText="1"/>
    </xf>
    <xf numFmtId="166" fontId="0" fillId="0" borderId="10" xfId="0" applyNumberFormat="1" applyBorder="1" applyAlignment="1">
      <alignment horizontal="center"/>
    </xf>
    <xf numFmtId="166" fontId="19" fillId="26" borderId="10" xfId="0" applyNumberFormat="1" applyFont="1" applyFill="1" applyBorder="1" applyAlignment="1">
      <alignment horizontal="center" wrapText="1"/>
    </xf>
    <xf numFmtId="166" fontId="19" fillId="29" borderId="10" xfId="0" applyNumberFormat="1" applyFont="1" applyFill="1" applyBorder="1" applyAlignment="1">
      <alignment horizontal="center"/>
    </xf>
    <xf numFmtId="166" fontId="0" fillId="0" borderId="10" xfId="0" applyNumberFormat="1" applyFill="1" applyBorder="1" applyAlignment="1">
      <alignment horizontal="center"/>
    </xf>
    <xf numFmtId="166" fontId="19" fillId="25" borderId="10" xfId="0" applyNumberFormat="1" applyFont="1" applyFill="1" applyBorder="1" applyAlignment="1">
      <alignment horizontal="center" wrapText="1"/>
    </xf>
    <xf numFmtId="0" fontId="24" fillId="27" borderId="10" xfId="0" applyFont="1" applyFill="1" applyBorder="1" applyAlignment="1">
      <alignment horizontal="center" wrapText="1"/>
    </xf>
    <xf numFmtId="0" fontId="26" fillId="0" borderId="10" xfId="0" applyFont="1" applyBorder="1" applyAlignment="1">
      <alignment horizontal="center"/>
    </xf>
    <xf numFmtId="0" fontId="27" fillId="0" borderId="11" xfId="0" applyFont="1" applyBorder="1" applyAlignment="1">
      <alignment horizontal="left" wrapText="1" readingOrder="1"/>
    </xf>
    <xf numFmtId="0" fontId="27" fillId="0" borderId="12" xfId="0" applyFont="1" applyBorder="1" applyAlignment="1">
      <alignment horizontal="left" wrapText="1" readingOrder="1"/>
    </xf>
    <xf numFmtId="0" fontId="27" fillId="0" borderId="10" xfId="0" applyFont="1" applyBorder="1" applyAlignment="1">
      <alignment horizontal="left" wrapText="1" readingOrder="1"/>
    </xf>
    <xf numFmtId="0" fontId="28" fillId="0" borderId="10" xfId="0" applyFont="1" applyBorder="1" applyAlignment="1">
      <alignment horizontal="center"/>
    </xf>
    <xf numFmtId="0" fontId="28" fillId="0" borderId="12" xfId="0" applyFont="1" applyBorder="1" applyAlignment="1">
      <alignment wrapText="1"/>
    </xf>
    <xf numFmtId="0" fontId="28" fillId="0" borderId="10" xfId="0" applyFont="1" applyBorder="1" applyAlignment="1">
      <alignment wrapText="1"/>
    </xf>
    <xf numFmtId="0" fontId="28" fillId="0" borderId="11" xfId="0" applyFont="1" applyBorder="1" applyAlignment="1">
      <alignment horizontal="center"/>
    </xf>
    <xf numFmtId="0" fontId="28" fillId="0" borderId="12" xfId="0" applyFont="1" applyBorder="1" applyAlignment="1">
      <alignment horizontal="center"/>
    </xf>
    <xf numFmtId="0" fontId="28" fillId="0" borderId="10" xfId="0" applyFont="1" applyBorder="1" applyAlignment="1">
      <alignment horizontal="left"/>
    </xf>
    <xf numFmtId="14" fontId="24" fillId="26" borderId="10" xfId="0" applyNumberFormat="1" applyFont="1" applyFill="1" applyBorder="1" applyAlignment="1">
      <alignment horizontal="center" wrapText="1"/>
    </xf>
    <xf numFmtId="14" fontId="1" fillId="30" borderId="10" xfId="0" applyNumberFormat="1" applyFont="1" applyFill="1" applyBorder="1" applyAlignment="1">
      <alignment horizontal="center"/>
    </xf>
    <xf numFmtId="14" fontId="19" fillId="0" borderId="10" xfId="0" applyNumberFormat="1" applyFont="1" applyBorder="1" applyAlignment="1">
      <alignment horizontal="center" wrapText="1"/>
    </xf>
    <xf numFmtId="1" fontId="19" fillId="0" borderId="10" xfId="0" applyNumberFormat="1" applyFont="1" applyBorder="1" applyAlignment="1">
      <alignment horizontal="center" wrapText="1"/>
    </xf>
    <xf numFmtId="0" fontId="27" fillId="0" borderId="11" xfId="0" applyFont="1" applyBorder="1" applyAlignment="1">
      <alignment horizontal="left" wrapText="1"/>
    </xf>
    <xf numFmtId="0" fontId="27" fillId="0" borderId="12" xfId="0" applyFont="1" applyBorder="1" applyAlignment="1">
      <alignment horizontal="left" wrapText="1"/>
    </xf>
    <xf numFmtId="164" fontId="19" fillId="25" borderId="10" xfId="0" applyNumberFormat="1" applyFont="1" applyFill="1" applyBorder="1" applyAlignment="1">
      <alignment horizontal="center" wrapText="1"/>
    </xf>
    <xf numFmtId="0" fontId="19" fillId="25" borderId="10" xfId="0" applyFont="1" applyFill="1" applyBorder="1" applyAlignment="1">
      <alignment horizontal="center" wrapText="1"/>
    </xf>
    <xf numFmtId="164" fontId="19" fillId="26" borderId="10" xfId="0" applyNumberFormat="1" applyFont="1" applyFill="1" applyBorder="1" applyAlignment="1">
      <alignment horizontal="center" wrapText="1"/>
    </xf>
    <xf numFmtId="164" fontId="19" fillId="27" borderId="10" xfId="0" applyNumberFormat="1" applyFont="1" applyFill="1" applyBorder="1" applyAlignment="1">
      <alignment horizontal="center" wrapText="1"/>
    </xf>
    <xf numFmtId="0" fontId="30" fillId="0" borderId="0" xfId="0" applyFont="1" applyAlignment="1">
      <alignment wrapText="1"/>
    </xf>
    <xf numFmtId="0" fontId="0" fillId="0" borderId="15" xfId="0" applyBorder="1" applyAlignment="1">
      <alignment horizontal="center"/>
    </xf>
    <xf numFmtId="0" fontId="20" fillId="28" borderId="15" xfId="0" applyFont="1" applyFill="1" applyBorder="1" applyAlignment="1">
      <alignment horizontal="center"/>
    </xf>
    <xf numFmtId="0" fontId="30" fillId="0" borderId="16" xfId="0" applyFont="1" applyBorder="1" applyAlignment="1">
      <alignment wrapText="1"/>
    </xf>
    <xf numFmtId="0" fontId="0" fillId="0" borderId="17" xfId="0" applyBorder="1" applyAlignment="1">
      <alignment horizontal="center"/>
    </xf>
    <xf numFmtId="0" fontId="20" fillId="28" borderId="17" xfId="0" applyFont="1" applyFill="1" applyBorder="1" applyAlignment="1">
      <alignment horizontal="center"/>
    </xf>
    <xf numFmtId="0" fontId="30" fillId="0" borderId="18" xfId="0" applyFont="1" applyBorder="1" applyAlignment="1">
      <alignment wrapText="1"/>
    </xf>
    <xf numFmtId="0" fontId="0" fillId="0" borderId="19" xfId="0" applyBorder="1" applyAlignment="1">
      <alignment horizontal="center"/>
    </xf>
    <xf numFmtId="0" fontId="20" fillId="28" borderId="19" xfId="0" applyFont="1" applyFill="1" applyBorder="1" applyAlignment="1">
      <alignment horizontal="center"/>
    </xf>
    <xf numFmtId="0" fontId="19" fillId="0" borderId="15" xfId="0" applyFont="1" applyBorder="1" applyAlignment="1">
      <alignment horizontal="center" wrapText="1"/>
    </xf>
    <xf numFmtId="0" fontId="19" fillId="0" borderId="20" xfId="0" applyFont="1" applyBorder="1" applyAlignment="1">
      <alignment horizontal="center" wrapText="1"/>
    </xf>
    <xf numFmtId="0" fontId="0" fillId="0" borderId="20" xfId="0" applyBorder="1" applyAlignment="1">
      <alignment horizontal="center"/>
    </xf>
    <xf numFmtId="0" fontId="30" fillId="0" borderId="21" xfId="0" applyFont="1" applyBorder="1" applyAlignment="1">
      <alignment wrapText="1"/>
    </xf>
    <xf numFmtId="0" fontId="20" fillId="28" borderId="20" xfId="0" applyFont="1" applyFill="1" applyBorder="1" applyAlignment="1">
      <alignment horizontal="center"/>
    </xf>
    <xf numFmtId="0" fontId="0" fillId="0" borderId="0" xfId="0" applyBorder="1" applyAlignment="1">
      <alignment horizontal="center"/>
    </xf>
    <xf numFmtId="0" fontId="0" fillId="0" borderId="15" xfId="0" applyBorder="1"/>
    <xf numFmtId="0" fontId="31" fillId="0" borderId="22" xfId="0" applyFont="1" applyBorder="1" applyAlignment="1">
      <alignment horizontal="left" wrapText="1" readingOrder="1"/>
    </xf>
    <xf numFmtId="0" fontId="31" fillId="0" borderId="23" xfId="0" applyFont="1" applyBorder="1" applyAlignment="1">
      <alignment horizontal="left" wrapText="1" readingOrder="1"/>
    </xf>
    <xf numFmtId="0" fontId="31" fillId="0" borderId="24" xfId="0" applyFont="1" applyBorder="1" applyAlignment="1">
      <alignment horizontal="right" wrapText="1"/>
    </xf>
    <xf numFmtId="14" fontId="31" fillId="0" borderId="25" xfId="0" applyNumberFormat="1" applyFont="1" applyBorder="1" applyAlignment="1">
      <alignment horizontal="right" wrapText="1"/>
    </xf>
    <xf numFmtId="0" fontId="31" fillId="0" borderId="25" xfId="0" applyFont="1" applyBorder="1" applyAlignment="1">
      <alignment horizontal="left" wrapText="1" readingOrder="1"/>
    </xf>
    <xf numFmtId="0" fontId="1" fillId="0" borderId="25" xfId="0" applyFont="1" applyBorder="1" applyAlignment="1">
      <alignment wrapText="1"/>
    </xf>
    <xf numFmtId="0" fontId="31" fillId="0" borderId="22" xfId="0" applyFont="1" applyBorder="1" applyAlignment="1">
      <alignment horizontal="right" wrapText="1"/>
    </xf>
    <xf numFmtId="14" fontId="31" fillId="0" borderId="23" xfId="0" applyNumberFormat="1" applyFont="1" applyBorder="1" applyAlignment="1">
      <alignment horizontal="right" wrapText="1"/>
    </xf>
    <xf numFmtId="0" fontId="1" fillId="0" borderId="23" xfId="0" applyFont="1" applyBorder="1" applyAlignment="1">
      <alignment wrapText="1"/>
    </xf>
    <xf numFmtId="0" fontId="19" fillId="0" borderId="0" xfId="0" applyFont="1" applyBorder="1" applyAlignment="1">
      <alignment horizontal="center" wrapText="1"/>
    </xf>
    <xf numFmtId="0" fontId="28" fillId="0" borderId="13" xfId="0" applyFont="1" applyBorder="1" applyAlignment="1">
      <alignment horizontal="center"/>
    </xf>
    <xf numFmtId="0" fontId="0" fillId="0" borderId="0" xfId="0" applyBorder="1"/>
    <xf numFmtId="0" fontId="30" fillId="0" borderId="0" xfId="0" applyFont="1" applyBorder="1" applyAlignment="1">
      <alignment wrapText="1"/>
    </xf>
    <xf numFmtId="0" fontId="0" fillId="0" borderId="26" xfId="0" applyBorder="1" applyAlignment="1">
      <alignment horizontal="center"/>
    </xf>
    <xf numFmtId="0" fontId="20" fillId="28" borderId="26" xfId="0" applyFont="1" applyFill="1" applyBorder="1" applyAlignment="1">
      <alignment horizontal="center"/>
    </xf>
    <xf numFmtId="0" fontId="0" fillId="0" borderId="26" xfId="0" applyBorder="1"/>
    <xf numFmtId="0" fontId="30" fillId="0" borderId="27" xfId="0" applyFont="1" applyBorder="1" applyAlignment="1">
      <alignment wrapText="1"/>
    </xf>
    <xf numFmtId="0" fontId="0" fillId="0" borderId="28" xfId="0" applyBorder="1" applyAlignment="1">
      <alignment horizontal="center"/>
    </xf>
    <xf numFmtId="0" fontId="0" fillId="0" borderId="27" xfId="0" applyBorder="1" applyAlignment="1">
      <alignment horizontal="center"/>
    </xf>
    <xf numFmtId="0" fontId="20" fillId="28" borderId="28" xfId="0" applyFont="1" applyFill="1" applyBorder="1" applyAlignment="1">
      <alignment horizontal="center"/>
    </xf>
    <xf numFmtId="0" fontId="0" fillId="0" borderId="29" xfId="0" applyBorder="1" applyAlignment="1">
      <alignment horizontal="center"/>
    </xf>
    <xf numFmtId="0" fontId="30" fillId="0" borderId="30" xfId="0" applyFont="1" applyBorder="1" applyAlignment="1">
      <alignment wrapText="1"/>
    </xf>
    <xf numFmtId="0" fontId="0" fillId="0" borderId="31" xfId="0" applyBorder="1" applyAlignment="1">
      <alignment horizontal="center"/>
    </xf>
    <xf numFmtId="0" fontId="20" fillId="28" borderId="31" xfId="0" applyFont="1" applyFill="1" applyBorder="1" applyAlignment="1">
      <alignment horizontal="center"/>
    </xf>
    <xf numFmtId="0" fontId="0" fillId="0" borderId="32" xfId="0" applyBorder="1" applyAlignment="1">
      <alignment horizontal="center"/>
    </xf>
    <xf numFmtId="0" fontId="20" fillId="28" borderId="32" xfId="0" applyFont="1" applyFill="1" applyBorder="1" applyAlignment="1">
      <alignment horizontal="center"/>
    </xf>
    <xf numFmtId="14" fontId="24" fillId="31" borderId="10" xfId="0" applyNumberFormat="1" applyFont="1" applyFill="1" applyBorder="1" applyAlignment="1">
      <alignment horizontal="center" wrapText="1"/>
    </xf>
    <xf numFmtId="14" fontId="0" fillId="31" borderId="10" xfId="0" applyNumberFormat="1" applyFill="1" applyBorder="1" applyAlignment="1">
      <alignment horizontal="center"/>
    </xf>
    <xf numFmtId="14" fontId="0" fillId="31" borderId="10" xfId="0" applyNumberFormat="1" applyFill="1" applyBorder="1"/>
    <xf numFmtId="0" fontId="0" fillId="31" borderId="10" xfId="0" applyFill="1" applyBorder="1" applyAlignment="1">
      <alignment horizontal="center"/>
    </xf>
    <xf numFmtId="166" fontId="0" fillId="0" borderId="0" xfId="0" applyNumberFormat="1" applyBorder="1" applyAlignment="1">
      <alignment horizontal="center"/>
    </xf>
    <xf numFmtId="166" fontId="19" fillId="0" borderId="0" xfId="0" applyNumberFormat="1" applyFont="1" applyBorder="1" applyAlignment="1">
      <alignment horizontal="center" wrapText="1"/>
    </xf>
    <xf numFmtId="0" fontId="20" fillId="28" borderId="0" xfId="0" applyFont="1" applyFill="1" applyBorder="1" applyAlignment="1">
      <alignment horizontal="center"/>
    </xf>
    <xf numFmtId="0" fontId="0" fillId="0" borderId="10" xfId="0" applyBorder="1"/>
    <xf numFmtId="0" fontId="0" fillId="0" borderId="19" xfId="0" applyBorder="1"/>
    <xf numFmtId="0" fontId="0" fillId="0" borderId="28" xfId="0" applyBorder="1"/>
    <xf numFmtId="0" fontId="28" fillId="0" borderId="10" xfId="0" applyFont="1" applyBorder="1" applyAlignment="1">
      <alignment horizontal="left" wrapText="1"/>
    </xf>
    <xf numFmtId="1" fontId="1" fillId="0" borderId="10" xfId="0" applyNumberFormat="1" applyFont="1" applyBorder="1" applyAlignment="1">
      <alignment horizontal="center" wrapText="1"/>
    </xf>
    <xf numFmtId="1" fontId="19" fillId="0" borderId="0" xfId="0" applyNumberFormat="1" applyFont="1" applyBorder="1" applyAlignment="1">
      <alignment horizontal="center" wrapText="1"/>
    </xf>
    <xf numFmtId="1" fontId="1" fillId="0" borderId="0" xfId="0" applyNumberFormat="1" applyFont="1" applyBorder="1" applyAlignment="1">
      <alignment horizontal="center"/>
    </xf>
    <xf numFmtId="1" fontId="0" fillId="0" borderId="0" xfId="0" applyNumberFormat="1" applyBorder="1" applyAlignment="1">
      <alignment horizontal="center"/>
    </xf>
    <xf numFmtId="14" fontId="32" fillId="0" borderId="10" xfId="0" applyNumberFormat="1" applyFont="1" applyBorder="1" applyAlignment="1">
      <alignment horizontal="center"/>
    </xf>
    <xf numFmtId="0" fontId="19" fillId="0" borderId="33" xfId="0" applyFont="1" applyBorder="1" applyAlignment="1">
      <alignment horizontal="center" wrapText="1"/>
    </xf>
    <xf numFmtId="0" fontId="0" fillId="0" borderId="33" xfId="0" applyBorder="1" applyAlignment="1">
      <alignment horizontal="center"/>
    </xf>
    <xf numFmtId="0" fontId="28" fillId="0" borderId="11" xfId="0" applyFont="1" applyBorder="1" applyAlignment="1">
      <alignment wrapText="1"/>
    </xf>
    <xf numFmtId="0" fontId="19" fillId="0" borderId="0" xfId="0" applyNumberFormat="1" applyFont="1" applyBorder="1" applyAlignment="1">
      <alignment horizontal="center" wrapText="1"/>
    </xf>
    <xf numFmtId="0" fontId="1" fillId="0" borderId="0" xfId="0" applyNumberFormat="1" applyFont="1" applyBorder="1" applyAlignment="1">
      <alignment horizontal="center"/>
    </xf>
    <xf numFmtId="0" fontId="0" fillId="0" borderId="0" xfId="0" applyNumberFormat="1" applyBorder="1" applyAlignment="1">
      <alignment horizontal="center"/>
    </xf>
    <xf numFmtId="0" fontId="28" fillId="0" borderId="14" xfId="0" applyFont="1" applyBorder="1" applyAlignment="1">
      <alignment horizontal="center"/>
    </xf>
    <xf numFmtId="0" fontId="28" fillId="0" borderId="10" xfId="0" applyFont="1" applyFill="1" applyBorder="1" applyAlignment="1">
      <alignment horizontal="center"/>
    </xf>
    <xf numFmtId="0" fontId="0" fillId="0" borderId="17" xfId="0" applyBorder="1"/>
    <xf numFmtId="0" fontId="0" fillId="0" borderId="31" xfId="0" applyBorder="1"/>
  </cellXfs>
  <cellStyles count="86">
    <cellStyle name="20% - Accent1" xfId="1" builtinId="30" customBuiltin="1"/>
    <cellStyle name="20% - Accent1 2" xfId="2"/>
    <cellStyle name="20% - Accent2" xfId="3" builtinId="34" customBuiltin="1"/>
    <cellStyle name="20% - Accent2 2" xfId="4"/>
    <cellStyle name="20% - Accent3" xfId="5" builtinId="38" customBuiltin="1"/>
    <cellStyle name="20% - Accent3 2" xfId="6"/>
    <cellStyle name="20% - Accent4" xfId="7" builtinId="42" customBuiltin="1"/>
    <cellStyle name="20% - Accent4 2" xfId="8"/>
    <cellStyle name="20% - Accent5" xfId="9" builtinId="46" customBuiltin="1"/>
    <cellStyle name="20% - Accent5 2" xfId="10"/>
    <cellStyle name="20% - Accent6" xfId="11" builtinId="50" customBuiltin="1"/>
    <cellStyle name="20% - Accent6 2" xfId="12"/>
    <cellStyle name="40% - Accent1" xfId="13" builtinId="31" customBuiltin="1"/>
    <cellStyle name="40% - Accent1 2" xfId="14"/>
    <cellStyle name="40% - Accent2" xfId="15" builtinId="35" customBuiltin="1"/>
    <cellStyle name="40% - Accent2 2" xfId="16"/>
    <cellStyle name="40% - Accent3" xfId="17" builtinId="39" customBuiltin="1"/>
    <cellStyle name="40% - Accent3 2" xfId="18"/>
    <cellStyle name="40% - Accent4" xfId="19" builtinId="43" customBuiltin="1"/>
    <cellStyle name="40% - Accent4 2" xfId="20"/>
    <cellStyle name="40% - Accent5" xfId="21" builtinId="47" customBuiltin="1"/>
    <cellStyle name="40% - Accent5 2" xfId="22"/>
    <cellStyle name="40% - Accent6" xfId="23" builtinId="51" customBuiltin="1"/>
    <cellStyle name="40% - Accent6 2" xfId="24"/>
    <cellStyle name="60% - Accent1" xfId="25" builtinId="32" customBuiltin="1"/>
    <cellStyle name="60% - Accent1 2" xfId="26"/>
    <cellStyle name="60% - Accent2" xfId="27" builtinId="36" customBuiltin="1"/>
    <cellStyle name="60% - Accent2 2" xfId="28"/>
    <cellStyle name="60% - Accent3" xfId="29" builtinId="40" customBuiltin="1"/>
    <cellStyle name="60% - Accent3 2" xfId="30"/>
    <cellStyle name="60% - Accent4" xfId="31" builtinId="44" customBuiltin="1"/>
    <cellStyle name="60% - Accent4 2" xfId="32"/>
    <cellStyle name="60% - Accent5" xfId="33" builtinId="48" customBuiltin="1"/>
    <cellStyle name="60% - Accent5 2" xfId="34"/>
    <cellStyle name="60% - Accent6" xfId="35" builtinId="52" customBuiltin="1"/>
    <cellStyle name="60% - Accent6 2" xfId="36"/>
    <cellStyle name="Accent1" xfId="37" builtinId="29" customBuiltin="1"/>
    <cellStyle name="Accent1 2" xfId="38"/>
    <cellStyle name="Accent2" xfId="39" builtinId="33" customBuiltin="1"/>
    <cellStyle name="Accent2 2" xfId="40"/>
    <cellStyle name="Accent3" xfId="41" builtinId="37" customBuiltin="1"/>
    <cellStyle name="Accent3 2" xfId="42"/>
    <cellStyle name="Accent4" xfId="43" builtinId="41" customBuiltin="1"/>
    <cellStyle name="Accent4 2" xfId="44"/>
    <cellStyle name="Accent5" xfId="45" builtinId="45" customBuiltin="1"/>
    <cellStyle name="Accent5 2" xfId="46"/>
    <cellStyle name="Accent6" xfId="47" builtinId="49" customBuiltin="1"/>
    <cellStyle name="Accent6 2" xfId="48"/>
    <cellStyle name="Bad" xfId="49" builtinId="27" customBuiltin="1"/>
    <cellStyle name="Bad 2" xfId="50"/>
    <cellStyle name="Calculation" xfId="51" builtinId="22" customBuiltin="1"/>
    <cellStyle name="Calculation 2" xfId="52"/>
    <cellStyle name="Check Cell" xfId="53" builtinId="23" customBuiltin="1"/>
    <cellStyle name="Check Cell 2" xfId="54"/>
    <cellStyle name="Explanatory Text" xfId="55" builtinId="53" customBuiltin="1"/>
    <cellStyle name="Explanatory Text 2" xfId="56"/>
    <cellStyle name="Good" xfId="57" builtinId="26" customBuiltin="1"/>
    <cellStyle name="Good 2" xfId="58"/>
    <cellStyle name="Heading 1" xfId="59" builtinId="16" customBuiltin="1"/>
    <cellStyle name="Heading 1 2" xfId="60"/>
    <cellStyle name="Heading 2" xfId="61" builtinId="17" customBuiltin="1"/>
    <cellStyle name="Heading 2 2" xfId="62"/>
    <cellStyle name="Heading 3" xfId="63" builtinId="18" customBuiltin="1"/>
    <cellStyle name="Heading 3 2" xfId="64"/>
    <cellStyle name="Heading 4" xfId="65" builtinId="19" customBuiltin="1"/>
    <cellStyle name="Heading 4 2" xfId="66"/>
    <cellStyle name="Input" xfId="67" builtinId="20" customBuiltin="1"/>
    <cellStyle name="Input 2" xfId="68"/>
    <cellStyle name="Linked Cell" xfId="69" builtinId="24" customBuiltin="1"/>
    <cellStyle name="Linked Cell 2" xfId="70"/>
    <cellStyle name="Neutral" xfId="71" builtinId="28" customBuiltin="1"/>
    <cellStyle name="Neutral 2" xfId="72"/>
    <cellStyle name="Normal" xfId="0" builtinId="0"/>
    <cellStyle name="Normal 2" xfId="73"/>
    <cellStyle name="Normal 3" xfId="74"/>
    <cellStyle name="Note" xfId="75" builtinId="10" customBuiltin="1"/>
    <cellStyle name="Note 2" xfId="76"/>
    <cellStyle name="Output" xfId="77" builtinId="21" customBuiltin="1"/>
    <cellStyle name="Output 2" xfId="78"/>
    <cellStyle name="Percent 2" xfId="79"/>
    <cellStyle name="Title" xfId="80" builtinId="15" customBuiltin="1"/>
    <cellStyle name="Title 2" xfId="81"/>
    <cellStyle name="Total" xfId="82" builtinId="25" customBuiltin="1"/>
    <cellStyle name="Total 2" xfId="83"/>
    <cellStyle name="Warning Text" xfId="84" builtinId="11" customBuiltin="1"/>
    <cellStyle name="Warning Text 2" xfId="85"/>
  </cellStyles>
  <dxfs count="41">
    <dxf>
      <fill>
        <patternFill>
          <bgColor theme="4" tint="0.79998168889431442"/>
        </patternFill>
      </fill>
    </dxf>
    <dxf>
      <fill>
        <patternFill>
          <bgColor rgb="FFFFC7CE"/>
        </patternFill>
      </fill>
    </dxf>
    <dxf>
      <fill>
        <patternFill>
          <bgColor theme="6" tint="0.79998168889431442"/>
        </patternFill>
      </fill>
    </dxf>
    <dxf>
      <fill>
        <patternFill>
          <bgColor theme="9" tint="0.79998168889431442"/>
        </patternFill>
      </fill>
    </dxf>
    <dxf>
      <fill>
        <patternFill>
          <bgColor theme="4" tint="0.79998168889431442"/>
        </patternFill>
      </fill>
    </dxf>
    <dxf>
      <font>
        <color rgb="FF9C0006"/>
      </font>
      <fill>
        <patternFill>
          <bgColor rgb="FFFFC7CE"/>
        </patternFill>
      </fill>
    </dxf>
    <dxf>
      <fill>
        <patternFill>
          <bgColor theme="7"/>
        </patternFill>
      </fill>
    </dxf>
    <dxf>
      <fill>
        <patternFill>
          <bgColor rgb="FFFFC7CE"/>
        </patternFill>
      </fill>
    </dxf>
    <dxf>
      <fill>
        <patternFill>
          <bgColor theme="6" tint="0.79998168889431442"/>
        </patternFill>
      </fill>
    </dxf>
    <dxf>
      <fill>
        <patternFill>
          <bgColor theme="9" tint="0.79998168889431442"/>
        </patternFill>
      </fill>
    </dxf>
    <dxf>
      <fill>
        <patternFill>
          <bgColor theme="4" tint="0.79998168889431442"/>
        </patternFill>
      </fill>
    </dxf>
    <dxf>
      <font>
        <color rgb="FF9C0006"/>
      </font>
      <fill>
        <patternFill>
          <bgColor rgb="FFFFC7CE"/>
        </patternFill>
      </fill>
    </dxf>
    <dxf>
      <fill>
        <patternFill>
          <bgColor theme="7"/>
        </patternFill>
      </fill>
    </dxf>
    <dxf>
      <fill>
        <patternFill>
          <bgColor rgb="FFFFC7CE"/>
        </patternFill>
      </fill>
    </dxf>
    <dxf>
      <fill>
        <patternFill>
          <bgColor theme="6"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patternFill>
      </fill>
    </dxf>
    <dxf>
      <fill>
        <patternFill>
          <bgColor theme="5" tint="0.59996337778862885"/>
        </patternFill>
      </fill>
    </dxf>
    <dxf>
      <fill>
        <patternFill>
          <bgColor theme="7"/>
        </patternFill>
      </fill>
    </dxf>
    <dxf>
      <fill>
        <patternFill>
          <bgColor rgb="FFFFC7CE"/>
        </patternFill>
      </fill>
    </dxf>
    <dxf>
      <fill>
        <patternFill>
          <bgColor theme="6"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usernames" Target="revisions/userNames.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revisionHeaders" Target="revisions/revisionHeader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strRef>
              <c:f>Data!$CI$2:$CI$79</c:f>
              <c:strCache>
                <c:ptCount val="78"/>
                <c:pt idx="34">
                  <c:v>0.07</c:v>
                </c:pt>
                <c:pt idx="35">
                  <c:v>0.675</c:v>
                </c:pt>
                <c:pt idx="36">
                  <c:v>0.395</c:v>
                </c:pt>
                <c:pt idx="37">
                  <c:v>0.72</c:v>
                </c:pt>
                <c:pt idx="38">
                  <c:v>0.37</c:v>
                </c:pt>
                <c:pt idx="39">
                  <c:v>1.06</c:v>
                </c:pt>
                <c:pt idx="40">
                  <c:v>-1.595</c:v>
                </c:pt>
                <c:pt idx="41">
                  <c:v>-0.16</c:v>
                </c:pt>
                <c:pt idx="42">
                  <c:v>-2.23</c:v>
                </c:pt>
                <c:pt idx="43">
                  <c:v>0.48</c:v>
                </c:pt>
                <c:pt idx="44">
                  <c:v>1.06</c:v>
                </c:pt>
                <c:pt idx="45">
                  <c:v>0.885</c:v>
                </c:pt>
                <c:pt idx="46">
                  <c:v>1.03</c:v>
                </c:pt>
                <c:pt idx="47">
                  <c:v>0.05</c:v>
                </c:pt>
                <c:pt idx="48">
                  <c:v>-0.065</c:v>
                </c:pt>
                <c:pt idx="49">
                  <c:v>1.8</c:v>
                </c:pt>
                <c:pt idx="50">
                  <c:v>0.79</c:v>
                </c:pt>
                <c:pt idx="51">
                  <c:v>1.075</c:v>
                </c:pt>
                <c:pt idx="52">
                  <c:v>-0.33</c:v>
                </c:pt>
                <c:pt idx="53">
                  <c:v>1.525</c:v>
                </c:pt>
                <c:pt idx="54">
                  <c:v>2.635</c:v>
                </c:pt>
                <c:pt idx="55">
                  <c:v>0.73</c:v>
                </c:pt>
                <c:pt idx="56">
                  <c:v>-0.055</c:v>
                </c:pt>
                <c:pt idx="57">
                  <c:v>-0.02</c:v>
                </c:pt>
                <c:pt idx="58">
                  <c:v>-0.345</c:v>
                </c:pt>
                <c:pt idx="59">
                  <c:v>2.02</c:v>
                </c:pt>
                <c:pt idx="60">
                  <c:v>0.685</c:v>
                </c:pt>
                <c:pt idx="61">
                  <c:v>1.23</c:v>
                </c:pt>
                <c:pt idx="62">
                  <c:v>-1.245</c:v>
                </c:pt>
                <c:pt idx="63">
                  <c:v>-0.3</c:v>
                </c:pt>
                <c:pt idx="64">
                  <c:v>1.925</c:v>
                </c:pt>
                <c:pt idx="65">
                  <c:v>-1.74</c:v>
                </c:pt>
                <c:pt idx="66">
                  <c:v>-1.04</c:v>
                </c:pt>
                <c:pt idx="67">
                  <c:v>0.39</c:v>
                </c:pt>
                <c:pt idx="68">
                  <c:v>1.29</c:v>
                </c:pt>
                <c:pt idx="69">
                  <c:v>1.625</c:v>
                </c:pt>
                <c:pt idx="70">
                  <c:v>1.045</c:v>
                </c:pt>
                <c:pt idx="71">
                  <c:v>1.82</c:v>
                </c:pt>
                <c:pt idx="72">
                  <c:v>-2.855</c:v>
                </c:pt>
                <c:pt idx="73">
                  <c:v>-2.44</c:v>
                </c:pt>
                <c:pt idx="74">
                  <c:v>0.975</c:v>
                </c:pt>
                <c:pt idx="75">
                  <c:v>0.025</c:v>
                </c:pt>
                <c:pt idx="76">
                  <c:v>0.605</c:v>
                </c:pt>
                <c:pt idx="77">
                  <c:v>-0.48</c:v>
                </c:pt>
              </c:strCache>
            </c:strRef>
          </c:xVal>
          <c:yVal>
            <c:numRef>
              <c:f>Data!$CJ$2:$CJ$79</c:f>
            </c:numRef>
          </c:yVal>
          <c:smooth val="0"/>
        </c:ser>
        <c:dLbls>
          <c:showLegendKey val="0"/>
          <c:showVal val="0"/>
          <c:showCatName val="0"/>
          <c:showSerName val="0"/>
          <c:showPercent val="0"/>
          <c:showBubbleSize val="0"/>
        </c:dLbls>
        <c:axId val="222750208"/>
        <c:axId val="222751744"/>
      </c:scatterChart>
      <c:valAx>
        <c:axId val="222750208"/>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22751744"/>
        <c:crosses val="autoZero"/>
        <c:crossBetween val="midCat"/>
      </c:valAx>
      <c:valAx>
        <c:axId val="222751744"/>
        <c:scaling>
          <c:orientation val="minMax"/>
        </c:scaling>
        <c:delete val="0"/>
        <c:axPos val="l"/>
        <c:majorGridlines/>
        <c:numFmt formatCode="General" sourceLinked="1"/>
        <c:majorTickMark val="out"/>
        <c:minorTickMark val="none"/>
        <c:tickLblPos val="nextTo"/>
        <c:crossAx val="222750208"/>
        <c:crosses val="autoZero"/>
        <c:crossBetween val="midCat"/>
      </c:valAx>
    </c:plotArea>
    <c:legend>
      <c:legendPos val="r"/>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66675</xdr:colOff>
      <xdr:row>16</xdr:row>
      <xdr:rowOff>28575</xdr:rowOff>
    </xdr:from>
    <xdr:to>
      <xdr:col>14</xdr:col>
      <xdr:colOff>371475</xdr:colOff>
      <xdr:row>33</xdr:row>
      <xdr:rowOff>19050</xdr:rowOff>
    </xdr:to>
    <xdr:graphicFrame macro="">
      <xdr:nvGraphicFramePr>
        <xdr:cNvPr id="105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evisions/_rels/revisionHeaders.xml.rels><?xml version="1.0" encoding="UTF-8" standalone="yes"?>
<Relationships xmlns="http://schemas.openxmlformats.org/package/2006/relationships"><Relationship Id="rId13" Type="http://schemas.openxmlformats.org/officeDocument/2006/relationships/revisionLog" Target="revisionLog13.xml"/><Relationship Id="rId18" Type="http://schemas.openxmlformats.org/officeDocument/2006/relationships/revisionLog" Target="revisionLog18.xml"/><Relationship Id="rId26" Type="http://schemas.openxmlformats.org/officeDocument/2006/relationships/revisionLog" Target="revisionLog26.xml"/><Relationship Id="rId39" Type="http://schemas.openxmlformats.org/officeDocument/2006/relationships/revisionLog" Target="revisionLog39.xml"/><Relationship Id="rId21" Type="http://schemas.openxmlformats.org/officeDocument/2006/relationships/revisionLog" Target="revisionLog21.xml"/><Relationship Id="rId34" Type="http://schemas.openxmlformats.org/officeDocument/2006/relationships/revisionLog" Target="revisionLog34.xml"/><Relationship Id="rId42" Type="http://schemas.openxmlformats.org/officeDocument/2006/relationships/revisionLog" Target="revisionLog42.xml"/><Relationship Id="rId47" Type="http://schemas.openxmlformats.org/officeDocument/2006/relationships/revisionLog" Target="revisionLog47.xml"/><Relationship Id="rId50" Type="http://schemas.openxmlformats.org/officeDocument/2006/relationships/revisionLog" Target="revisionLog50.xml"/><Relationship Id="rId55" Type="http://schemas.openxmlformats.org/officeDocument/2006/relationships/revisionLog" Target="revisionLog55.xml"/><Relationship Id="rId63" Type="http://schemas.openxmlformats.org/officeDocument/2006/relationships/revisionLog" Target="revisionLog63.xml"/><Relationship Id="rId68" Type="http://schemas.openxmlformats.org/officeDocument/2006/relationships/revisionLog" Target="revisionLog68.xml"/><Relationship Id="rId76" Type="http://schemas.openxmlformats.org/officeDocument/2006/relationships/revisionLog" Target="revisionLog76.xml"/><Relationship Id="rId84" Type="http://schemas.openxmlformats.org/officeDocument/2006/relationships/revisionLog" Target="revisionLog84.xml"/><Relationship Id="rId89" Type="http://schemas.openxmlformats.org/officeDocument/2006/relationships/revisionLog" Target="revisionLog89.xml"/><Relationship Id="rId7" Type="http://schemas.openxmlformats.org/officeDocument/2006/relationships/revisionLog" Target="revisionLog7.xml"/><Relationship Id="rId71" Type="http://schemas.openxmlformats.org/officeDocument/2006/relationships/revisionLog" Target="revisionLog71.xml"/><Relationship Id="rId92" Type="http://schemas.openxmlformats.org/officeDocument/2006/relationships/revisionLog" Target="revisionLog92.xml"/><Relationship Id="rId2" Type="http://schemas.openxmlformats.org/officeDocument/2006/relationships/revisionLog" Target="revisionLog2.xml"/><Relationship Id="rId16" Type="http://schemas.openxmlformats.org/officeDocument/2006/relationships/revisionLog" Target="revisionLog16.xml"/><Relationship Id="rId29" Type="http://schemas.openxmlformats.org/officeDocument/2006/relationships/revisionLog" Target="revisionLog29.xml"/><Relationship Id="rId11" Type="http://schemas.openxmlformats.org/officeDocument/2006/relationships/revisionLog" Target="revisionLog11.xml"/><Relationship Id="rId24" Type="http://schemas.openxmlformats.org/officeDocument/2006/relationships/revisionLog" Target="revisionLog24.xml"/><Relationship Id="rId32" Type="http://schemas.openxmlformats.org/officeDocument/2006/relationships/revisionLog" Target="revisionLog32.xml"/><Relationship Id="rId37" Type="http://schemas.openxmlformats.org/officeDocument/2006/relationships/revisionLog" Target="revisionLog37.xml"/><Relationship Id="rId40" Type="http://schemas.openxmlformats.org/officeDocument/2006/relationships/revisionLog" Target="revisionLog40.xml"/><Relationship Id="rId45" Type="http://schemas.openxmlformats.org/officeDocument/2006/relationships/revisionLog" Target="revisionLog45.xml"/><Relationship Id="rId53" Type="http://schemas.openxmlformats.org/officeDocument/2006/relationships/revisionLog" Target="revisionLog53.xml"/><Relationship Id="rId58" Type="http://schemas.openxmlformats.org/officeDocument/2006/relationships/revisionLog" Target="revisionLog58.xml"/><Relationship Id="rId66" Type="http://schemas.openxmlformats.org/officeDocument/2006/relationships/revisionLog" Target="revisionLog66.xml"/><Relationship Id="rId74" Type="http://schemas.openxmlformats.org/officeDocument/2006/relationships/revisionLog" Target="revisionLog74.xml"/><Relationship Id="rId79" Type="http://schemas.openxmlformats.org/officeDocument/2006/relationships/revisionLog" Target="revisionLog79.xml"/><Relationship Id="rId87" Type="http://schemas.openxmlformats.org/officeDocument/2006/relationships/revisionLog" Target="revisionLog87.xml"/><Relationship Id="rId5" Type="http://schemas.openxmlformats.org/officeDocument/2006/relationships/revisionLog" Target="revisionLog5.xml"/><Relationship Id="rId61" Type="http://schemas.openxmlformats.org/officeDocument/2006/relationships/revisionLog" Target="revisionLog61.xml"/><Relationship Id="rId82" Type="http://schemas.openxmlformats.org/officeDocument/2006/relationships/revisionLog" Target="revisionLog82.xml"/><Relationship Id="rId90" Type="http://schemas.openxmlformats.org/officeDocument/2006/relationships/revisionLog" Target="revisionLog90.xml"/><Relationship Id="rId95" Type="http://schemas.openxmlformats.org/officeDocument/2006/relationships/revisionLog" Target="revisionLog95.xml"/><Relationship Id="rId19" Type="http://schemas.openxmlformats.org/officeDocument/2006/relationships/revisionLog" Target="revisionLog19.xml"/><Relationship Id="rId14" Type="http://schemas.openxmlformats.org/officeDocument/2006/relationships/revisionLog" Target="revisionLog14.xml"/><Relationship Id="rId22" Type="http://schemas.openxmlformats.org/officeDocument/2006/relationships/revisionLog" Target="revisionLog22.xml"/><Relationship Id="rId27" Type="http://schemas.openxmlformats.org/officeDocument/2006/relationships/revisionLog" Target="revisionLog27.xml"/><Relationship Id="rId30" Type="http://schemas.openxmlformats.org/officeDocument/2006/relationships/revisionLog" Target="revisionLog30.xml"/><Relationship Id="rId35" Type="http://schemas.openxmlformats.org/officeDocument/2006/relationships/revisionLog" Target="revisionLog35.xml"/><Relationship Id="rId43" Type="http://schemas.openxmlformats.org/officeDocument/2006/relationships/revisionLog" Target="revisionLog43.xml"/><Relationship Id="rId48" Type="http://schemas.openxmlformats.org/officeDocument/2006/relationships/revisionLog" Target="revisionLog48.xml"/><Relationship Id="rId56" Type="http://schemas.openxmlformats.org/officeDocument/2006/relationships/revisionLog" Target="revisionLog56.xml"/><Relationship Id="rId64" Type="http://schemas.openxmlformats.org/officeDocument/2006/relationships/revisionLog" Target="revisionLog64.xml"/><Relationship Id="rId69" Type="http://schemas.openxmlformats.org/officeDocument/2006/relationships/revisionLog" Target="revisionLog69.xml"/><Relationship Id="rId77" Type="http://schemas.openxmlformats.org/officeDocument/2006/relationships/revisionLog" Target="revisionLog77.xml"/><Relationship Id="rId8" Type="http://schemas.openxmlformats.org/officeDocument/2006/relationships/revisionLog" Target="revisionLog8.xml"/><Relationship Id="rId51" Type="http://schemas.openxmlformats.org/officeDocument/2006/relationships/revisionLog" Target="revisionLog51.xml"/><Relationship Id="rId72" Type="http://schemas.openxmlformats.org/officeDocument/2006/relationships/revisionLog" Target="revisionLog72.xml"/><Relationship Id="rId80" Type="http://schemas.openxmlformats.org/officeDocument/2006/relationships/revisionLog" Target="revisionLog80.xml"/><Relationship Id="rId85" Type="http://schemas.openxmlformats.org/officeDocument/2006/relationships/revisionLog" Target="revisionLog85.xml"/><Relationship Id="rId93" Type="http://schemas.openxmlformats.org/officeDocument/2006/relationships/revisionLog" Target="revisionLog93.xml"/><Relationship Id="rId3" Type="http://schemas.openxmlformats.org/officeDocument/2006/relationships/revisionLog" Target="revisionLog3.xml"/><Relationship Id="rId12" Type="http://schemas.openxmlformats.org/officeDocument/2006/relationships/revisionLog" Target="revisionLog12.xml"/><Relationship Id="rId17" Type="http://schemas.openxmlformats.org/officeDocument/2006/relationships/revisionLog" Target="revisionLog17.xml"/><Relationship Id="rId25" Type="http://schemas.openxmlformats.org/officeDocument/2006/relationships/revisionLog" Target="revisionLog25.xml"/><Relationship Id="rId33" Type="http://schemas.openxmlformats.org/officeDocument/2006/relationships/revisionLog" Target="revisionLog33.xml"/><Relationship Id="rId38" Type="http://schemas.openxmlformats.org/officeDocument/2006/relationships/revisionLog" Target="revisionLog38.xml"/><Relationship Id="rId46" Type="http://schemas.openxmlformats.org/officeDocument/2006/relationships/revisionLog" Target="revisionLog46.xml"/><Relationship Id="rId59" Type="http://schemas.openxmlformats.org/officeDocument/2006/relationships/revisionLog" Target="revisionLog59.xml"/><Relationship Id="rId67" Type="http://schemas.openxmlformats.org/officeDocument/2006/relationships/revisionLog" Target="revisionLog67.xml"/><Relationship Id="rId20" Type="http://schemas.openxmlformats.org/officeDocument/2006/relationships/revisionLog" Target="revisionLog20.xml"/><Relationship Id="rId41" Type="http://schemas.openxmlformats.org/officeDocument/2006/relationships/revisionLog" Target="revisionLog41.xml"/><Relationship Id="rId54" Type="http://schemas.openxmlformats.org/officeDocument/2006/relationships/revisionLog" Target="revisionLog54.xml"/><Relationship Id="rId62" Type="http://schemas.openxmlformats.org/officeDocument/2006/relationships/revisionLog" Target="revisionLog62.xml"/><Relationship Id="rId70" Type="http://schemas.openxmlformats.org/officeDocument/2006/relationships/revisionLog" Target="revisionLog70.xml"/><Relationship Id="rId75" Type="http://schemas.openxmlformats.org/officeDocument/2006/relationships/revisionLog" Target="revisionLog75.xml"/><Relationship Id="rId83" Type="http://schemas.openxmlformats.org/officeDocument/2006/relationships/revisionLog" Target="revisionLog83.xml"/><Relationship Id="rId88" Type="http://schemas.openxmlformats.org/officeDocument/2006/relationships/revisionLog" Target="revisionLog88.xml"/><Relationship Id="rId91" Type="http://schemas.openxmlformats.org/officeDocument/2006/relationships/revisionLog" Target="revisionLog91.xml"/><Relationship Id="rId1" Type="http://schemas.openxmlformats.org/officeDocument/2006/relationships/revisionLog" Target="revisionLog1.xml"/><Relationship Id="rId6" Type="http://schemas.openxmlformats.org/officeDocument/2006/relationships/revisionLog" Target="revisionLog6.xml"/><Relationship Id="rId15" Type="http://schemas.openxmlformats.org/officeDocument/2006/relationships/revisionLog" Target="revisionLog15.xml"/><Relationship Id="rId23" Type="http://schemas.openxmlformats.org/officeDocument/2006/relationships/revisionLog" Target="revisionLog23.xml"/><Relationship Id="rId28" Type="http://schemas.openxmlformats.org/officeDocument/2006/relationships/revisionLog" Target="revisionLog28.xml"/><Relationship Id="rId36" Type="http://schemas.openxmlformats.org/officeDocument/2006/relationships/revisionLog" Target="revisionLog36.xml"/><Relationship Id="rId49" Type="http://schemas.openxmlformats.org/officeDocument/2006/relationships/revisionLog" Target="revisionLog49.xml"/><Relationship Id="rId57" Type="http://schemas.openxmlformats.org/officeDocument/2006/relationships/revisionLog" Target="revisionLog57.xml"/><Relationship Id="rId10" Type="http://schemas.openxmlformats.org/officeDocument/2006/relationships/revisionLog" Target="revisionLog10.xml"/><Relationship Id="rId31" Type="http://schemas.openxmlformats.org/officeDocument/2006/relationships/revisionLog" Target="revisionLog31.xml"/><Relationship Id="rId44" Type="http://schemas.openxmlformats.org/officeDocument/2006/relationships/revisionLog" Target="revisionLog44.xml"/><Relationship Id="rId52" Type="http://schemas.openxmlformats.org/officeDocument/2006/relationships/revisionLog" Target="revisionLog52.xml"/><Relationship Id="rId60" Type="http://schemas.openxmlformats.org/officeDocument/2006/relationships/revisionLog" Target="revisionLog60.xml"/><Relationship Id="rId65" Type="http://schemas.openxmlformats.org/officeDocument/2006/relationships/revisionLog" Target="revisionLog65.xml"/><Relationship Id="rId73" Type="http://schemas.openxmlformats.org/officeDocument/2006/relationships/revisionLog" Target="revisionLog73.xml"/><Relationship Id="rId78" Type="http://schemas.openxmlformats.org/officeDocument/2006/relationships/revisionLog" Target="revisionLog78.xml"/><Relationship Id="rId81" Type="http://schemas.openxmlformats.org/officeDocument/2006/relationships/revisionLog" Target="revisionLog81.xml"/><Relationship Id="rId86" Type="http://schemas.openxmlformats.org/officeDocument/2006/relationships/revisionLog" Target="revisionLog86.xml"/><Relationship Id="rId94" Type="http://schemas.openxmlformats.org/officeDocument/2006/relationships/revisionLog" Target="revisionLog94.xml"/><Relationship Id="rId4" Type="http://schemas.openxmlformats.org/officeDocument/2006/relationships/revisionLog" Target="revisionLog4.xml"/><Relationship Id="rId9" Type="http://schemas.openxmlformats.org/officeDocument/2006/relationships/revisionLog" Target="revisionLog9.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C43FEDBC-E7D8-4E9B-B4E0-2DA8F785A7F7}" diskRevisions="1" revisionId="3196" version="71">
  <header guid="{AF427B2F-0A5A-4CBD-B6FC-7AD1F8B05686}" dateTime="2014-02-03T13:37:04" maxSheetId="7" userName="Evan D. Schoenberg, M.D." r:id="rId1">
    <sheetIdMap count="6">
      <sheetId val="1"/>
      <sheetId val="2"/>
      <sheetId val="3"/>
      <sheetId val="4"/>
      <sheetId val="5"/>
      <sheetId val="6"/>
    </sheetIdMap>
  </header>
  <header guid="{A65A07B6-2444-4176-9621-54F93632988C}" dateTime="2014-02-04T08:49:19" maxSheetId="7" userName="Evan D. Schoenberg, M.D." r:id="rId2" minRId="1" maxRId="7">
    <sheetIdMap count="6">
      <sheetId val="1"/>
      <sheetId val="2"/>
      <sheetId val="3"/>
      <sheetId val="4"/>
      <sheetId val="5"/>
      <sheetId val="6"/>
    </sheetIdMap>
  </header>
  <header guid="{31AD25D9-3F53-490F-905F-BB017A93DC93}" dateTime="2014-02-04T13:01:37" maxSheetId="7" userName="Evan D. Schoenberg, M.D." r:id="rId3" minRId="9" maxRId="817">
    <sheetIdMap count="6">
      <sheetId val="1"/>
      <sheetId val="2"/>
      <sheetId val="3"/>
      <sheetId val="4"/>
      <sheetId val="5"/>
      <sheetId val="6"/>
    </sheetIdMap>
  </header>
  <header guid="{6D90F62B-FE9C-40BF-8BDE-176F43DBE67D}" dateTime="2014-02-04T14:38:49" maxSheetId="7" userName="Jalee Miller" r:id="rId4" minRId="818" maxRId="842">
    <sheetIdMap count="6">
      <sheetId val="1"/>
      <sheetId val="2"/>
      <sheetId val="3"/>
      <sheetId val="4"/>
      <sheetId val="5"/>
      <sheetId val="6"/>
    </sheetIdMap>
  </header>
  <header guid="{09027D77-D28A-4A63-968A-3F5C0F37DAA6}" dateTime="2014-02-04T15:24:29" maxSheetId="7" userName="Evan D. Schoenberg, M.D." r:id="rId5" minRId="843" maxRId="844">
    <sheetIdMap count="6">
      <sheetId val="1"/>
      <sheetId val="2"/>
      <sheetId val="3"/>
      <sheetId val="4"/>
      <sheetId val="5"/>
      <sheetId val="6"/>
    </sheetIdMap>
  </header>
  <header guid="{53EFA7C2-0923-4074-8F87-C8233E85895D}" dateTime="2014-02-05T16:11:55" maxSheetId="7" userName="Evan D. Schoenberg, M.D." r:id="rId6">
    <sheetIdMap count="6">
      <sheetId val="1"/>
      <sheetId val="2"/>
      <sheetId val="3"/>
      <sheetId val="4"/>
      <sheetId val="5"/>
      <sheetId val="6"/>
    </sheetIdMap>
  </header>
  <header guid="{D1D57B5B-3142-4CB2-A72A-C0D8704DC1FB}" dateTime="2014-02-05T16:16:22" maxSheetId="7" userName="Evan D. Schoenberg, M.D." r:id="rId7" minRId="846" maxRId="857">
    <sheetIdMap count="6">
      <sheetId val="1"/>
      <sheetId val="2"/>
      <sheetId val="3"/>
      <sheetId val="4"/>
      <sheetId val="5"/>
      <sheetId val="6"/>
    </sheetIdMap>
  </header>
  <header guid="{5CD54826-1A67-4CDF-B0ED-659D9698BF6E}" dateTime="2014-02-06T10:30:15" maxSheetId="7" userName="Jalee Miller" r:id="rId8" minRId="859">
    <sheetIdMap count="6">
      <sheetId val="1"/>
      <sheetId val="2"/>
      <sheetId val="3"/>
      <sheetId val="4"/>
      <sheetId val="5"/>
      <sheetId val="6"/>
    </sheetIdMap>
  </header>
  <header guid="{3246B627-D0D7-42B2-8173-23D6C0D75CBA}" dateTime="2014-02-06T11:00:14" maxSheetId="7" userName="Jalee Miller" r:id="rId9" minRId="860" maxRId="874">
    <sheetIdMap count="6">
      <sheetId val="1"/>
      <sheetId val="2"/>
      <sheetId val="3"/>
      <sheetId val="4"/>
      <sheetId val="5"/>
      <sheetId val="6"/>
    </sheetIdMap>
  </header>
  <header guid="{9E0C7C96-1309-4E97-A5D6-D58B06114ECF}" dateTime="2014-02-06T11:15:15" maxSheetId="7" userName="Jalee Miller" r:id="rId10" minRId="875" maxRId="877">
    <sheetIdMap count="6">
      <sheetId val="1"/>
      <sheetId val="2"/>
      <sheetId val="3"/>
      <sheetId val="4"/>
      <sheetId val="5"/>
      <sheetId val="6"/>
    </sheetIdMap>
  </header>
  <header guid="{F4DBD7BF-1416-4167-BE34-D4E75BECFAB7}" dateTime="2014-02-06T11:45:14" maxSheetId="7" userName="Jalee Miller" r:id="rId11" minRId="878" maxRId="881">
    <sheetIdMap count="6">
      <sheetId val="1"/>
      <sheetId val="2"/>
      <sheetId val="3"/>
      <sheetId val="4"/>
      <sheetId val="5"/>
      <sheetId val="6"/>
    </sheetIdMap>
  </header>
  <header guid="{869C0E73-612C-4EF0-ACAA-F28A222FA6D4}" dateTime="2014-02-06T11:47:14" maxSheetId="7" userName="Jalee Miller" r:id="rId12" minRId="882" maxRId="895">
    <sheetIdMap count="6">
      <sheetId val="1"/>
      <sheetId val="2"/>
      <sheetId val="3"/>
      <sheetId val="4"/>
      <sheetId val="5"/>
      <sheetId val="6"/>
    </sheetIdMap>
  </header>
  <header guid="{B717DDDE-D578-404D-AC76-0F0AB2041E85}" dateTime="2014-02-06T12:15:15" maxSheetId="7" userName="Jalee Miller" r:id="rId13" minRId="896" maxRId="899">
    <sheetIdMap count="6">
      <sheetId val="1"/>
      <sheetId val="2"/>
      <sheetId val="3"/>
      <sheetId val="4"/>
      <sheetId val="5"/>
      <sheetId val="6"/>
    </sheetIdMap>
  </header>
  <header guid="{B32B50F2-59BA-46B5-91D6-DB61D88AF653}" dateTime="2014-02-06T13:16:07" maxSheetId="7" userName="Jalee Miller" r:id="rId14" minRId="900" maxRId="1226">
    <sheetIdMap count="6">
      <sheetId val="1"/>
      <sheetId val="2"/>
      <sheetId val="3"/>
      <sheetId val="4"/>
      <sheetId val="5"/>
      <sheetId val="6"/>
    </sheetIdMap>
  </header>
  <header guid="{A85D35E2-9934-417A-8978-6B6D1DC2003F}" dateTime="2014-02-06T13:19:53" maxSheetId="7" userName="Jalee Miller" r:id="rId15" minRId="1227" maxRId="1228">
    <sheetIdMap count="6">
      <sheetId val="1"/>
      <sheetId val="2"/>
      <sheetId val="3"/>
      <sheetId val="4"/>
      <sheetId val="5"/>
      <sheetId val="6"/>
    </sheetIdMap>
  </header>
  <header guid="{B3001DBF-6752-4822-8F68-35AF5EFD6FEA}" dateTime="2014-02-06T13:24:23" maxSheetId="7" userName="Jalee Miller" r:id="rId16" minRId="1229">
    <sheetIdMap count="6">
      <sheetId val="1"/>
      <sheetId val="2"/>
      <sheetId val="3"/>
      <sheetId val="4"/>
      <sheetId val="5"/>
      <sheetId val="6"/>
    </sheetIdMap>
  </header>
  <header guid="{128D239C-9233-44FE-8E10-7104DB3B04AD}" dateTime="2014-02-06T13:31:07" maxSheetId="7" userName="Jalee Miller" r:id="rId17" minRId="1230" maxRId="1231">
    <sheetIdMap count="6">
      <sheetId val="1"/>
      <sheetId val="2"/>
      <sheetId val="3"/>
      <sheetId val="4"/>
      <sheetId val="5"/>
      <sheetId val="6"/>
    </sheetIdMap>
  </header>
  <header guid="{985E7C7A-0BD6-4B14-846E-7ABCF9DFC4AF}" dateTime="2014-02-06T13:47:07" maxSheetId="7" userName="Jalee Miller" r:id="rId18" minRId="1232" maxRId="1235">
    <sheetIdMap count="6">
      <sheetId val="1"/>
      <sheetId val="2"/>
      <sheetId val="3"/>
      <sheetId val="4"/>
      <sheetId val="5"/>
      <sheetId val="6"/>
    </sheetIdMap>
  </header>
  <header guid="{1666B5E5-6DE5-49C5-8A59-B43E2315C88D}" dateTime="2014-02-06T13:49:11" maxSheetId="7" userName="Jalee Miller" r:id="rId19" minRId="1236" maxRId="1237">
    <sheetIdMap count="6">
      <sheetId val="1"/>
      <sheetId val="2"/>
      <sheetId val="3"/>
      <sheetId val="4"/>
      <sheetId val="5"/>
      <sheetId val="6"/>
    </sheetIdMap>
  </header>
  <header guid="{19F3B1F2-5DF4-461B-8CD2-31DC5B0D95DE}" dateTime="2014-02-06T14:02:07" maxSheetId="7" userName="Jalee Miller" r:id="rId20" minRId="1238" maxRId="1240">
    <sheetIdMap count="6">
      <sheetId val="1"/>
      <sheetId val="2"/>
      <sheetId val="3"/>
      <sheetId val="4"/>
      <sheetId val="5"/>
      <sheetId val="6"/>
    </sheetIdMap>
  </header>
  <header guid="{C97DB4C1-2DDE-4113-BFB4-4F9987B88737}" dateTime="2014-02-06T14:19:07" maxSheetId="7" userName="Jalee Miller" r:id="rId21" minRId="1241" maxRId="1277">
    <sheetIdMap count="6">
      <sheetId val="1"/>
      <sheetId val="2"/>
      <sheetId val="3"/>
      <sheetId val="4"/>
      <sheetId val="5"/>
      <sheetId val="6"/>
    </sheetIdMap>
  </header>
  <header guid="{050EE739-5D49-4DBA-BB14-C04C750A155D}" dateTime="2014-02-06T14:34:07" maxSheetId="7" userName="Jalee Miller" r:id="rId22" minRId="1278" maxRId="1316">
    <sheetIdMap count="6">
      <sheetId val="1"/>
      <sheetId val="2"/>
      <sheetId val="3"/>
      <sheetId val="4"/>
      <sheetId val="5"/>
      <sheetId val="6"/>
    </sheetIdMap>
  </header>
  <header guid="{5FE6B394-E837-4103-B489-5F882D24CA81}" dateTime="2014-02-06T14:45:02" maxSheetId="7" userName="Jalee Miller" r:id="rId23" minRId="1317" maxRId="1330">
    <sheetIdMap count="6">
      <sheetId val="1"/>
      <sheetId val="2"/>
      <sheetId val="3"/>
      <sheetId val="4"/>
      <sheetId val="5"/>
      <sheetId val="6"/>
    </sheetIdMap>
  </header>
  <header guid="{41BCBE13-E60C-47AF-9715-47BC5863C294}" dateTime="2014-02-06T14:49:07" maxSheetId="7" userName="Jalee Miller" r:id="rId24" minRId="1331" maxRId="1333">
    <sheetIdMap count="6">
      <sheetId val="1"/>
      <sheetId val="2"/>
      <sheetId val="3"/>
      <sheetId val="4"/>
      <sheetId val="5"/>
      <sheetId val="6"/>
    </sheetIdMap>
  </header>
  <header guid="{1BC39A43-539C-4383-B8A3-395424EA5121}" dateTime="2014-02-06T14:54:27" maxSheetId="7" userName="Jalee Miller" r:id="rId25" minRId="1334" maxRId="1340">
    <sheetIdMap count="6">
      <sheetId val="1"/>
      <sheetId val="2"/>
      <sheetId val="3"/>
      <sheetId val="4"/>
      <sheetId val="5"/>
      <sheetId val="6"/>
    </sheetIdMap>
  </header>
  <header guid="{0145DD33-CD98-447F-90AB-559A5ED59ED5}" dateTime="2014-02-06T14:57:34" maxSheetId="7" userName="Jalee Miller" r:id="rId26" minRId="1341" maxRId="1346">
    <sheetIdMap count="6">
      <sheetId val="1"/>
      <sheetId val="2"/>
      <sheetId val="3"/>
      <sheetId val="4"/>
      <sheetId val="5"/>
      <sheetId val="6"/>
    </sheetIdMap>
  </header>
  <header guid="{D0F301B0-2363-43E4-92CF-C5023B94E048}" dateTime="2014-02-06T15:00:00" maxSheetId="7" userName="Jalee Miller" r:id="rId27" minRId="1347" maxRId="1354">
    <sheetIdMap count="6">
      <sheetId val="1"/>
      <sheetId val="2"/>
      <sheetId val="3"/>
      <sheetId val="4"/>
      <sheetId val="5"/>
      <sheetId val="6"/>
    </sheetIdMap>
  </header>
  <header guid="{3F659735-60DB-4661-A7B7-281A1E7E70D0}" dateTime="2014-02-06T15:02:08" maxSheetId="7" userName="Jalee Miller" r:id="rId28" minRId="1355" maxRId="1358">
    <sheetIdMap count="6">
      <sheetId val="1"/>
      <sheetId val="2"/>
      <sheetId val="3"/>
      <sheetId val="4"/>
      <sheetId val="5"/>
      <sheetId val="6"/>
    </sheetIdMap>
  </header>
  <header guid="{C87D48A7-24AF-45BB-BF7F-AEC0C506A6B1}" dateTime="2014-02-06T15:03:28" maxSheetId="7" userName="Jalee Miller" r:id="rId29" minRId="1359" maxRId="1554">
    <sheetIdMap count="6">
      <sheetId val="1"/>
      <sheetId val="2"/>
      <sheetId val="3"/>
      <sheetId val="4"/>
      <sheetId val="5"/>
      <sheetId val="6"/>
    </sheetIdMap>
  </header>
  <header guid="{AAFC5D86-186D-48A1-B23A-7F37EBF314CD}" dateTime="2014-02-06T15:04:07" maxSheetId="7" userName="Jalee Miller" r:id="rId30" minRId="1555" maxRId="1556">
    <sheetIdMap count="6">
      <sheetId val="1"/>
      <sheetId val="2"/>
      <sheetId val="3"/>
      <sheetId val="4"/>
      <sheetId val="5"/>
      <sheetId val="6"/>
    </sheetIdMap>
  </header>
  <header guid="{7229A57D-3A34-4EB0-9EAD-B505D3AC492F}" dateTime="2014-02-06T15:05:37" maxSheetId="7" userName="Jalee Miller" r:id="rId31" minRId="1557" maxRId="1562">
    <sheetIdMap count="6">
      <sheetId val="1"/>
      <sheetId val="2"/>
      <sheetId val="3"/>
      <sheetId val="4"/>
      <sheetId val="5"/>
      <sheetId val="6"/>
    </sheetIdMap>
  </header>
  <header guid="{43DF7AB3-E8CD-40AE-A0CB-CB7664852DD2}" dateTime="2014-02-06T15:18:35" maxSheetId="7" userName="Evan D. Schoenberg, M.D." r:id="rId32" minRId="1563" maxRId="1691">
    <sheetIdMap count="6">
      <sheetId val="1"/>
      <sheetId val="2"/>
      <sheetId val="3"/>
      <sheetId val="4"/>
      <sheetId val="5"/>
      <sheetId val="6"/>
    </sheetIdMap>
  </header>
  <header guid="{E3EEA731-97FB-43AD-BEEB-EB58DD02756E}" dateTime="2014-02-06T15:20:26" maxSheetId="7" userName="Evan D. Schoenberg, M.D." r:id="rId33" minRId="1692" maxRId="1819">
    <sheetIdMap count="6">
      <sheetId val="1"/>
      <sheetId val="2"/>
      <sheetId val="3"/>
      <sheetId val="4"/>
      <sheetId val="5"/>
      <sheetId val="6"/>
    </sheetIdMap>
  </header>
  <header guid="{DE9F978C-A9D6-4196-B0A0-53A0B3A75BEC}" dateTime="2014-02-06T15:25:07" maxSheetId="7" userName="Jalee Miller" r:id="rId34" minRId="1820" maxRId="1884">
    <sheetIdMap count="6">
      <sheetId val="1"/>
      <sheetId val="2"/>
      <sheetId val="3"/>
      <sheetId val="4"/>
      <sheetId val="5"/>
      <sheetId val="6"/>
    </sheetIdMap>
  </header>
  <header guid="{6E5EAFD3-AE51-4F14-8583-BDA1341C9EAB}" dateTime="2014-02-06T15:40:07" maxSheetId="7" userName="Jalee Miller" r:id="rId35" minRId="1885" maxRId="1932">
    <sheetIdMap count="6">
      <sheetId val="1"/>
      <sheetId val="2"/>
      <sheetId val="3"/>
      <sheetId val="4"/>
      <sheetId val="5"/>
      <sheetId val="6"/>
    </sheetIdMap>
  </header>
  <header guid="{A3874CF4-8EE6-429E-A547-2DC33FFA6087}" dateTime="2014-02-06T15:48:16" maxSheetId="7" userName="Jalee Miller" r:id="rId36" minRId="1933" maxRId="1938">
    <sheetIdMap count="6">
      <sheetId val="1"/>
      <sheetId val="2"/>
      <sheetId val="3"/>
      <sheetId val="4"/>
      <sheetId val="5"/>
      <sheetId val="6"/>
    </sheetIdMap>
  </header>
  <header guid="{E954400C-FDA5-4B05-A901-2EB92B184837}" dateTime="2014-02-06T15:59:06" maxSheetId="7" userName="Jalee Miller" r:id="rId37" minRId="1939" maxRId="1988">
    <sheetIdMap count="6">
      <sheetId val="1"/>
      <sheetId val="2"/>
      <sheetId val="3"/>
      <sheetId val="4"/>
      <sheetId val="5"/>
      <sheetId val="6"/>
    </sheetIdMap>
  </header>
  <header guid="{3E57DEB8-E54C-47BF-83B5-2BC6AD4905AE}" dateTime="2014-02-06T16:00:11" maxSheetId="7" userName="Jalee Miller" r:id="rId38" minRId="1989" maxRId="2002">
    <sheetIdMap count="6">
      <sheetId val="1"/>
      <sheetId val="2"/>
      <sheetId val="3"/>
      <sheetId val="4"/>
      <sheetId val="5"/>
      <sheetId val="6"/>
    </sheetIdMap>
  </header>
  <header guid="{30D08013-A3DA-4835-B255-75FC5A6B20BF}" dateTime="2014-02-11T12:52:46" maxSheetId="7" userName="Evan D. Schoenberg, M.D." r:id="rId39" minRId="2003" maxRId="2145">
    <sheetIdMap count="6">
      <sheetId val="1"/>
      <sheetId val="2"/>
      <sheetId val="3"/>
      <sheetId val="4"/>
      <sheetId val="5"/>
      <sheetId val="6"/>
    </sheetIdMap>
  </header>
  <header guid="{41CA886E-7EC3-46A5-80F0-26A52C8E5D89}" dateTime="2014-02-11T13:01:44" maxSheetId="7" userName="Evan D. Schoenberg, M.D." r:id="rId40" minRId="2146" maxRId="2171">
    <sheetIdMap count="6">
      <sheetId val="1"/>
      <sheetId val="2"/>
      <sheetId val="3"/>
      <sheetId val="4"/>
      <sheetId val="5"/>
      <sheetId val="6"/>
    </sheetIdMap>
  </header>
  <header guid="{0CFDE381-9D11-4C71-9DF1-325191B09E4F}" dateTime="2014-02-11T13:10:49" maxSheetId="7" userName="Evan D. Schoenberg, M.D." r:id="rId41" minRId="2172" maxRId="2271">
    <sheetIdMap count="6">
      <sheetId val="1"/>
      <sheetId val="2"/>
      <sheetId val="3"/>
      <sheetId val="4"/>
      <sheetId val="5"/>
      <sheetId val="6"/>
    </sheetIdMap>
  </header>
  <header guid="{BEF59B4C-1D4B-4954-91FB-31EB5ED5A4CB}" dateTime="2014-02-17T09:16:19" maxSheetId="7" userName="Evan D. Schoenberg, M.D." r:id="rId42" minRId="2272" maxRId="2662">
    <sheetIdMap count="6">
      <sheetId val="1"/>
      <sheetId val="2"/>
      <sheetId val="3"/>
      <sheetId val="4"/>
      <sheetId val="5"/>
      <sheetId val="6"/>
    </sheetIdMap>
  </header>
  <header guid="{3A9E9D93-E70A-41E0-B966-6F9B1F684EB2}" dateTime="2014-02-17T09:22:25" maxSheetId="7" userName="Evan D. Schoenberg, M.D." r:id="rId43" minRId="2663" maxRId="2788">
    <sheetIdMap count="6">
      <sheetId val="1"/>
      <sheetId val="2"/>
      <sheetId val="3"/>
      <sheetId val="4"/>
      <sheetId val="5"/>
      <sheetId val="6"/>
    </sheetIdMap>
  </header>
  <header guid="{F995D676-97EC-4AF2-8168-E94CACD1C955}" dateTime="2014-02-18T17:34:30" maxSheetId="7" userName="Evan D. Schoenberg, M.D." r:id="rId44" minRId="2789" maxRId="2821">
    <sheetIdMap count="6">
      <sheetId val="1"/>
      <sheetId val="2"/>
      <sheetId val="3"/>
      <sheetId val="4"/>
      <sheetId val="5"/>
      <sheetId val="6"/>
    </sheetIdMap>
  </header>
  <header guid="{B9F4390D-7CCD-41D1-A252-BCA13163336D}" dateTime="2014-02-20T09:47:41" maxSheetId="7" userName="Evan D. Schoenberg, M.D." r:id="rId45" minRId="2822" maxRId="2837">
    <sheetIdMap count="6">
      <sheetId val="1"/>
      <sheetId val="2"/>
      <sheetId val="3"/>
      <sheetId val="4"/>
      <sheetId val="5"/>
      <sheetId val="6"/>
    </sheetIdMap>
  </header>
  <header guid="{5288DB48-A2E9-4330-AAB6-29E12AE803BE}" dateTime="2014-02-24T07:02:44" maxSheetId="7" userName="Evan D. Schoenberg, M.D." r:id="rId46" minRId="2838" maxRId="2852">
    <sheetIdMap count="6">
      <sheetId val="1"/>
      <sheetId val="2"/>
      <sheetId val="3"/>
      <sheetId val="4"/>
      <sheetId val="5"/>
      <sheetId val="6"/>
    </sheetIdMap>
  </header>
  <header guid="{39EF2EC9-A73F-443A-970B-E124A6FC2355}" dateTime="2014-02-24T13:52:54" maxSheetId="7" userName="Jalee Miller" r:id="rId47" minRId="2854">
    <sheetIdMap count="6">
      <sheetId val="1"/>
      <sheetId val="2"/>
      <sheetId val="3"/>
      <sheetId val="4"/>
      <sheetId val="5"/>
      <sheetId val="6"/>
    </sheetIdMap>
  </header>
  <header guid="{69D105D2-61F5-4036-B696-564A72A7D045}" dateTime="2014-02-24T14:07:24" maxSheetId="7" userName="Jalee Miller" r:id="rId48" minRId="2855" maxRId="2864">
    <sheetIdMap count="6">
      <sheetId val="1"/>
      <sheetId val="2"/>
      <sheetId val="3"/>
      <sheetId val="4"/>
      <sheetId val="5"/>
      <sheetId val="6"/>
    </sheetIdMap>
  </header>
  <header guid="{26447B40-4534-43B8-A5E5-DAF9248A9F3A}" dateTime="2014-02-24T15:22:24" maxSheetId="7" userName="Jalee Miller" r:id="rId49" minRId="2865" maxRId="2866">
    <sheetIdMap count="6">
      <sheetId val="1"/>
      <sheetId val="2"/>
      <sheetId val="3"/>
      <sheetId val="4"/>
      <sheetId val="5"/>
      <sheetId val="6"/>
    </sheetIdMap>
  </header>
  <header guid="{22D48AE6-8829-4591-AA0C-310271FB9F0B}" dateTime="2014-02-24T16:07:24" maxSheetId="7" userName="Jalee Miller" r:id="rId50" minRId="2867">
    <sheetIdMap count="6">
      <sheetId val="1"/>
      <sheetId val="2"/>
      <sheetId val="3"/>
      <sheetId val="4"/>
      <sheetId val="5"/>
      <sheetId val="6"/>
    </sheetIdMap>
  </header>
  <header guid="{7E5AE1E9-2F9B-4999-8A16-FD34D3F19488}" dateTime="2014-02-24T16:10:06" maxSheetId="7" userName="Jalee Miller" r:id="rId51" minRId="2868" maxRId="2884">
    <sheetIdMap count="6">
      <sheetId val="1"/>
      <sheetId val="2"/>
      <sheetId val="3"/>
      <sheetId val="4"/>
      <sheetId val="5"/>
      <sheetId val="6"/>
    </sheetIdMap>
  </header>
  <header guid="{324857C9-8396-4972-A52E-5D025DB10238}" dateTime="2014-02-24T16:16:44" maxSheetId="7" userName="Jalee Miller" r:id="rId52" minRId="2885" maxRId="2888">
    <sheetIdMap count="6">
      <sheetId val="1"/>
      <sheetId val="2"/>
      <sheetId val="3"/>
      <sheetId val="4"/>
      <sheetId val="5"/>
      <sheetId val="6"/>
    </sheetIdMap>
  </header>
  <header guid="{27BF7915-9C1F-4075-941A-90E7D875DB9A}" dateTime="2014-02-24T16:20:41" maxSheetId="7" userName="Jalee Miller" r:id="rId53" minRId="2889" maxRId="2890">
    <sheetIdMap count="6">
      <sheetId val="1"/>
      <sheetId val="2"/>
      <sheetId val="3"/>
      <sheetId val="4"/>
      <sheetId val="5"/>
      <sheetId val="6"/>
    </sheetIdMap>
  </header>
  <header guid="{D2E36163-9F87-4A14-AE6E-75B1DD33A521}" dateTime="2014-02-25T09:30:52" maxSheetId="7" userName="Evan D. Schoenberg, M.D." r:id="rId54" minRId="2891" maxRId="2900">
    <sheetIdMap count="6">
      <sheetId val="1"/>
      <sheetId val="2"/>
      <sheetId val="3"/>
      <sheetId val="4"/>
      <sheetId val="5"/>
      <sheetId val="6"/>
    </sheetIdMap>
  </header>
  <header guid="{F1406A26-DA05-4F7B-AA61-B3BCD845B1C6}" dateTime="2014-02-25T10:12:45" maxSheetId="7" userName="Jalee Miller" r:id="rId55" minRId="2901">
    <sheetIdMap count="6">
      <sheetId val="1"/>
      <sheetId val="2"/>
      <sheetId val="3"/>
      <sheetId val="4"/>
      <sheetId val="5"/>
      <sheetId val="6"/>
    </sheetIdMap>
  </header>
  <header guid="{BEA2D1BF-9841-4604-A2F4-810F8F64F723}" dateTime="2014-02-25T10:13:56" maxSheetId="7" userName="Jalee Miller" r:id="rId56" minRId="2902" maxRId="2904">
    <sheetIdMap count="6">
      <sheetId val="1"/>
      <sheetId val="2"/>
      <sheetId val="3"/>
      <sheetId val="4"/>
      <sheetId val="5"/>
      <sheetId val="6"/>
    </sheetIdMap>
  </header>
  <header guid="{E3F0E602-720D-472D-B4FB-F7F1D61D6FF4}" dateTime="2014-02-25T10:15:00" maxSheetId="7" userName="Evan D. Schoenberg, M.D." r:id="rId57" minRId="2905" maxRId="3037">
    <sheetIdMap count="6">
      <sheetId val="1"/>
      <sheetId val="2"/>
      <sheetId val="3"/>
      <sheetId val="4"/>
      <sheetId val="5"/>
      <sheetId val="6"/>
    </sheetIdMap>
  </header>
  <header guid="{2D9D2D97-3943-4914-A3EE-7D906D865E91}" dateTime="2014-02-25T10:15:43" maxSheetId="7" userName="Jalee Miller" r:id="rId58" minRId="3038" maxRId="3042">
    <sheetIdMap count="6">
      <sheetId val="1"/>
      <sheetId val="2"/>
      <sheetId val="3"/>
      <sheetId val="4"/>
      <sheetId val="5"/>
      <sheetId val="6"/>
    </sheetIdMap>
  </header>
  <header guid="{A70D0D2E-FE5E-4421-BC91-B8FD64B206CB}" dateTime="2014-02-25T10:16:41" maxSheetId="7" userName="Jalee Miller" r:id="rId59" minRId="3043" maxRId="3045">
    <sheetIdMap count="6">
      <sheetId val="1"/>
      <sheetId val="2"/>
      <sheetId val="3"/>
      <sheetId val="4"/>
      <sheetId val="5"/>
      <sheetId val="6"/>
    </sheetIdMap>
  </header>
  <header guid="{A574830D-CC14-42CD-A4CD-2BAF58BD03E0}" dateTime="2014-02-25T10:17:39" maxSheetId="7" userName="Jalee Miller" r:id="rId60" minRId="3046" maxRId="3047">
    <sheetIdMap count="6">
      <sheetId val="1"/>
      <sheetId val="2"/>
      <sheetId val="3"/>
      <sheetId val="4"/>
      <sheetId val="5"/>
      <sheetId val="6"/>
    </sheetIdMap>
  </header>
  <header guid="{FCF63251-DC70-4A43-8E40-20A4B52C8531}" dateTime="2014-02-25T10:18:03" maxSheetId="7" userName="Jalee Miller" r:id="rId61" minRId="3048">
    <sheetIdMap count="6">
      <sheetId val="1"/>
      <sheetId val="2"/>
      <sheetId val="3"/>
      <sheetId val="4"/>
      <sheetId val="5"/>
      <sheetId val="6"/>
    </sheetIdMap>
  </header>
  <header guid="{32330E24-61C7-4D87-B4BD-6FDF2332AF42}" dateTime="2014-02-25T10:19:58" maxSheetId="7" userName="Jalee Miller" r:id="rId62" minRId="3049" maxRId="3055">
    <sheetIdMap count="6">
      <sheetId val="1"/>
      <sheetId val="2"/>
      <sheetId val="3"/>
      <sheetId val="4"/>
      <sheetId val="5"/>
      <sheetId val="6"/>
    </sheetIdMap>
  </header>
  <header guid="{CC88B563-CB9C-4725-9FC4-47BFCBBCFBDE}" dateTime="2014-02-25T10:21:14" maxSheetId="7" userName="Jalee Miller" r:id="rId63" minRId="3056" maxRId="3060">
    <sheetIdMap count="6">
      <sheetId val="1"/>
      <sheetId val="2"/>
      <sheetId val="3"/>
      <sheetId val="4"/>
      <sheetId val="5"/>
      <sheetId val="6"/>
    </sheetIdMap>
  </header>
  <header guid="{C2ED0D3D-9604-4013-BAA0-AB021652D011}" dateTime="2014-02-25T10:21:56" maxSheetId="7" userName="Jalee Miller" r:id="rId64" minRId="3061" maxRId="3062">
    <sheetIdMap count="6">
      <sheetId val="1"/>
      <sheetId val="2"/>
      <sheetId val="3"/>
      <sheetId val="4"/>
      <sheetId val="5"/>
      <sheetId val="6"/>
    </sheetIdMap>
  </header>
  <header guid="{0C09EF6B-09E9-4204-9044-96632B120017}" dateTime="2014-02-25T10:22:39" maxSheetId="7" userName="Jalee Miller" r:id="rId65" minRId="3063" maxRId="3066">
    <sheetIdMap count="6">
      <sheetId val="1"/>
      <sheetId val="2"/>
      <sheetId val="3"/>
      <sheetId val="4"/>
      <sheetId val="5"/>
      <sheetId val="6"/>
    </sheetIdMap>
  </header>
  <header guid="{85A144AB-D67B-4514-9DA1-73EDC2A7DF31}" dateTime="2014-02-25T10:23:14" maxSheetId="7" userName="Jalee Miller" r:id="rId66" minRId="3067" maxRId="3070">
    <sheetIdMap count="6">
      <sheetId val="1"/>
      <sheetId val="2"/>
      <sheetId val="3"/>
      <sheetId val="4"/>
      <sheetId val="5"/>
      <sheetId val="6"/>
    </sheetIdMap>
  </header>
  <header guid="{7027122E-F4AB-468A-AFD8-E1D184E04D92}" dateTime="2014-02-25T10:24:00" maxSheetId="7" userName="Jalee Miller" r:id="rId67" minRId="3071" maxRId="3074">
    <sheetIdMap count="6">
      <sheetId val="1"/>
      <sheetId val="2"/>
      <sheetId val="3"/>
      <sheetId val="4"/>
      <sheetId val="5"/>
      <sheetId val="6"/>
    </sheetIdMap>
  </header>
  <header guid="{F174A210-724C-4DE9-AFE6-1125906F2DFE}" dateTime="2014-02-25T10:26:36" maxSheetId="7" userName="Jalee Miller" r:id="rId68" minRId="3075" maxRId="3082">
    <sheetIdMap count="6">
      <sheetId val="1"/>
      <sheetId val="2"/>
      <sheetId val="3"/>
      <sheetId val="4"/>
      <sheetId val="5"/>
      <sheetId val="6"/>
    </sheetIdMap>
  </header>
  <header guid="{0BC95931-9279-4035-AF6F-D1E617F26EFC}" dateTime="2014-02-25T10:28:14" maxSheetId="7" userName="Jalee Miller" r:id="rId69" minRId="3083" maxRId="3086">
    <sheetIdMap count="6">
      <sheetId val="1"/>
      <sheetId val="2"/>
      <sheetId val="3"/>
      <sheetId val="4"/>
      <sheetId val="5"/>
      <sheetId val="6"/>
    </sheetIdMap>
  </header>
  <header guid="{9A7AEAF3-53A1-4FBE-8E0C-BB5F49606D64}" dateTime="2014-02-25T10:29:37" maxSheetId="7" userName="Jalee Miller" r:id="rId70" minRId="3087" maxRId="3092">
    <sheetIdMap count="6">
      <sheetId val="1"/>
      <sheetId val="2"/>
      <sheetId val="3"/>
      <sheetId val="4"/>
      <sheetId val="5"/>
      <sheetId val="6"/>
    </sheetIdMap>
  </header>
  <header guid="{DD623721-6778-41AF-9B24-30ABAF880517}" dateTime="2014-02-25T10:31:02" maxSheetId="7" userName="Jalee Miller" r:id="rId71" minRId="3093" maxRId="3096">
    <sheetIdMap count="6">
      <sheetId val="1"/>
      <sheetId val="2"/>
      <sheetId val="3"/>
      <sheetId val="4"/>
      <sheetId val="5"/>
      <sheetId val="6"/>
    </sheetIdMap>
  </header>
  <header guid="{CCB5BB30-6604-4628-BE74-FE383FD989C2}" dateTime="2014-02-25T10:32:39" maxSheetId="7" userName="Jalee Miller" r:id="rId72" minRId="3097" maxRId="3100">
    <sheetIdMap count="6">
      <sheetId val="1"/>
      <sheetId val="2"/>
      <sheetId val="3"/>
      <sheetId val="4"/>
      <sheetId val="5"/>
      <sheetId val="6"/>
    </sheetIdMap>
  </header>
  <header guid="{FD48FD89-A2F5-49F4-9B41-C9AEA9722656}" dateTime="2014-02-25T10:33:48" maxSheetId="7" userName="Jalee Miller" r:id="rId73" minRId="3101">
    <sheetIdMap count="6">
      <sheetId val="1"/>
      <sheetId val="2"/>
      <sheetId val="3"/>
      <sheetId val="4"/>
      <sheetId val="5"/>
      <sheetId val="6"/>
    </sheetIdMap>
  </header>
  <header guid="{101E37DE-98B4-4A30-A88B-EB5D27AE77DC}" dateTime="2014-02-25T10:34:01" maxSheetId="7" userName="Jalee Miller" r:id="rId74" minRId="3102">
    <sheetIdMap count="6">
      <sheetId val="1"/>
      <sheetId val="2"/>
      <sheetId val="3"/>
      <sheetId val="4"/>
      <sheetId val="5"/>
      <sheetId val="6"/>
    </sheetIdMap>
  </header>
  <header guid="{2C5562F8-026B-47D4-B4CC-52BB2DCAC942}" dateTime="2014-02-25T10:34:58" maxSheetId="7" userName="Jalee Miller" r:id="rId75" minRId="3103" maxRId="3104">
    <sheetIdMap count="6">
      <sheetId val="1"/>
      <sheetId val="2"/>
      <sheetId val="3"/>
      <sheetId val="4"/>
      <sheetId val="5"/>
      <sheetId val="6"/>
    </sheetIdMap>
  </header>
  <header guid="{0085F7C5-3D8A-4551-B4E8-B891DEEC0159}" dateTime="2014-02-25T10:38:12" maxSheetId="7" userName="Jalee Miller" r:id="rId76" minRId="3105" maxRId="3113">
    <sheetIdMap count="6">
      <sheetId val="1"/>
      <sheetId val="2"/>
      <sheetId val="3"/>
      <sheetId val="4"/>
      <sheetId val="5"/>
      <sheetId val="6"/>
    </sheetIdMap>
  </header>
  <header guid="{5AB870B4-41B3-422F-9B2F-533115ACD667}" dateTime="2014-02-25T10:38:38" maxSheetId="7" userName="Jalee Miller" r:id="rId77" minRId="3114">
    <sheetIdMap count="6">
      <sheetId val="1"/>
      <sheetId val="2"/>
      <sheetId val="3"/>
      <sheetId val="4"/>
      <sheetId val="5"/>
      <sheetId val="6"/>
    </sheetIdMap>
  </header>
  <header guid="{7C66E150-9979-4F5A-B5AC-CE0AFD63BF1D}" dateTime="2014-02-25T10:39:52" maxSheetId="7" userName="Jalee Miller" r:id="rId78" minRId="3115" maxRId="3118">
    <sheetIdMap count="6">
      <sheetId val="1"/>
      <sheetId val="2"/>
      <sheetId val="3"/>
      <sheetId val="4"/>
      <sheetId val="5"/>
      <sheetId val="6"/>
    </sheetIdMap>
  </header>
  <header guid="{AF0D6BDA-B976-4066-9314-780BD8ABD3A1}" dateTime="2014-02-25T10:40:11" maxSheetId="7" userName="Jalee Miller" r:id="rId79" minRId="3119">
    <sheetIdMap count="6">
      <sheetId val="1"/>
      <sheetId val="2"/>
      <sheetId val="3"/>
      <sheetId val="4"/>
      <sheetId val="5"/>
      <sheetId val="6"/>
    </sheetIdMap>
  </header>
  <header guid="{38FA811C-C107-425E-AA9F-D56058E179DC}" dateTime="2014-02-25T10:40:35" maxSheetId="7" userName="Jalee Miller" r:id="rId80" minRId="3120">
    <sheetIdMap count="6">
      <sheetId val="1"/>
      <sheetId val="2"/>
      <sheetId val="3"/>
      <sheetId val="4"/>
      <sheetId val="5"/>
      <sheetId val="6"/>
    </sheetIdMap>
  </header>
  <header guid="{D2770AC1-FF53-46B1-B792-FE006985A0BD}" dateTime="2014-02-25T10:41:06" maxSheetId="7" userName="Jalee Miller" r:id="rId81" minRId="3121">
    <sheetIdMap count="6">
      <sheetId val="1"/>
      <sheetId val="2"/>
      <sheetId val="3"/>
      <sheetId val="4"/>
      <sheetId val="5"/>
      <sheetId val="6"/>
    </sheetIdMap>
  </header>
  <header guid="{3D047370-BD8F-4F78-9481-5D39E70D7FF7}" dateTime="2014-02-25T10:41:25" maxSheetId="7" userName="Jalee Miller" r:id="rId82" minRId="3122" maxRId="3123">
    <sheetIdMap count="6">
      <sheetId val="1"/>
      <sheetId val="2"/>
      <sheetId val="3"/>
      <sheetId val="4"/>
      <sheetId val="5"/>
      <sheetId val="6"/>
    </sheetIdMap>
  </header>
  <header guid="{611D1635-9128-428F-A3DC-EB160B1E6A39}" dateTime="2014-02-25T10:42:02" maxSheetId="7" userName="Jalee Miller" r:id="rId83" minRId="3124" maxRId="3125">
    <sheetIdMap count="6">
      <sheetId val="1"/>
      <sheetId val="2"/>
      <sheetId val="3"/>
      <sheetId val="4"/>
      <sheetId val="5"/>
      <sheetId val="6"/>
    </sheetIdMap>
  </header>
  <header guid="{715F04E0-B671-4C3F-A613-429E38204DE6}" dateTime="2014-02-25T10:42:25" maxSheetId="7" userName="Jalee Miller" r:id="rId84" minRId="3126">
    <sheetIdMap count="6">
      <sheetId val="1"/>
      <sheetId val="2"/>
      <sheetId val="3"/>
      <sheetId val="4"/>
      <sheetId val="5"/>
      <sheetId val="6"/>
    </sheetIdMap>
  </header>
  <header guid="{0C913A15-B5E7-4FF3-ABB3-EF2AD3A70FB5}" dateTime="2014-02-25T10:43:47" maxSheetId="7" userName="Jalee Miller" r:id="rId85" minRId="3127" maxRId="3131">
    <sheetIdMap count="6">
      <sheetId val="1"/>
      <sheetId val="2"/>
      <sheetId val="3"/>
      <sheetId val="4"/>
      <sheetId val="5"/>
      <sheetId val="6"/>
    </sheetIdMap>
  </header>
  <header guid="{CACC0E4D-838F-4BF1-A89F-9A3E3EC032B6}" dateTime="2014-02-25T10:44:35" maxSheetId="7" userName="Jalee Miller" r:id="rId86" minRId="3132" maxRId="3134">
    <sheetIdMap count="6">
      <sheetId val="1"/>
      <sheetId val="2"/>
      <sheetId val="3"/>
      <sheetId val="4"/>
      <sheetId val="5"/>
      <sheetId val="6"/>
    </sheetIdMap>
  </header>
  <header guid="{1B56E679-78AF-4E54-97FC-66C4E2C9FFBD}" dateTime="2014-02-25T10:44:51" maxSheetId="7" userName="Jalee Miller" r:id="rId87" minRId="3135">
    <sheetIdMap count="6">
      <sheetId val="1"/>
      <sheetId val="2"/>
      <sheetId val="3"/>
      <sheetId val="4"/>
      <sheetId val="5"/>
      <sheetId val="6"/>
    </sheetIdMap>
  </header>
  <header guid="{B14823B9-501A-4DC6-A1DE-54A53FCBAA28}" dateTime="2014-02-25T10:46:03" maxSheetId="7" userName="Jalee Miller" r:id="rId88" minRId="3136" maxRId="3141">
    <sheetIdMap count="6">
      <sheetId val="1"/>
      <sheetId val="2"/>
      <sheetId val="3"/>
      <sheetId val="4"/>
      <sheetId val="5"/>
      <sheetId val="6"/>
    </sheetIdMap>
  </header>
  <header guid="{6B2A1AFA-2929-4F42-9C55-E4D1392030DB}" dateTime="2014-02-25T10:52:45" maxSheetId="7" userName="Jalee Miller" r:id="rId89" minRId="3142" maxRId="3144">
    <sheetIdMap count="6">
      <sheetId val="1"/>
      <sheetId val="2"/>
      <sheetId val="3"/>
      <sheetId val="4"/>
      <sheetId val="5"/>
      <sheetId val="6"/>
    </sheetIdMap>
  </header>
  <header guid="{99327A29-F290-4636-A8F8-28DBD7A80ECF}" dateTime="2014-02-25T13:11:28" maxSheetId="7" userName="Jalee Miller" r:id="rId90" minRId="3145" maxRId="3168">
    <sheetIdMap count="6">
      <sheetId val="1"/>
      <sheetId val="2"/>
      <sheetId val="3"/>
      <sheetId val="4"/>
      <sheetId val="5"/>
      <sheetId val="6"/>
    </sheetIdMap>
  </header>
  <header guid="{FFBE4C4A-B865-412D-B954-02B047B9BEC8}" dateTime="2014-02-25T13:11:52" maxSheetId="7" userName="Jalee Miller" r:id="rId91" minRId="3169" maxRId="3172">
    <sheetIdMap count="6">
      <sheetId val="1"/>
      <sheetId val="2"/>
      <sheetId val="3"/>
      <sheetId val="4"/>
      <sheetId val="5"/>
      <sheetId val="6"/>
    </sheetIdMap>
  </header>
  <header guid="{D76B5A90-BFBF-4E96-8BBB-F3A6E1B08516}" dateTime="2014-02-25T13:16:53" maxSheetId="7" userName="Jalee Miller" r:id="rId92" minRId="3173" maxRId="3179">
    <sheetIdMap count="6">
      <sheetId val="1"/>
      <sheetId val="2"/>
      <sheetId val="3"/>
      <sheetId val="4"/>
      <sheetId val="5"/>
      <sheetId val="6"/>
    </sheetIdMap>
  </header>
  <header guid="{4A80562D-326B-4899-9631-A400E4E067ED}" dateTime="2014-02-25T13:19:39" maxSheetId="7" userName="Jalee Miller" r:id="rId93" minRId="3180" maxRId="3193">
    <sheetIdMap count="6">
      <sheetId val="1"/>
      <sheetId val="2"/>
      <sheetId val="3"/>
      <sheetId val="4"/>
      <sheetId val="5"/>
      <sheetId val="6"/>
    </sheetIdMap>
  </header>
  <header guid="{18F2BE00-DADD-4B81-8C08-EC7D279EECC6}" dateTime="2014-02-25T13:20:51" maxSheetId="7" userName="Evan D. Schoenberg, M.D." r:id="rId94" minRId="3194">
    <sheetIdMap count="6">
      <sheetId val="1"/>
      <sheetId val="2"/>
      <sheetId val="3"/>
      <sheetId val="4"/>
      <sheetId val="5"/>
      <sheetId val="6"/>
    </sheetIdMap>
  </header>
  <header guid="{C43FEDBC-E7D8-4E9B-B4E0-2DA8F785A7F7}" dateTime="2014-02-25T13:20:52" maxSheetId="7" userName="Jalee Miller" r:id="rId95" minRId="3195" maxRId="3196">
    <sheetIdMap count="6">
      <sheetId val="1"/>
      <sheetId val="2"/>
      <sheetId val="3"/>
      <sheetId val="4"/>
      <sheetId val="5"/>
      <sheetId val="6"/>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 sId="1" numFmtId="4">
    <nc r="T27">
      <v>-8.25</v>
    </nc>
  </rcc>
  <rcc rId="2" sId="1" numFmtId="4">
    <nc r="U27">
      <v>0.75</v>
    </nc>
  </rcc>
  <rcc rId="3" sId="1">
    <nc r="V27">
      <v>56</v>
    </nc>
  </rcc>
  <rcc rId="4" sId="1">
    <oc r="W31">
      <v>300</v>
    </oc>
    <nc r="W31">
      <v>30</v>
    </nc>
  </rcc>
  <rcc rId="5" sId="1" numFmtId="4">
    <nc r="T31">
      <v>-8.5</v>
    </nc>
  </rcc>
  <rcc rId="6" sId="1" numFmtId="4">
    <nc r="U31">
      <v>1.25</v>
    </nc>
  </rcc>
  <rcc rId="7" sId="1">
    <nc r="V31">
      <v>105</v>
    </nc>
  </rcc>
  <rcv guid="{54C114DD-C157-4E30-91DC-9B94C55E8054}" action="delete"/>
  <rdn rId="0" localSheetId="1" customView="1" name="Z_54C114DD_C157_4E30_91DC_9B94C55E8054_.wvu.Cols" hidden="1" oldHidden="1">
    <formula>Data!$A:$C,Data!$E:$H,Data!$CH:$CI</formula>
    <oldFormula>Data!$A:$C,Data!$E:$H,Data!$CH:$CI</oldFormula>
  </rdn>
  <rcv guid="{54C114DD-C157-4E30-91DC-9B94C55E8054}"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 sId="1">
    <oc r="K2" t="inlineStr">
      <is>
        <t>Prominent eye - 1975
Dry eyes
Fuchs Dystrophy, cataract</t>
      </is>
    </oc>
    <nc r="K2"/>
  </rcc>
  <rcc rId="10" sId="1">
    <oc r="L2" t="inlineStr">
      <is>
        <t>Chicken pox
Overactive thyroid / Graves
Underactive thyroid
Eczema
Psoriasis</t>
      </is>
    </oc>
    <nc r="L2"/>
  </rcc>
  <rcc rId="11" sId="1">
    <oc r="M2" t="inlineStr">
      <is>
        <t>09/26/2012 DMEK,Phaco w/IOL OD FWP
7/25/12 DMEK/phaco/IOL OS FWP</t>
      </is>
    </oc>
    <nc r="M2"/>
  </rcc>
  <rcc rId="12" sId="1">
    <oc r="N2" t="inlineStr">
      <is>
        <t>Restasis 0.05 % Dropperette</t>
      </is>
    </oc>
    <nc r="N2"/>
  </rcc>
  <rcc rId="13" sId="1">
    <oc r="O2" t="inlineStr">
      <is>
        <t>Prozac`
Synthroid
Calcium
Fish Oil
ASA
Multivitamin
Vitamin D</t>
      </is>
    </oc>
    <nc r="O2"/>
  </rcc>
  <rcc rId="14" sId="1">
    <oc r="K6" t="inlineStr">
      <is>
        <t>fuchs</t>
      </is>
    </oc>
    <nc r="K6"/>
  </rcc>
  <rcc rId="15" sId="1">
    <oc r="L6" t="inlineStr">
      <is>
        <t>hypertension
hemorrhoids, diabetes</t>
      </is>
    </oc>
    <nc r="L6"/>
  </rcc>
  <rcc rId="16" sId="1">
    <oc r="M6" t="inlineStr">
      <is>
        <t>01/16/2013 DMEK,Phaco w/IOL OD FWP
02/18/2013 DMEK,Phaco w/IOL OS FWP</t>
      </is>
    </oc>
    <nc r="M6"/>
  </rcc>
  <rcc rId="17" sId="1">
    <oc r="N6" t="inlineStr">
      <is>
        <t>Combigan 0.2-0.5 % Drops
FML Liquifilm 0.1 % Drops, Suspension
Systane (PF) 0.4-0.3 % Dropperette</t>
      </is>
    </oc>
    <nc r="N6"/>
  </rcc>
  <rcc rId="18" sId="1">
    <oc r="O6" t="inlineStr">
      <is>
        <t>metformin 1,000 mg Tablet
glimepiride 4 mg Tablet
Lantus 100 unit/mL Solution
atenolol 25 mg Tablet
levothyroxine 100 mcg Capsule
Crestor 20 mg Tablet
Bayer Childrens Aspirin 81 mg Tablet, Chewable
doxycycline hyclate 20 mg Tablet
Fish Oil 1,000 mg Capsule
Glucosamine 1500 Complex 500-400 mg Capsule
clotrimazole-betamethasone 1-0.05 % Cream
cyclobenzaprine 10 mg Tablet
tramadol 50 mg Tablet
Voltaren 1 % Gel</t>
      </is>
    </oc>
    <nc r="O6"/>
  </rcc>
  <rcc rId="19" sId="1">
    <oc r="K9" t="inlineStr">
      <is>
        <t>Eye injury - Physical assault by HHA
Dry eyes</t>
      </is>
    </oc>
    <nc r="K9"/>
  </rcc>
  <rcc rId="20" sId="1">
    <oc r="L9" t="inlineStr">
      <is>
        <t>Sinus problems
Depression
Chest Pain / Angina
Gastric Reflux
Migraine headache
Eczema
Psoriasis</t>
      </is>
    </oc>
    <nc r="L9"/>
  </rcc>
  <rcc rId="21" sId="1">
    <oc r="M9" t="inlineStr">
      <is>
        <t>10/24/12 DMEK, Phaco with IOL OD FWP
11/21/2012 DMEK, Phaco w/IOL OS FWP</t>
      </is>
    </oc>
    <nc r="M9"/>
  </rcc>
  <rcc rId="22" sId="1">
    <oc r="N9" t="inlineStr">
      <is>
        <t>Artificial Tears Drops
Lastacaft 0.25 % Drops
Pred Forte 1 % Drops, Suspension</t>
      </is>
    </oc>
    <nc r="N9"/>
  </rcc>
  <rcc rId="23" sId="1">
    <oc r="O9" t="inlineStr">
      <is>
        <t>Zanaflex
Zolpidem
Diazepam
Hydromorphone
Midrin
hydrochlorothiazide 25 mg tablet
Gralise 300 mg tablet extended release 24 hr</t>
      </is>
    </oc>
    <nc r="O9"/>
  </rcc>
  <rcc rId="24" sId="1">
    <oc r="K13" t="inlineStr">
      <is>
        <t>?amblyopia OD</t>
      </is>
    </oc>
    <nc r="K13"/>
  </rcc>
  <rcc rId="25" sId="1">
    <oc r="L13" t="inlineStr">
      <is>
        <t>S/P shingles 1969 and 2007 trunk area</t>
      </is>
    </oc>
    <nc r="L13"/>
  </rcc>
  <rcc rId="26" sId="1">
    <oc r="M13" t="inlineStr">
      <is>
        <t>10/31/12 DMEK, Phaco w IOL, SK w MMC OD FWP
6/16/11 Phaco w IOL OS FWP
7/27/11 DMEK OS FWP
07/02/12 YAG cap OS FWP
6/26/12 YAG caps OS FWP
09/02/08 YAG PI OD FWP
11/ 2008 Yag PI OS-FWP</t>
      </is>
    </oc>
    <nc r="M13"/>
  </rcc>
  <rcc rId="27" sId="1">
    <oc r="N13" t="inlineStr">
      <is>
        <t>Systane 0.4-0.3 % Drops</t>
      </is>
    </oc>
    <nc r="N13"/>
  </rcc>
  <rcc rId="28" sId="1">
    <oc r="O13" t="inlineStr">
      <is>
        <t>fluoxetine 10 mg Capsule
Mobic 15 mg Tablet
meloxicam 7.5 mg Tablet
Advil PM 200-38 mg Tablet</t>
      </is>
    </oc>
    <nc r="O13"/>
  </rcc>
  <rcc rId="29" sId="1">
    <oc r="K20" t="inlineStr">
      <is>
        <t>Fuchs, cataracts</t>
      </is>
    </oc>
    <nc r="K20"/>
  </rcc>
  <rcc rId="30" sId="1">
    <oc r="L20" t="inlineStr">
      <is>
        <t>HTN, NIDM, thyroid Ds</t>
      </is>
    </oc>
    <nc r="L20"/>
  </rcc>
  <rcc rId="31" sId="1">
    <oc r="M20" t="inlineStr">
      <is>
        <t>YAG Capsulotomy OD, repeat
YAG OS
DMEK, Phaco with IOL OD FWP
YAG OD
10/31/2012 DMEK,Phaco w /IOL OS FWP</t>
      </is>
    </oc>
    <nc r="M20"/>
  </rcc>
  <rcc rId="32" sId="1">
    <oc r="N20" t="inlineStr">
      <is>
        <t>Pred Forte 1 % drops,suspension
Refresh Optive Sensitive (PF) 0.5-0.9 % dropperette</t>
      </is>
    </oc>
    <nc r="N20"/>
  </rcc>
  <rcc rId="33" sId="1">
    <oc r="O20" t="inlineStr">
      <is>
        <t>glipizide 5 mg tablet
metformin 500 mg tablet
lisinopril 10 mg tablet
metoprolol succinate 50 mg tablet extended release 24 hr
Lasix 40 mg tablet
Klor-Con 20 mEq Packet
Multaq 400 mg tablet</t>
      </is>
    </oc>
    <nc r="O20"/>
  </rcc>
  <rcc rId="34" sId="1">
    <oc r="K21" t="inlineStr">
      <is>
        <t>Fuch's Dystrophy</t>
      </is>
    </oc>
    <nc r="K21"/>
  </rcc>
  <rcc rId="35" sId="1">
    <oc r="L21" t="inlineStr">
      <is>
        <t>High blood pressure
Kidney disease
High cholesterol</t>
      </is>
    </oc>
    <nc r="L21"/>
  </rcc>
  <rcc rId="36" sId="1">
    <oc r="M21" t="inlineStr">
      <is>
        <t>07/25/12 DMEK, Phaco IOL, SK OD FWP
08/02/12 SK OD FWP
10/10/12 DMEK, Phaco with IOL OS FWP
10/16/2012 Air Injection OS
10/20/12 Air injection OS FWP</t>
      </is>
    </oc>
    <nc r="M21"/>
  </rcc>
  <rcc rId="37" sId="1">
    <oc r="N21" t="inlineStr">
      <is>
        <t>FML Liquifilm 0.1 % Drops, Suspension
timolol 0.5 % Drops</t>
      </is>
    </oc>
    <nc r="N21"/>
  </rcc>
  <rcc rId="38" sId="1">
    <oc r="O21" t="inlineStr">
      <is>
        <t>lisinopril-hydrochlorothiazide 20-12.5 mg Tablet
Toprol XL 25 mg Tablet Extended Release 24 hr</t>
      </is>
    </oc>
    <nc r="O21"/>
  </rcc>
  <rcc rId="39" sId="1">
    <oc r="K22" t="inlineStr">
      <is>
        <t>Fuch's Dystrophy
s/p Post Graft OU
Pseudophakic OU</t>
      </is>
    </oc>
    <nc r="K22"/>
  </rcc>
  <rcc rId="40" sId="1">
    <oc r="L22" t="inlineStr">
      <is>
        <t>high cholesterol</t>
      </is>
    </oc>
    <nc r="L22"/>
  </rcc>
  <rcc rId="41" sId="1">
    <oc r="M22" t="inlineStr">
      <is>
        <t>06/03/09 DMEK w Phaco w IOL OD FWP
06/04/09 DSEK OD FWP</t>
      </is>
    </oc>
    <nc r="M22"/>
  </rcc>
  <rcc rId="42" sId="1">
    <oc r="N22" t="inlineStr">
      <is>
        <t>FML Liquifilm 0.1 % Drops, Suspension
Optive 0.5-0.9 % Drops
Pred Forte 1 % Drops, Suspension</t>
      </is>
    </oc>
    <nc r="N22"/>
  </rcc>
  <rcc rId="43" sId="1">
    <oc r="O22" t="inlineStr">
      <is>
        <t>Evista 60 mg Tablet
Lovastatin 20 mg Tablet
Aspirin 81 mg Tablet
Omega 3 120-180-1000 mg Capsule
Vitamins/Minerals Tablet
Calcium 300 mg Tablet, Chewable</t>
      </is>
    </oc>
    <nc r="O22"/>
  </rcc>
  <rcc rId="44" sId="1">
    <oc r="K26" t="inlineStr">
      <is>
        <t>Fuchs
cataracts
endophthalmitis OD (1/2013)</t>
      </is>
    </oc>
    <nc r="K26"/>
  </rcc>
  <rcc rId="45" sId="1">
    <oc r="L26" t="inlineStr">
      <is>
        <t>High blood pressure
Overactive thyroid / Graves
Eczema
car accident 2008-knee damage</t>
      </is>
    </oc>
    <nc r="L26"/>
  </rcc>
  <rcc rId="46" sId="1">
    <oc r="M26" t="inlineStr">
      <is>
        <t>06/06/2012 DMEK, Phaco w/IOL OS FWP
01/09/2013 DMEK Phaco w/IOL OD FWP
01/14/13 Intra Vitreal injection OD FWP
01/21/13 Air Injection OD Y.M.
01/25/13 Yag PI OD M.F.
2/8/13 Yag PI OD, FWP</t>
      </is>
    </oc>
    <nc r="M26"/>
  </rcc>
  <rcc rId="47" sId="1">
    <oc r="N26" t="inlineStr">
      <is>
        <t>Pred Forte 1 % drops,suspension
Pred Forte 1 % drops,suspension</t>
      </is>
    </oc>
    <nc r="N26"/>
  </rcc>
  <rcc rId="48" sId="1">
    <oc r="O26" t="inlineStr">
      <is>
        <t>levothyroxine 125 mcg Tablet
lisinopril-hydrochlorothiazide 20-25 mg Tablet</t>
      </is>
    </oc>
    <nc r="O26"/>
  </rcc>
  <rcc rId="49" sId="1">
    <oc r="K27" t="inlineStr">
      <is>
        <t>Lattice degeneration of the retina</t>
      </is>
    </oc>
    <nc r="K27"/>
  </rcc>
  <rcc rId="50" sId="1">
    <oc r="L27" t="inlineStr">
      <is>
        <t>Hyperthyroidism</t>
      </is>
    </oc>
    <nc r="L27"/>
  </rcc>
  <rcc rId="51" sId="1">
    <oc r="M27" t="inlineStr">
      <is>
        <t>DMEK and Phaco w/IOL OS
Retinal detachment repair s/p retinopexy OD
DMEK and Phaco with IOL, SK w/ MMC OD
Punctal plug OS</t>
      </is>
    </oc>
    <nc r="M27"/>
  </rcc>
  <rcc rId="52" sId="1">
    <oc r="N27" t="inlineStr">
      <is>
        <t>FML Liquifilm 0.1 % Drops, Suspension
Pred Forte 1 % Drops, Suspension
Systane Balance 0.6 % Drops</t>
      </is>
    </oc>
    <nc r="N27"/>
  </rcc>
  <rcc rId="53" sId="1">
    <oc r="O27" t="inlineStr">
      <is>
        <t>Protonix 40 mg tablet,delayed release (DR/EC)
Bentyl 10 mg capsule
aspirin 81 mg tablet,delayed release (DR/EC)
Ocuvite 150-30-6-150 mg-unit-mg-mg capsule
multivitamin tablet
CoQ-10 100 mg capsule
Vitamin D3 1,000 unit tablet
Fish Oil 1,000 mg capsule
propranolol 20 mg tablet</t>
      </is>
    </oc>
    <nc r="O27"/>
  </rcc>
  <rcc rId="54" sId="1">
    <oc r="K29" t="inlineStr">
      <is>
        <t>amblyopia OS
possible HSV in 1980's</t>
      </is>
    </oc>
    <nc r="K29"/>
  </rcc>
  <rcc rId="55" sId="1">
    <oc r="L29" t="inlineStr">
      <is>
        <t>Asthma
Sinus problems
Hepatitis
High blood pressure</t>
      </is>
    </oc>
    <nc r="L29"/>
  </rcc>
  <rcc rId="56" sId="1">
    <oc r="M29" t="inlineStr">
      <is>
        <t>02/20/2013 DMEK, Phaco w/IOL OS FWP
05/02/2012 DMEK,Phaco w/IOL OD FWP</t>
      </is>
    </oc>
    <nc r="M29"/>
  </rcc>
  <rcc rId="57" sId="1">
    <oc r="N29" t="inlineStr">
      <is>
        <t>FML Liquifilm 0.1 % Drops, Suspension</t>
      </is>
    </oc>
    <nc r="N29"/>
  </rcc>
  <rcc rId="58" sId="1">
    <oc r="O29" t="inlineStr">
      <is>
        <t>Hydrochlorothiazide
Singulair
advair
albueteral
Fluticasone
amlodipine besylate10mg
Bystolic 10 mg Tablet
ramipril 10 mg capsule</t>
      </is>
    </oc>
    <nc r="O29"/>
  </rcc>
  <rcc rId="59" sId="1">
    <oc r="K30" t="inlineStr">
      <is>
        <t>Fuch's Dystrophy OS&gt;OD, Early Cataracts OU, Glaucoma Suspect, Early Edema OS</t>
      </is>
    </oc>
    <nc r="K30"/>
  </rcc>
  <rcc rId="60" sId="1">
    <oc r="L30" t="inlineStr">
      <is>
        <t>broder line cholesterol
hypertension
Osteoporosis, Heart murmur</t>
      </is>
    </oc>
    <nc r="L30"/>
  </rcc>
  <rcc rId="61" sId="1">
    <oc r="M30" t="inlineStr">
      <is>
        <t>02/27/13 DMEK, Phaco with IOL OD FWP
11/30/11 DMEK, Phaco with IOL OS FWP</t>
      </is>
    </oc>
    <nc r="M30"/>
  </rcc>
  <rcc rId="62" sId="1">
    <oc r="N30" t="inlineStr">
      <is>
        <t>FML Liquifilm 0.1 % Drops, Suspension
Lastacaft 0.25 % Drops</t>
      </is>
    </oc>
    <nc r="N30"/>
  </rcc>
  <rcc rId="63" sId="1">
    <oc r="O30" t="inlineStr">
      <is>
        <t>levothyroxine 112 mcg Capsule
Zantac 300 mg Tablet
Allegra 180 mg Tablet
Imitrex 50 mg Tablet
erythromycin 2 % Ointment
multivitamin with minerals Tablet
calcium carbonate-vit D3-min 750 mg calcium- 500 u
Vitamin D 1,000 unit Tablet
Beconase AQ 42 mcg (0.042 %) Spray, Non-Aerosol
Biotin 1000mg
Esgic 50-325-40 mg capsule
mometasone 0.1 % Cream
St.Joseph's baby Aspirin 81 mg
Fish Oil 1,000 mg capsule
Vitamin C 1,000 mg tablet extended release</t>
      </is>
    </oc>
    <nc r="O30"/>
  </rcc>
  <rcc rId="64" sId="1">
    <oc r="K32" t="inlineStr">
      <is>
        <t>amblyopia OS</t>
      </is>
    </oc>
    <nc r="K32"/>
  </rcc>
  <rcc rId="65" sId="1">
    <oc r="L32" t="inlineStr">
      <is>
        <t>allergies
thyroid dz, h/o basal cell, diverticulosis</t>
      </is>
    </oc>
    <nc r="L32"/>
  </rcc>
  <rcc rId="66" sId="1">
    <oc r="M32" t="inlineStr">
      <is>
        <t>10/17/12 DMEK, phaco with IOL OD fwp
10/27/2010 DSEK,phaco w/IOL OS FWP
5/15/2012 Yag cap OS-FWP</t>
      </is>
    </oc>
    <nc r="M32"/>
  </rcc>
  <rcc rId="67" sId="1">
    <oc r="N32" t="inlineStr">
      <is>
        <t>FML Liquifilm 0.1 % drops,suspension
Lastacaft 0.25 % Drops
Oasis Tears Plus 0.2%
Restasis 0.05 % Dropperette</t>
      </is>
    </oc>
    <nc r="N32"/>
  </rcc>
  <rcc rId="68" sId="1">
    <oc r="O32" t="inlineStr">
      <is>
        <t>Levoxyl 100 mcg Tablet
Simvastatin 20 mg Tablet
Centrum Silver Tablet
Calcium 500 mg Tablet
Fluticasone 110 mcg/Actuation Aerosol
Wal-Fex Allergy tablet
doxycycline monohydrate 50 mg capsule</t>
      </is>
    </oc>
    <nc r="O32"/>
  </rcc>
  <rcc rId="69" sId="1">
    <oc r="K34" t="inlineStr">
      <is>
        <t>Genetic disorder - 1988 , Fuchs'dystrophy</t>
      </is>
    </oc>
    <nc r="K34"/>
  </rcc>
  <rcc rId="70" sId="1">
    <oc r="L34" t="inlineStr">
      <is>
        <t>High cholesterol
Skin cancer</t>
      </is>
    </oc>
    <nc r="L34"/>
  </rcc>
  <rcc rId="71" sId="1">
    <oc r="M34" t="inlineStr">
      <is>
        <t>10/17/12 DMEK/phaco/IOL OS FWP
11/7/12 DMEK/phaco/IOL OD FWP</t>
      </is>
    </oc>
    <nc r="M34"/>
  </rcc>
  <rcc rId="72" sId="1">
    <oc r="N34" t="inlineStr">
      <is>
        <t>FML Liquifilm 0.1 % drops,suspension
Oasis Tears Plus 0.2%</t>
      </is>
    </oc>
    <nc r="N34"/>
  </rcc>
  <rcc rId="73" sId="1">
    <oc r="O34" t="inlineStr">
      <is>
        <t>pravastatin
multivitamin</t>
      </is>
    </oc>
    <nc r="O34"/>
  </rcc>
  <rcc rId="74" sId="1">
    <oc r="K36" t="inlineStr">
      <is>
        <t>Fuchs dystrophy</t>
      </is>
    </oc>
    <nc r="K36"/>
  </rcc>
  <rcc rId="75" sId="1">
    <oc r="L36" t="inlineStr">
      <is>
        <t>Asthma (controlled),Thyroid disease</t>
      </is>
    </oc>
    <nc r="L36"/>
  </rcc>
  <rcc rId="76" sId="1">
    <oc r="M36" t="inlineStr">
      <is>
        <t>Yag Cap OD
Yag Cap OS
DMEK Phaco IOL OS FWP
DMEK, Phaco w/IOL OD FWP</t>
      </is>
    </oc>
    <nc r="M36"/>
  </rcc>
  <rcc rId="77" sId="1">
    <oc r="N36" t="inlineStr">
      <is>
        <t>Pred Forte 1 % drops,suspension
Refresh Classic (PF) 1.4-0.6 % dropperette</t>
      </is>
    </oc>
    <nc r="N36"/>
  </rcc>
  <rcc rId="78" sId="1">
    <oc r="O36" t="inlineStr">
      <is>
        <t>Synthroid 125 mcg Tablet
Protonix 40 mg Tablet, Delayed Release (E.C.)
Ambien 10 mg Tablet</t>
      </is>
    </oc>
    <nc r="O36"/>
  </rcc>
  <rcc rId="79" sId="1">
    <oc r="K37" t="inlineStr">
      <is>
        <t>Fuchs, cataract OD</t>
      </is>
    </oc>
    <nc r="K37"/>
  </rcc>
  <rcc rId="80" sId="1">
    <oc r="M37" t="inlineStr">
      <is>
        <t>09/26/12 DMEK, Phaco with IOL OS FWP
LASIK OU 1999- John Doane Kansas City MO (Discover Vision Group)
11/25/2009 DMEK w/ Phaco/IOL OD FWP
11/30/09 Air injection OD FWP
12/09/09 IOL exchange OD FWP
metal FB removed OD 10-15 years ago</t>
      </is>
    </oc>
    <nc r="M37"/>
  </rcc>
  <rcc rId="81" sId="1">
    <oc r="N37" t="inlineStr">
      <is>
        <t>fluorometholone 0.1 % Drops, Suspension
Study Steriod Drop 0.1-1.0%</t>
      </is>
    </oc>
    <nc r="N37"/>
  </rcc>
  <rcc rId="82" sId="1">
    <oc r="O37" t="inlineStr">
      <is>
        <t>Aspirin 81 mg Tablet
Niacin 250 mg Tablet
Fish Oil 300 mg Capsule
saw palmetto 160 mg capsule
multivitamin capsule</t>
      </is>
    </oc>
    <nc r="O37"/>
  </rcc>
  <rcc rId="83" sId="1">
    <oc r="K39" t="inlineStr">
      <is>
        <t>Fuch's Dystrophy</t>
      </is>
    </oc>
    <nc r="K39"/>
  </rcc>
  <rcc rId="84" sId="1">
    <oc r="M39" t="inlineStr">
      <is>
        <t>02/26/2013 YAG Cap OS FWP
11/14/12 DMEK, phaco with IOL OS fwp
11/19/2012 Air Injection (#2) 11/21/12 OS FWP</t>
      </is>
    </oc>
    <nc r="M39"/>
  </rcc>
  <rcc rId="85" sId="1">
    <oc r="N39" t="inlineStr">
      <is>
        <t>Pred Forte 1 % drops,suspension</t>
      </is>
    </oc>
    <nc r="N39"/>
  </rcc>
  <rcc rId="86" sId="1">
    <oc r="O39" t="inlineStr">
      <is>
        <t>Pravachol 20 mg tablet
aspirin 81 mg tablet, chewable
glucosamine Chondroitin 1,500 mg tablet
Centrum Complete 18-400 mg-mcg tablet
pravastatin 10 mg tablet</t>
      </is>
    </oc>
    <nc r="O39"/>
  </rcc>
  <rcc rId="87" sId="1">
    <oc r="K42" t="inlineStr">
      <is>
        <t>FUCHS CORNEAL DYSTROPHY</t>
      </is>
    </oc>
    <nc r="K42"/>
  </rcc>
  <rcc rId="88" sId="1">
    <oc r="L42" t="inlineStr">
      <is>
        <t>Asthma
Chicken pox
Bronchitis
Pneumonia</t>
      </is>
    </oc>
    <nc r="L42"/>
  </rcc>
  <rcc rId="89" sId="1">
    <oc r="M42" t="inlineStr">
      <is>
        <t>DMEK, Phaco with IOL OS
DMEK, Phaco with IOL OD</t>
      </is>
    </oc>
    <nc r="M42"/>
  </rcc>
  <rcc rId="90" sId="1">
    <oc r="O42" t="inlineStr">
      <is>
        <t>Evista
Bumetanide
Toprol XL
Proair
lunesta
Pilocarpine
Multi vit</t>
      </is>
    </oc>
    <nc r="O42"/>
  </rcc>
  <rcc rId="91" sId="1">
    <oc r="K43" t="inlineStr">
      <is>
        <t>Fuch's dystrophy</t>
      </is>
    </oc>
    <nc r="K43"/>
  </rcc>
  <rcc rId="92" sId="1">
    <oc r="L43" t="inlineStr">
      <is>
        <t>thyroid dysfunction</t>
      </is>
    </oc>
    <nc r="L43"/>
  </rcc>
  <rcc rId="93" sId="1">
    <oc r="M43" t="inlineStr">
      <is>
        <t>08/18/11 Phaco with IOL OS FWP
9/14/11 DMEK OS FWP
Air injection OS 9/23/2011
10/24/12 DMEK, Phaco with IOL OD FWP
02/19/13 Yag Capsulotomy OD FWP</t>
      </is>
    </oc>
    <nc r="M43"/>
  </rcc>
  <rcc rId="94" sId="1">
    <oc r="N43" t="inlineStr">
      <is>
        <t>FML Liquifilm 0.1 % Drops, Suspension</t>
      </is>
    </oc>
    <nc r="N43"/>
  </rcc>
  <rcc rId="95" sId="1">
    <oc r="O43" t="inlineStr">
      <is>
        <t>Lipitor 20 mg Tablet
Synthroid 100 mcg Tablet
trazodone Tablet
Wellbutrin XL 150 mg tablet extended release 24 hr</t>
      </is>
    </oc>
    <nc r="O43"/>
  </rcc>
  <rcc rId="96" sId="1">
    <oc r="K44" t="inlineStr">
      <is>
        <t>diagnosed with fuchs ten yrs ago</t>
      </is>
    </oc>
    <nc r="K44"/>
  </rcc>
  <rcc rId="97" sId="1">
    <oc r="L44" t="inlineStr">
      <is>
        <t>High cholesterol
Chicken pox
Skin cancer
Sinus problems</t>
      </is>
    </oc>
    <nc r="L44"/>
  </rcc>
  <rcc rId="98" sId="1">
    <oc r="M44" t="inlineStr">
      <is>
        <t>YAG Capsulotomy OD
DMEK, Phaco with IOL OD FWP
DMEK, phaco w/ IOL OS FWP</t>
      </is>
    </oc>
    <nc r="M44"/>
  </rcc>
  <rcc rId="99" sId="1">
    <oc r="N44" t="inlineStr">
      <is>
        <t>Lotemax 0.5 % Gel
Study Steriod Drop 0.1-1.0%</t>
      </is>
    </oc>
    <nc r="N44"/>
  </rcc>
  <rcc rId="100" sId="1">
    <oc r="O44" t="inlineStr">
      <is>
        <t>bone essentials
Estrace 0.01 % (0.1 mg/g) Cream
Krill Oil (Omega 3 &amp; 6) 1000-130(40-80) mg capsule
multivitamin tablet
panthenol 300mg</t>
      </is>
    </oc>
    <nc r="O44"/>
  </rcc>
  <rcc rId="101" sId="1">
    <oc r="K46" t="inlineStr">
      <is>
        <t>Fuch's</t>
      </is>
    </oc>
    <nc r="K46"/>
  </rcc>
  <rcc rId="102" sId="1">
    <oc r="L46" t="inlineStr">
      <is>
        <t>High cholesterol
Skin cancer
Migraine headache</t>
      </is>
    </oc>
    <nc r="L46"/>
  </rcc>
  <rcc rId="103" sId="1">
    <oc r="M46" t="inlineStr">
      <is>
        <t>DMEK, Phaco with IOL OS FWP
DMEK, Phaco w/IOL OD (astig.) FWP</t>
      </is>
    </oc>
    <nc r="M46"/>
  </rcc>
  <rcc rId="104" sId="1">
    <oc r="N46" t="inlineStr">
      <is>
        <t>Pred Forte 1 % Drops, Suspension</t>
      </is>
    </oc>
    <nc r="N46"/>
  </rcc>
  <rcc rId="105" sId="1">
    <oc r="O46" t="inlineStr">
      <is>
        <t>Atorvastatin</t>
      </is>
    </oc>
    <nc r="O46"/>
  </rcc>
  <rcc rId="106" sId="1">
    <oc r="K48" t="inlineStr">
      <is>
        <t>Glaucoma - 1997 , Iridectomy
Macular degeneration - 2012
Dry eyes - 2012</t>
      </is>
    </oc>
    <nc r="K48"/>
  </rcc>
  <rcc rId="107" sId="1">
    <oc r="L48" t="inlineStr">
      <is>
        <t>Sinus problems
High blood pressure
Depression
High cholesterol
Breast cancer
Bronchitis
Pneumonia
COPD
osteopenia
mild aortic valve inefficiancy</t>
      </is>
    </oc>
    <nc r="L48"/>
  </rcc>
  <rcc rId="108" sId="1">
    <oc r="M48" t="inlineStr">
      <is>
        <t>1997 Iridectomy OU- Dr Kroczek
2003 resection RLL
10/24/12 DMEK, Phaco with IOL, SK OD FWP
Phaco with IOL, OS Dr. Wiarda</t>
      </is>
    </oc>
    <nc r="M48"/>
  </rcc>
  <rcc rId="109" sId="1">
    <oc r="N48" t="inlineStr">
      <is>
        <t>Artificial Tears Drops
FML Liquifilm 0.1 % drops,suspension
GenTeal Mild to Moderate 0.3 % Drops
Muro 128 5 % Drops
Oasis Tears Plus 0.2%
Thera Tears 0.25 % Dropperette</t>
      </is>
    </oc>
    <nc r="N48"/>
  </rcc>
  <rcc rId="110" sId="1">
    <oc r="O48" t="inlineStr">
      <is>
        <t>Multiple Vitamins tablet
Calcium 500 + D (D3) 500-125 mg-unit tablet
Ecotrin Low Strength 81 mg tablet,delayed release (DR/EC)
hydrochlorothiazide 25 mg tablet
potassium chloride 10 mEq/50 mL Piggyback
pravastatin 40 mg tablet
Zoloft 50 mg tablet
Probiotic 10 billion cell capsule
anastrozole 1 mg tablet
ProAir HFA 90 mcg/actuation HFA Aerosol Inhaler
Aleve 220 mg capsule</t>
      </is>
    </oc>
    <nc r="O48"/>
  </rcc>
  <rcc rId="111" sId="1">
    <oc r="L54" t="inlineStr">
      <is>
        <t>Asthma
Osteoporosis
Colon cancer
COPD</t>
      </is>
    </oc>
    <nc r="L54"/>
  </rcc>
  <rcc rId="112" sId="1">
    <oc r="M54" t="inlineStr">
      <is>
        <t>02/06/13 DMEK, Phaco IOL OD FWP
air injection OS
DMEK, Phaco with IOL OS FWP</t>
      </is>
    </oc>
    <nc r="M54"/>
  </rcc>
  <rcc rId="113" sId="1">
    <oc r="N54" t="inlineStr">
      <is>
        <t>Pred Forte 1 % Drops, Suspension
Pred Forte 1 % drops,suspension</t>
      </is>
    </oc>
    <nc r="N54"/>
  </rcc>
  <rcc rId="114" sId="1">
    <oc r="O54" t="inlineStr">
      <is>
        <t>Ambien</t>
      </is>
    </oc>
    <nc r="O54"/>
  </rcc>
  <rcc rId="115" sId="1">
    <oc r="K55" t="inlineStr">
      <is>
        <t>Cataracts OU, Corneal Dystrophy OU
amblyopia OS</t>
      </is>
    </oc>
    <nc r="K55"/>
  </rcc>
  <rcc rId="116" sId="1">
    <oc r="L55" t="inlineStr">
      <is>
        <t>Thyroid Dysfunction
Diabetes</t>
      </is>
    </oc>
    <nc r="L55"/>
  </rcc>
  <rcc rId="117" sId="1">
    <oc r="M55" t="inlineStr">
      <is>
        <t>DMEK, Phaco w/ IOL OD FWP
air injection OD MF
DMEK, Phaco w/ IOL OS FWP</t>
      </is>
    </oc>
    <nc r="M55"/>
  </rcc>
  <rcc rId="118" sId="1">
    <oc r="N55" t="inlineStr">
      <is>
        <t>FML Liquifilm 0.1 % drops,suspension
Study Steriod Drop 0.1-1.0%</t>
      </is>
    </oc>
    <nc r="N55"/>
  </rcc>
  <rcc rId="119" sId="1">
    <oc r="O55" t="inlineStr">
      <is>
        <t>meloxicam 15 mg Tablet
citalopram 40 mg Tablet
Cytomel 5 mcg Tablet
levotrin 20 mcg Tablet
glimepiride 2 mg Tablet</t>
      </is>
    </oc>
    <nc r="O55"/>
  </rcc>
  <rcc rId="120" sId="1">
    <oc r="L59" t="inlineStr">
      <is>
        <t>hypertension
Ulcerative colitis</t>
      </is>
    </oc>
    <nc r="L59"/>
  </rcc>
  <rcc rId="121" sId="1">
    <oc r="M59" t="inlineStr">
      <is>
        <t>DMEK,Phaco w /IOL Softec OD FWP
YAG Capsulotomy OD
2/13/13 DMEK OS, FWP
2002 Retinal tear s/p laser tx OD Dr. Bennet</t>
      </is>
    </oc>
    <nc r="M59"/>
  </rcc>
  <rcc rId="122" sId="1">
    <oc r="N59" t="inlineStr">
      <is>
        <t>Oasis Tears Plus 0.2%
Pred Forte 1 % Drops, Suspension
Refresh Classic (PF) 1.4-0.6 % Dropperette</t>
      </is>
    </oc>
    <nc r="N59"/>
  </rcc>
  <rcc rId="123" sId="1">
    <oc r="O59" t="inlineStr">
      <is>
        <t>Lialda 1.2 g tablet,delayed release (DR/EC)
lisinopril 10 mg tablet
hydrochlorothiazide 12.5 mg tablet
Calcium 500 D 500 mg(1,250mg) -400 unit tablet
multivit, min #9-FA-saw palmet 1,000-320 mcg-mg tablet
Glucosamine-Chondroitin 3X 750-625-30 mg tablet
Lipitor tablet</t>
      </is>
    </oc>
    <nc r="O59"/>
  </rcc>
  <rcc rId="124" sId="1">
    <oc r="K60" t="inlineStr">
      <is>
        <t>Fuch's</t>
      </is>
    </oc>
    <nc r="K60"/>
  </rcc>
  <rcc rId="125" sId="1">
    <oc r="L60" t="inlineStr">
      <is>
        <t>High cholesterol
Skin cancer
Migraine headache</t>
      </is>
    </oc>
    <nc r="L60"/>
  </rcc>
  <rcc rId="126" sId="1">
    <oc r="M60" t="inlineStr">
      <is>
        <t>DMEK, Phaco with IOL OS FWP
DMEK, Phaco w/IOL OD (astig.) FWP</t>
      </is>
    </oc>
    <nc r="M60"/>
  </rcc>
  <rcc rId="127" sId="1">
    <oc r="N60" t="inlineStr">
      <is>
        <t>Pred Forte 1 % Drops, Suspension</t>
      </is>
    </oc>
    <nc r="N60"/>
  </rcc>
  <rcc rId="128" sId="1">
    <oc r="O60" t="inlineStr">
      <is>
        <t>Atorvastatin</t>
      </is>
    </oc>
    <nc r="O60"/>
  </rcc>
  <rcc rId="129" sId="1">
    <oc r="K61" t="inlineStr">
      <is>
        <t>Genetic disorder - 1988 , Fuchs'dystrophy</t>
      </is>
    </oc>
    <nc r="K61"/>
  </rcc>
  <rcc rId="130" sId="1">
    <oc r="L61" t="inlineStr">
      <is>
        <t>High cholesterol
Skin cancer</t>
      </is>
    </oc>
    <nc r="L61"/>
  </rcc>
  <rcc rId="131" sId="1">
    <oc r="M61" t="inlineStr">
      <is>
        <t>10/17/12 DMEK/phaco/IOL OS FWP
11/7/12 DMEK/phaco/IOL OD FWP</t>
      </is>
    </oc>
    <nc r="M61"/>
  </rcc>
  <rcc rId="132" sId="1">
    <oc r="N61" t="inlineStr">
      <is>
        <t>FML Liquifilm 0.1 % drops,suspension
Oasis Tears Plus 0.2%</t>
      </is>
    </oc>
    <nc r="N61"/>
  </rcc>
  <rcc rId="133" sId="1">
    <oc r="O61" t="inlineStr">
      <is>
        <t>pravastatin
multivitamin</t>
      </is>
    </oc>
    <nc r="O61"/>
  </rcc>
  <rcc rId="134" sId="1">
    <oc r="L62" t="inlineStr">
      <is>
        <t>High blood pressure
Diabetes
High cholesterol
Chicken pox</t>
      </is>
    </oc>
    <nc r="L62"/>
  </rcc>
  <rcc rId="135" sId="1">
    <oc r="M62" t="inlineStr">
      <is>
        <t>12/12/12 DMEK, Phaco w IOL OS FWP
02/2004 PKP OD Dr. Lombardo
11/08/12 Phaco with IOL (toric) OD FWP</t>
      </is>
    </oc>
    <nc r="M62"/>
  </rcc>
  <rcc rId="136" sId="1">
    <oc r="O62" t="inlineStr">
      <is>
        <t>multivitamin tablet
metformin 1,000 mg tablet extended release 24hr
hydrochlorothiazide 50 mg tablet
naproxen 500 mg tablet
simvastatin 40 mg tablet
glipizide 5 mg tablet
Klor-Con 20 mEq Packet
Januvia 100 mg tablet
metoprolol tartrate 100 mg tablet</t>
      </is>
    </oc>
    <nc r="O62"/>
  </rcc>
  <rcc rId="137" sId="1">
    <oc r="K64" t="inlineStr">
      <is>
        <t>Dry eyes
Fuchs</t>
      </is>
    </oc>
    <nc r="K64"/>
  </rcc>
  <rcc rId="138" sId="1">
    <oc r="L64" t="inlineStr">
      <is>
        <t>High cholesterolHigh cholesterol
Chicken pox
Bleeding Disorder
Underactive thyroid</t>
      </is>
    </oc>
    <nc r="L64"/>
  </rcc>
  <rcc rId="139" sId="1">
    <oc r="M64" t="inlineStr">
      <is>
        <t>DMEK OS
Phaco with IOL OS
DMEK, Phaco w IOL OD</t>
      </is>
    </oc>
    <nc r="M64"/>
  </rcc>
  <rcc rId="140" sId="1">
    <oc r="N64" t="inlineStr">
      <is>
        <t>FML Liquifilm 0.1 % Drops, Suspension
Oasis Tears Plus 0.2%</t>
      </is>
    </oc>
    <nc r="N64"/>
  </rcc>
  <rcc rId="141" sId="1">
    <oc r="O64" t="inlineStr">
      <is>
        <t>Levothyroxine
Calcium w/vitamin D
Multivitamin
pravastatin 20 mg tablet</t>
      </is>
    </oc>
    <nc r="O64"/>
  </rcc>
  <rcc rId="142" sId="1">
    <oc r="L67" t="inlineStr">
      <is>
        <t>hypertension
Rheumatoid arthritis
myasthenia gravis (in remission), fibromyalgia, pedal neuropathy</t>
      </is>
    </oc>
    <nc r="L67"/>
  </rcc>
  <rcc rId="143" sId="1">
    <oc r="M67" t="inlineStr">
      <is>
        <t>DMEK, Phaco with IOL OS FWP
03/06/2013 DMEK,Phaco /IOL OD FWP</t>
      </is>
    </oc>
    <nc r="M67"/>
  </rcc>
  <rcc rId="144" sId="1">
    <oc r="N67" t="inlineStr">
      <is>
        <t>Lotemax 0.5 % drops,suspension
Pred Forte 1 % drops,suspension</t>
      </is>
    </oc>
    <nc r="N67"/>
  </rcc>
  <rcc rId="145" sId="1">
    <oc r="O67" t="inlineStr">
      <is>
        <t>Celebrex 200 mg capsule
Tenormin 50 mg tablet
Percocet 10-325 mg tablet</t>
      </is>
    </oc>
    <nc r="O67"/>
  </rcc>
  <rcc rId="146" sId="1">
    <oc r="K68" t="inlineStr">
      <is>
        <t>s/ p DMEK w complex phaco w iOL OS
YAG OS</t>
      </is>
    </oc>
    <nc r="K68"/>
  </rcc>
  <rcc rId="147" sId="1">
    <oc r="L68" t="inlineStr">
      <is>
        <t>high cholesterol</t>
      </is>
    </oc>
    <nc r="L68"/>
  </rcc>
  <rcc rId="148" sId="1">
    <oc r="M68" t="inlineStr">
      <is>
        <t>YAG Capsulotomy OD
7/28/2010 DMEK, Phaco w/IOL OS , FWP
08/13/10 Air injection OS B.P
01/12/11 DMEK-failed graft OS FWP
01/14/11 air injection OS FWP
10/10/12 DMEK, Phaco IOL OD FWP</t>
      </is>
    </oc>
    <nc r="M68"/>
  </rcc>
  <rcc rId="149" sId="1">
    <oc r="O68" t="inlineStr">
      <is>
        <t>Crestor 20 mg Tablet
Aspirin 81 mg Tablet
Centrum Silver Tablet
Fish Oil 360-1,200 mg Capsule</t>
      </is>
    </oc>
    <nc r="O68"/>
  </rcc>
  <rcc rId="150" sId="1">
    <oc r="K71" t="inlineStr">
      <is>
        <t>Eye injury - Physical assault by HHA
Dry eyes</t>
      </is>
    </oc>
    <nc r="K71"/>
  </rcc>
  <rcc rId="151" sId="1">
    <oc r="L71" t="inlineStr">
      <is>
        <t>Sinus problems
Depression
Chest Pain / Angina
Gastric Reflux
Migraine headache
Eczema
Psoriasis</t>
      </is>
    </oc>
    <nc r="L71"/>
  </rcc>
  <rcc rId="152" sId="1">
    <oc r="M71" t="inlineStr">
      <is>
        <t>10/24/12 DMEK, Phaco with IOL OD FWP
11/21/2012 DMEK, Phaco w/IOL OS FWP</t>
      </is>
    </oc>
    <nc r="M71"/>
  </rcc>
  <rcc rId="153" sId="1">
    <oc r="N71" t="inlineStr">
      <is>
        <t>Artificial Tears Drops
Lastacaft 0.25 % Drops
Pred Forte 1 % Drops, Suspension</t>
      </is>
    </oc>
    <nc r="N71"/>
  </rcc>
  <rcc rId="154" sId="1">
    <oc r="O71" t="inlineStr">
      <is>
        <t>Zanaflex
Zolpidem
Diazepam
Hydromorphone
Midrin
hydrochlorothiazide 25 mg tablet
Gralise 300 mg tablet extended release 24 hr</t>
      </is>
    </oc>
    <nc r="O71"/>
  </rcc>
  <rcc rId="155" sId="1">
    <oc r="K72" t="inlineStr">
      <is>
        <t>cataracts, fuchs dystrophy
Amblyopia OD</t>
      </is>
    </oc>
    <nc r="K72"/>
  </rcc>
  <rcc rId="156" sId="1">
    <oc r="L72" t="inlineStr">
      <is>
        <t>allergies
high cholesterol
hypertension</t>
      </is>
    </oc>
    <nc r="L72"/>
  </rcc>
  <rcc rId="157" sId="1">
    <oc r="M72" t="inlineStr">
      <is>
        <t>03/06/2013 DMEK, Phaco w/IOL OD FWP
YAG Capsulotomy OD
Air injection OD
DMEK OS and Phaco with IOL OS</t>
      </is>
    </oc>
    <nc r="M72"/>
  </rcc>
  <rcc rId="158" sId="1">
    <oc r="N72" t="inlineStr">
      <is>
        <t>Lotemax 0.5 % drops,suspension
Pred Forte 1 % Drops, Suspension
Refresh Optive Advanced 0.5-1-0.5 % Drops</t>
      </is>
    </oc>
    <nc r="N72"/>
  </rcc>
  <rcc rId="159" sId="1">
    <oc r="O72" t="inlineStr">
      <is>
        <t>doxazosin 2 mg tablet
metoprolol tartrate 25 mg tablet
clopidogrel 75 mg tablet
montelukast 10 mg tablet
sulfamethoxazole-trimethoprim 400-80 mg tablet
simvastatin 10 mg tablet
fluticasone 50 mcg/actuation Disk with Device
Protonix 40 mg Granules DR for susp in Packet</t>
      </is>
    </oc>
    <nc r="O72"/>
  </rcc>
  <rcc rId="160" sId="1">
    <oc r="K73" t="inlineStr">
      <is>
        <t>Cataracts, Fuch's Dystrophy</t>
      </is>
    </oc>
    <nc r="K73"/>
  </rcc>
  <rcc rId="161" sId="1">
    <oc r="L73" t="inlineStr">
      <is>
        <t>depression, paranoid ideation, migraines, HBP, veneral disease, hemorrhoids</t>
      </is>
    </oc>
    <nc r="L73"/>
  </rcc>
  <rcc rId="162" sId="1">
    <oc r="M73" t="inlineStr">
      <is>
        <t>Air injection OS
DMEK and Phaco with IOL, OS</t>
      </is>
    </oc>
    <nc r="M73"/>
  </rcc>
  <rcc rId="163" sId="1">
    <oc r="N73" t="inlineStr">
      <is>
        <t>Muro 128 5 % drops
Oasis Tears Plus 0.2%
Pataday 0.2 % Drops
Pred Forte 1 % drops,suspension</t>
      </is>
    </oc>
    <nc r="N73"/>
  </rcc>
  <rcc rId="164" sId="1">
    <oc r="O73" t="inlineStr">
      <is>
        <t>Allegra 180 mg tablet
Lotensin 60 mg
bupropion HCl 300 mg tablet extended release 24 hr
Effervescent Pain Reliever 225 mg tablet, efferves
Lamictal 100 mg tablet
pravastatin 40 mg tablet
Risperdal 1 mg tablet
clonazepam 0.5 mg tablet</t>
      </is>
    </oc>
    <nc r="O73"/>
  </rcc>
  <rcc rId="165" sId="1">
    <oc r="L76" t="inlineStr">
      <is>
        <t>hypertension
diabetes</t>
      </is>
    </oc>
    <nc r="L76"/>
  </rcc>
  <rcc rId="166" sId="1">
    <oc r="M76" t="inlineStr">
      <is>
        <t xml:space="preserve">
02/25/2013 phaco/DMEK OD Dr. McKee
</t>
      </is>
    </oc>
    <nc r="M76"/>
  </rcc>
  <rcc rId="167" sId="1">
    <oc r="N76" t="inlineStr">
      <is>
        <t>Pred Forte 1 % Drops, Suspension</t>
      </is>
    </oc>
    <nc r="N76"/>
  </rcc>
  <rcc rId="168" sId="1">
    <oc r="O76" t="inlineStr">
      <is>
        <t>Crestor 20 mg tablet
bisoprolol-hydrochlorothiazide 2.5-6.25 mg tablet</t>
      </is>
    </oc>
    <nc r="O76"/>
  </rcc>
  <rcc rId="169" sId="1">
    <oc r="L77" t="inlineStr">
      <is>
        <t>hypertension
Rheumatoid arthritis
myasthenia gravis (in remission), fibromyalgia, pedal neuropathy</t>
      </is>
    </oc>
    <nc r="L77"/>
  </rcc>
  <rcc rId="170" sId="1">
    <oc r="M77" t="inlineStr">
      <is>
        <t>DMEK, Phaco with IOL OS FWP
03/06/2013 DMEK,Phaco /IOL OD FWP</t>
      </is>
    </oc>
    <nc r="M77"/>
  </rcc>
  <rcc rId="171" sId="1">
    <oc r="N77" t="inlineStr">
      <is>
        <t>Lotemax 0.5 % drops,suspension
Pred Forte 1 % drops,suspension</t>
      </is>
    </oc>
    <nc r="N77"/>
  </rcc>
  <rcc rId="172" sId="1">
    <oc r="O77" t="inlineStr">
      <is>
        <t>Celebrex 200 mg capsule
Tenormin 50 mg tablet
Percocet 10-325 mg tablet</t>
      </is>
    </oc>
    <nc r="O77"/>
  </rcc>
  <rcc rId="173" sId="1">
    <oc r="K78" t="inlineStr">
      <is>
        <t>cataract OU
Fuchs' Dystrophy, Map dot,</t>
      </is>
    </oc>
    <nc r="K78"/>
  </rcc>
  <rcc rId="174" sId="1">
    <oc r="L78" t="inlineStr">
      <is>
        <t>High blood pressure
High cholesterol
Osteoporosis
Skin cancer
Intestinal / Bowel Disease</t>
      </is>
    </oc>
    <nc r="L78"/>
  </rcc>
  <rcc rId="175" sId="1">
    <oc r="M78" t="inlineStr">
      <is>
        <t>02/08/12 DMEK, Phaco with IOL , SK OD FWP
11/14/12 DMEK/phaco/IOL OS FWP</t>
      </is>
    </oc>
    <nc r="M78"/>
  </rcc>
  <rcc rId="176" sId="1">
    <oc r="N78" t="inlineStr">
      <is>
        <t>fluorometholone 0.1 % Drops, Suspension
Refresh (OU)
Refresh 0.025 % Drops
Study Steriod Drop 0.1-1.0%</t>
      </is>
    </oc>
    <nc r="N78"/>
  </rcc>
  <rcc rId="177" sId="1">
    <oc r="O78" t="inlineStr">
      <is>
        <t>Lisinopril-HCTZ
Potassium CL
Vitamin D
Calcium Chews</t>
      </is>
    </oc>
    <nc r="O78"/>
  </rcc>
  <rcc rId="178" sId="1">
    <oc r="K80" t="inlineStr">
      <is>
        <t>macular degeneration OS (much more than OD)
Fuch's
cataract</t>
      </is>
    </oc>
    <nc r="K80"/>
  </rcc>
  <rcc rId="179" sId="1">
    <oc r="L80" t="inlineStr">
      <is>
        <t>allergies
chronic headache</t>
      </is>
    </oc>
    <nc r="L80"/>
  </rcc>
  <rcc rId="180" sId="1">
    <oc r="M80" t="inlineStr">
      <is>
        <t>DMEK, Phaco w/IOL OS
1986 Syst removed lower lid OS
2003 Eye lids surgery
DMEK, Phaco w/IOL OD</t>
      </is>
    </oc>
    <nc r="M80"/>
  </rcc>
  <rcc rId="181" sId="1">
    <oc r="N80" t="inlineStr">
      <is>
        <t>Study Steriod Drop 0.1-1.0%
Study Steriod Drop 0.1-1.0%</t>
      </is>
    </oc>
    <nc r="N80"/>
  </rcc>
  <rcc rId="182" sId="1">
    <oc r="O80" t="inlineStr">
      <is>
        <t>Aspirin Low Dose 81 mg tablet,delayed release (DR/EC)
Fish Oil 1,000 mg capsule
Calcium 600 D(3) 600 mg calcium- 200 unit capsule
Vitamin B-100 Complex tablet
multivit mins-ferrous glucon 9 mg/15 mL iron Liquid
PreserVision AREDS 7,160-113-100 unit-mg-unit tablet</t>
      </is>
    </oc>
    <nc r="O80"/>
  </rcc>
  <rcc rId="183" sId="1">
    <oc r="K81" t="inlineStr">
      <is>
        <t>cataract OU
Fuchs' Dystrophy, Map dot,</t>
      </is>
    </oc>
    <nc r="K81"/>
  </rcc>
  <rcc rId="184" sId="1">
    <oc r="L81" t="inlineStr">
      <is>
        <t>hypertension
sinus problems, h/o skin cancer</t>
      </is>
    </oc>
    <nc r="L81"/>
  </rcc>
  <rcc rId="185" sId="1">
    <oc r="M81" t="inlineStr">
      <is>
        <t>08/29/12 DMEK/phaco/IOL OD FWP
05/02/12 DMEK, phaco w/IOL OS FWP</t>
      </is>
    </oc>
    <nc r="M81"/>
  </rcc>
  <rcc rId="186" sId="1">
    <oc r="N81" t="inlineStr">
      <is>
        <t>Combigan 0.2-0.5 % Drops
Lumigan 0.01 % Drops
Oasis Tears Plus 0.2%</t>
      </is>
    </oc>
    <nc r="N81"/>
  </rcc>
  <rcc rId="187" sId="1">
    <oc r="O81" t="inlineStr">
      <is>
        <t>losartan-hydrochlorothiazide 50-12.5 mg Tablet
Allegra 180 mg tablet</t>
      </is>
    </oc>
    <nc r="O81"/>
  </rcc>
  <rcc rId="188" sId="1">
    <oc r="K82" t="inlineStr">
      <is>
        <t>Fuchs'</t>
      </is>
    </oc>
    <nc r="K82"/>
  </rcc>
  <rcc rId="189" sId="1">
    <oc r="L82" t="inlineStr">
      <is>
        <t>thyroid dysfunction
Breast Cancer remission 10 yrs
essential tremors
cancer of intestense</t>
      </is>
    </oc>
    <nc r="L82"/>
  </rcc>
  <rcc rId="190" sId="1">
    <oc r="M82" t="inlineStr">
      <is>
        <t>12/19/2012 DMEK, Phaco w/IOL OS FWP
YAG OD
DMEK, Phaco w IOL OD</t>
      </is>
    </oc>
    <nc r="M82"/>
  </rcc>
  <rcc rId="191" sId="1">
    <oc r="N82" t="inlineStr">
      <is>
        <t>Lotemax 0.5 % drops,suspension</t>
      </is>
    </oc>
    <nc r="N82"/>
  </rcc>
  <rcc rId="192" sId="1">
    <oc r="O82" t="inlineStr">
      <is>
        <t>Armour Thyroid 30 mg tablet
propranolol 30 mg tablet
multivitamin capsule
potassium 99 mg tablet
Calcium 600 + D(3) 600-125 mg-unit tablet</t>
      </is>
    </oc>
    <nc r="O82"/>
  </rcc>
  <rcc rId="193" sId="1">
    <oc r="K83" t="inlineStr">
      <is>
        <t>Fuchs'</t>
      </is>
    </oc>
    <nc r="K83"/>
  </rcc>
  <rcc rId="194" sId="1">
    <oc r="L83" t="inlineStr">
      <is>
        <t>thyroid dysfunction
Breast Cancer remission 10 yrs
essential tremors
cancer of intestense</t>
      </is>
    </oc>
    <nc r="L83"/>
  </rcc>
  <rcc rId="195" sId="1">
    <oc r="M83" t="inlineStr">
      <is>
        <t>12/19/2012 DMEK, Phaco w/IOL OS FWP
YAG OD
DMEK, Phaco w IOL OD</t>
      </is>
    </oc>
    <nc r="M83"/>
  </rcc>
  <rcc rId="196" sId="1">
    <oc r="N83" t="inlineStr">
      <is>
        <t>Lotemax 0.5 % drops,suspension</t>
      </is>
    </oc>
    <nc r="N83"/>
  </rcc>
  <rcc rId="197" sId="1">
    <oc r="O83" t="inlineStr">
      <is>
        <t>Armour Thyroid 30 mg tablet
propranolol 30 mg tablet
multivitamin capsule
potassium 99 mg tablet
Calcium 600 + D(3) 600-125 mg-unit tablet</t>
      </is>
    </oc>
    <nc r="O83"/>
  </rcc>
  <rcc rId="198" sId="1">
    <oc r="K87" t="inlineStr">
      <is>
        <t>corneal laceration OS ~1990, corneal metallic FB OS</t>
      </is>
    </oc>
    <nc r="K87"/>
  </rcc>
  <rcc rId="199" sId="1">
    <oc r="L87" t="inlineStr">
      <is>
        <t>Degen. Disc Disease, Fibromyalgia, Rheumatoid Arthritis</t>
      </is>
    </oc>
    <nc r="L87"/>
  </rcc>
  <rcc rId="200" sId="1">
    <oc r="M87" t="inlineStr">
      <is>
        <t>YAG Cap OD
DMEK, Phaco with IOL OD FWP</t>
      </is>
    </oc>
    <nc r="M87"/>
  </rcc>
  <rcc rId="201" sId="1">
    <oc r="N87" t="inlineStr">
      <is>
        <t>Pred Forte 1 % Drops, Suspension</t>
      </is>
    </oc>
    <nc r="N87"/>
  </rcc>
  <rcc rId="202" sId="1">
    <oc r="O87" t="inlineStr">
      <is>
        <t>Zoloft 100 mg tablet
Synthroid 100 mcg tablet
Lyrica 75 mg capsule
testosterone 1 cc inject</t>
      </is>
    </oc>
    <nc r="O87"/>
  </rcc>
  <rcc rId="203" sId="1">
    <oc r="K88" t="inlineStr">
      <is>
        <t>high myope</t>
      </is>
    </oc>
    <nc r="K88"/>
  </rcc>
  <rcc rId="204" sId="1">
    <oc r="L88" t="inlineStr">
      <is>
        <t>No significant systemic illnesses</t>
      </is>
    </oc>
    <nc r="L88"/>
  </rcc>
  <rcc rId="205" sId="1">
    <oc r="M88" t="inlineStr">
      <is>
        <t>2002 Phakic Intraocular lenses OU Guatemala
2002 Prophylactic Laser treatments OU Guatemala
2006 Intraocular lens repositioning OS Guatemala
2002 PI OU
2010 Intraocular lens removal OS Dr. Deitch
10/3/12 DMEK, Phaco w IOL OS FWP</t>
      </is>
    </oc>
    <nc r="M88"/>
  </rcc>
  <rcc rId="206" sId="1">
    <oc r="N88" t="inlineStr">
      <is>
        <t>FML Liquifilm 0.1 % drops,suspension</t>
      </is>
    </oc>
    <nc r="N88"/>
  </rcc>
  <rcc rId="207" sId="1">
    <oc r="O88" t="inlineStr">
      <is>
        <t>Tylenol 750 mg tablet</t>
      </is>
    </oc>
    <nc r="O88"/>
  </rcc>
  <rcc rId="208" sId="1">
    <oc r="K89" t="inlineStr">
      <is>
        <t>Fuch's
Dry eyes</t>
      </is>
    </oc>
    <nc r="K89"/>
  </rcc>
  <rcc rId="209" sId="1">
    <oc r="L89" t="inlineStr">
      <is>
        <t>allergies
diverticulosis
high cholesterol
hernia, childhood diseases, venereal disease
Low blood pressure
Cold sores
Diabetes
Chicken pox
Lymphoma/leukemia
Blood Clots
Use of Prednisone
Gastric Ulcers</t>
      </is>
    </oc>
    <nc r="L89"/>
  </rcc>
  <rcc rId="210" sId="1">
    <oc r="M89" t="inlineStr">
      <is>
        <t>Penetrating Keratoplasty OD 2000 June 15 Francis W. Price, MD
suture adjust/insertion OD 7/19/00 FWP
Corneal transplant (OD) - 2000 , Price , RT
11/12 Phaco w IOL OD Grossnickel
2/27/13 DMEK, Phaco OS FWP</t>
      </is>
    </oc>
    <nc r="M89"/>
  </rcc>
  <rcc rId="211" sId="1">
    <oc r="N89" t="inlineStr">
      <is>
        <t>GenTeal Mild to Moderate 0.3 % Drops
GenTeal Gel 0.25-0.3 % Drops
Pred Forte 1 % Drops, Suspension</t>
      </is>
    </oc>
    <nc r="N89"/>
  </rcc>
  <rcc rId="212" sId="1">
    <oc r="O89" t="inlineStr">
      <is>
        <t>Sinus Medication
Acyclovir
Ambien CR
Kombiglyza XR
4% Lidocaine cream
Midodrine HCL
Multi Vitamin
Nasonex Spray 17gm
Osteo Bi-Flex
Pravastatin
Testosterone Cypionate
Venlaxine ER
aspirin, buffered 81 mg tablet
capsaicin 0.1 % Cream</t>
      </is>
    </oc>
    <nc r="O89"/>
  </rcc>
  <rcc rId="213" sId="1">
    <oc r="K91" t="inlineStr">
      <is>
        <t>Cataract OS
Fuch's OS</t>
      </is>
    </oc>
    <nc r="K91"/>
  </rcc>
  <rcc rId="214" sId="1">
    <oc r="L91" t="inlineStr">
      <is>
        <t>Hernia
hypertension
stroke
diverticulosis</t>
      </is>
    </oc>
    <nc r="L91"/>
  </rcc>
  <rcc rId="215" sId="1">
    <oc r="M91" t="inlineStr">
      <is>
        <t>2/10/10 post graft (DMEK) with phaco and IOL /SK OD fwp
2/22/10 air injection OD fwp
03/15/11 yag cap OD FWP
10/31/2012 DMEK,Phaco w/IOL Skw/MMC OS FWP
11/08/2012 Air Injection (#2) OS</t>
      </is>
    </oc>
    <nc r="M91"/>
  </rcc>
  <rcc rId="216" sId="1">
    <oc r="N91" t="inlineStr">
      <is>
        <t>Oasis Tears Plus 0.2%</t>
      </is>
    </oc>
    <nc r="N91"/>
  </rcc>
  <rcc rId="217" sId="1">
    <oc r="O91" t="inlineStr">
      <is>
        <t>Coumadin 5 mg
Cozaar 50 mg
Verapamil Hydrochloride ER 240 mg
Viagra 50 mg
Zocor 10 mg tablet</t>
      </is>
    </oc>
    <nc r="O91"/>
  </rcc>
  <rcc rId="218" sId="1">
    <oc r="K92" t="inlineStr">
      <is>
        <t>Lattice degeneration of the retina; h/o RD; ERM</t>
      </is>
    </oc>
    <nc r="K92"/>
  </rcc>
  <rcc rId="219" sId="1">
    <oc r="L92" t="inlineStr">
      <is>
        <t>Hyperthyroidism</t>
      </is>
    </oc>
    <nc r="L92"/>
  </rcc>
  <rcc rId="220" sId="1">
    <oc r="M92" t="inlineStr">
      <is>
        <t>DMEK and Phaco w/IOL OS
Retinal detachment repair s/p retinopexy OD
DMEK and Phaco with IOL, SK w/ MMC OD
Punctal plug OS</t>
      </is>
    </oc>
    <nc r="M92"/>
  </rcc>
  <rcc rId="221" sId="1">
    <oc r="N92" t="inlineStr">
      <is>
        <t>FML Liquifilm 0.1 % Drops, Suspension
Pred Forte 1 % Drops, Suspension
Systane Balance 0.6 % Drops</t>
      </is>
    </oc>
    <nc r="N92"/>
  </rcc>
  <rcc rId="222" sId="1">
    <oc r="O92" t="inlineStr">
      <is>
        <t>Protonix 40 mg tablet,delayed release (DR/EC)
Bentyl 10 mg capsule
aspirin 81 mg tablet,delayed release (DR/EC)
Ocuvite 150-30-6-150 mg-unit-mg-mg capsule
multivitamin tablet
CoQ-10 100 mg capsule
Vitamin D3 1,000 unit tablet
Fish Oil 1,000 mg capsule
propranolol 20 mg tablet</t>
      </is>
    </oc>
    <nc r="O92"/>
  </rcc>
  <rcc rId="223" sId="1">
    <oc r="K93" t="inlineStr">
      <is>
        <t>Cataract - 2008 , Cataracts</t>
      </is>
    </oc>
    <nc r="K93"/>
  </rcc>
  <rcc rId="224" sId="1">
    <oc r="L93" t="inlineStr">
      <is>
        <t>Membranous Proliferative Glomerulonepohritis
asthma
high cholesterol
high blood pressure
Sinus problems
Cold sores
Kidney disease
Chicken pox
Bronchitis
Gastric Reflux
Anemia
Organ transplant
Eczema</t>
      </is>
    </oc>
    <nc r="L93"/>
  </rcc>
  <rcc rId="225" sId="1">
    <oc r="M93" t="inlineStr">
      <is>
        <t>DMEK OD FWP
Phaco OD spring 2009 Dr. Woschitz
Laser OD Dr. Woschitz
Cataract (OD) , Anderson, IN
DMEK, Phaco w/IOL, AM OS</t>
      </is>
    </oc>
    <nc r="M93"/>
  </rcc>
  <rcc rId="226" sId="1">
    <oc r="N93" t="inlineStr">
      <is>
        <t>Cosopt 2-0.5 % Drops
Oasis Tears Plus 0.2%
Study Steriod Drop 0.1-1.0%</t>
      </is>
    </oc>
    <nc r="N93"/>
  </rcc>
  <rcc rId="227" sId="1">
    <oc r="O93" t="inlineStr">
      <is>
        <t>Prograf 1 mg capsule
Myfortic 360 mg tablet,delayed release (DR/EC)
metoprolol tartrate 100 mg tablet
calcium carbonate-vitamin D3 600 mg(1,500mg) -400 unit capsule
Fish Oil ?mg capsule
losartan 100 mg tablet
Nexium 40 mg capsule,delayed release(DR/EC)
atorvastatin 10 mg tablet
sertraline 50 mg tablet
amlodipine 10 mg tablet
sulfamethoxazole-trimethoprim 400-80 mg tablet
Multiple Vitamins tablet
aspirin 81 mg tablet, effervescent
levothyroxine 25 mcg tablet
fluticasone 50 mcg/actuation Spray, Suspension
Viagra 50 mg tablet
betamethasone dipropionate 0.05 % Cream</t>
      </is>
    </oc>
    <nc r="O93"/>
  </rcc>
  <rcc rId="228" sId="1">
    <oc r="K94" t="inlineStr">
      <is>
        <t>Cataract - , 
Retinal tear - ,</t>
      </is>
    </oc>
    <nc r="K94"/>
  </rcc>
  <rcc rId="229" sId="1">
    <oc r="L94" t="inlineStr">
      <is>
        <t>High blood pressure
High cholesterol
Gastric Reflux
Migraine headache</t>
      </is>
    </oc>
    <nc r="L94"/>
  </rcc>
  <rcc rId="230" sId="1">
    <oc r="M94" t="inlineStr">
      <is>
        <t>2/27/13 DMEK, Phaco w IOL OD FWP
02/09/11 DSEK, Phaco with IOL OS FWP</t>
      </is>
    </oc>
    <nc r="M94"/>
  </rcc>
  <rcc rId="231" sId="1">
    <oc r="N94" t="inlineStr">
      <is>
        <t>Pred Forte 1 % drops,suspension
Study Steriod Drop 0.1-1.0%</t>
      </is>
    </oc>
    <nc r="N94"/>
  </rcc>
  <rcc rId="232" sId="1">
    <oc r="O94" t="inlineStr">
      <is>
        <t>Altace
Detrol LA
Calcium Citrate+D
multivitamin tablet
Ocuvite 150-30-6-150 mg-unit-mg-mg capsule
Prevacid 15 mg capsule,delayed release(DR/EC)</t>
      </is>
    </oc>
    <nc r="O94"/>
  </rcc>
  <rcc rId="233" sId="1">
    <oc r="K95" t="inlineStr">
      <is>
        <t>Fuchs' Dystrophy
cataract OU</t>
      </is>
    </oc>
    <nc r="K95"/>
  </rcc>
  <rcc rId="234" sId="1">
    <oc r="L95" t="inlineStr">
      <is>
        <t>High blood pressure
High cholesterol
Eczema</t>
      </is>
    </oc>
    <nc r="L95"/>
  </rcc>
  <rcc rId="235" sId="1">
    <oc r="M95" t="inlineStr">
      <is>
        <t>01/02/13 DMEK, Phaco with IOL OS ( Astig. mgmt) FWP
10/24/12 DMEK, Phaco with IOL ( Astig mgt) OD FWP</t>
      </is>
    </oc>
    <nc r="M95"/>
  </rcc>
  <rcc rId="236" sId="1">
    <oc r="N95" t="inlineStr">
      <is>
        <t>Pred Forte 1 % Drops, Suspension
Systane (PF) 0.4-0.3 % Dropperette</t>
      </is>
    </oc>
    <nc r="N95"/>
  </rcc>
  <rcc rId="237" sId="1">
    <oc r="K97" t="inlineStr">
      <is>
        <t>Fuchs' Dystrophy
cataract OU</t>
      </is>
    </oc>
    <nc r="K97"/>
  </rcc>
  <rcc rId="238" sId="1">
    <oc r="L97" t="inlineStr">
      <is>
        <t>High blood pressure
High cholesterol
Eczema</t>
      </is>
    </oc>
    <nc r="L97"/>
  </rcc>
  <rcc rId="239" sId="1">
    <oc r="M97" t="inlineStr">
      <is>
        <t>01/02/13 DMEK, Phaco with IOL OS ( Astig. mgmt) FWP
10/24/12 DMEK, Phaco with IOL ( Astig mgt) OD FWP</t>
      </is>
    </oc>
    <nc r="M97"/>
  </rcc>
  <rcc rId="240" sId="1">
    <oc r="N97" t="inlineStr">
      <is>
        <t>Pred Forte 1 % Drops, Suspension
Systane (PF) 0.4-0.3 % Dropperette</t>
      </is>
    </oc>
    <nc r="N97"/>
  </rcc>
  <rcc rId="241" sId="1">
    <oc r="K100" t="inlineStr">
      <is>
        <t>Fuch's Dystrophy OU, Cataracts OU</t>
      </is>
    </oc>
    <nc r="K100"/>
  </rcc>
  <rcc rId="242" sId="1">
    <oc r="L100" t="inlineStr">
      <is>
        <t>Dust and Pollen Allergies</t>
      </is>
    </oc>
    <nc r="L100"/>
  </rcc>
  <rcc rId="243" sId="1">
    <oc r="M100" t="inlineStr">
      <is>
        <t>05/16/2012 DMEK OS FWP
YAG Capsulotomy OS
4/7/11- Combined DSAEK/phaco/IOL OS - Dr. R Shtein (U of M- Kellogg)
01/09/13 DMEK, Phaco with IOL OD ( Softec HD) FWP</t>
      </is>
    </oc>
    <nc r="M100"/>
  </rcc>
  <rcc rId="244" sId="1">
    <oc r="N100" t="inlineStr">
      <is>
        <t>FML Liquifilm 0.1 % drops,suspension
Oasis Tears Plus 0.2%</t>
      </is>
    </oc>
    <nc r="N100"/>
  </rcc>
  <rcc rId="245" sId="1">
    <oc r="O100" t="inlineStr">
      <is>
        <t>Welbutrin
Calcium citrate/vit d/magnesium
Fish oil
Multi vit
Allegra 180 mg Tablet
Premarin 0.3 mg Tablet</t>
      </is>
    </oc>
    <nc r="O100"/>
  </rcc>
  <rcc rId="246" sId="1">
    <oc r="K101" t="inlineStr">
      <is>
        <t>fuchs</t>
      </is>
    </oc>
    <nc r="K101"/>
  </rcc>
  <rcc rId="247" sId="1">
    <oc r="L101" t="inlineStr">
      <is>
        <t>hypertension
hemorrhoids, diabetes</t>
      </is>
    </oc>
    <nc r="L101"/>
  </rcc>
  <rcc rId="248" sId="1">
    <oc r="M101" t="inlineStr">
      <is>
        <t>01/16/2013 DMEK,Phaco w/IOL OD FWP
02/18/2013 DMEK,Phaco w/IOL OS FWP</t>
      </is>
    </oc>
    <nc r="M101"/>
  </rcc>
  <rcc rId="249" sId="1">
    <oc r="N101" t="inlineStr">
      <is>
        <t>Combigan 0.2-0.5 % Drops
FML Liquifilm 0.1 % Drops, Suspension
Systane (PF) 0.4-0.3 % Dropperette</t>
      </is>
    </oc>
    <nc r="N101"/>
  </rcc>
  <rcc rId="250" sId="1">
    <oc r="O101" t="inlineStr">
      <is>
        <t>metformin 1,000 mg Tablet
glimepiride 4 mg Tablet
Lantus 100 unit/mL Solution
atenolol 25 mg Tablet
levothyroxine 100 mcg Capsule
Crestor 20 mg Tablet
Bayer Childrens Aspirin 81 mg Tablet, Chewable
doxycycline hyclate 20 mg Tablet
Fish Oil 1,000 mg Capsule
Glucosamine 1500 Complex 500-400 mg Capsule
clotrimazole-betamethasone 1-0.05 % Cream
cyclobenzaprine 10 mg Tablet
tramadol 50 mg Tablet
Voltaren 1 % Gel</t>
      </is>
    </oc>
    <nc r="O101"/>
  </rcc>
  <rcc rId="251" sId="1">
    <oc r="K102" t="inlineStr">
      <is>
        <t>Cataracts OU, Fuch's OU</t>
      </is>
    </oc>
    <nc r="K102"/>
  </rcc>
  <rcc rId="252" sId="1">
    <oc r="L102" t="inlineStr">
      <is>
        <t>Asthma
Chronic autoimmune Hepatitis
High blood pressure
Liver disease
Diabetes
Depression
High cholesterol
Use of Prednisone</t>
      </is>
    </oc>
    <nc r="L102"/>
  </rcc>
  <rcc rId="253" sId="1">
    <oc r="M102" t="inlineStr">
      <is>
        <t>10/10/12 DMEK, Phaco with IOL OS FWP
10/23/12 Air injection OS FWP
8/29/12 DMEK, Phaco w IOL OD FWP
9/4/12 air injection OD MF</t>
      </is>
    </oc>
    <nc r="M102"/>
  </rcc>
  <rcc rId="254" sId="1">
    <oc r="N102" t="inlineStr">
      <is>
        <t>Oasis Tears Plus 0.2%</t>
      </is>
    </oc>
    <nc r="N102"/>
  </rcc>
  <rcc rId="255" sId="1">
    <oc r="O102" t="inlineStr">
      <is>
        <t>Exforge
Azathioprine
Glipizide
Furosemide
Sertraline
Meloxicam
Januvia
Omeprazole
Omega 3
Calcium/mag./zinc</t>
      </is>
    </oc>
    <nc r="O102"/>
  </rcc>
  <rcc rId="256" sId="1">
    <oc r="K103" t="inlineStr">
      <is>
        <t>Cataracts OU, Fuch's OU</t>
      </is>
    </oc>
    <nc r="K103"/>
  </rcc>
  <rcc rId="257" sId="1">
    <oc r="L103" t="inlineStr">
      <is>
        <t>Asthma
Chronic autoimmune Hepatitis
High blood pressure
Liver disease
Diabetes
Depression
High cholesterol
Use of Prednisone</t>
      </is>
    </oc>
    <nc r="L103"/>
  </rcc>
  <rcc rId="258" sId="1">
    <oc r="M103" t="inlineStr">
      <is>
        <t>10/10/12 DMEK, Phaco with IOL OS FWP
10/23/12 Air injection OS FWP
8/29/12 DMEK, Phaco w IOL OD FWP
9/4/12 air injection OD MF</t>
      </is>
    </oc>
    <nc r="M103"/>
  </rcc>
  <rcc rId="259" sId="1">
    <oc r="N103" t="inlineStr">
      <is>
        <t>Oasis Tears Plus 0.2%</t>
      </is>
    </oc>
    <nc r="N103"/>
  </rcc>
  <rcc rId="260" sId="1">
    <oc r="O103" t="inlineStr">
      <is>
        <t>Exforge
Azathioprine
Glipizide
Furosemide
Sertraline
Meloxicam
Januvia
Omeprazole
Omega 3
Calcium/mag./zinc</t>
      </is>
    </oc>
    <nc r="O103"/>
  </rcc>
  <rcc rId="261" sId="1">
    <oc r="K104" t="inlineStr">
      <is>
        <t>cataracts
fuchs</t>
      </is>
    </oc>
    <nc r="K104"/>
  </rcc>
  <rcc rId="262" sId="1">
    <oc r="L104" t="inlineStr">
      <is>
        <t>HTN, allergies</t>
      </is>
    </oc>
    <nc r="L104"/>
  </rcc>
  <rcc rId="263" sId="1">
    <oc r="M104" t="inlineStr">
      <is>
        <t>10/31/12 DMEK, phaco w IOL OD FWP
12/19/12 DMEK, Complex Phaco with IOL OS FWP</t>
      </is>
    </oc>
    <nc r="M104"/>
  </rcc>
  <rcc rId="264" sId="1">
    <oc r="N104" t="inlineStr">
      <is>
        <t>Pred Forte 1 % Drops, Suspension</t>
      </is>
    </oc>
    <nc r="N104"/>
  </rcc>
  <rcc rId="265" sId="1">
    <oc r="O104" t="inlineStr">
      <is>
        <t>aspirin 325 mg Tablet, Delayed Release (E.C.)
atenolol 50 mg Tablet
famotidine 20 mg Tablet
lisinopril-hydrochlorothiazide 20-12.5 mg Tablet
rosuvastatin 5 mg Tablet</t>
      </is>
    </oc>
    <nc r="O104"/>
  </rcc>
  <rcc rId="266" sId="1">
    <oc r="K105" t="inlineStr">
      <is>
        <t>cataracts
fuchs</t>
      </is>
    </oc>
    <nc r="K105"/>
  </rcc>
  <rcc rId="267" sId="1">
    <oc r="L105" t="inlineStr">
      <is>
        <t>HTN, allergies</t>
      </is>
    </oc>
    <nc r="L105"/>
  </rcc>
  <rcc rId="268" sId="1">
    <oc r="M105" t="inlineStr">
      <is>
        <t>10/31/12 DMEK, phaco w IOL OD FWP
12/19/12 DMEK, Complex Phaco with IOL OS FWP</t>
      </is>
    </oc>
    <nc r="M105"/>
  </rcc>
  <rcc rId="269" sId="1">
    <oc r="N105" t="inlineStr">
      <is>
        <t>Pred Forte 1 % Drops, Suspension</t>
      </is>
    </oc>
    <nc r="N105"/>
  </rcc>
  <rcc rId="270" sId="1">
    <oc r="O105" t="inlineStr">
      <is>
        <t>aspirin 325 mg Tablet, Delayed Release (E.C.)
atenolol 50 mg Tablet
famotidine 20 mg Tablet
lisinopril-hydrochlorothiazide 20-12.5 mg Tablet
rosuvastatin 5 mg Tablet</t>
      </is>
    </oc>
    <nc r="O105"/>
  </rcc>
  <rcc rId="271" sId="1">
    <oc r="K106" t="inlineStr">
      <is>
        <t>cataracts, Fuchs Dystrophy</t>
      </is>
    </oc>
    <nc r="K106"/>
  </rcc>
  <rcc rId="272" sId="1">
    <oc r="L106" t="inlineStr">
      <is>
        <t>High cholesterol
Osteoporosis
Chicken pox
Underactive thyroid
Other condition not listed</t>
      </is>
    </oc>
    <nc r="L106"/>
  </rcc>
  <rcc rId="273" sId="1">
    <oc r="M106" t="inlineStr">
      <is>
        <t>10/3/12 DMEK Phaco w IOL OD FWP
8/29/12 DMEK, phaco with IOL OS fwp</t>
      </is>
    </oc>
    <nc r="M106"/>
  </rcc>
  <rcc rId="274" sId="1">
    <oc r="N106" t="inlineStr">
      <is>
        <t>Pred Forte 1 % Drops, Suspension</t>
      </is>
    </oc>
    <nc r="N106"/>
  </rcc>
  <rcc rId="275" sId="1">
    <oc r="O106" t="inlineStr">
      <is>
        <t>levothyroxine
simvastatin
finisteride
multivitamin/mineral
chrondroitin/glucosamine
coenzymeQ10
vitamin D3
fish oil
lutein
saw palmetto</t>
      </is>
    </oc>
    <nc r="O106"/>
  </rcc>
  <rcc rId="276" sId="1">
    <oc r="K107" t="inlineStr">
      <is>
        <t>cataracts, Fuchs Dystrophy</t>
      </is>
    </oc>
    <nc r="K107"/>
  </rcc>
  <rcc rId="277" sId="1">
    <oc r="L107" t="inlineStr">
      <is>
        <t>High cholesterol
Osteoporosis
Chicken pox
Underactive thyroid
Other condition not listed</t>
      </is>
    </oc>
    <nc r="L107"/>
  </rcc>
  <rcc rId="278" sId="1">
    <oc r="M107" t="inlineStr">
      <is>
        <t>10/3/12 DMEK Phaco w IOL OD FWP
8/29/12 DMEK, phaco with IOL OS fwp</t>
      </is>
    </oc>
    <nc r="M107"/>
  </rcc>
  <rcc rId="279" sId="1">
    <oc r="N107" t="inlineStr">
      <is>
        <t>Pred Forte 1 % Drops, Suspension</t>
      </is>
    </oc>
    <nc r="N107"/>
  </rcc>
  <rcc rId="280" sId="1">
    <oc r="O107" t="inlineStr">
      <is>
        <t>levothyroxine
simvastatin
finisteride
multivitamin/mineral
chrondroitin/glucosamine
coenzymeQ10
vitamin D3
fish oil
lutein
saw palmetto</t>
      </is>
    </oc>
    <nc r="O107"/>
  </rcc>
  <rcc rId="281" sId="1">
    <oc r="M109" t="inlineStr">
      <is>
        <t>1. 10/28/2013 YAG Capsulotomy OD, repeat Dr. Matt Feng
  2. 10/22/2013 YAG OS Dr. Matt Feng
  3. 10/15/2013 YAG OD Dr. Matt Feng
  4. 06/05/2013 DMEK, Phaco with IOL OD FWP
  5. 10/31/2012 10/31/2012  DMEK,Phaco w /IOL  OS  FWP</t>
      </is>
    </oc>
    <nc r="M109"/>
  </rcc>
  <rcc rId="282" sId="1">
    <oc r="K111" t="inlineStr">
      <is>
        <t>Fuchs</t>
      </is>
    </oc>
    <nc r="K111"/>
  </rcc>
  <rcc rId="283" sId="1">
    <oc r="M111" t="inlineStr">
      <is>
        <t>DMEK OD and Phaco with IOL OD
DMEK, phaco w/IOL OS</t>
      </is>
    </oc>
    <nc r="M111"/>
  </rcc>
  <rcc rId="284" sId="1">
    <oc r="N111" t="inlineStr">
      <is>
        <t>Pred Forte 1 % drops,suspension</t>
      </is>
    </oc>
    <nc r="N111"/>
  </rcc>
  <rcc rId="285" sId="1">
    <oc r="O111" t="inlineStr">
      <is>
        <t>selenium 200 mcg tablet
chromium 400 mcg tablet
biotin 300 mcg tablet
niacin 500 mg tablet
vitamin K w/ D3 tablet
Oyster Shell Calcium With D 500 mg-unit
magnesium glycinate 120mg tablet
Choleast 60mg
zinc 60 mg tablet
Fish Oil 1,200 mg capsule</t>
      </is>
    </oc>
    <nc r="O111"/>
  </rcc>
  <rcc rId="286" sId="1">
    <oc r="K112" t="inlineStr">
      <is>
        <t>Fuchs</t>
      </is>
    </oc>
    <nc r="K112"/>
  </rcc>
  <rcc rId="287" sId="1">
    <oc r="M112" t="inlineStr">
      <is>
        <t>DMEK OD and Phaco with IOL OD
DMEK, phaco w/IOL OS</t>
      </is>
    </oc>
    <nc r="M112"/>
  </rcc>
  <rcc rId="288" sId="1">
    <oc r="N112" t="inlineStr">
      <is>
        <t>Pred Forte 1 % drops,suspension</t>
      </is>
    </oc>
    <nc r="N112"/>
  </rcc>
  <rcc rId="289" sId="1">
    <oc r="O112" t="inlineStr">
      <is>
        <t>selenium 200 mcg tablet
chromium 400 mcg tablet
biotin 300 mcg tablet
niacin 500 mg tablet
vitamin K w/ D3 tablet
Oyster Shell Calcium With D 500 mg-unit
magnesium glycinate 120mg tablet
Choleast 60mg
zinc 60 mg tablet
Fish Oil 1,200 mg capsule</t>
      </is>
    </oc>
    <nc r="O112"/>
  </rcc>
  <rcc rId="290" sId="1">
    <oc r="K114" t="inlineStr">
      <is>
        <t>diagnosed with fuchs ten yrs ago</t>
      </is>
    </oc>
    <nc r="K114"/>
  </rcc>
  <rcc rId="291" sId="1">
    <oc r="L114" t="inlineStr">
      <is>
        <t>High cholesterol
Chicken pox
Skin cancer
Sinus problems</t>
      </is>
    </oc>
    <nc r="L114"/>
  </rcc>
  <rcc rId="292" sId="1">
    <oc r="M114" t="inlineStr">
      <is>
        <t>YAG Capsulotomy OD
DMEK, Phaco with IOL OD FWP
DMEK, phaco w/ IOL OS FWP</t>
      </is>
    </oc>
    <nc r="M114"/>
  </rcc>
  <rcc rId="293" sId="1">
    <oc r="N114" t="inlineStr">
      <is>
        <t>Lotemax 0.5 % Gel
Study Steriod Drop 0.1-1.0%</t>
      </is>
    </oc>
    <nc r="N114"/>
  </rcc>
  <rcc rId="294" sId="1">
    <oc r="O114" t="inlineStr">
      <is>
        <t>bone essentials
Estrace 0.01 % (0.1 mg/g) Cream
Krill Oil (Omega 3 &amp; 6) 1000-130(40-80) mg capsule
multivitamin tablet
panthenol 300mg</t>
      </is>
    </oc>
    <nc r="O114"/>
  </rcc>
  <rcc rId="295" sId="1">
    <oc r="K117" t="inlineStr">
      <is>
        <t>macular degeneration OS (much more than OD)
Fuch's
cataract</t>
      </is>
    </oc>
    <nc r="K117"/>
  </rcc>
  <rcc rId="296" sId="1">
    <oc r="L117" t="inlineStr">
      <is>
        <t>allergies
chronic headache</t>
      </is>
    </oc>
    <nc r="L117"/>
  </rcc>
  <rcc rId="297" sId="1">
    <oc r="M117" t="inlineStr">
      <is>
        <t>DMEK, Phaco w/IOL OS
1986 Syst removed lower lid OS
2003 Eye lids surgery
DMEK, Phaco w/IOL OD</t>
      </is>
    </oc>
    <nc r="M117"/>
  </rcc>
  <rcc rId="298" sId="1">
    <oc r="N117" t="inlineStr">
      <is>
        <t>Study Steriod Drop 0.1-1.0%
Study Steriod Drop 0.1-1.0%</t>
      </is>
    </oc>
    <nc r="N117"/>
  </rcc>
  <rcc rId="299" sId="1">
    <oc r="O117" t="inlineStr">
      <is>
        <t>Aspirin Low Dose 81 mg tablet,delayed release (DR/EC)
Fish Oil 1,000 mg capsule
Calcium 600 D(3) 600 mg calcium- 200 unit capsule
Vitamin B-100 Complex tablet
multivit mins-ferrous glucon 9 mg/15 mL iron Liquid
PreserVision AREDS 7,160-113-100 unit-mg-unit tablet</t>
      </is>
    </oc>
    <nc r="O117"/>
  </rcc>
  <rcc rId="300" sId="2" odxf="1" dxf="1" numFmtId="19">
    <nc r="A8">
      <v>41185</v>
    </nc>
    <odxf>
      <numFmt numFmtId="0" formatCode="General"/>
      <alignment horizontal="general" vertical="bottom" readingOrder="0"/>
      <border outline="0">
        <left/>
        <right/>
        <top/>
        <bottom/>
      </border>
    </odxf>
    <ndxf>
      <numFmt numFmtId="19" formatCode="mm/dd/yyyy"/>
      <alignment horizontal="center" vertical="top" readingOrder="0"/>
      <border outline="0">
        <left style="thin">
          <color indexed="64"/>
        </left>
        <right style="thin">
          <color indexed="64"/>
        </right>
        <top style="thin">
          <color indexed="64"/>
        </top>
        <bottom style="thin">
          <color indexed="64"/>
        </bottom>
      </border>
    </ndxf>
  </rcc>
  <rcc rId="301" sId="2" odxf="1" dxf="1">
    <nc r="B8" t="inlineStr">
      <is>
        <t>Barry</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02" sId="2" odxf="1" dxf="1">
    <nc r="C8" t="inlineStr">
      <is>
        <t>Leming</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03" sId="2" odxf="1" dxf="1">
    <nc r="D8" t="inlineStr">
      <is>
        <t>OS</t>
      </is>
    </nc>
    <odxf>
      <font>
        <b val="0"/>
        <sz val="10"/>
        <color auto="1"/>
        <name val="Arial"/>
        <scheme val="none"/>
      </font>
      <fill>
        <patternFill patternType="none">
          <bgColor indexed="65"/>
        </patternFill>
      </fill>
      <alignment horizontal="general" vertical="bottom" readingOrder="0"/>
      <border outline="0">
        <left/>
        <right/>
        <top/>
        <bottom/>
      </border>
    </odxf>
    <ndxf>
      <font>
        <b/>
        <sz val="10"/>
        <color indexed="63"/>
        <name val="Arial"/>
        <scheme val="none"/>
      </font>
      <fill>
        <patternFill patternType="solid">
          <bgColor indexed="9"/>
        </patternFill>
      </fill>
      <alignment horizontal="center" vertical="top" readingOrder="0"/>
      <border outline="0">
        <left style="thin">
          <color indexed="64"/>
        </left>
        <right style="thin">
          <color indexed="64"/>
        </right>
        <top style="thin">
          <color indexed="64"/>
        </top>
        <bottom style="thin">
          <color indexed="64"/>
        </bottom>
      </border>
    </ndxf>
  </rcc>
  <rcc rId="304" sId="2" odxf="1" dxf="1">
    <nc r="E8">
      <v>46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05" sId="2" odxf="1" dxf="1" numFmtId="19">
    <nc r="F8">
      <v>24356</v>
    </nc>
    <odxf>
      <numFmt numFmtId="0" formatCode="General"/>
      <alignment horizontal="general" vertical="bottom" readingOrder="0"/>
      <border outline="0">
        <left/>
        <right/>
        <top/>
        <bottom/>
      </border>
    </odxf>
    <ndxf>
      <numFmt numFmtId="19" formatCode="mm/dd/yyyy"/>
      <alignment horizontal="center" vertical="top" readingOrder="0"/>
      <border outline="0">
        <left style="thin">
          <color indexed="64"/>
        </left>
        <right style="thin">
          <color indexed="64"/>
        </right>
        <top style="thin">
          <color indexed="64"/>
        </top>
        <bottom style="thin">
          <color indexed="64"/>
        </bottom>
      </border>
    </ndxf>
  </rcc>
  <rcc rId="306" sId="2" odxf="1" dxf="1">
    <nc r="G8" t="inlineStr">
      <is>
        <t>W</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07" sId="2" odxf="1" dxf="1">
    <nc r="H8" t="inlineStr">
      <is>
        <t>M</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08" sId="2" odxf="1" dxf="1">
    <nc r="I8">
      <v>1835332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J8" start="0" length="0">
    <dxf>
      <alignment horizontal="center" vertical="top" readingOrder="0"/>
      <border outline="0">
        <left style="thin">
          <color indexed="64"/>
        </left>
        <right style="thin">
          <color indexed="64"/>
        </right>
        <top style="thin">
          <color indexed="64"/>
        </top>
        <bottom style="thin">
          <color indexed="64"/>
        </bottom>
      </border>
    </dxf>
  </rfmt>
  <rfmt sheetId="2" sqref="K8" start="0" length="0">
    <dxf>
      <font>
        <sz val="6"/>
        <color indexed="8"/>
        <name val="Arial"/>
        <scheme val="none"/>
      </font>
      <alignment horizontal="left" vertical="top" wrapText="1" readingOrder="1"/>
      <border outline="0">
        <left style="medium">
          <color indexed="22"/>
        </left>
        <right style="medium">
          <color indexed="22"/>
        </right>
        <bottom style="medium">
          <color indexed="22"/>
        </bottom>
      </border>
    </dxf>
  </rfmt>
  <rfmt sheetId="2" sqref="L8" start="0" length="0">
    <dxf>
      <font>
        <sz val="6"/>
        <color indexed="8"/>
        <name val="Arial"/>
        <scheme val="none"/>
      </font>
      <alignment horizontal="left" vertical="top" wrapText="1" readingOrder="1"/>
      <border outline="0">
        <right style="medium">
          <color indexed="22"/>
        </right>
        <bottom style="medium">
          <color indexed="22"/>
        </bottom>
      </border>
    </dxf>
  </rfmt>
  <rfmt sheetId="2" sqref="M8" start="0" length="0">
    <dxf>
      <font>
        <sz val="6"/>
        <color indexed="8"/>
        <name val="Arial"/>
        <scheme val="none"/>
      </font>
      <alignment horizontal="left" vertical="top" wrapText="1" readingOrder="1"/>
      <border outline="0">
        <right style="medium">
          <color indexed="22"/>
        </right>
        <bottom style="medium">
          <color indexed="22"/>
        </bottom>
      </border>
    </dxf>
  </rfmt>
  <rfmt sheetId="2" sqref="N8" start="0" length="0">
    <dxf>
      <font>
        <sz val="6"/>
        <color indexed="8"/>
        <name val="Arial"/>
        <scheme val="none"/>
      </font>
      <alignment horizontal="left" vertical="top" wrapText="1" readingOrder="1"/>
      <border outline="0">
        <right style="medium">
          <color indexed="22"/>
        </right>
        <bottom style="medium">
          <color indexed="22"/>
        </bottom>
      </border>
    </dxf>
  </rfmt>
  <rfmt sheetId="2" sqref="O8" start="0" length="0">
    <dxf>
      <font>
        <sz val="6"/>
        <color indexed="8"/>
        <name val="Arial"/>
        <scheme val="none"/>
      </font>
      <alignment horizontal="left" vertical="top" wrapText="1" readingOrder="1"/>
      <border outline="0">
        <right style="medium">
          <color indexed="22"/>
        </right>
        <bottom style="medium">
          <color indexed="22"/>
        </bottom>
      </border>
    </dxf>
  </rfmt>
  <rcc rId="309" sId="2" odxf="1" dxf="1">
    <nc r="P8">
      <v>-0.5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10" sId="2" odxf="1" dxf="1">
    <nc r="Q8">
      <v>-0.57999999999999996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11" sId="2" odxf="1" dxf="1">
    <nc r="R8" t="inlineStr">
      <is>
        <t>SOFTEC HD</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12" sId="2" odxf="1" dxf="1" numFmtId="19">
    <nc r="S8">
      <v>41109</v>
    </nc>
    <odxf>
      <numFmt numFmtId="0" formatCode="General"/>
      <fill>
        <patternFill patternType="none">
          <bgColor indexed="65"/>
        </patternFill>
      </fill>
      <alignment horizontal="general" vertical="bottom" readingOrder="0"/>
      <border outline="0">
        <left/>
        <right/>
        <top/>
        <bottom/>
      </border>
    </odxf>
    <ndxf>
      <numFmt numFmtId="19" formatCode="mm/dd/yyyy"/>
      <fill>
        <patternFill patternType="solid">
          <bgColor theme="5" tint="0.39994506668294322"/>
        </patternFill>
      </fill>
      <alignment horizontal="center" vertical="top" readingOrder="0"/>
      <border outline="0">
        <left style="thin">
          <color indexed="64"/>
        </left>
        <right style="thin">
          <color indexed="64"/>
        </right>
        <top style="thin">
          <color indexed="64"/>
        </top>
        <bottom style="thin">
          <color indexed="64"/>
        </bottom>
      </border>
    </ndxf>
  </rcc>
  <rfmt sheetId="2" sqref="T8" start="0" length="0">
    <dxf>
      <numFmt numFmtId="166" formatCode="\+#0.00;\-#0.00;0;@"/>
      <alignment horizontal="center" vertical="top" readingOrder="0"/>
      <border outline="0">
        <left style="thin">
          <color indexed="64"/>
        </left>
        <right style="thin">
          <color indexed="64"/>
        </right>
        <top style="thin">
          <color indexed="64"/>
        </top>
        <bottom style="thin">
          <color indexed="64"/>
        </bottom>
      </border>
    </dxf>
  </rfmt>
  <rfmt sheetId="2" sqref="U8" start="0" length="0">
    <dxf>
      <numFmt numFmtId="166" formatCode="\+#0.00;\-#0.00;0;@"/>
      <alignment horizontal="center" vertical="top" readingOrder="0"/>
      <border outline="0">
        <left style="thin">
          <color indexed="64"/>
        </left>
        <right style="thin">
          <color indexed="64"/>
        </right>
        <top style="thin">
          <color indexed="64"/>
        </top>
        <bottom style="thin">
          <color indexed="64"/>
        </bottom>
      </border>
    </dxf>
  </rfmt>
  <rfmt sheetId="2" sqref="V8" start="0" length="0">
    <dxf>
      <alignment horizontal="center" vertical="top" readingOrder="0"/>
      <border outline="0">
        <left style="thin">
          <color indexed="64"/>
        </left>
        <right style="thin">
          <color indexed="64"/>
        </right>
        <top style="thin">
          <color indexed="64"/>
        </top>
        <bottom style="thin">
          <color indexed="64"/>
        </bottom>
      </border>
    </dxf>
  </rfmt>
  <rfmt sheetId="2" sqref="W8" start="0" length="0">
    <dxf>
      <alignment horizontal="center" vertical="top" readingOrder="0"/>
      <border outline="0">
        <left style="thin">
          <color indexed="64"/>
        </left>
        <right style="thin">
          <color indexed="64"/>
        </right>
        <top style="thin">
          <color indexed="64"/>
        </top>
        <bottom style="thin">
          <color indexed="64"/>
        </bottom>
      </border>
    </dxf>
  </rfmt>
  <rcc rId="313" sId="2" odxf="1" dxf="1">
    <nc r="X8">
      <v>16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14" sId="2" odxf="1" dxf="1">
    <nc r="Y8">
      <v>854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15" sId="2" odxf="1" dxf="1">
    <nc r="Z8">
      <v>27.79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16" sId="2" odxf="1" dxf="1">
    <nc r="AA8">
      <v>12.4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17" sId="2" odxf="1" dxf="1">
    <nc r="AB8">
      <v>4.28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18" sId="2" odxf="1" dxf="1">
    <nc r="AC8">
      <v>3.95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19" sId="2" odxf="1" dxf="1">
    <nc r="AD8">
      <v>44.18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20" sId="2" odxf="1" dxf="1">
    <nc r="AE8">
      <v>29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21" sId="2" odxf="1" dxf="1">
    <nc r="AF8">
      <v>44.53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22" sId="2" odxf="1" dxf="1">
    <nc r="AG8">
      <v>119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AH8" start="0" length="0">
    <dxf>
      <alignment horizontal="center" vertical="top" readingOrder="0"/>
      <border outline="0">
        <left style="thin">
          <color indexed="64"/>
        </left>
        <right style="thin">
          <color indexed="64"/>
        </right>
        <top style="thin">
          <color indexed="64"/>
        </top>
        <bottom style="thin">
          <color indexed="64"/>
        </bottom>
      </border>
    </dxf>
  </rfmt>
  <rfmt sheetId="2" sqref="AI8" start="0" length="0">
    <dxf>
      <alignment horizontal="center" vertical="top" wrapText="1" readingOrder="0"/>
      <border outline="0">
        <left style="thin">
          <color indexed="64"/>
        </left>
        <right style="thin">
          <color indexed="64"/>
        </right>
        <top style="thin">
          <color indexed="64"/>
        </top>
        <bottom style="thin">
          <color indexed="64"/>
        </bottom>
      </border>
    </dxf>
  </rfmt>
  <rcc rId="323" sId="2" odxf="1" dxf="1" numFmtId="19">
    <nc r="AJ8">
      <v>41375</v>
    </nc>
    <odxf>
      <font>
        <sz val="10"/>
        <color auto="1"/>
        <name val="Arial"/>
        <scheme val="none"/>
      </font>
      <numFmt numFmtId="0" formatCode="General"/>
      <alignment horizontal="general" vertical="bottom" readingOrder="0"/>
      <border outline="0">
        <left/>
        <right/>
        <top/>
        <bottom/>
      </border>
    </odxf>
    <ndxf>
      <font>
        <sz val="10"/>
        <color auto="1"/>
        <name val="Arial"/>
        <scheme val="none"/>
      </font>
      <numFmt numFmtId="19" formatCode="mm/dd/yyyy"/>
      <alignment horizontal="center" vertical="top" readingOrder="0"/>
      <border outline="0">
        <left style="thin">
          <color indexed="64"/>
        </left>
        <right style="thin">
          <color indexed="64"/>
        </right>
        <top style="thin">
          <color indexed="64"/>
        </top>
        <bottom style="thin">
          <color indexed="64"/>
        </bottom>
      </border>
    </ndxf>
  </rcc>
  <rcc rId="324" sId="2" odxf="1" dxf="1" numFmtId="4">
    <nc r="AK8">
      <v>30</v>
    </nc>
    <odxf>
      <font>
        <sz val="10"/>
        <color auto="1"/>
        <name val="Arial"/>
        <scheme val="none"/>
      </font>
      <numFmt numFmtId="0" formatCode="General"/>
      <alignment horizontal="general" vertical="bottom" readingOrder="0"/>
      <border outline="0">
        <left/>
        <right/>
        <top/>
        <bottom/>
      </border>
    </odxf>
    <ndxf>
      <font>
        <sz val="10"/>
        <color auto="1"/>
        <name val="Arial"/>
        <scheme val="none"/>
      </font>
      <numFmt numFmtId="1" formatCode="0"/>
      <alignment horizontal="center" vertical="top" readingOrder="0"/>
      <border outline="0">
        <left style="thin">
          <color indexed="64"/>
        </left>
        <right style="thin">
          <color indexed="64"/>
        </right>
        <top style="thin">
          <color indexed="64"/>
        </top>
        <bottom style="thin">
          <color indexed="64"/>
        </bottom>
      </border>
    </ndxf>
  </rcc>
  <rcc rId="325" sId="2" odxf="1" dxf="1" numFmtId="4">
    <nc r="AL8">
      <v>0</v>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cc rId="326" sId="2" odxf="1" dxf="1" numFmtId="4">
    <nc r="AM8">
      <v>0</v>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cc rId="327" sId="2" odxf="1" dxf="1">
    <nc r="AN8">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28" sId="2" odxf="1" dxf="1">
    <nc r="AO8">
      <v>30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29" sId="2" odxf="1" dxf="1">
    <nc r="AP8">
      <v>25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30" sId="2" odxf="1" dxf="1">
    <nc r="AQ8">
      <v>553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31" sId="2" odxf="1" dxf="1">
    <nc r="AR8">
      <v>1600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AS8" start="0" length="0">
    <dxf>
      <alignment horizontal="center" vertical="top" readingOrder="0"/>
      <border outline="0">
        <left style="thin">
          <color indexed="64"/>
        </left>
        <right style="thin">
          <color indexed="64"/>
        </right>
        <top style="thin">
          <color indexed="64"/>
        </top>
        <bottom style="thin">
          <color indexed="64"/>
        </bottom>
      </border>
    </dxf>
  </rfmt>
  <rfmt sheetId="2" sqref="AT8" start="0" length="0">
    <dxf>
      <alignment horizontal="center" vertical="top" readingOrder="0"/>
      <border outline="0">
        <left style="thin">
          <color indexed="64"/>
        </left>
        <right style="thin">
          <color indexed="64"/>
        </right>
        <top style="thin">
          <color indexed="64"/>
        </top>
        <bottom style="thin">
          <color indexed="64"/>
        </bottom>
      </border>
    </dxf>
  </rfmt>
  <rfmt sheetId="2" sqref="AU8" start="0" length="0">
    <dxf>
      <alignment horizontal="center" vertical="top" readingOrder="0"/>
      <border outline="0">
        <left style="thin">
          <color indexed="64"/>
        </left>
        <right style="thin">
          <color indexed="64"/>
        </right>
        <top style="thin">
          <color indexed="64"/>
        </top>
        <bottom style="thin">
          <color indexed="64"/>
        </bottom>
      </border>
    </dxf>
  </rfmt>
  <rfmt sheetId="2" sqref="AV8" start="0" length="0">
    <dxf>
      <alignment horizontal="center" vertical="top" readingOrder="0"/>
      <border outline="0">
        <left style="thin">
          <color indexed="64"/>
        </left>
        <right style="thin">
          <color indexed="64"/>
        </right>
        <top style="thin">
          <color indexed="64"/>
        </top>
        <bottom style="thin">
          <color indexed="64"/>
        </bottom>
      </border>
    </dxf>
  </rfmt>
  <rfmt sheetId="2" sqref="AW8" start="0" length="0">
    <dxf>
      <alignment horizontal="center" vertical="top" readingOrder="0"/>
      <border outline="0">
        <left style="thin">
          <color indexed="64"/>
        </left>
        <right style="thin">
          <color indexed="64"/>
        </right>
        <top style="thin">
          <color indexed="64"/>
        </top>
        <bottom style="thin">
          <color indexed="64"/>
        </bottom>
      </border>
    </dxf>
  </rfmt>
  <rfmt sheetId="2" sqref="AX8" start="0" length="0">
    <dxf>
      <alignment horizontal="center" vertical="top" readingOrder="0"/>
      <border outline="0">
        <left style="thin">
          <color indexed="64"/>
        </left>
        <right style="thin">
          <color indexed="64"/>
        </right>
        <top style="thin">
          <color indexed="64"/>
        </top>
        <bottom style="thin">
          <color indexed="64"/>
        </bottom>
      </border>
    </dxf>
  </rfmt>
  <rcc rId="332" sId="2" odxf="1" dxf="1">
    <nc r="AY8">
      <f>IF(ISNUMBER(AL8),AL8+0.5*AM8,"")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33" sId="2" odxf="1" dxf="1">
    <nc r="AZ8">
      <f>IF(ISNUMBER(AY8),IF(ISNUMBER(Q8),AY8-Q8,"MISSING"),"")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34" sId="2" odxf="1" dxf="1">
    <nc r="BA8">
      <f>IF(AND(ISNUMBER(AQ8),ISNUMBER(Y8)),AQ8-Y8,IF(ISNUMBER(AQ8),"MISSING",""))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35" sId="2" odxf="1" dxf="1" numFmtId="19">
    <nc r="BB8">
      <v>41638</v>
    </nc>
    <odxf>
      <numFmt numFmtId="0" formatCode="General"/>
      <alignment horizontal="general" vertical="bottom" readingOrder="0"/>
      <border outline="0">
        <left/>
        <right/>
        <top/>
        <bottom/>
      </border>
    </odxf>
    <ndxf>
      <numFmt numFmtId="19" formatCode="mm/dd/yyyy"/>
      <alignment horizontal="center" vertical="top" readingOrder="0"/>
      <border outline="0">
        <left style="thin">
          <color indexed="64"/>
        </left>
        <right style="thin">
          <color indexed="64"/>
        </right>
        <top style="thin">
          <color indexed="64"/>
        </top>
        <bottom style="thin">
          <color indexed="64"/>
        </bottom>
      </border>
    </ndxf>
  </rcc>
  <rcc rId="336" sId="2" odxf="1" dxf="1" numFmtId="4">
    <nc r="BC8">
      <v>30</v>
    </nc>
    <odxf>
      <numFmt numFmtId="0" formatCode="General"/>
      <alignment horizontal="general" vertical="bottom" readingOrder="0"/>
      <border outline="0">
        <left/>
        <right/>
        <top/>
        <bottom/>
      </border>
    </odxf>
    <ndxf>
      <numFmt numFmtId="1" formatCode="0"/>
      <alignment horizontal="center" vertical="top" readingOrder="0"/>
      <border outline="0">
        <left style="thin">
          <color indexed="64"/>
        </left>
        <right style="thin">
          <color indexed="64"/>
        </right>
        <top style="thin">
          <color indexed="64"/>
        </top>
        <bottom style="thin">
          <color indexed="64"/>
        </bottom>
      </border>
    </ndxf>
  </rcc>
  <rcc rId="337" sId="2" odxf="1" dxf="1" numFmtId="4">
    <nc r="BD8">
      <v>-1.5</v>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cc rId="338" sId="2" odxf="1" dxf="1" numFmtId="4">
    <nc r="BE8">
      <v>0.5</v>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cc rId="339" sId="2" odxf="1" dxf="1">
    <nc r="BF8">
      <v>70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40" sId="2" odxf="1" dxf="1">
    <nc r="BG8">
      <v>20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41" sId="2" odxf="1" dxf="1">
    <nc r="BH8">
      <v>24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42" sId="2" odxf="1" dxf="1">
    <nc r="BI8">
      <v>548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43" sId="2" odxf="1" dxf="1">
    <nc r="BJ8">
      <v>1402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BK8" start="0" length="0">
    <dxf>
      <alignment horizontal="center" vertical="top" readingOrder="0"/>
      <border outline="0">
        <left style="thin">
          <color indexed="64"/>
        </left>
        <right style="thin">
          <color indexed="64"/>
        </right>
        <top style="thin">
          <color indexed="64"/>
        </top>
        <bottom style="thin">
          <color indexed="64"/>
        </bottom>
      </border>
    </dxf>
  </rfmt>
  <rfmt sheetId="2" sqref="BL8" start="0" length="0">
    <dxf>
      <alignment horizontal="center" vertical="top" readingOrder="0"/>
      <border outline="0">
        <left style="thin">
          <color indexed="64"/>
        </left>
        <right style="thin">
          <color indexed="64"/>
        </right>
        <top style="thin">
          <color indexed="64"/>
        </top>
        <bottom style="thin">
          <color indexed="64"/>
        </bottom>
      </border>
    </dxf>
  </rfmt>
  <rfmt sheetId="2" sqref="BM8" start="0" length="0">
    <dxf>
      <alignment horizontal="center" vertical="top" readingOrder="0"/>
      <border outline="0">
        <left style="thin">
          <color indexed="64"/>
        </left>
        <right style="thin">
          <color indexed="64"/>
        </right>
        <top style="thin">
          <color indexed="64"/>
        </top>
        <bottom style="thin">
          <color indexed="64"/>
        </bottom>
      </border>
    </dxf>
  </rfmt>
  <rfmt sheetId="2" sqref="BN8" start="0" length="0">
    <dxf>
      <alignment horizontal="center" vertical="top" readingOrder="0"/>
      <border outline="0">
        <left style="thin">
          <color indexed="64"/>
        </left>
        <right style="thin">
          <color indexed="64"/>
        </right>
        <top style="thin">
          <color indexed="64"/>
        </top>
        <bottom style="thin">
          <color indexed="64"/>
        </bottom>
      </border>
    </dxf>
  </rfmt>
  <rfmt sheetId="2" sqref="BO8" start="0" length="0">
    <dxf>
      <alignment horizontal="center" vertical="top" readingOrder="0"/>
      <border outline="0">
        <left style="thin">
          <color indexed="64"/>
        </left>
        <right style="thin">
          <color indexed="64"/>
        </right>
        <top style="thin">
          <color indexed="64"/>
        </top>
        <bottom style="thin">
          <color indexed="64"/>
        </bottom>
      </border>
    </dxf>
  </rfmt>
  <rfmt sheetId="2" sqref="BP8" start="0" length="0">
    <dxf>
      <alignment horizontal="center" vertical="top" readingOrder="0"/>
      <border outline="0">
        <left style="thin">
          <color indexed="64"/>
        </left>
        <right style="thin">
          <color indexed="64"/>
        </right>
        <top style="thin">
          <color indexed="64"/>
        </top>
        <bottom style="thin">
          <color indexed="64"/>
        </bottom>
      </border>
    </dxf>
  </rfmt>
  <rcc rId="344" sId="2" odxf="1" dxf="1">
    <nc r="BQ8">
      <f>IF(ISNUMBER(BD8),BD8+0.5*BE8,"")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45" sId="2" odxf="1" dxf="1">
    <nc r="BR8">
      <f>IF(ISNUMBER(BQ8),IF(ISNUMBER($Q8),BQ8-$Q8,"MISSING"),"")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46" sId="2" odxf="1" dxf="1">
    <nc r="BS8">
      <f>IF(AND(ISNUMBER(BI8),ISNUMBER($Y8)),BI8-$Y8,IF(ISNUMBER(BI8),"MISSING",""))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47" sId="2" odxf="1" dxf="1">
    <nc r="BT8">
      <f>IF(AND(ISBLANK($AL8),ISBLANK($BD8)),0,1)</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48" sId="2" odxf="1" dxf="1">
    <nc r="BU8">
      <f>IF(AND(ISNUMBER($AL8),ISNUMBER($BD8)),1,0)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49" sId="2" odxf="1" dxf="1">
    <nc r="BV8">
      <f>IF(BU8,SE_PREOP,"")</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50" sId="2" odxf="1" dxf="1">
    <nc r="BW8">
      <f>IF(FU_6_AND_12,SE_6,"")</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51" sId="2" odxf="1" dxf="1">
    <nc r="BX8">
      <f>IF(FU_6_AND_12,SE_12,"")</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52" sId="2" odxf="1" dxf="1">
    <nc r="BY8">
      <f>IF(AND(ISNUMBER(BB8),ISNUMBER(BD8)),BB8-A8,IF(ISNUMBER(AJ8),AJ8-A8,0))</f>
    </nc>
    <odxf>
      <numFmt numFmtId="0" formatCode="General"/>
      <alignment horizontal="general" vertical="bottom" readingOrder="0"/>
      <border outline="0">
        <left/>
        <right/>
        <top/>
        <bottom/>
      </border>
    </odxf>
    <ndxf>
      <numFmt numFmtId="2" formatCode="0.00"/>
      <alignment horizontal="center" vertical="top" readingOrder="0"/>
      <border outline="0">
        <left style="thin">
          <color indexed="64"/>
        </left>
        <right style="thin">
          <color indexed="64"/>
        </right>
        <top style="thin">
          <color indexed="64"/>
        </top>
        <bottom style="thin">
          <color indexed="64"/>
        </bottom>
      </border>
    </ndxf>
  </rcc>
  <rcc rId="353" sId="2" odxf="1" dxf="1">
    <nc r="BZ8">
      <f>IF(BY8&gt;0,BY8/30,"")</f>
    </nc>
    <odxf>
      <numFmt numFmtId="0" formatCode="General"/>
      <alignment horizontal="general" vertical="bottom" readingOrder="0"/>
      <border outline="0">
        <left/>
        <right/>
        <top/>
        <bottom/>
      </border>
    </odxf>
    <ndxf>
      <numFmt numFmtId="165" formatCode="0.0"/>
      <alignment horizontal="center" vertical="top" readingOrder="0"/>
      <border outline="0">
        <left style="thin">
          <color indexed="64"/>
        </left>
        <right style="thin">
          <color indexed="64"/>
        </right>
        <top style="thin">
          <color indexed="64"/>
        </top>
        <bottom style="thin">
          <color indexed="64"/>
        </bottom>
      </border>
    </ndxf>
  </rcc>
  <rcc rId="354" sId="2" odxf="1" dxf="1">
    <nc r="CA8">
      <f>IF(AND(ISNUMBER(AY8),ISNUMBER(BQ8)),(BQ8-AY8),"")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55" sId="2" odxf="1" dxf="1">
    <nc r="CB8">
      <f>IF(AND(ISNUMBER(AW8), ISNUMBER(AD8)), AVERAGE(AW8,AU8)-AVERAGE(AD8,AF8),"")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56" sId="2" odxf="1" dxf="1">
    <nc r="CC8">
      <f>IF(AND(ISNUMBER(BM8), ISNUMBER(AD8)), AVERAGE(BM8,BO8)-AVERAGE(AD8,AF8),"")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57" sId="2" odxf="1" dxf="1">
    <nc r="CD8">
      <f>IF(ISNUMBER(CC8),CC8,IF(ISNUMBER(CB8),CB8,""))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58" sId="2" odxf="1" dxf="1">
    <nc r="CE8">
      <f>IF(AND(ISNUMBER(SPH_PREOP),ISNUMBER(SE_LAST_)),SPH_PREOP+CYL_PREOP/2,"")</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59" sId="2" odxf="1" dxf="1">
    <nc r="CF8">
      <f>IF(ISNUMBER(SE_12),SE_12,IF(ISNUMBER(SE_6),SE_6,""))</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60" sId="2" odxf="1" dxf="1">
    <nc r="CG8">
      <f>IF(AND(ISNUMBER(SE_LAST_),ISNUMBER(REF_TARGET)),SE_LAST_-REF_TARGET,"")</f>
    </nc>
    <odxf>
      <alignment horizontal="general" vertical="bottom" readingOrder="0"/>
      <border outline="0">
        <left/>
        <right/>
        <top/>
        <bottom/>
      </border>
    </odxf>
    <ndxf>
      <alignment horizontal="center" vertical="top" readingOrder="0"/>
      <border outline="0">
        <left style="thin">
          <color indexed="64"/>
        </left>
        <right style="double">
          <color indexed="64"/>
        </right>
        <top style="thin">
          <color indexed="64"/>
        </top>
        <bottom style="thin">
          <color indexed="64"/>
        </bottom>
      </border>
    </ndxf>
  </rcc>
  <rcc rId="361" sId="2" odxf="1" dxf="1">
    <nc r="CH8">
      <f>IF(ISNUMBER(Y8),IF(ISNUMBER(BI8),BI8-Y8,IF(ISNUMBER(AQ8),AQ8-Y8,"")),"")</f>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362" sId="2" odxf="1" dxf="1">
    <nc r="CI8">
      <f>IF(ISNUMBER(Z8),IF(ISNUMBER(AS8),AS8-Z8,IF(ISNUMBER(BK8),BK8-Z8,"")),"")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63" sId="2" odxf="1" dxf="1">
    <nc r="CJ8">
      <f>IF(AND(OR(ISNUMBER(BG8),ISNUMBER(AO8)),ISNUMBER(W8)),-LOG(20/W8)--LOG(20/IF(ISNUMBER(BG8),BG8,AO8)),"")</f>
    </nc>
    <odxf>
      <alignment horizontal="general" vertical="bottom" readingOrder="0"/>
    </odxf>
    <ndxf>
      <alignment horizontal="center" vertical="top" readingOrder="0"/>
    </ndxf>
  </rcc>
  <rcc rId="364" sId="2" odxf="1" dxf="1">
    <nc r="CK8">
      <f>IF(ISNUMBER(BE8),BE8,IF(ISNUMBER(AM8),AM8,""))</f>
    </nc>
    <odxf>
      <numFmt numFmtId="0" formatCode="General"/>
      <alignment horizontal="general" vertical="bottom" readingOrder="0"/>
    </odxf>
    <ndxf>
      <numFmt numFmtId="166" formatCode="\+#0.00;\-#0.00;0;@"/>
      <alignment horizontal="center" vertical="top" readingOrder="0"/>
    </ndxf>
  </rcc>
  <rcc rId="365" sId="2" odxf="1" dxf="1">
    <nc r="CL8">
      <f>IF(AND(ISNUMBER(CK8),ISNUMBER(U8)),CK8-U8,"")</f>
    </nc>
    <odxf>
      <numFmt numFmtId="0" formatCode="General"/>
      <alignment horizontal="general" vertical="bottom" readingOrder="0"/>
    </odxf>
    <ndxf>
      <numFmt numFmtId="166" formatCode="\+#0.00;\-#0.00;0;@"/>
      <alignment horizontal="center" vertical="top" readingOrder="0"/>
    </ndxf>
  </rcc>
  <rcc rId="366" sId="2" odxf="1" dxf="1">
    <nc r="CM8">
      <f>IF(AND(REF_TARGET&lt;=0,REF_TARGET&gt;-1),IF(ISNUMBER(UDVA_12),UDVA_12,IF(ISNUMBER(UDVA_6),UDVA_6,"")),"")</f>
    </nc>
    <odxf>
      <font>
        <sz val="10"/>
        <color auto="1"/>
        <name val="Arial"/>
        <scheme val="none"/>
      </font>
      <numFmt numFmtId="0" formatCode="General"/>
      <alignment horizontal="general" vertical="bottom" readingOrder="0"/>
    </odxf>
    <ndxf>
      <font>
        <sz val="10"/>
        <color auto="1"/>
        <name val="Arial"/>
        <scheme val="none"/>
      </font>
      <numFmt numFmtId="1" formatCode="0"/>
      <alignment horizontal="center" vertical="top" readingOrder="0"/>
    </ndxf>
  </rcc>
  <rcc rId="367" sId="2" odxf="1" dxf="1">
    <nc r="CN8">
      <f>IF(ISNUMBER($CQ8),IF(ISNUMBER($AL8),IF(ISNUMBER($EL8),0,1),""),"")</f>
    </nc>
    <odxf>
      <alignment horizontal="general" vertical="bottom" readingOrder="0"/>
    </odxf>
    <ndxf>
      <alignment horizontal="center" vertical="top" readingOrder="0"/>
    </ndxf>
  </rcc>
  <rcc rId="368" sId="2" odxf="1" dxf="1">
    <nc r="CO8">
      <f>IF(ISNUMBER($CQ8),IF(ISNUMBER($BD8),IF(ISNUMBER($GH8),0,1),""),"")</f>
    </nc>
    <odxf>
      <alignment horizontal="general" vertical="bottom" readingOrder="0"/>
    </odxf>
    <ndxf>
      <alignment horizontal="center" vertical="top" readingOrder="0"/>
    </ndxf>
  </rcc>
  <rcc rId="369" sId="2">
    <nc r="CP8">
      <v>7.44</v>
    </nc>
  </rcc>
  <rcc rId="370" sId="2" odxf="1" dxf="1">
    <nc r="CQ8">
      <v>7.71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71" sId="2" odxf="1" dxf="1">
    <nc r="CR8">
      <v>62.4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72" sId="2" odxf="1" dxf="1">
    <nc r="CS8">
      <v>1.6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73" sId="2" odxf="1" dxf="1">
    <nc r="CT8">
      <v>0.88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74" sId="2" odxf="1" dxf="1">
    <nc r="CU8">
      <v>0.83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75" sId="2" odxf="1" dxf="1">
    <nc r="CV8">
      <v>2.97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76" sId="2" odxf="1" dxf="1">
    <nc r="CW8">
      <v>3.82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77" sId="2" odxf="1" dxf="1">
    <nc r="CX8">
      <v>844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78" sId="2" odxf="1" dxf="1">
    <nc r="CY8">
      <v>875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79" sId="2" odxf="1" dxf="1">
    <nc r="CZ8">
      <v>823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80" sId="2" odxf="1" dxf="1">
    <nc r="DA8">
      <v>886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81" sId="2" odxf="1" dxf="1">
    <nc r="DB8">
      <v>687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82" sId="2" odxf="1" dxf="1">
    <nc r="DC8">
      <v>1022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83" sId="2" odxf="1" dxf="1">
    <nc r="DD8">
      <v>668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84" sId="2" odxf="1" dxf="1">
    <nc r="DE8">
      <v>-3.04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85" sId="2" odxf="1" dxf="1">
    <nc r="DF8">
      <v>-1.49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86" sId="2" odxf="1" dxf="1">
    <nc r="DG8">
      <v>7.42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87" sId="2" odxf="1" dxf="1">
    <nc r="DH8">
      <v>7.72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88" sId="2" odxf="1" dxf="1">
    <nc r="DI8">
      <v>7.95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89" sId="2" odxf="1" dxf="1">
    <nc r="DJ8">
      <v>8.16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90" sId="2" odxf="1" dxf="1">
    <nc r="DK8">
      <v>8.6300000000000008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91" sId="2" odxf="1" dxf="1">
    <nc r="DL8">
      <v>8.94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92" sId="2" odxf="1" dxf="1">
    <nc r="DM8">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93" sId="2" odxf="1" dxf="1">
    <nc r="DN8">
      <v>0.5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94" sId="2" odxf="1" dxf="1">
    <nc r="DO8">
      <v>7.54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95" sId="2" odxf="1" dxf="1">
    <nc r="DP8">
      <v>7.1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96" sId="2" odxf="1" dxf="1">
    <nc r="DQ8">
      <v>6.56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97" sId="2" odxf="1" dxf="1">
    <nc r="DR8">
      <v>6.43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98" sId="2" odxf="1" dxf="1">
    <nc r="DS8">
      <v>6.87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399" sId="2" odxf="1" dxf="1">
    <nc r="DT8">
      <v>7.18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00" sId="2" odxf="1" dxf="1">
    <nc r="DU8">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01" sId="2" odxf="1" dxf="1">
    <nc r="DV8">
      <v>0.5</v>
    </nc>
    <odxf>
      <alignment horizontal="general" vertical="bottom" readingOrder="0"/>
      <border outline="0">
        <left/>
        <right/>
        <top/>
        <bottom/>
      </border>
    </odxf>
    <ndxf>
      <alignment horizontal="center" vertical="top" readingOrder="0"/>
      <border outline="0">
        <left style="thin">
          <color indexed="64"/>
        </left>
        <right style="mediumDashDot">
          <color indexed="64"/>
        </right>
        <top style="thin">
          <color indexed="64"/>
        </top>
        <bottom style="thin">
          <color indexed="64"/>
        </bottom>
      </border>
    </ndxf>
  </rcc>
  <rcc rId="402" sId="2" odxf="1" dxf="1">
    <nc r="DW8">
      <v>43.7</v>
    </nc>
    <odxf>
      <alignment horizontal="general" vertical="bottom" readingOrder="0"/>
      <border outline="0">
        <top/>
        <bottom/>
      </border>
    </odxf>
    <ndxf>
      <alignment horizontal="center" vertical="top" readingOrder="0"/>
      <border outline="0">
        <top style="thin">
          <color indexed="64"/>
        </top>
        <bottom style="thin">
          <color indexed="64"/>
        </bottom>
      </border>
    </ndxf>
  </rcc>
  <rcc rId="403" sId="2" odxf="1" dxf="1">
    <nc r="DX8">
      <v>45.3</v>
    </nc>
    <odxf>
      <alignment horizontal="general" vertical="bottom" readingOrder="0"/>
      <border outline="0">
        <top/>
        <bottom/>
      </border>
    </odxf>
    <ndxf>
      <alignment horizontal="center" vertical="top" readingOrder="0"/>
      <border outline="0">
        <top style="thin">
          <color indexed="64"/>
        </top>
        <bottom style="thin">
          <color indexed="64"/>
        </bottom>
      </border>
    </ndxf>
  </rcc>
  <rcc rId="404" sId="2" odxf="1" dxf="1">
    <nc r="DY8">
      <v>44.5</v>
    </nc>
    <odxf>
      <alignment horizontal="general" vertical="bottom" readingOrder="0"/>
      <border outline="0">
        <top/>
        <bottom/>
      </border>
    </odxf>
    <ndxf>
      <alignment horizontal="center" vertical="top" readingOrder="0"/>
      <border outline="0">
        <top style="thin">
          <color indexed="64"/>
        </top>
        <bottom style="thin">
          <color indexed="64"/>
        </bottom>
      </border>
    </ndxf>
  </rcc>
  <rcc rId="405" sId="2" odxf="1" dxf="1">
    <nc r="DZ8">
      <v>62.4</v>
    </nc>
    <odxf>
      <alignment horizontal="general" vertical="bottom" readingOrder="0"/>
      <border outline="0">
        <top/>
        <bottom/>
      </border>
    </odxf>
    <ndxf>
      <alignment horizontal="center" vertical="top" readingOrder="0"/>
      <border outline="0">
        <top style="thin">
          <color indexed="64"/>
        </top>
        <bottom style="thin">
          <color indexed="64"/>
        </bottom>
      </border>
    </ndxf>
  </rcc>
  <rcc rId="406" sId="2" odxf="1" dxf="1">
    <nc r="EA8">
      <v>1.6</v>
    </nc>
    <odxf>
      <alignment horizontal="general" vertical="bottom" readingOrder="0"/>
      <border outline="0">
        <top/>
        <bottom/>
      </border>
    </odxf>
    <ndxf>
      <alignment horizontal="center" vertical="top" readingOrder="0"/>
      <border outline="0">
        <top style="thin">
          <color indexed="64"/>
        </top>
        <bottom style="thin">
          <color indexed="64"/>
        </bottom>
      </border>
    </ndxf>
  </rcc>
  <rcc rId="407" sId="2" odxf="1" dxf="1">
    <nc r="EB8">
      <v>-4.9000000000000004</v>
    </nc>
    <odxf>
      <alignment horizontal="general" vertical="bottom" readingOrder="0"/>
      <border outline="0">
        <top/>
        <bottom/>
      </border>
    </odxf>
    <ndxf>
      <alignment horizontal="center" vertical="top" readingOrder="0"/>
      <border outline="0">
        <top style="thin">
          <color indexed="64"/>
        </top>
        <bottom style="thin">
          <color indexed="64"/>
        </bottom>
      </border>
    </ndxf>
  </rcc>
  <rcc rId="408" sId="2" odxf="1" dxf="1">
    <nc r="EC8">
      <v>-5.8</v>
    </nc>
    <odxf>
      <alignment horizontal="general" vertical="bottom" readingOrder="0"/>
      <border outline="0">
        <top/>
        <bottom/>
      </border>
    </odxf>
    <ndxf>
      <alignment horizontal="center" vertical="top" readingOrder="0"/>
      <border outline="0">
        <top style="thin">
          <color indexed="64"/>
        </top>
        <bottom style="thin">
          <color indexed="64"/>
        </bottom>
      </border>
    </ndxf>
  </rcc>
  <rcc rId="409" sId="2" odxf="1" dxf="1">
    <nc r="ED8">
      <v>-5.3</v>
    </nc>
    <odxf>
      <alignment horizontal="general" vertical="bottom" readingOrder="0"/>
      <border outline="0">
        <top/>
        <bottom/>
      </border>
    </odxf>
    <ndxf>
      <alignment horizontal="center" vertical="top" readingOrder="0"/>
      <border outline="0">
        <top style="thin">
          <color indexed="64"/>
        </top>
        <bottom style="thin">
          <color indexed="64"/>
        </bottom>
      </border>
    </ndxf>
  </rcc>
  <rcc rId="410" sId="2" odxf="1" dxf="1">
    <nc r="EE8">
      <v>43.1</v>
    </nc>
    <odxf>
      <alignment horizontal="general" vertical="bottom" readingOrder="0"/>
      <border outline="0">
        <top/>
        <bottom/>
      </border>
    </odxf>
    <ndxf>
      <alignment horizontal="center" vertical="top" readingOrder="0"/>
      <border outline="0">
        <top style="thin">
          <color indexed="64"/>
        </top>
        <bottom style="thin">
          <color indexed="64"/>
        </bottom>
      </border>
    </ndxf>
  </rcc>
  <rcc rId="411" sId="2" odxf="1" dxf="1">
    <nc r="EF8">
      <v>0.9</v>
    </nc>
    <odxf>
      <alignment horizontal="general" vertical="bottom" readingOrder="0"/>
      <border outline="0">
        <top/>
        <bottom/>
      </border>
    </odxf>
    <ndxf>
      <alignment horizontal="center" vertical="top" readingOrder="0"/>
      <border outline="0">
        <top style="thin">
          <color indexed="64"/>
        </top>
        <bottom style="thin">
          <color indexed="64"/>
        </bottom>
      </border>
    </ndxf>
  </rcc>
  <rcc rId="412" sId="2" odxf="1" dxf="1">
    <nc r="EG8">
      <v>5.9</v>
    </nc>
    <odxf>
      <alignment horizontal="general" vertical="bottom" readingOrder="0"/>
      <border outline="0">
        <top/>
        <bottom/>
      </border>
    </odxf>
    <ndxf>
      <alignment horizontal="center" vertical="top" readingOrder="0"/>
      <border outline="0">
        <top style="thin">
          <color indexed="64"/>
        </top>
        <bottom style="thin">
          <color indexed="64"/>
        </bottom>
      </border>
    </ndxf>
  </rcc>
  <rcc rId="413" sId="2" odxf="1" dxf="1">
    <nc r="EH8">
      <v>16.7</v>
    </nc>
    <odxf>
      <alignment horizontal="general" vertical="bottom" readingOrder="0"/>
      <border outline="0">
        <top/>
        <bottom/>
      </border>
    </odxf>
    <ndxf>
      <alignment horizontal="center" vertical="top" readingOrder="0"/>
      <border outline="0">
        <top style="thin">
          <color indexed="64"/>
        </top>
        <bottom style="thin">
          <color indexed="64"/>
        </bottom>
      </border>
    </ndxf>
  </rcc>
  <rcc rId="414" sId="2" odxf="1" dxf="1">
    <nc r="EI8">
      <v>34.4</v>
    </nc>
    <odxf>
      <alignment horizontal="general" vertical="bottom" readingOrder="0"/>
      <border outline="0">
        <top/>
        <bottom/>
      </border>
    </odxf>
    <ndxf>
      <alignment horizontal="center" vertical="top" readingOrder="0"/>
      <border outline="0">
        <top style="thin">
          <color indexed="64"/>
        </top>
        <bottom style="thin">
          <color indexed="64"/>
        </bottom>
      </border>
    </ndxf>
  </rcc>
  <rcc rId="415" sId="2" odxf="1" dxf="1">
    <nc r="EJ8">
      <v>81.5</v>
    </nc>
    <odxf>
      <alignment horizontal="general" vertical="bottom" readingOrder="0"/>
      <border outline="0">
        <top/>
        <bottom/>
      </border>
    </odxf>
    <ndxf>
      <alignment horizontal="center" vertical="top" readingOrder="0"/>
      <border outline="0">
        <top style="thin">
          <color indexed="64"/>
        </top>
        <bottom style="thin">
          <color indexed="64"/>
        </bottom>
      </border>
    </ndxf>
  </rcc>
  <rcc rId="416" sId="2" odxf="1" dxf="1">
    <nc r="EK8">
      <v>50</v>
    </nc>
    <odxf>
      <alignment horizontal="general" vertical="bottom" readingOrder="0"/>
      <border outline="0">
        <right/>
        <top/>
        <bottom/>
      </border>
    </odxf>
    <ndxf>
      <alignment horizontal="center" vertical="top" readingOrder="0"/>
      <border outline="0">
        <right style="dashed">
          <color auto="1"/>
        </right>
        <top style="thin">
          <color indexed="64"/>
        </top>
        <bottom style="thin">
          <color indexed="64"/>
        </bottom>
      </border>
    </ndxf>
  </rcc>
  <rfmt sheetId="2" sqref="EL8" start="0" length="0">
    <dxf>
      <alignment horizontal="center" vertical="top" readingOrder="0"/>
      <border outline="0">
        <right style="thin">
          <color indexed="64"/>
        </right>
        <top style="thin">
          <color indexed="64"/>
        </top>
        <bottom style="thin">
          <color indexed="64"/>
        </bottom>
      </border>
    </dxf>
  </rfmt>
  <rfmt sheetId="2" sqref="EM8" start="0" length="0">
    <dxf>
      <alignment horizontal="center" vertical="top" readingOrder="0"/>
      <border outline="0">
        <left style="thin">
          <color indexed="64"/>
        </left>
        <right style="thin">
          <color indexed="64"/>
        </right>
        <top style="thin">
          <color indexed="64"/>
        </top>
        <bottom style="thin">
          <color indexed="64"/>
        </bottom>
      </border>
    </dxf>
  </rfmt>
  <rfmt sheetId="2" sqref="EN8" start="0" length="0">
    <dxf>
      <alignment horizontal="center" vertical="top" readingOrder="0"/>
      <border outline="0">
        <left style="thin">
          <color indexed="64"/>
        </left>
        <right style="thin">
          <color indexed="64"/>
        </right>
        <top style="thin">
          <color indexed="64"/>
        </top>
        <bottom style="thin">
          <color indexed="64"/>
        </bottom>
      </border>
    </dxf>
  </rfmt>
  <rfmt sheetId="2" sqref="EO8" start="0" length="0">
    <dxf>
      <alignment horizontal="center" vertical="top" readingOrder="0"/>
      <border outline="0">
        <left style="thin">
          <color indexed="64"/>
        </left>
        <right style="thin">
          <color indexed="64"/>
        </right>
        <top style="thin">
          <color indexed="64"/>
        </top>
        <bottom style="thin">
          <color indexed="64"/>
        </bottom>
      </border>
    </dxf>
  </rfmt>
  <rfmt sheetId="2" sqref="EP8" start="0" length="0">
    <dxf>
      <alignment horizontal="center" vertical="top" readingOrder="0"/>
      <border outline="0">
        <left style="thin">
          <color indexed="64"/>
        </left>
        <right style="thin">
          <color indexed="64"/>
        </right>
        <top style="thin">
          <color indexed="64"/>
        </top>
        <bottom style="thin">
          <color indexed="64"/>
        </bottom>
      </border>
    </dxf>
  </rfmt>
  <rfmt sheetId="2" sqref="EQ8" start="0" length="0">
    <dxf>
      <alignment horizontal="center" vertical="top" readingOrder="0"/>
      <border outline="0">
        <left style="thin">
          <color indexed="64"/>
        </left>
        <right style="thin">
          <color indexed="64"/>
        </right>
        <top style="thin">
          <color indexed="64"/>
        </top>
        <bottom style="thin">
          <color indexed="64"/>
        </bottom>
      </border>
    </dxf>
  </rfmt>
  <rfmt sheetId="2" sqref="ER8" start="0" length="0">
    <dxf>
      <alignment horizontal="center" vertical="top" readingOrder="0"/>
      <border outline="0">
        <left style="thin">
          <color indexed="64"/>
        </left>
        <right style="thin">
          <color indexed="64"/>
        </right>
        <top style="thin">
          <color indexed="64"/>
        </top>
        <bottom style="thin">
          <color indexed="64"/>
        </bottom>
      </border>
    </dxf>
  </rfmt>
  <rfmt sheetId="2" sqref="ES8" start="0" length="0">
    <dxf>
      <alignment horizontal="center" vertical="top" readingOrder="0"/>
      <border outline="0">
        <left style="thin">
          <color indexed="64"/>
        </left>
        <right style="thin">
          <color indexed="64"/>
        </right>
        <top style="thin">
          <color indexed="64"/>
        </top>
        <bottom style="thin">
          <color indexed="64"/>
        </bottom>
      </border>
    </dxf>
  </rfmt>
  <rfmt sheetId="2" sqref="ET8" start="0" length="0">
    <dxf>
      <alignment horizontal="center" vertical="top" readingOrder="0"/>
      <border outline="0">
        <left style="thin">
          <color indexed="64"/>
        </left>
        <right style="thin">
          <color indexed="64"/>
        </right>
        <top style="thin">
          <color indexed="64"/>
        </top>
        <bottom style="thin">
          <color indexed="64"/>
        </bottom>
      </border>
    </dxf>
  </rfmt>
  <rfmt sheetId="2" sqref="EU8" start="0" length="0">
    <dxf>
      <alignment horizontal="center" vertical="top" readingOrder="0"/>
      <border outline="0">
        <left style="thin">
          <color indexed="64"/>
        </left>
        <right style="thin">
          <color indexed="64"/>
        </right>
        <top style="thin">
          <color indexed="64"/>
        </top>
        <bottom style="thin">
          <color indexed="64"/>
        </bottom>
      </border>
    </dxf>
  </rfmt>
  <rfmt sheetId="2" sqref="EV8" start="0" length="0">
    <dxf>
      <alignment horizontal="center" vertical="top" readingOrder="0"/>
      <border outline="0">
        <left style="thin">
          <color indexed="64"/>
        </left>
        <right style="thin">
          <color indexed="64"/>
        </right>
        <top style="thin">
          <color indexed="64"/>
        </top>
        <bottom style="thin">
          <color indexed="64"/>
        </bottom>
      </border>
    </dxf>
  </rfmt>
  <rfmt sheetId="2" sqref="EW8" start="0" length="0">
    <dxf>
      <alignment horizontal="center" vertical="top" readingOrder="0"/>
      <border outline="0">
        <left style="thin">
          <color indexed="64"/>
        </left>
        <right style="thin">
          <color indexed="64"/>
        </right>
        <top style="thin">
          <color indexed="64"/>
        </top>
        <bottom style="thin">
          <color indexed="64"/>
        </bottom>
      </border>
    </dxf>
  </rfmt>
  <rfmt sheetId="2" sqref="EX8" start="0" length="0">
    <dxf>
      <alignment horizontal="center" vertical="top" readingOrder="0"/>
      <border outline="0">
        <left style="thin">
          <color indexed="64"/>
        </left>
        <right style="thin">
          <color indexed="64"/>
        </right>
        <top style="thin">
          <color indexed="64"/>
        </top>
        <bottom style="thin">
          <color indexed="64"/>
        </bottom>
      </border>
    </dxf>
  </rfmt>
  <rfmt sheetId="2" sqref="EY8" start="0" length="0">
    <dxf>
      <alignment horizontal="center" vertical="top" readingOrder="0"/>
      <border outline="0">
        <left style="thin">
          <color indexed="64"/>
        </left>
        <right style="thin">
          <color indexed="64"/>
        </right>
        <top style="thin">
          <color indexed="64"/>
        </top>
        <bottom style="thin">
          <color indexed="64"/>
        </bottom>
      </border>
    </dxf>
  </rfmt>
  <rfmt sheetId="2" sqref="EZ8" start="0" length="0">
    <dxf>
      <alignment horizontal="center" vertical="top" readingOrder="0"/>
      <border outline="0">
        <left style="thin">
          <color indexed="64"/>
        </left>
        <right style="thin">
          <color indexed="64"/>
        </right>
        <top style="thin">
          <color indexed="64"/>
        </top>
        <bottom style="thin">
          <color indexed="64"/>
        </bottom>
      </border>
    </dxf>
  </rfmt>
  <rfmt sheetId="2" sqref="FA8" start="0" length="0">
    <dxf>
      <alignment horizontal="center" vertical="top" readingOrder="0"/>
      <border outline="0">
        <left style="thin">
          <color indexed="64"/>
        </left>
        <right style="thin">
          <color indexed="64"/>
        </right>
        <top style="thin">
          <color indexed="64"/>
        </top>
        <bottom style="thin">
          <color indexed="64"/>
        </bottom>
      </border>
    </dxf>
  </rfmt>
  <rfmt sheetId="2" sqref="FB8" start="0" length="0">
    <dxf>
      <alignment horizontal="center" vertical="top" readingOrder="0"/>
      <border outline="0">
        <left style="thin">
          <color indexed="64"/>
        </left>
        <right style="thin">
          <color indexed="64"/>
        </right>
        <top style="thin">
          <color indexed="64"/>
        </top>
        <bottom style="thin">
          <color indexed="64"/>
        </bottom>
      </border>
    </dxf>
  </rfmt>
  <rfmt sheetId="2" sqref="FC8" start="0" length="0">
    <dxf>
      <alignment horizontal="center" vertical="top" readingOrder="0"/>
      <border outline="0">
        <left style="thin">
          <color indexed="64"/>
        </left>
        <right style="thin">
          <color indexed="64"/>
        </right>
        <top style="thin">
          <color indexed="64"/>
        </top>
        <bottom style="thin">
          <color indexed="64"/>
        </bottom>
      </border>
    </dxf>
  </rfmt>
  <rfmt sheetId="2" sqref="FD8" start="0" length="0">
    <dxf>
      <alignment horizontal="center" vertical="top" readingOrder="0"/>
      <border outline="0">
        <left style="thin">
          <color indexed="64"/>
        </left>
        <right style="thin">
          <color indexed="64"/>
        </right>
        <top style="thin">
          <color indexed="64"/>
        </top>
        <bottom style="thin">
          <color indexed="64"/>
        </bottom>
      </border>
    </dxf>
  </rfmt>
  <rfmt sheetId="2" sqref="FE8" start="0" length="0">
    <dxf>
      <alignment horizontal="center" vertical="top" readingOrder="0"/>
      <border outline="0">
        <left style="thin">
          <color indexed="64"/>
        </left>
        <right style="thin">
          <color indexed="64"/>
        </right>
        <top style="thin">
          <color indexed="64"/>
        </top>
        <bottom style="thin">
          <color indexed="64"/>
        </bottom>
      </border>
    </dxf>
  </rfmt>
  <rfmt sheetId="2" sqref="FF8" start="0" length="0">
    <dxf>
      <alignment horizontal="center" vertical="top" readingOrder="0"/>
      <border outline="0">
        <left style="thin">
          <color indexed="64"/>
        </left>
        <right style="thin">
          <color indexed="64"/>
        </right>
        <top style="thin">
          <color indexed="64"/>
        </top>
        <bottom style="thin">
          <color indexed="64"/>
        </bottom>
      </border>
    </dxf>
  </rfmt>
  <rfmt sheetId="2" sqref="FG8" start="0" length="0">
    <dxf>
      <alignment horizontal="center" vertical="top" readingOrder="0"/>
      <border outline="0">
        <left style="thin">
          <color indexed="64"/>
        </left>
        <right style="thin">
          <color indexed="64"/>
        </right>
        <top style="thin">
          <color indexed="64"/>
        </top>
        <bottom style="thin">
          <color indexed="64"/>
        </bottom>
      </border>
    </dxf>
  </rfmt>
  <rfmt sheetId="2" sqref="FH8" start="0" length="0">
    <dxf>
      <alignment horizontal="center" vertical="top" readingOrder="0"/>
      <border outline="0">
        <left style="thin">
          <color indexed="64"/>
        </left>
        <right style="thin">
          <color indexed="64"/>
        </right>
        <top style="thin">
          <color indexed="64"/>
        </top>
        <bottom style="thin">
          <color indexed="64"/>
        </bottom>
      </border>
    </dxf>
  </rfmt>
  <rfmt sheetId="2" sqref="FI8" start="0" length="0">
    <dxf>
      <alignment horizontal="center" vertical="top" readingOrder="0"/>
      <border outline="0">
        <left style="thin">
          <color indexed="64"/>
        </left>
        <right style="thin">
          <color indexed="64"/>
        </right>
        <top style="thin">
          <color indexed="64"/>
        </top>
        <bottom style="thin">
          <color indexed="64"/>
        </bottom>
      </border>
    </dxf>
  </rfmt>
  <rfmt sheetId="2" sqref="FJ8" start="0" length="0">
    <dxf>
      <alignment horizontal="center" vertical="top" readingOrder="0"/>
      <border outline="0">
        <left style="thin">
          <color indexed="64"/>
        </left>
        <right style="thin">
          <color indexed="64"/>
        </right>
        <top style="thin">
          <color indexed="64"/>
        </top>
        <bottom style="thin">
          <color indexed="64"/>
        </bottom>
      </border>
    </dxf>
  </rfmt>
  <rfmt sheetId="2" sqref="FK8" start="0" length="0">
    <dxf>
      <alignment horizontal="center" vertical="top" readingOrder="0"/>
      <border outline="0">
        <left style="thin">
          <color indexed="64"/>
        </left>
        <right style="thin">
          <color indexed="64"/>
        </right>
        <top style="thin">
          <color indexed="64"/>
        </top>
        <bottom style="thin">
          <color indexed="64"/>
        </bottom>
      </border>
    </dxf>
  </rfmt>
  <rfmt sheetId="2" sqref="FL8" start="0" length="0">
    <dxf>
      <alignment horizontal="center" vertical="top" readingOrder="0"/>
      <border outline="0">
        <left style="thin">
          <color indexed="64"/>
        </left>
        <right style="thin">
          <color indexed="64"/>
        </right>
        <top style="thin">
          <color indexed="64"/>
        </top>
        <bottom style="thin">
          <color indexed="64"/>
        </bottom>
      </border>
    </dxf>
  </rfmt>
  <rfmt sheetId="2" sqref="FM8" start="0" length="0">
    <dxf>
      <alignment horizontal="center" vertical="top" readingOrder="0"/>
      <border outline="0">
        <left style="thin">
          <color indexed="64"/>
        </left>
        <right style="thin">
          <color indexed="64"/>
        </right>
        <top style="thin">
          <color indexed="64"/>
        </top>
        <bottom style="thin">
          <color indexed="64"/>
        </bottom>
      </border>
    </dxf>
  </rfmt>
  <rfmt sheetId="2" sqref="FN8" start="0" length="0">
    <dxf>
      <alignment horizontal="center" vertical="top" readingOrder="0"/>
      <border outline="0">
        <left style="thin">
          <color indexed="64"/>
        </left>
        <right style="thin">
          <color indexed="64"/>
        </right>
        <top style="thin">
          <color indexed="64"/>
        </top>
        <bottom style="thin">
          <color indexed="64"/>
        </bottom>
      </border>
    </dxf>
  </rfmt>
  <rfmt sheetId="2" sqref="FO8" start="0" length="0">
    <dxf>
      <alignment horizontal="center" vertical="top" readingOrder="0"/>
      <border outline="0">
        <left style="thin">
          <color indexed="64"/>
        </left>
        <right style="thin">
          <color indexed="64"/>
        </right>
        <top style="thin">
          <color indexed="64"/>
        </top>
        <bottom style="thin">
          <color indexed="64"/>
        </bottom>
      </border>
    </dxf>
  </rfmt>
  <rfmt sheetId="2" sqref="FP8" start="0" length="0">
    <dxf>
      <alignment horizontal="center" vertical="top" readingOrder="0"/>
      <border outline="0">
        <left style="thin">
          <color indexed="64"/>
        </left>
        <right style="thin">
          <color indexed="64"/>
        </right>
        <top style="thin">
          <color indexed="64"/>
        </top>
        <bottom style="thin">
          <color indexed="64"/>
        </bottom>
      </border>
    </dxf>
  </rfmt>
  <rfmt sheetId="2" sqref="FQ8" start="0" length="0">
    <dxf>
      <alignment horizontal="center" vertical="top" readingOrder="0"/>
      <border outline="0">
        <left style="thin">
          <color indexed="64"/>
        </left>
        <right style="thin">
          <color indexed="64"/>
        </right>
        <top style="thin">
          <color indexed="64"/>
        </top>
        <bottom style="thin">
          <color indexed="64"/>
        </bottom>
      </border>
    </dxf>
  </rfmt>
  <rfmt sheetId="2" sqref="FR8" start="0" length="0">
    <dxf>
      <alignment horizontal="center" vertical="top" readingOrder="0"/>
      <border outline="0">
        <left style="thin">
          <color indexed="64"/>
        </left>
        <right style="mediumDashed">
          <color indexed="64"/>
        </right>
        <top style="thin">
          <color indexed="64"/>
        </top>
        <bottom style="thin">
          <color indexed="64"/>
        </bottom>
      </border>
    </dxf>
  </rfmt>
  <rfmt sheetId="2" sqref="FS8" start="0" length="0">
    <dxf>
      <alignment horizontal="center" vertical="top" readingOrder="0"/>
      <border outline="0">
        <top style="thin">
          <color indexed="64"/>
        </top>
        <bottom style="thin">
          <color indexed="64"/>
        </bottom>
      </border>
    </dxf>
  </rfmt>
  <rfmt sheetId="2" sqref="FT8" start="0" length="0">
    <dxf>
      <alignment horizontal="center" vertical="top" readingOrder="0"/>
      <border outline="0">
        <top style="thin">
          <color indexed="64"/>
        </top>
        <bottom style="thin">
          <color indexed="64"/>
        </bottom>
      </border>
    </dxf>
  </rfmt>
  <rfmt sheetId="2" sqref="FU8" start="0" length="0">
    <dxf>
      <alignment horizontal="center" vertical="top" readingOrder="0"/>
      <border outline="0">
        <top style="thin">
          <color indexed="64"/>
        </top>
        <bottom style="thin">
          <color indexed="64"/>
        </bottom>
      </border>
    </dxf>
  </rfmt>
  <rfmt sheetId="2" sqref="FV8" start="0" length="0">
    <dxf>
      <alignment horizontal="center" vertical="top" readingOrder="0"/>
      <border outline="0">
        <top style="thin">
          <color indexed="64"/>
        </top>
        <bottom style="thin">
          <color indexed="64"/>
        </bottom>
      </border>
    </dxf>
  </rfmt>
  <rfmt sheetId="2" sqref="FW8" start="0" length="0">
    <dxf>
      <alignment horizontal="center" vertical="top" readingOrder="0"/>
      <border outline="0">
        <top style="thin">
          <color indexed="64"/>
        </top>
        <bottom style="thin">
          <color indexed="64"/>
        </bottom>
      </border>
    </dxf>
  </rfmt>
  <rfmt sheetId="2" sqref="FX8" start="0" length="0">
    <dxf>
      <alignment horizontal="center" vertical="top" readingOrder="0"/>
      <border outline="0">
        <top style="thin">
          <color indexed="64"/>
        </top>
        <bottom style="thin">
          <color indexed="64"/>
        </bottom>
      </border>
    </dxf>
  </rfmt>
  <rfmt sheetId="2" sqref="FY8" start="0" length="0">
    <dxf>
      <alignment horizontal="center" vertical="top" readingOrder="0"/>
      <border outline="0">
        <top style="thin">
          <color indexed="64"/>
        </top>
        <bottom style="thin">
          <color indexed="64"/>
        </bottom>
      </border>
    </dxf>
  </rfmt>
  <rfmt sheetId="2" sqref="FZ8" start="0" length="0">
    <dxf>
      <alignment horizontal="center" vertical="top" readingOrder="0"/>
      <border outline="0">
        <top style="thin">
          <color indexed="64"/>
        </top>
        <bottom style="thin">
          <color indexed="64"/>
        </bottom>
      </border>
    </dxf>
  </rfmt>
  <rfmt sheetId="2" sqref="GA8" start="0" length="0">
    <dxf>
      <alignment horizontal="center" vertical="top" readingOrder="0"/>
      <border outline="0">
        <top style="thin">
          <color indexed="64"/>
        </top>
        <bottom style="thin">
          <color indexed="64"/>
        </bottom>
      </border>
    </dxf>
  </rfmt>
  <rfmt sheetId="2" sqref="GB8" start="0" length="0">
    <dxf>
      <alignment horizontal="center" vertical="top" readingOrder="0"/>
      <border outline="0">
        <top style="thin">
          <color indexed="64"/>
        </top>
        <bottom style="thin">
          <color indexed="64"/>
        </bottom>
      </border>
    </dxf>
  </rfmt>
  <rfmt sheetId="2" sqref="GC8" start="0" length="0">
    <dxf>
      <alignment horizontal="center" vertical="top" readingOrder="0"/>
      <border outline="0">
        <top style="thin">
          <color indexed="64"/>
        </top>
        <bottom style="thin">
          <color indexed="64"/>
        </bottom>
      </border>
    </dxf>
  </rfmt>
  <rfmt sheetId="2" sqref="GD8" start="0" length="0">
    <dxf>
      <alignment horizontal="center" vertical="top" readingOrder="0"/>
      <border outline="0">
        <top style="thin">
          <color indexed="64"/>
        </top>
        <bottom style="thin">
          <color indexed="64"/>
        </bottom>
      </border>
    </dxf>
  </rfmt>
  <rfmt sheetId="2" sqref="GE8" start="0" length="0">
    <dxf>
      <alignment horizontal="center" vertical="top" readingOrder="0"/>
      <border outline="0">
        <top style="thin">
          <color indexed="64"/>
        </top>
        <bottom style="thin">
          <color indexed="64"/>
        </bottom>
      </border>
    </dxf>
  </rfmt>
  <rfmt sheetId="2" sqref="GF8" start="0" length="0">
    <dxf>
      <alignment horizontal="center" vertical="top" readingOrder="0"/>
      <border outline="0">
        <top style="thin">
          <color indexed="64"/>
        </top>
        <bottom style="thin">
          <color indexed="64"/>
        </bottom>
      </border>
    </dxf>
  </rfmt>
  <rfmt sheetId="2" sqref="GG8" start="0" length="0">
    <dxf>
      <alignment horizontal="center" vertical="top" readingOrder="0"/>
      <border outline="0">
        <right style="medium">
          <color auto="1"/>
        </right>
        <top style="thin">
          <color indexed="64"/>
        </top>
        <bottom style="thin">
          <color indexed="64"/>
        </bottom>
      </border>
    </dxf>
  </rfmt>
  <rcc rId="417" sId="2" odxf="1" dxf="1">
    <nc r="GH8">
      <v>8.1199999999999992</v>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418" sId="2" odxf="1" dxf="1">
    <nc r="GI8">
      <v>7.64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19" sId="2" odxf="1" dxf="1">
    <nc r="GJ8">
      <v>158.69999999999999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20" sId="2" odxf="1" dxf="1">
    <nc r="GK8">
      <v>-2.6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21" sId="2" odxf="1" dxf="1">
    <nc r="GL8">
      <v>0.15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22" sId="2" odxf="1" dxf="1">
    <nc r="GM8">
      <v>0.18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23" sId="2" odxf="1" dxf="1">
    <nc r="GN8">
      <v>-0.59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24" sId="2" odxf="1" dxf="1">
    <nc r="GO8">
      <v>-0.08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25" sId="2" odxf="1" dxf="1">
    <nc r="GP8">
      <v>513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26" sId="2" odxf="1" dxf="1">
    <nc r="GQ8">
      <v>516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27" sId="2" odxf="1" dxf="1">
    <nc r="GR8">
      <v>565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28" sId="2" odxf="1" dxf="1">
    <nc r="GS8">
      <v>598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29" sId="2" odxf="1" dxf="1">
    <nc r="GT8">
      <v>637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30" sId="2" odxf="1" dxf="1">
    <nc r="GU8">
      <v>552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31" sId="2" odxf="1" dxf="1">
    <nc r="GV8">
      <v>500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32" sId="2" odxf="1" dxf="1">
    <nc r="GW8">
      <v>1.23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33" sId="2" odxf="1" dxf="1">
    <nc r="GX8">
      <v>1.04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34" sId="2" odxf="1" dxf="1">
    <nc r="GY8">
      <v>7.85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35" sId="2" odxf="1" dxf="1">
    <nc r="GZ8">
      <v>7.87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36" sId="2" odxf="1" dxf="1">
    <nc r="HA8">
      <v>7.91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37" sId="2" odxf="1" dxf="1">
    <nc r="HB8">
      <v>7.91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38" sId="2" odxf="1" dxf="1">
    <nc r="HC8">
      <v>8.02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39" sId="2" odxf="1" dxf="1">
    <nc r="HD8">
      <v>8.3000000000000007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40" sId="2" odxf="1" dxf="1">
    <nc r="HE8">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41" sId="2" odxf="1" dxf="1">
    <nc r="HF8">
      <v>1.2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42" sId="2" odxf="1" dxf="1">
    <nc r="HG8">
      <v>6.52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43" sId="2" odxf="1" dxf="1">
    <nc r="HH8">
      <v>6.38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44" sId="2" odxf="1" dxf="1">
    <nc r="HI8">
      <v>6.32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45" sId="2" odxf="1" dxf="1">
    <nc r="HJ8">
      <v>6.46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46" sId="2" odxf="1" dxf="1">
    <nc r="HK8">
      <v>6.84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47" sId="2" odxf="1" dxf="1">
    <nc r="HL8">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48" sId="2" odxf="1" dxf="1">
    <nc r="HM8">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49" sId="2" odxf="1" dxf="1">
    <nc r="HN8">
      <v>1.2</v>
    </nc>
    <odxf>
      <alignment horizontal="general" vertical="bottom" readingOrder="0"/>
      <border outline="0">
        <left/>
        <right/>
        <top/>
        <bottom/>
      </border>
    </odxf>
    <ndxf>
      <alignment horizontal="center" vertical="top" readingOrder="0"/>
      <border outline="0">
        <left style="thin">
          <color indexed="64"/>
        </left>
        <right style="double">
          <color indexed="64"/>
        </right>
        <top style="thin">
          <color indexed="64"/>
        </top>
        <bottom style="thin">
          <color indexed="64"/>
        </bottom>
      </border>
    </ndxf>
  </rcc>
  <rfmt sheetId="2" sqref="HO8" start="0" length="0">
    <dxf>
      <alignment horizontal="center" vertical="top" readingOrder="0"/>
      <border outline="0">
        <top style="thin">
          <color indexed="64"/>
        </top>
        <bottom style="thin">
          <color indexed="64"/>
        </bottom>
      </border>
    </dxf>
  </rfmt>
  <rfmt sheetId="2" sqref="HP8" start="0" length="0">
    <dxf>
      <alignment horizontal="center" vertical="top" readingOrder="0"/>
      <border outline="0">
        <top style="thin">
          <color indexed="64"/>
        </top>
        <bottom style="thin">
          <color indexed="64"/>
        </bottom>
      </border>
    </dxf>
  </rfmt>
  <rfmt sheetId="2" sqref="HQ8" start="0" length="0">
    <dxf>
      <alignment horizontal="center" vertical="top" readingOrder="0"/>
      <border outline="0">
        <top style="thin">
          <color indexed="64"/>
        </top>
        <bottom style="thin">
          <color indexed="64"/>
        </bottom>
      </border>
    </dxf>
  </rfmt>
  <rfmt sheetId="2" sqref="HR8" start="0" length="0">
    <dxf>
      <alignment horizontal="center" vertical="top" readingOrder="0"/>
      <border outline="0">
        <top style="thin">
          <color indexed="64"/>
        </top>
        <bottom style="thin">
          <color indexed="64"/>
        </bottom>
      </border>
    </dxf>
  </rfmt>
  <rfmt sheetId="2" sqref="HS8" start="0" length="0">
    <dxf>
      <alignment horizontal="center" vertical="top" readingOrder="0"/>
      <border outline="0">
        <top style="thin">
          <color indexed="64"/>
        </top>
        <bottom style="thin">
          <color indexed="64"/>
        </bottom>
      </border>
    </dxf>
  </rfmt>
  <rfmt sheetId="2" sqref="HT8" start="0" length="0">
    <dxf>
      <alignment horizontal="center" vertical="top" readingOrder="0"/>
      <border outline="0">
        <top style="thin">
          <color indexed="64"/>
        </top>
        <bottom style="thin">
          <color indexed="64"/>
        </bottom>
      </border>
    </dxf>
  </rfmt>
  <rfmt sheetId="2" sqref="HU8" start="0" length="0">
    <dxf>
      <alignment horizontal="center" vertical="top" readingOrder="0"/>
      <border outline="0">
        <top style="thin">
          <color indexed="64"/>
        </top>
        <bottom style="thin">
          <color indexed="64"/>
        </bottom>
      </border>
    </dxf>
  </rfmt>
  <rfmt sheetId="2" sqref="HV8" start="0" length="0">
    <dxf>
      <alignment horizontal="center" vertical="top" readingOrder="0"/>
      <border outline="0">
        <top style="thin">
          <color indexed="64"/>
        </top>
        <bottom style="thin">
          <color indexed="64"/>
        </bottom>
      </border>
    </dxf>
  </rfmt>
  <rfmt sheetId="2" sqref="HW8" start="0" length="0">
    <dxf>
      <alignment horizontal="center" vertical="top" readingOrder="0"/>
      <border outline="0">
        <top style="thin">
          <color indexed="64"/>
        </top>
        <bottom style="thin">
          <color indexed="64"/>
        </bottom>
      </border>
    </dxf>
  </rfmt>
  <rfmt sheetId="2" sqref="HX8" start="0" length="0">
    <dxf>
      <alignment horizontal="center" vertical="top" readingOrder="0"/>
      <border outline="0">
        <top style="thin">
          <color indexed="64"/>
        </top>
        <bottom style="thin">
          <color indexed="64"/>
        </bottom>
      </border>
    </dxf>
  </rfmt>
  <rfmt sheetId="2" sqref="HY8" start="0" length="0">
    <dxf>
      <alignment horizontal="center" vertical="top" readingOrder="0"/>
      <border outline="0">
        <top style="thin">
          <color indexed="64"/>
        </top>
        <bottom style="thin">
          <color indexed="64"/>
        </bottom>
      </border>
    </dxf>
  </rfmt>
  <rfmt sheetId="2" sqref="HZ8" start="0" length="0">
    <dxf>
      <alignment horizontal="center" vertical="top" readingOrder="0"/>
      <border outline="0">
        <top style="thin">
          <color indexed="64"/>
        </top>
        <bottom style="thin">
          <color indexed="64"/>
        </bottom>
      </border>
    </dxf>
  </rfmt>
  <rfmt sheetId="2" sqref="IA8" start="0" length="0">
    <dxf>
      <alignment horizontal="center" vertical="top" readingOrder="0"/>
      <border outline="0">
        <top style="thin">
          <color indexed="64"/>
        </top>
        <bottom style="thin">
          <color indexed="64"/>
        </bottom>
      </border>
    </dxf>
  </rfmt>
  <rfmt sheetId="2" sqref="IB8" start="0" length="0">
    <dxf>
      <alignment horizontal="center" vertical="top" readingOrder="0"/>
      <border outline="0">
        <top style="thin">
          <color indexed="64"/>
        </top>
        <bottom style="thin">
          <color indexed="64"/>
        </bottom>
      </border>
    </dxf>
  </rfmt>
  <rfmt sheetId="2" sqref="IC8" start="0" length="0">
    <dxf>
      <alignment horizontal="center" vertical="top" readingOrder="0"/>
      <border outline="0">
        <right style="mediumDashed">
          <color auto="1"/>
        </right>
        <top style="thin">
          <color indexed="64"/>
        </top>
        <bottom style="thin">
          <color indexed="64"/>
        </bottom>
      </border>
    </dxf>
  </rfmt>
  <rcc rId="450" sId="2" odxf="1" dxf="1">
    <nc r="ID8">
      <f>IF(ISNUMBER(GH8),GH8,IF(ISNUMBER(EL8),EL8,""))</f>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451" sId="2" odxf="1" dxf="1">
    <nc r="IE8">
      <f>IF(ISNUMBER(GI8),GI8,IF(ISNUMBER(EM8),EM8,""))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52" sId="2" odxf="1" dxf="1">
    <nc r="IF8">
      <f>IF(ISNUMBER(GJ8),GJ8,IF(ISNUMBER(EN8),EN8,""))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53" sId="2" odxf="1" dxf="1">
    <nc r="IG8">
      <f>IF(ISNUMBER(GK8),GK8,IF(ISNUMBER(EO8),EO8,""))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54" sId="2" odxf="1" dxf="1">
    <nc r="IH8">
      <f>IF(ISNUMBER(GL8),GL8,IF(ISNUMBER(EP8),EP8,""))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55" sId="2" odxf="1" dxf="1">
    <nc r="II8">
      <f>IF(ISNUMBER(GM8),GM8,IF(ISNUMBER(EQ8),EQ8,""))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56" sId="2" odxf="1" dxf="1">
    <nc r="IJ8">
      <f>IF(ISNUMBER(GN8),GN8,IF(ISNUMBER(ER8),ER8,""))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57" sId="2" odxf="1" dxf="1">
    <nc r="IK8">
      <f>IF(ISNUMBER(GO8),GO8,IF(ISNUMBER(ES8),ES8,""))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58" sId="2" odxf="1" dxf="1">
    <nc r="IL8">
      <f>IF(ISNUMBER(GP8),GP8,IF(ISNUMBER(ET8),ET8,""))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59" sId="2" odxf="1" dxf="1">
    <nc r="IM8">
      <f>IF(ISNUMBER(GQ8),GQ8,IF(ISNUMBER(EU8),EU8,""))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60" sId="2" odxf="1" dxf="1">
    <nc r="IN8">
      <f>IF(ISNUMBER(GR8),GR8,IF(ISNUMBER(EV8),EV8,""))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61" sId="2" odxf="1" dxf="1">
    <nc r="IO8">
      <f>IF(ISNUMBER(GS8),GS8,IF(ISNUMBER(EW8),EW8,""))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62" sId="2" odxf="1" dxf="1">
    <nc r="IP8">
      <f>IF(ISNUMBER(GT8),GT8,IF(ISNUMBER(EX8),EX8,""))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63" sId="2" odxf="1" dxf="1">
    <nc r="IQ8">
      <f>IF(ISNUMBER(GU8),GU8,IF(ISNUMBER(EY8),EY8,""))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64" sId="2" odxf="1" dxf="1">
    <nc r="IR8">
      <f>IF(ISNUMBER(GV8),GV8,IF(ISNUMBER(EZ8),EZ8,""))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65" sId="2" odxf="1" dxf="1">
    <nc r="IS8">
      <f>IF(ISNUMBER(GW8),GW8,IF(ISNUMBER(FA8),FA8,""))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66" sId="2" odxf="1" dxf="1">
    <nc r="IT8">
      <f>IF(ISNUMBER(GX8),GX8,IF(ISNUMBER(FB8),FB8,""))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67" sId="2" odxf="1" dxf="1">
    <nc r="IU8">
      <f>IF(ISNUMBER(GY8),GY8,IF(ISNUMBER(FC8),FC8,""))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68" sId="2" odxf="1" dxf="1">
    <nc r="IV8">
      <f>IF(ISNUMBER(GZ8),GZ8,IF(ISNUMBER(FD8),FD8,""))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69" sId="2" odxf="1" dxf="1">
    <nc r="IW8">
      <f>IF(ISNUMBER(HA8),HA8,IF(ISNUMBER(FE8),FE8,""))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70" sId="2" odxf="1" dxf="1">
    <nc r="IX8">
      <f>IF(ISNUMBER(HB8),HB8,IF(ISNUMBER(FF8),FF8,""))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71" sId="2" odxf="1" dxf="1">
    <nc r="IY8">
      <f>IF(ISNUMBER(HC8),HC8,IF(ISNUMBER(FG8),FG8,""))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72" sId="2" odxf="1" dxf="1">
    <nc r="IZ8">
      <f>IF(ISNUMBER(HD8),HD8,IF(ISNUMBER(FH8),FH8,""))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73" sId="2" odxf="1" dxf="1">
    <nc r="JA8">
      <f>IF(ISNUMBER(HE8),HE8,IF(ISNUMBER(FI8),FI8,""))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74" sId="2" odxf="1" dxf="1">
    <nc r="JB8">
      <f>IF(ISNUMBER(HF8),HF8,IF(ISNUMBER(FJ8),FJ8,""))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75" sId="2" odxf="1" dxf="1">
    <nc r="JC8">
      <f>IF(ISNUMBER(HG8),HG8,IF(ISNUMBER(FK8),FK8,""))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76" sId="2" odxf="1" dxf="1">
    <nc r="JD8">
      <f>IF(ISNUMBER(HH8),HH8,IF(ISNUMBER(FL8),FL8,""))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77" sId="2" odxf="1" dxf="1">
    <nc r="JE8">
      <f>IF(ISNUMBER(HI8),HI8,IF(ISNUMBER(FM8),FM8,""))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78" sId="2" odxf="1" dxf="1">
    <nc r="JF8">
      <f>IF(ISNUMBER(HJ8),HJ8,IF(ISNUMBER(FN8),FN8,""))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79" sId="2" odxf="1" dxf="1">
    <nc r="JG8">
      <f>IF(ISNUMBER(HK8),HK8,IF(ISNUMBER(FO8),FO8,""))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80" sId="2" odxf="1" dxf="1">
    <nc r="JH8">
      <f>IF(ISNUMBER(HL8),HL8,IF(ISNUMBER(FP8),FP8,""))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481" sId="2" odxf="1" dxf="1">
    <nc r="JI8">
      <f>IF(ISNUMBER(HM8),HM8,IF(ISNUMBER(FQ8),FQ8,""))</f>
    </nc>
    <odxf>
      <alignment horizontal="general" vertical="bottom" readingOrder="0"/>
      <border outline="0">
        <left/>
        <top/>
        <bottom/>
      </border>
    </odxf>
    <ndxf>
      <alignment horizontal="center" vertical="top" readingOrder="0"/>
      <border outline="0">
        <left style="thin">
          <color indexed="64"/>
        </left>
        <top style="thin">
          <color indexed="64"/>
        </top>
        <bottom style="thin">
          <color indexed="64"/>
        </bottom>
      </border>
    </ndxf>
  </rcc>
  <rcc rId="482" sId="2" odxf="1" dxf="1">
    <nc r="JJ8">
      <f>IF(ISNUMBER(HN8),HN8,IF(ISNUMBER(FR8),FR8,""))</f>
    </nc>
    <odxf>
      <alignment horizontal="general" vertical="bottom" readingOrder="0"/>
      <border outline="0">
        <top/>
        <bottom/>
      </border>
    </odxf>
    <ndxf>
      <alignment horizontal="center" vertical="top" readingOrder="0"/>
      <border outline="0">
        <top style="thin">
          <color indexed="64"/>
        </top>
        <bottom style="thin">
          <color indexed="64"/>
        </bottom>
      </border>
    </ndxf>
  </rcc>
  <rcc rId="483" sId="2" odxf="1" dxf="1">
    <nc r="JK8">
      <f>IF(ISNUMBER(HO8),HO8,IF(ISNUMBER(FS8),FS8,""))</f>
    </nc>
    <odxf>
      <alignment horizontal="general" vertical="bottom" readingOrder="0"/>
      <border outline="0">
        <top/>
        <bottom/>
      </border>
    </odxf>
    <ndxf>
      <alignment horizontal="center" vertical="top" readingOrder="0"/>
      <border outline="0">
        <top style="thin">
          <color indexed="64"/>
        </top>
        <bottom style="thin">
          <color indexed="64"/>
        </bottom>
      </border>
    </ndxf>
  </rcc>
  <rcc rId="484" sId="2" odxf="1" dxf="1">
    <nc r="JL8">
      <f>IF(ISNUMBER(HP8),HP8,IF(ISNUMBER(FT8),FT8,""))</f>
    </nc>
    <odxf>
      <alignment horizontal="general" vertical="bottom" readingOrder="0"/>
      <border outline="0">
        <top/>
        <bottom/>
      </border>
    </odxf>
    <ndxf>
      <alignment horizontal="center" vertical="top" readingOrder="0"/>
      <border outline="0">
        <top style="thin">
          <color indexed="64"/>
        </top>
        <bottom style="thin">
          <color indexed="64"/>
        </bottom>
      </border>
    </ndxf>
  </rcc>
  <rcc rId="485" sId="2" odxf="1" dxf="1">
    <nc r="JM8">
      <f>IF(ISNUMBER(HQ8),HQ8,IF(ISNUMBER(FU8),FU8,""))</f>
    </nc>
    <odxf>
      <alignment horizontal="general" vertical="bottom" readingOrder="0"/>
      <border outline="0">
        <top/>
        <bottom/>
      </border>
    </odxf>
    <ndxf>
      <alignment horizontal="center" vertical="top" readingOrder="0"/>
      <border outline="0">
        <top style="thin">
          <color indexed="64"/>
        </top>
        <bottom style="thin">
          <color indexed="64"/>
        </bottom>
      </border>
    </ndxf>
  </rcc>
  <rcc rId="486" sId="2" odxf="1" dxf="1">
    <nc r="JN8">
      <f>IF(ISNUMBER(HR8),HR8,IF(ISNUMBER(FV8),FV8,""))</f>
    </nc>
    <odxf>
      <alignment horizontal="general" vertical="bottom" readingOrder="0"/>
      <border outline="0">
        <top/>
        <bottom/>
      </border>
    </odxf>
    <ndxf>
      <alignment horizontal="center" vertical="top" readingOrder="0"/>
      <border outline="0">
        <top style="thin">
          <color indexed="64"/>
        </top>
        <bottom style="thin">
          <color indexed="64"/>
        </bottom>
      </border>
    </ndxf>
  </rcc>
  <rcc rId="487" sId="2" odxf="1" dxf="1">
    <nc r="JO8">
      <f>IF(ISNUMBER(HS8),HS8,IF(ISNUMBER(FW8),FW8,""))</f>
    </nc>
    <odxf>
      <alignment horizontal="general" vertical="bottom" readingOrder="0"/>
      <border outline="0">
        <top/>
        <bottom/>
      </border>
    </odxf>
    <ndxf>
      <alignment horizontal="center" vertical="top" readingOrder="0"/>
      <border outline="0">
        <top style="thin">
          <color indexed="64"/>
        </top>
        <bottom style="thin">
          <color indexed="64"/>
        </bottom>
      </border>
    </ndxf>
  </rcc>
  <rcc rId="488" sId="2" odxf="1" dxf="1">
    <nc r="JP8">
      <f>IF(ISNUMBER(HT8),HT8,IF(ISNUMBER(FX8),FX8,""))</f>
    </nc>
    <odxf>
      <alignment horizontal="general" vertical="bottom" readingOrder="0"/>
      <border outline="0">
        <top/>
        <bottom/>
      </border>
    </odxf>
    <ndxf>
      <alignment horizontal="center" vertical="top" readingOrder="0"/>
      <border outline="0">
        <top style="thin">
          <color indexed="64"/>
        </top>
        <bottom style="thin">
          <color indexed="64"/>
        </bottom>
      </border>
    </ndxf>
  </rcc>
  <rcc rId="489" sId="2" odxf="1" dxf="1">
    <nc r="JQ8">
      <f>IF(ISNUMBER(HU8),HU8,IF(ISNUMBER(FY8),FY8,""))</f>
    </nc>
    <odxf>
      <alignment horizontal="general" vertical="bottom" readingOrder="0"/>
      <border outline="0">
        <top/>
        <bottom/>
      </border>
    </odxf>
    <ndxf>
      <alignment horizontal="center" vertical="top" readingOrder="0"/>
      <border outline="0">
        <top style="thin">
          <color indexed="64"/>
        </top>
        <bottom style="thin">
          <color indexed="64"/>
        </bottom>
      </border>
    </ndxf>
  </rcc>
  <rcc rId="490" sId="2" odxf="1" dxf="1">
    <nc r="JR8">
      <f>IF(ISNUMBER(HV8),HV8,IF(ISNUMBER(FZ8),FZ8,""))</f>
    </nc>
    <odxf>
      <alignment horizontal="general" vertical="bottom" readingOrder="0"/>
      <border outline="0">
        <top/>
        <bottom/>
      </border>
    </odxf>
    <ndxf>
      <alignment horizontal="center" vertical="top" readingOrder="0"/>
      <border outline="0">
        <top style="thin">
          <color indexed="64"/>
        </top>
        <bottom style="thin">
          <color indexed="64"/>
        </bottom>
      </border>
    </ndxf>
  </rcc>
  <rcc rId="491" sId="2" odxf="1" dxf="1">
    <nc r="JS8">
      <f>IF(ISNUMBER(HW8),HW8,IF(ISNUMBER(GA8),GA8,""))</f>
    </nc>
    <odxf>
      <alignment horizontal="general" vertical="bottom" readingOrder="0"/>
      <border outline="0">
        <top/>
        <bottom/>
      </border>
    </odxf>
    <ndxf>
      <alignment horizontal="center" vertical="top" readingOrder="0"/>
      <border outline="0">
        <top style="thin">
          <color indexed="64"/>
        </top>
        <bottom style="thin">
          <color indexed="64"/>
        </bottom>
      </border>
    </ndxf>
  </rcc>
  <rcc rId="492" sId="2" odxf="1" dxf="1">
    <nc r="JT8">
      <f>IF(ISNUMBER(HX8),HX8,IF(ISNUMBER(GB8),GB8,""))</f>
    </nc>
    <odxf>
      <alignment horizontal="general" vertical="bottom" readingOrder="0"/>
      <border outline="0">
        <top/>
        <bottom/>
      </border>
    </odxf>
    <ndxf>
      <alignment horizontal="center" vertical="top" readingOrder="0"/>
      <border outline="0">
        <top style="thin">
          <color indexed="64"/>
        </top>
        <bottom style="thin">
          <color indexed="64"/>
        </bottom>
      </border>
    </ndxf>
  </rcc>
  <rcc rId="493" sId="2" odxf="1" dxf="1">
    <nc r="JU8">
      <f>IF(ISNUMBER(HY8),HY8,IF(ISNUMBER(GC8),GC8,""))</f>
    </nc>
    <odxf>
      <alignment horizontal="general" vertical="bottom" readingOrder="0"/>
      <border outline="0">
        <top/>
        <bottom/>
      </border>
    </odxf>
    <ndxf>
      <alignment horizontal="center" vertical="top" readingOrder="0"/>
      <border outline="0">
        <top style="thin">
          <color indexed="64"/>
        </top>
        <bottom style="thin">
          <color indexed="64"/>
        </bottom>
      </border>
    </ndxf>
  </rcc>
  <rcc rId="494" sId="2" odxf="1" dxf="1">
    <nc r="JV8">
      <f>IF(ISNUMBER(HZ8),HZ8,IF(ISNUMBER(GD8),GD8,""))</f>
    </nc>
    <odxf>
      <alignment horizontal="general" vertical="bottom" readingOrder="0"/>
      <border outline="0">
        <top/>
        <bottom/>
      </border>
    </odxf>
    <ndxf>
      <alignment horizontal="center" vertical="top" readingOrder="0"/>
      <border outline="0">
        <top style="thin">
          <color indexed="64"/>
        </top>
        <bottom style="thin">
          <color indexed="64"/>
        </bottom>
      </border>
    </ndxf>
  </rcc>
  <rcc rId="495" sId="2" odxf="1" dxf="1">
    <nc r="JW8">
      <f>IF(ISNUMBER(IA8),IA8,IF(ISNUMBER(GE8),GE8,""))</f>
    </nc>
    <odxf>
      <alignment horizontal="general" vertical="bottom" readingOrder="0"/>
      <border outline="0">
        <top/>
        <bottom/>
      </border>
    </odxf>
    <ndxf>
      <alignment horizontal="center" vertical="top" readingOrder="0"/>
      <border outline="0">
        <top style="thin">
          <color indexed="64"/>
        </top>
        <bottom style="thin">
          <color indexed="64"/>
        </bottom>
      </border>
    </ndxf>
  </rcc>
  <rcc rId="496" sId="2" odxf="1" dxf="1">
    <nc r="JX8">
      <f>IF(ISNUMBER(IB8),IB8,IF(ISNUMBER(GF8),GF8,""))</f>
    </nc>
    <odxf>
      <alignment horizontal="general" vertical="bottom" readingOrder="0"/>
      <border outline="0">
        <top/>
        <bottom/>
      </border>
    </odxf>
    <ndxf>
      <alignment horizontal="center" vertical="top" readingOrder="0"/>
      <border outline="0">
        <top style="thin">
          <color indexed="64"/>
        </top>
        <bottom style="thin">
          <color indexed="64"/>
        </bottom>
      </border>
    </ndxf>
  </rcc>
  <rcc rId="497" sId="2" odxf="1" dxf="1">
    <nc r="JY8">
      <f>IF(ISNUMBER(IC8),IC8,IF(ISNUMBER(GG8),GG8,""))</f>
    </nc>
    <odxf>
      <alignment horizontal="general" vertical="bottom" readingOrder="0"/>
      <border outline="0">
        <right/>
        <top/>
        <bottom/>
      </border>
    </odxf>
    <ndxf>
      <alignment horizontal="center" vertical="top" readingOrder="0"/>
      <border outline="0">
        <right style="mediumDashed">
          <color auto="1"/>
        </right>
        <top style="thin">
          <color indexed="64"/>
        </top>
        <bottom style="thin">
          <color indexed="64"/>
        </bottom>
      </border>
    </ndxf>
  </rcc>
  <rcc rId="498" sId="2" odxf="1" dxf="1">
    <nc r="JZ8">
      <f>IF(AND(ISNUMBER(ID8),ISNUMBER(CP8)),ID8-CP8,"")</f>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499" sId="2" odxf="1" dxf="1">
    <nc r="KA8">
      <f>IF(AND(ISNUMBER(IE8),ISNUMBER(CQ8)),IE8-CQ8,"")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00" sId="2" odxf="1" dxf="1">
    <nc r="KB8">
      <f>IF(AND(ISNUMBER(IF8),ISNUMBER(CR8)),IF8-CR8,"")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01" sId="2" odxf="1" dxf="1">
    <nc r="KC8">
      <f>IF(AND(ISNUMBER(IG8),ISNUMBER(CS8)),IG8-CS8,"")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02" sId="2" odxf="1" dxf="1">
    <nc r="KD8">
      <f>IF(AND(ISNUMBER(IH8),ISNUMBER(CT8)),IH8-CT8,"")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03" sId="2" odxf="1" dxf="1">
    <nc r="KE8">
      <f>IF(AND(ISNUMBER(II8),ISNUMBER(CU8)),II8-CU8,"")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04" sId="2" odxf="1" dxf="1">
    <nc r="KF8">
      <f>IF(AND(ISNUMBER(IJ8),ISNUMBER(CV8)),IJ8-CV8,"")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05" sId="2" odxf="1" dxf="1">
    <nc r="KG8">
      <f>IF(AND(ISNUMBER(IK8),ISNUMBER(CW8)),IK8-CW8,"")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06" sId="2" odxf="1" dxf="1">
    <nc r="KH8">
      <f>IF(AND(ISNUMBER(IL8),ISNUMBER(CX8)),IL8-CX8,"")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07" sId="2" odxf="1" dxf="1">
    <nc r="KI8">
      <f>IF(AND(ISNUMBER(IM8),ISNUMBER(CY8)),IM8-CY8,"")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08" sId="2" odxf="1" dxf="1">
    <nc r="KJ8">
      <f>IF(AND(ISNUMBER(IN8),ISNUMBER(CZ8)),IN8-CZ8,"")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09" sId="2" odxf="1" dxf="1">
    <nc r="KK8">
      <f>IF(AND(ISNUMBER(IO8),ISNUMBER(DA8)),IO8-DA8,"")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10" sId="2" odxf="1" dxf="1">
    <nc r="KL8">
      <f>IF(AND(ISNUMBER(IP8),ISNUMBER(DB8)),IP8-DB8,"")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11" sId="2" odxf="1" dxf="1">
    <nc r="KM8">
      <f>IF(AND(ISNUMBER(IQ8),ISNUMBER(DC8)),IQ8-DC8,"")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12" sId="2" odxf="1" dxf="1">
    <nc r="KN8">
      <f>IF(AND(ISNUMBER(IR8),ISNUMBER(DD8)),IR8-DD8,"")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13" sId="2" odxf="1" dxf="1">
    <nc r="KO8">
      <f>IF(AND(ISNUMBER(IS8),ISNUMBER(DE8)),IS8-DE8,"")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14" sId="2" odxf="1" dxf="1">
    <nc r="KP8">
      <f>IF(AND(ISNUMBER(IT8),ISNUMBER(DF8)),IT8-DF8,"")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15" sId="2" odxf="1" dxf="1">
    <nc r="KQ8">
      <f>IF(AND(ISNUMBER(IU8),ISNUMBER(DG8)),IU8-DG8,"")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16" sId="2" odxf="1" dxf="1">
    <nc r="KR8">
      <f>IF(AND(ISNUMBER(IV8),ISNUMBER(DH8)),IV8-DH8,"")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17" sId="2" odxf="1" dxf="1">
    <nc r="KS8">
      <f>IF(AND(ISNUMBER(IW8),ISNUMBER(DI8)),IW8-DI8,"")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18" sId="2" odxf="1" dxf="1">
    <nc r="KT8">
      <f>IF(AND(ISNUMBER(IX8),ISNUMBER(DJ8)),IX8-DJ8,"")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19" sId="2" odxf="1" dxf="1">
    <nc r="KU8">
      <f>IF(AND(ISNUMBER(IY8),ISNUMBER(DK8)),IY8-DK8,"")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20" sId="2" odxf="1" dxf="1">
    <nc r="KV8">
      <f>IF(AND(ISNUMBER(IZ8),ISNUMBER(DL8)),IZ8-DL8,"")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21" sId="2" odxf="1" dxf="1">
    <nc r="KW8">
      <f>IF(AND(ISNUMBER(JA8),ISNUMBER(DM8)),JA8-DM8,"")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22" sId="2" odxf="1" dxf="1">
    <nc r="KX8">
      <f>IF(AND(ISNUMBER(JB8),ISNUMBER(DN8)),JB8-DN8,"")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23" sId="2" odxf="1" dxf="1">
    <nc r="KY8">
      <f>IF(AND(ISNUMBER(JC8),ISNUMBER(DO8)),JC8-DO8,"")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24" sId="2" odxf="1" dxf="1">
    <nc r="KZ8">
      <f>IF(AND(ISNUMBER(JD8),ISNUMBER(DP8)),JD8-DP8,"")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25" sId="2" odxf="1" dxf="1">
    <nc r="LA8">
      <f>IF(AND(ISNUMBER(JE8),ISNUMBER(DQ8)),JE8-DQ8,"")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26" sId="2" odxf="1" dxf="1">
    <nc r="LB8">
      <f>IF(AND(ISNUMBER(JF8),ISNUMBER(DR8)),JF8-DR8,"")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27" sId="2" odxf="1" dxf="1">
    <nc r="LC8">
      <f>IF(AND(ISNUMBER(JG8),ISNUMBER(DS8)),JG8-DS8,"")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28" sId="2" odxf="1" dxf="1">
    <nc r="LD8">
      <f>IF(AND(ISNUMBER(JH8),ISNUMBER(DT8)),JH8-DT8,"")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29" sId="2" odxf="1" dxf="1">
    <nc r="LE8">
      <f>IF(AND(ISNUMBER(JI8),ISNUMBER(DU8)),JI8-DU8,"")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30" sId="2" odxf="1" dxf="1">
    <nc r="LF8">
      <f>IF(AND(ISNUMBER(JJ8),ISNUMBER(DV8)),JJ8-DV8,"")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31" sId="2" odxf="1" dxf="1">
    <nc r="LG8">
      <f>IF(AND(ISNUMBER(JK8),ISNUMBER(DW8)),JK8-DW8,"")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32" sId="2" odxf="1" dxf="1">
    <nc r="LH8">
      <f>IF(AND(ISNUMBER(JL8),ISNUMBER(DX8)),JL8-DX8,"")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33" sId="2" odxf="1" dxf="1">
    <nc r="LI8">
      <f>IF(AND(ISNUMBER(JM8),ISNUMBER(DY8)),JM8-DY8,"")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34" sId="2" odxf="1" dxf="1">
    <nc r="LJ8">
      <f>IF(AND(ISNUMBER(JN8),ISNUMBER(DZ8)),JN8-DZ8,"")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35" sId="2" odxf="1" dxf="1">
    <nc r="LK8">
      <f>IF(AND(ISNUMBER(JO8),ISNUMBER(EA8)),JO8-EA8,"")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36" sId="2" odxf="1" dxf="1">
    <nc r="LL8">
      <f>IF(AND(ISNUMBER(JP8),ISNUMBER(EB8)),JP8-EB8,"")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37" sId="2" odxf="1" dxf="1">
    <nc r="LM8">
      <f>IF(AND(ISNUMBER(JQ8),ISNUMBER(EC8)),JQ8-EC8,"")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38" sId="2" odxf="1" dxf="1">
    <nc r="LN8">
      <f>IF(AND(ISNUMBER(JR8),ISNUMBER(ED8)),JR8-ED8,"")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39" sId="2" odxf="1" dxf="1">
    <nc r="LO8">
      <f>IF(AND(ISNUMBER(JS8),ISNUMBER(EE8)),JS8-EE8,"")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40" sId="2" odxf="1" dxf="1">
    <nc r="LP8">
      <f>IF(AND(ISNUMBER(JT8),ISNUMBER(EF8)),JT8-EF8,"")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41" sId="2" odxf="1" dxf="1">
    <nc r="LQ8">
      <f>IF(AND(ISNUMBER(JU8),ISNUMBER(EG8)),JU8-EG8,"")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42" sId="2" odxf="1" dxf="1">
    <nc r="LR8">
      <f>IF(AND(ISNUMBER(JV8),ISNUMBER(EH8)),JV8-EH8,"")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43" sId="2" odxf="1" dxf="1">
    <nc r="LS8">
      <f>IF(AND(ISNUMBER(JW8),ISNUMBER(EI8)),JW8-EI8,"")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44" sId="2" odxf="1" dxf="1">
    <nc r="LT8">
      <f>IF(AND(ISNUMBER(JX8),ISNUMBER(EJ8)),JX8-EJ8,"")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45" sId="2" odxf="1" dxf="1">
    <nc r="LU8">
      <f>IF(AND(ISNUMBER(JY8),ISNUMBER(EK8)),JY8-EK8,"")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46" sId="2" odxf="1" dxf="1">
    <nc r="LV8">
      <f>IF(AND(ISNUMBER(HO8),ISNUMBER(FS8)),HO8-FS8,"")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47" sId="2" odxf="1" dxf="1">
    <nc r="LW8">
      <f>IF(AND(ISNUMBER(HP8),ISNUMBER(FT8)),HP8-FT8,"")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48" sId="2" odxf="1" dxf="1">
    <nc r="LX8">
      <f>IF(AND(ISNUMBER(HT8),ISNUMBER(FX8)),HT8-FX8,"")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549" sId="2" odxf="1" dxf="1">
    <nc r="LY8">
      <f>HU8-FY8</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A8:XFD8" start="0" length="0">
    <dxf>
      <alignment horizontal="center" vertical="top" readingOrder="0"/>
      <border outline="0">
        <left style="thin">
          <color indexed="64"/>
        </left>
        <right style="thin">
          <color indexed="64"/>
        </right>
        <top style="thin">
          <color indexed="64"/>
        </top>
        <bottom style="thin">
          <color indexed="64"/>
        </bottom>
      </border>
    </dxf>
  </rfmt>
  <rm rId="550" sheetId="2" source="K8:EF9" destination="J8:EE9" sourceSheetId="2">
    <rfmt sheetId="2" sqref="J8" start="0" length="0">
      <dxf>
        <alignment horizontal="center" vertical="top" readingOrder="0"/>
        <border outline="0">
          <left style="thin">
            <color indexed="64"/>
          </left>
          <right style="thin">
            <color indexed="64"/>
          </right>
          <top style="thin">
            <color indexed="64"/>
          </top>
          <bottom style="thin">
            <color indexed="64"/>
          </bottom>
        </border>
      </dxf>
    </rfmt>
  </rm>
  <rm rId="551" sheetId="2" source="O8:LZ8" destination="J8:LU8" sourceSheetId="2">
    <rfmt sheetId="2" sqref="J8" start="0" length="0">
      <dxf>
        <font>
          <sz val="6"/>
          <color indexed="8"/>
          <name val="Arial"/>
          <scheme val="none"/>
        </font>
        <alignment horizontal="left" vertical="top" wrapText="1" readingOrder="1"/>
        <border outline="0">
          <left style="medium">
            <color indexed="22"/>
          </left>
          <right style="medium">
            <color indexed="22"/>
          </right>
          <bottom style="medium">
            <color indexed="22"/>
          </bottom>
        </border>
      </dxf>
    </rfmt>
    <rfmt sheetId="2" sqref="K8" start="0" length="0">
      <dxf>
        <font>
          <sz val="6"/>
          <color indexed="8"/>
          <name val="Arial"/>
          <scheme val="none"/>
        </font>
        <alignment horizontal="left" vertical="top" wrapText="1" readingOrder="1"/>
        <border outline="0">
          <right style="medium">
            <color indexed="22"/>
          </right>
          <bottom style="medium">
            <color indexed="22"/>
          </bottom>
        </border>
      </dxf>
    </rfmt>
    <rfmt sheetId="2" sqref="L8" start="0" length="0">
      <dxf>
        <font>
          <sz val="6"/>
          <color indexed="8"/>
          <name val="Arial"/>
          <scheme val="none"/>
        </font>
        <alignment horizontal="left" vertical="top" wrapText="1" readingOrder="1"/>
        <border outline="0">
          <right style="medium">
            <color indexed="22"/>
          </right>
          <bottom style="medium">
            <color indexed="22"/>
          </bottom>
        </border>
      </dxf>
    </rfmt>
    <rfmt sheetId="2" sqref="M8" start="0" length="0">
      <dxf>
        <font>
          <sz val="6"/>
          <color indexed="8"/>
          <name val="Arial"/>
          <scheme val="none"/>
        </font>
        <alignment horizontal="left" vertical="top" wrapText="1" readingOrder="1"/>
        <border outline="0">
          <right style="medium">
            <color indexed="22"/>
          </right>
          <bottom style="medium">
            <color indexed="22"/>
          </bottom>
        </border>
      </dxf>
    </rfmt>
    <rfmt sheetId="2" sqref="N8" start="0" length="0">
      <dxf>
        <font>
          <sz val="6"/>
          <color indexed="8"/>
          <name val="Arial"/>
          <scheme val="none"/>
        </font>
        <alignment horizontal="left" vertical="top" wrapText="1" readingOrder="1"/>
        <border outline="0">
          <right style="medium">
            <color indexed="22"/>
          </right>
          <bottom style="medium">
            <color indexed="22"/>
          </bottom>
        </border>
      </dxf>
    </rfmt>
  </rm>
  <rm rId="552" sheetId="2" source="AC8:LT8" destination="AB8:LS8" sourceSheetId="2">
    <rfmt sheetId="2" sqref="AB8" start="0" length="0">
      <dxf>
        <alignment horizontal="center" vertical="top" readingOrder="0"/>
        <border outline="0">
          <left style="thin">
            <color indexed="64"/>
          </left>
          <right style="thin">
            <color indexed="64"/>
          </right>
          <top style="thin">
            <color indexed="64"/>
          </top>
          <bottom style="thin">
            <color indexed="64"/>
          </bottom>
        </border>
      </dxf>
    </rfmt>
  </rm>
  <rcc rId="553" sId="2">
    <nc r="AB8" t="inlineStr">
      <is>
        <t>EXCLUDE: prior phakic IOL** PBK (phakic IOL 2012, removal OS 2010) -- EXCLUDE?</t>
      </is>
    </nc>
  </rcc>
  <rrc rId="554" sId="1" ref="A32:XFD32" action="deleteRow">
    <undo index="0" exp="area" ref3D="1" dr="$CE$1:$CE$1048576" dn="SE_PREOP"/>
    <undo index="0" exp="area" ref3D="1" dr="$T$1:$T$1048576" dn="SPH_PREOP"/>
    <undo index="0" exp="area" ref3D="1" dr="$AK$1:$AK$1048576" dn="UDVA_6"/>
    <undo index="0" exp="area" ref3D="1" dr="$BG$1:$BG$1048576" dn="BCVA_12"/>
    <undo index="0" exp="area" ref3D="1" dr="$BV$1:$BV$1048576" dn="SE_preop_IF_6_12"/>
    <undo index="0" exp="area" ref3D="1" dr="$BX$1:$BX$1048576" dn="SE_12_IF_6_12"/>
    <undo index="0" exp="area" ref3D="1" dr="$BW$1:$BW$1048576" dn="SE_6_IF_6_12"/>
    <undo index="0" exp="area" ref3D="1" dr="$BU$1:$BU$1048576" dn="FU_6_AND_12"/>
    <undo index="0" exp="area" ref3D="1" dr="$CK$1:$CK$1048576" dn="CYL_LAST"/>
    <undo index="0" exp="area" ref3D="1" dr="$U$1:$U$1048576" dn="CYL_PREOP"/>
    <undo index="0" exp="area" ref3D="1" dr="$BR$1:$BR$1048576" dn="SE_ERROR_12"/>
    <undo index="0" exp="area" ref3D="1" dr="$Q$1:$Q$1048576" dn="REF_TARGET"/>
    <undo index="0" exp="area" ref3D="1" dr="$BC$1:$BC$1048576" dn="UDVA_12"/>
    <undo index="0" exp="area" ref3D="1" dr="$CF$1:$CF$1048576" dn="SE_LAST_"/>
    <undo index="0" exp="area" ref3D="1" dr="$BQ$1:$BQ$1048576" dn="SE_12"/>
    <undo index="0" exp="area" ref3D="1" dr="$CM$1:$CM$1048576" dn="LAST_UDVA_DIST"/>
    <undo index="2" exp="area" ref3D="1" dr="$EL$1:$HN$1048576" dn="Z_9D4EC4DC_E305_42C0_86D3_802895C39393_.wvu.Cols" sId="1"/>
    <undo index="1" exp="area" ref3D="1" dr="$CH$1:$CI$1048576" dn="Z_9D4EC4DC_E305_42C0_86D3_802895C39393_.wvu.Cols" sId="1"/>
    <undo index="4" exp="area" ref3D="1" dr="$CH$1:$CI$1048576" dn="Z_54C114DD_C157_4E30_91DC_9B94C55E8054_.wvu.Cols" sId="1"/>
    <undo index="2" exp="area" ref3D="1" dr="$E$1:$H$1048576" dn="Z_54C114DD_C157_4E30_91DC_9B94C55E8054_.wvu.Cols" sId="1"/>
    <undo index="1" exp="area" ref3D="1" dr="$A$1:$C$1048576" dn="Z_54C114DD_C157_4E30_91DC_9B94C55E8054_.wvu.Cols" sId="1"/>
    <undo index="0" exp="area" ref3D="1" dr="$S$1:$S$1048576" dn="PREOP"/>
    <undo index="0" exp="area" ref3D="1" dr="$AY$1:$AY$1048576" dn="SE_6"/>
    <undo index="0" exp="area" ref3D="1" dr="$AO$1:$AO$1048576" dn="BCVA_6"/>
    <undo index="0" exp="area" ref3D="1" dr="$W$1:$W$1048576" dn="PREOP_BCVA"/>
    <undo index="0" exp="area" ref3D="1" dr="$W$1:$W$1048576" dn="BCVA_PREOP"/>
    <undo index="0" exp="area" ref3D="1" dr="$BM$1:$BM$1048576" dn="K1_12"/>
    <rfmt sheetId="1" xfDxf="1" sqref="A32:XFD32" start="0" length="0">
      <dxf>
        <alignment horizontal="center" readingOrder="0"/>
        <border outline="0">
          <left style="thin">
            <color indexed="64"/>
          </left>
          <right style="thin">
            <color indexed="64"/>
          </right>
          <top style="thin">
            <color indexed="64"/>
          </top>
          <bottom style="thin">
            <color indexed="64"/>
          </bottom>
        </border>
      </dxf>
    </rfmt>
    <rcc rId="0" sId="1" dxf="1" numFmtId="19">
      <nc r="A32">
        <v>41185</v>
      </nc>
      <ndxf>
        <numFmt numFmtId="19" formatCode="mm/dd/yyyy"/>
      </ndxf>
    </rcc>
    <rcc rId="0" sId="1" dxf="1">
      <nc r="B32" t="inlineStr">
        <is>
          <t>Barry</t>
        </is>
      </nc>
      <ndxf/>
    </rcc>
    <rcc rId="0" sId="1" dxf="1">
      <nc r="C32" t="inlineStr">
        <is>
          <t>Leming</t>
        </is>
      </nc>
      <ndxf/>
    </rcc>
    <rcc rId="0" sId="1" dxf="1">
      <nc r="D32" t="inlineStr">
        <is>
          <t>OS</t>
        </is>
      </nc>
      <ndxf>
        <font>
          <b/>
          <sz val="10"/>
          <color indexed="63"/>
          <name val="Arial"/>
          <scheme val="none"/>
        </font>
        <fill>
          <patternFill patternType="solid">
            <bgColor indexed="9"/>
          </patternFill>
        </fill>
      </ndxf>
    </rcc>
    <rcc rId="0" sId="1">
      <nc r="E32">
        <v>46</v>
      </nc>
    </rcc>
    <rcc rId="0" sId="1" dxf="1" numFmtId="19">
      <nc r="F32">
        <v>24356</v>
      </nc>
      <ndxf>
        <numFmt numFmtId="19" formatCode="mm/dd/yyyy"/>
      </ndxf>
    </rcc>
    <rcc rId="0" sId="1">
      <nc r="G32" t="inlineStr">
        <is>
          <t>W</t>
        </is>
      </nc>
    </rcc>
    <rcc rId="0" sId="1">
      <nc r="H32" t="inlineStr">
        <is>
          <t>M</t>
        </is>
      </nc>
    </rcc>
    <rcc rId="0" sId="1">
      <nc r="I32">
        <v>1835332</v>
      </nc>
    </rcc>
    <rfmt sheetId="1" sqref="K32" start="0" length="0">
      <dxf>
        <font>
          <sz val="6"/>
          <color indexed="8"/>
          <name val="Arial"/>
          <scheme val="none"/>
        </font>
        <alignment horizontal="left" wrapText="1" readingOrder="1"/>
        <border outline="0">
          <left style="medium">
            <color indexed="22"/>
          </left>
          <right style="medium">
            <color indexed="22"/>
          </right>
          <top/>
          <bottom style="medium">
            <color indexed="22"/>
          </bottom>
        </border>
      </dxf>
    </rfmt>
    <rfmt sheetId="1" sqref="L32" start="0" length="0">
      <dxf>
        <font>
          <sz val="6"/>
          <color indexed="8"/>
          <name val="Arial"/>
          <scheme val="none"/>
        </font>
        <alignment horizontal="left" wrapText="1" readingOrder="1"/>
        <border outline="0">
          <left/>
          <right style="medium">
            <color indexed="22"/>
          </right>
          <top/>
          <bottom style="medium">
            <color indexed="22"/>
          </bottom>
        </border>
      </dxf>
    </rfmt>
    <rfmt sheetId="1" sqref="M32" start="0" length="0">
      <dxf>
        <font>
          <sz val="6"/>
          <color indexed="8"/>
          <name val="Arial"/>
          <scheme val="none"/>
        </font>
        <alignment horizontal="left" wrapText="1" readingOrder="1"/>
        <border outline="0">
          <left/>
          <right style="medium">
            <color indexed="22"/>
          </right>
          <top/>
          <bottom style="medium">
            <color indexed="22"/>
          </bottom>
        </border>
      </dxf>
    </rfmt>
    <rfmt sheetId="1" sqref="N32" start="0" length="0">
      <dxf>
        <font>
          <sz val="6"/>
          <color indexed="8"/>
          <name val="Arial"/>
          <scheme val="none"/>
        </font>
        <alignment horizontal="left" wrapText="1" readingOrder="1"/>
        <border outline="0">
          <left/>
          <right style="medium">
            <color indexed="22"/>
          </right>
          <top/>
          <bottom style="medium">
            <color indexed="22"/>
          </bottom>
        </border>
      </dxf>
    </rfmt>
    <rfmt sheetId="1" sqref="O32" start="0" length="0">
      <dxf>
        <font>
          <sz val="6"/>
          <color indexed="8"/>
          <name val="Arial"/>
          <scheme val="none"/>
        </font>
        <alignment horizontal="left" wrapText="1" readingOrder="1"/>
        <border outline="0">
          <left/>
          <right style="medium">
            <color indexed="22"/>
          </right>
          <top/>
          <bottom style="medium">
            <color indexed="22"/>
          </bottom>
        </border>
      </dxf>
    </rfmt>
    <rcc rId="0" sId="1">
      <nc r="P32">
        <v>-0.5</v>
      </nc>
    </rcc>
    <rcc rId="0" sId="1">
      <nc r="Q32">
        <v>-0.57999999999999996</v>
      </nc>
    </rcc>
    <rcc rId="0" sId="1">
      <nc r="R32" t="inlineStr">
        <is>
          <t>SOFTEC HD</t>
        </is>
      </nc>
    </rcc>
    <rcc rId="0" sId="1" dxf="1" numFmtId="19">
      <nc r="S32">
        <v>41109</v>
      </nc>
      <ndxf>
        <numFmt numFmtId="19" formatCode="mm/dd/yyyy"/>
        <fill>
          <patternFill patternType="solid">
            <bgColor theme="5" tint="0.39994506668294322"/>
          </patternFill>
        </fill>
      </ndxf>
    </rcc>
    <rfmt sheetId="1" sqref="T32" start="0" length="0">
      <dxf>
        <numFmt numFmtId="166" formatCode="\+#0.00;\-#0.00;0;@"/>
      </dxf>
    </rfmt>
    <rfmt sheetId="1" sqref="U32" start="0" length="0">
      <dxf>
        <numFmt numFmtId="166" formatCode="\+#0.00;\-#0.00;0;@"/>
      </dxf>
    </rfmt>
    <rcc rId="0" sId="1">
      <nc r="X32">
        <v>16</v>
      </nc>
    </rcc>
    <rcc rId="0" sId="1">
      <nc r="Y32">
        <v>854</v>
      </nc>
    </rcc>
    <rcc rId="0" sId="1">
      <nc r="Z32">
        <v>27.79</v>
      </nc>
    </rcc>
    <rcc rId="0" sId="1">
      <nc r="AA32">
        <v>12.4</v>
      </nc>
    </rcc>
    <rcc rId="0" sId="1">
      <nc r="AB32">
        <v>4.28</v>
      </nc>
    </rcc>
    <rcc rId="0" sId="1">
      <nc r="AC32">
        <v>3.95</v>
      </nc>
    </rcc>
    <rcc rId="0" sId="1">
      <nc r="AD32">
        <v>44.18</v>
      </nc>
    </rcc>
    <rcc rId="0" sId="1">
      <nc r="AE32">
        <v>29</v>
      </nc>
    </rcc>
    <rcc rId="0" sId="1">
      <nc r="AF32">
        <v>44.53</v>
      </nc>
    </rcc>
    <rcc rId="0" sId="1">
      <nc r="AG32">
        <v>119</v>
      </nc>
    </rcc>
    <rcc rId="0" sId="1">
      <nc r="AH32">
        <v>0</v>
      </nc>
    </rcc>
    <rcc rId="0" sId="1" dxf="1">
      <nc r="AI32" t="inlineStr">
        <is>
          <t>** PBK (phakic IOL 2012, removal OS 2010) -- EXCLUDE?</t>
        </is>
      </nc>
      <ndxf>
        <alignment wrapText="1" readingOrder="0"/>
      </ndxf>
    </rcc>
    <rcc rId="0" sId="1" dxf="1" numFmtId="19">
      <nc r="AJ32">
        <v>41375</v>
      </nc>
      <ndxf>
        <font>
          <sz val="10"/>
          <color auto="1"/>
          <name val="Arial"/>
          <scheme val="none"/>
        </font>
        <numFmt numFmtId="19" formatCode="mm/dd/yyyy"/>
      </ndxf>
    </rcc>
    <rcc rId="0" sId="1" dxf="1" numFmtId="4">
      <nc r="AK32">
        <v>30</v>
      </nc>
      <ndxf>
        <font>
          <sz val="10"/>
          <color auto="1"/>
          <name val="Arial"/>
          <scheme val="none"/>
        </font>
        <numFmt numFmtId="1" formatCode="0"/>
      </ndxf>
    </rcc>
    <rcc rId="0" sId="1" dxf="1" numFmtId="4">
      <nc r="AL32">
        <v>0</v>
      </nc>
      <ndxf>
        <numFmt numFmtId="166" formatCode="\+#0.00;\-#0.00;0;@"/>
      </ndxf>
    </rcc>
    <rcc rId="0" sId="1" dxf="1" numFmtId="4">
      <nc r="AM32">
        <v>0</v>
      </nc>
      <ndxf>
        <numFmt numFmtId="166" formatCode="\+#0.00;\-#0.00;0;@"/>
      </ndxf>
    </rcc>
    <rcc rId="0" sId="1">
      <nc r="AN32">
        <v>0</v>
      </nc>
    </rcc>
    <rcc rId="0" sId="1">
      <nc r="AO32">
        <v>30</v>
      </nc>
    </rcc>
    <rcc rId="0" sId="1">
      <nc r="AP32">
        <v>25</v>
      </nc>
    </rcc>
    <rcc rId="0" sId="1">
      <nc r="AQ32">
        <v>553</v>
      </nc>
    </rcc>
    <rcc rId="0" sId="1">
      <nc r="AR32">
        <v>1600</v>
      </nc>
    </rcc>
    <rcc rId="0" sId="1">
      <nc r="AY32">
        <f>IF(ISNUMBER(AL32),AL32+0.5*AM32,"")</f>
      </nc>
    </rcc>
    <rcc rId="0" sId="1">
      <nc r="AZ32">
        <f>IF(ISNUMBER(AY32),IF(ISNUMBER(Q32),AY32-Q32,"MISSING"),"")</f>
      </nc>
    </rcc>
    <rcc rId="0" sId="1">
      <nc r="BA32">
        <f>IF(AND(ISNUMBER(AQ32),ISNUMBER(Y32)),AQ32-Y32,IF(ISNUMBER(AQ32),"MISSING",""))</f>
      </nc>
    </rcc>
    <rcc rId="0" sId="1" dxf="1" numFmtId="19">
      <nc r="BB32">
        <v>41638</v>
      </nc>
      <ndxf>
        <numFmt numFmtId="19" formatCode="mm/dd/yyyy"/>
      </ndxf>
    </rcc>
    <rcc rId="0" sId="1" dxf="1" numFmtId="4">
      <nc r="BC32">
        <v>30</v>
      </nc>
      <ndxf>
        <numFmt numFmtId="1" formatCode="0"/>
      </ndxf>
    </rcc>
    <rcc rId="0" sId="1" dxf="1" numFmtId="4">
      <nc r="BD32">
        <v>-1.5</v>
      </nc>
      <ndxf>
        <numFmt numFmtId="166" formatCode="\+#0.00;\-#0.00;0;@"/>
      </ndxf>
    </rcc>
    <rcc rId="0" sId="1" dxf="1" numFmtId="4">
      <nc r="BE32">
        <v>0.5</v>
      </nc>
      <ndxf>
        <numFmt numFmtId="166" formatCode="\+#0.00;\-#0.00;0;@"/>
      </ndxf>
    </rcc>
    <rcc rId="0" sId="1">
      <nc r="BF32">
        <v>70</v>
      </nc>
    </rcc>
    <rcc rId="0" sId="1">
      <nc r="BG32">
        <v>20</v>
      </nc>
    </rcc>
    <rcc rId="0" sId="1">
      <nc r="BH32">
        <v>24</v>
      </nc>
    </rcc>
    <rcc rId="0" sId="1">
      <nc r="BI32">
        <v>548</v>
      </nc>
    </rcc>
    <rcc rId="0" sId="1">
      <nc r="BJ32">
        <v>1402</v>
      </nc>
    </rcc>
    <rcc rId="0" sId="1">
      <nc r="BQ32">
        <f>IF(ISNUMBER(BD32),BD32+0.5*BE32,"")</f>
      </nc>
    </rcc>
    <rcc rId="0" sId="1">
      <nc r="BR32">
        <f>IF(ISNUMBER(BQ32),IF(ISNUMBER($Q32),BQ32-$Q32,"MISSING"),"")</f>
      </nc>
    </rcc>
    <rcc rId="0" sId="1">
      <nc r="BS32">
        <f>IF(AND(ISNUMBER(BI32),ISNUMBER($Y32)),BI32-$Y32,IF(ISNUMBER(BI32),"MISSING",""))</f>
      </nc>
    </rcc>
    <rcc rId="0" sId="1">
      <nc r="BT32">
        <f>IF(AND(ISBLANK($AL32),ISBLANK($BD32)),0,1)</f>
      </nc>
    </rcc>
    <rcc rId="0" sId="1">
      <nc r="BU32">
        <f>IF(AND(ISNUMBER($AL32),ISNUMBER($BD32)),1,0)</f>
      </nc>
    </rcc>
    <rcc rId="0" sId="1">
      <nc r="BV32">
        <f>IF(BU32,SE_PREOP,"")</f>
      </nc>
    </rcc>
    <rcc rId="0" sId="1">
      <nc r="BW32">
        <f>IF(FU_6_AND_12,SE_6,"")</f>
      </nc>
    </rcc>
    <rcc rId="0" sId="1">
      <nc r="BX32">
        <f>IF(FU_6_AND_12,SE_12,"")</f>
      </nc>
    </rcc>
    <rcc rId="0" sId="1" dxf="1">
      <nc r="BY32">
        <f>IF(AND(ISNUMBER(BB32),ISNUMBER(BD32)),BB32-A32,IF(ISNUMBER(AJ32),AJ32-A32,0))</f>
      </nc>
      <ndxf>
        <numFmt numFmtId="2" formatCode="0.00"/>
      </ndxf>
    </rcc>
    <rcc rId="0" sId="1" dxf="1">
      <nc r="BZ32">
        <f>IF(BY32&gt;0,BY32/30,"")</f>
      </nc>
      <ndxf>
        <numFmt numFmtId="165" formatCode="0.0"/>
      </ndxf>
    </rcc>
    <rcc rId="0" sId="1">
      <nc r="CA32">
        <f>IF(AND(ISNUMBER(AY32),ISNUMBER(BQ32)),(BQ32-AY32),"")</f>
      </nc>
    </rcc>
    <rcc rId="0" sId="1">
      <nc r="CB32">
        <f>IF(AND(ISNUMBER(AW32), ISNUMBER(AD32)), AVERAGE(AW32,AU32)-AVERAGE(AD32,AF32),"")</f>
      </nc>
    </rcc>
    <rcc rId="0" sId="1">
      <nc r="CC32">
        <f>IF(AND(ISNUMBER(BM32), ISNUMBER(AD32)), AVERAGE(BM32,BO32)-AVERAGE(AD32,AF32),"")</f>
      </nc>
    </rcc>
    <rcc rId="0" sId="1">
      <nc r="CD32">
        <f>IF(ISNUMBER(CC32),CC32,IF(ISNUMBER(CB32),CB32,""))</f>
      </nc>
    </rcc>
    <rcc rId="0" sId="1">
      <nc r="CE32">
        <f>IF(AND(ISNUMBER(SPH_PREOP),ISNUMBER(SE_LAST_)),SPH_PREOP+CYL_PREOP/2,"")</f>
      </nc>
    </rcc>
    <rcc rId="0" sId="1">
      <nc r="CF32">
        <f>IF(ISNUMBER(SE_12),SE_12,IF(ISNUMBER(SE_6),SE_6,""))</f>
      </nc>
    </rcc>
    <rcc rId="0" sId="1" dxf="1">
      <nc r="CG32">
        <f>IF(AND(ISNUMBER(SE_LAST_),ISNUMBER(REF_TARGET)),SE_LAST_-REF_TARGET,"")</f>
      </nc>
      <ndxf>
        <border outline="0">
          <right style="double">
            <color indexed="64"/>
          </right>
        </border>
      </ndxf>
    </rcc>
    <rcc rId="0" sId="1" dxf="1">
      <nc r="CH32">
        <f>IF(ISNUMBER(Y32),IF(ISNUMBER(BI32),BI32-Y32,IF(ISNUMBER(AQ32),AQ32-Y32,"")),"")</f>
      </nc>
      <ndxf>
        <border outline="0">
          <left/>
        </border>
      </ndxf>
    </rcc>
    <rcc rId="0" sId="1">
      <nc r="CI32">
        <f>IF(ISNUMBER(Z32),IF(ISNUMBER(AS32),AS32-Z32,IF(ISNUMBER(BK32),BK32-Z32,"")),"")</f>
      </nc>
    </rcc>
    <rcc rId="0" sId="1" dxf="1">
      <nc r="CJ32">
        <f>IF(AND(OR(ISNUMBER(BG32),ISNUMBER(AO32)),ISNUMBER(W32)),-LOG(20/W32)--LOG(20/IF(ISNUMBER(BG32),BG32,AO32)),"")</f>
      </nc>
      <ndxf>
        <border outline="0">
          <left/>
          <right/>
          <top/>
          <bottom/>
        </border>
      </ndxf>
    </rcc>
    <rcc rId="0" sId="1" dxf="1">
      <nc r="CK32">
        <f>IF(ISNUMBER(BE32),BE32,IF(ISNUMBER(AM32),AM32,""))</f>
      </nc>
      <ndxf>
        <numFmt numFmtId="166" formatCode="\+#0.00;\-#0.00;0;@"/>
        <border outline="0">
          <left/>
          <right/>
          <top/>
          <bottom/>
        </border>
      </ndxf>
    </rcc>
    <rcc rId="0" sId="1" dxf="1">
      <nc r="CL32">
        <f>IF(AND(ISNUMBER(CK32),ISNUMBER(U32)),CK32-U32,"")</f>
      </nc>
      <ndxf>
        <numFmt numFmtId="166" formatCode="\+#0.00;\-#0.00;0;@"/>
        <border outline="0">
          <left/>
          <right/>
          <top/>
          <bottom/>
        </border>
      </ndxf>
    </rcc>
    <rcc rId="0" sId="1" dxf="1">
      <nc r="CM32">
        <f>IF(AND(REF_TARGET&lt;=0,REF_TARGET&gt;-1),IF(ISNUMBER(UDVA_12),UDVA_12,IF(ISNUMBER(UDVA_6),UDVA_6,"")),"")</f>
      </nc>
      <ndxf>
        <font>
          <sz val="10"/>
          <color auto="1"/>
          <name val="Arial"/>
          <scheme val="none"/>
        </font>
        <numFmt numFmtId="1" formatCode="0"/>
        <border outline="0">
          <left/>
          <right/>
          <top/>
          <bottom/>
        </border>
      </ndxf>
    </rcc>
    <rcc rId="0" sId="1" dxf="1">
      <nc r="CN32">
        <f>IF(ISNUMBER($CQ32),IF(ISNUMBER($AL32),IF(ISNUMBER($EL32),0,1),""),"")</f>
      </nc>
      <ndxf>
        <border outline="0">
          <left/>
          <right/>
          <top/>
          <bottom/>
        </border>
      </ndxf>
    </rcc>
    <rcc rId="0" sId="1" dxf="1">
      <nc r="CO32">
        <f>IF(ISNUMBER($CQ32),IF(ISNUMBER($BD32),IF(ISNUMBER($GH32),0,1),""),"")</f>
      </nc>
      <ndxf>
        <border outline="0">
          <left/>
          <right/>
          <top/>
          <bottom/>
        </border>
      </ndxf>
    </rcc>
    <rcc rId="0" sId="1" dxf="1">
      <nc r="CP32">
        <v>7.44</v>
      </nc>
      <ndxf>
        <alignment horizontal="general" vertical="bottom" readingOrder="0"/>
        <border outline="0">
          <left/>
          <right/>
          <top/>
          <bottom/>
        </border>
      </ndxf>
    </rcc>
    <rcc rId="0" sId="1">
      <nc r="CQ32">
        <v>7.71</v>
      </nc>
    </rcc>
    <rcc rId="0" sId="1">
      <nc r="CR32">
        <v>62.4</v>
      </nc>
    </rcc>
    <rcc rId="0" sId="1">
      <nc r="CS32">
        <v>1.6</v>
      </nc>
    </rcc>
    <rcc rId="0" sId="1">
      <nc r="CT32">
        <v>0.88</v>
      </nc>
    </rcc>
    <rcc rId="0" sId="1">
      <nc r="CU32">
        <v>0.83</v>
      </nc>
    </rcc>
    <rcc rId="0" sId="1">
      <nc r="CV32">
        <v>2.97</v>
      </nc>
    </rcc>
    <rcc rId="0" sId="1">
      <nc r="CW32">
        <v>3.82</v>
      </nc>
    </rcc>
    <rcc rId="0" sId="1">
      <nc r="CX32">
        <v>844</v>
      </nc>
    </rcc>
    <rcc rId="0" sId="1">
      <nc r="CY32">
        <v>875</v>
      </nc>
    </rcc>
    <rcc rId="0" sId="1">
      <nc r="CZ32">
        <v>823</v>
      </nc>
    </rcc>
    <rcc rId="0" sId="1">
      <nc r="DA32">
        <v>886</v>
      </nc>
    </rcc>
    <rcc rId="0" sId="1">
      <nc r="DB32">
        <v>687</v>
      </nc>
    </rcc>
    <rcc rId="0" sId="1">
      <nc r="DC32">
        <v>1022</v>
      </nc>
    </rcc>
    <rcc rId="0" sId="1">
      <nc r="DD32">
        <v>668</v>
      </nc>
    </rcc>
    <rcc rId="0" sId="1">
      <nc r="DE32">
        <v>-3.04</v>
      </nc>
    </rcc>
    <rcc rId="0" sId="1">
      <nc r="DF32">
        <v>-1.49</v>
      </nc>
    </rcc>
    <rcc rId="0" sId="1">
      <nc r="DG32">
        <v>7.42</v>
      </nc>
    </rcc>
    <rcc rId="0" sId="1">
      <nc r="DH32">
        <v>7.72</v>
      </nc>
    </rcc>
    <rcc rId="0" sId="1">
      <nc r="DI32">
        <v>7.95</v>
      </nc>
    </rcc>
    <rcc rId="0" sId="1">
      <nc r="DJ32">
        <v>8.16</v>
      </nc>
    </rcc>
    <rcc rId="0" sId="1">
      <nc r="DK32">
        <v>8.6300000000000008</v>
      </nc>
    </rcc>
    <rcc rId="0" sId="1">
      <nc r="DL32">
        <v>8.94</v>
      </nc>
    </rcc>
    <rcc rId="0" sId="1">
      <nc r="DM32">
        <v>0</v>
      </nc>
    </rcc>
    <rcc rId="0" sId="1">
      <nc r="DN32">
        <v>0.5</v>
      </nc>
    </rcc>
    <rcc rId="0" sId="1">
      <nc r="DO32">
        <v>7.54</v>
      </nc>
    </rcc>
    <rcc rId="0" sId="1">
      <nc r="DP32">
        <v>7.1</v>
      </nc>
    </rcc>
    <rcc rId="0" sId="1">
      <nc r="DQ32">
        <v>6.56</v>
      </nc>
    </rcc>
    <rcc rId="0" sId="1">
      <nc r="DR32">
        <v>6.43</v>
      </nc>
    </rcc>
    <rcc rId="0" sId="1">
      <nc r="DS32">
        <v>6.87</v>
      </nc>
    </rcc>
    <rcc rId="0" sId="1">
      <nc r="DT32">
        <v>7.18</v>
      </nc>
    </rcc>
    <rcc rId="0" sId="1">
      <nc r="DU32">
        <v>0</v>
      </nc>
    </rcc>
    <rcc rId="0" sId="1" dxf="1">
      <nc r="DV32">
        <v>0.5</v>
      </nc>
      <ndxf>
        <border outline="0">
          <right style="mediumDashDot">
            <color indexed="64"/>
          </right>
        </border>
      </ndxf>
    </rcc>
    <rcc rId="0" sId="1" dxf="1">
      <nc r="DW32">
        <v>43.7</v>
      </nc>
      <ndxf>
        <border outline="0">
          <left/>
          <right/>
        </border>
      </ndxf>
    </rcc>
    <rcc rId="0" sId="1" dxf="1">
      <nc r="DX32">
        <v>45.3</v>
      </nc>
      <ndxf>
        <border outline="0">
          <left/>
          <right/>
        </border>
      </ndxf>
    </rcc>
    <rcc rId="0" sId="1" dxf="1">
      <nc r="DY32">
        <v>44.5</v>
      </nc>
      <ndxf>
        <border outline="0">
          <left/>
          <right/>
        </border>
      </ndxf>
    </rcc>
    <rcc rId="0" sId="1" dxf="1">
      <nc r="DZ32">
        <v>62.4</v>
      </nc>
      <ndxf>
        <border outline="0">
          <left/>
          <right/>
        </border>
      </ndxf>
    </rcc>
    <rcc rId="0" sId="1" dxf="1">
      <nc r="EA32">
        <v>1.6</v>
      </nc>
      <ndxf>
        <border outline="0">
          <left/>
          <right/>
        </border>
      </ndxf>
    </rcc>
    <rcc rId="0" sId="1" dxf="1">
      <nc r="EB32">
        <v>-4.9000000000000004</v>
      </nc>
      <ndxf>
        <border outline="0">
          <left/>
          <right/>
        </border>
      </ndxf>
    </rcc>
    <rcc rId="0" sId="1" dxf="1">
      <nc r="EC32">
        <v>-5.8</v>
      </nc>
      <ndxf>
        <border outline="0">
          <left/>
          <right/>
        </border>
      </ndxf>
    </rcc>
    <rcc rId="0" sId="1" dxf="1">
      <nc r="ED32">
        <v>-5.3</v>
      </nc>
      <ndxf>
        <border outline="0">
          <left/>
          <right/>
        </border>
      </ndxf>
    </rcc>
    <rcc rId="0" sId="1" dxf="1">
      <nc r="EE32">
        <v>43.1</v>
      </nc>
      <ndxf>
        <border outline="0">
          <left/>
          <right/>
        </border>
      </ndxf>
    </rcc>
    <rcc rId="0" sId="1" dxf="1">
      <nc r="EF32">
        <v>0.9</v>
      </nc>
      <ndxf>
        <border outline="0">
          <left/>
          <right/>
        </border>
      </ndxf>
    </rcc>
    <rcc rId="0" sId="1" dxf="1">
      <nc r="EG32">
        <v>5.9</v>
      </nc>
      <ndxf>
        <border outline="0">
          <left/>
          <right/>
        </border>
      </ndxf>
    </rcc>
    <rcc rId="0" sId="1" dxf="1">
      <nc r="EH32">
        <v>16.7</v>
      </nc>
      <ndxf>
        <border outline="0">
          <left/>
          <right/>
        </border>
      </ndxf>
    </rcc>
    <rcc rId="0" sId="1" dxf="1">
      <nc r="EI32">
        <v>34.4</v>
      </nc>
      <ndxf>
        <border outline="0">
          <left/>
          <right/>
        </border>
      </ndxf>
    </rcc>
    <rcc rId="0" sId="1" dxf="1">
      <nc r="EJ32">
        <v>81.5</v>
      </nc>
      <ndxf>
        <border outline="0">
          <left/>
          <right/>
        </border>
      </ndxf>
    </rcc>
    <rcc rId="0" sId="1" dxf="1">
      <nc r="EK32">
        <v>50</v>
      </nc>
      <ndxf>
        <border outline="0">
          <left/>
          <right style="dashed">
            <color auto="1"/>
          </right>
        </border>
      </ndxf>
    </rcc>
    <rfmt sheetId="1" sqref="EL32" start="0" length="0">
      <dxf>
        <border outline="0">
          <left/>
        </border>
      </dxf>
    </rfmt>
    <rfmt sheetId="1" sqref="FR32" start="0" length="0">
      <dxf>
        <border outline="0">
          <right style="mediumDashed">
            <color indexed="64"/>
          </right>
        </border>
      </dxf>
    </rfmt>
    <rfmt sheetId="1" sqref="FS32" start="0" length="0">
      <dxf>
        <border outline="0">
          <left/>
          <right/>
        </border>
      </dxf>
    </rfmt>
    <rfmt sheetId="1" sqref="FT32" start="0" length="0">
      <dxf>
        <border outline="0">
          <left/>
          <right/>
        </border>
      </dxf>
    </rfmt>
    <rfmt sheetId="1" sqref="FU32" start="0" length="0">
      <dxf>
        <border outline="0">
          <left/>
          <right/>
        </border>
      </dxf>
    </rfmt>
    <rfmt sheetId="1" sqref="FV32" start="0" length="0">
      <dxf>
        <border outline="0">
          <left/>
          <right/>
        </border>
      </dxf>
    </rfmt>
    <rfmt sheetId="1" sqref="FW32" start="0" length="0">
      <dxf>
        <border outline="0">
          <left/>
          <right/>
        </border>
      </dxf>
    </rfmt>
    <rfmt sheetId="1" sqref="FX32" start="0" length="0">
      <dxf>
        <border outline="0">
          <left/>
          <right/>
        </border>
      </dxf>
    </rfmt>
    <rfmt sheetId="1" sqref="FY32" start="0" length="0">
      <dxf>
        <border outline="0">
          <left/>
          <right/>
        </border>
      </dxf>
    </rfmt>
    <rfmt sheetId="1" sqref="FZ32" start="0" length="0">
      <dxf>
        <border outline="0">
          <left/>
          <right/>
        </border>
      </dxf>
    </rfmt>
    <rfmt sheetId="1" sqref="GA32" start="0" length="0">
      <dxf>
        <border outline="0">
          <left/>
          <right/>
        </border>
      </dxf>
    </rfmt>
    <rfmt sheetId="1" sqref="GB32" start="0" length="0">
      <dxf>
        <border outline="0">
          <left/>
          <right/>
        </border>
      </dxf>
    </rfmt>
    <rfmt sheetId="1" sqref="GC32" start="0" length="0">
      <dxf>
        <border outline="0">
          <left/>
          <right/>
        </border>
      </dxf>
    </rfmt>
    <rfmt sheetId="1" sqref="GD32" start="0" length="0">
      <dxf>
        <border outline="0">
          <left/>
          <right/>
        </border>
      </dxf>
    </rfmt>
    <rfmt sheetId="1" sqref="GE32" start="0" length="0">
      <dxf>
        <border outline="0">
          <left/>
          <right/>
        </border>
      </dxf>
    </rfmt>
    <rfmt sheetId="1" sqref="GF32" start="0" length="0">
      <dxf>
        <border outline="0">
          <left/>
          <right/>
        </border>
      </dxf>
    </rfmt>
    <rfmt sheetId="1" sqref="GG32" start="0" length="0">
      <dxf>
        <border outline="0">
          <left/>
          <right style="medium">
            <color auto="1"/>
          </right>
        </border>
      </dxf>
    </rfmt>
    <rcc rId="0" sId="1" dxf="1">
      <nc r="GH32">
        <v>8.1199999999999992</v>
      </nc>
      <ndxf>
        <border outline="0">
          <left/>
        </border>
      </ndxf>
    </rcc>
    <rcc rId="0" sId="1">
      <nc r="GI32">
        <v>7.64</v>
      </nc>
    </rcc>
    <rcc rId="0" sId="1">
      <nc r="GJ32">
        <v>158.69999999999999</v>
      </nc>
    </rcc>
    <rcc rId="0" sId="1">
      <nc r="GK32">
        <v>-2.6</v>
      </nc>
    </rcc>
    <rcc rId="0" sId="1">
      <nc r="GL32">
        <v>0.15</v>
      </nc>
    </rcc>
    <rcc rId="0" sId="1">
      <nc r="GM32">
        <v>0.18</v>
      </nc>
    </rcc>
    <rcc rId="0" sId="1">
      <nc r="GN32">
        <v>-0.59</v>
      </nc>
    </rcc>
    <rcc rId="0" sId="1">
      <nc r="GO32">
        <v>-0.08</v>
      </nc>
    </rcc>
    <rcc rId="0" sId="1">
      <nc r="GP32">
        <v>513</v>
      </nc>
    </rcc>
    <rcc rId="0" sId="1">
      <nc r="GQ32">
        <v>516</v>
      </nc>
    </rcc>
    <rcc rId="0" sId="1">
      <nc r="GR32">
        <v>565</v>
      </nc>
    </rcc>
    <rcc rId="0" sId="1">
      <nc r="GS32">
        <v>598</v>
      </nc>
    </rcc>
    <rcc rId="0" sId="1">
      <nc r="GT32">
        <v>637</v>
      </nc>
    </rcc>
    <rcc rId="0" sId="1">
      <nc r="GU32">
        <v>552</v>
      </nc>
    </rcc>
    <rcc rId="0" sId="1">
      <nc r="GV32">
        <v>500</v>
      </nc>
    </rcc>
    <rcc rId="0" sId="1">
      <nc r="GW32">
        <v>1.23</v>
      </nc>
    </rcc>
    <rcc rId="0" sId="1">
      <nc r="GX32">
        <v>1.04</v>
      </nc>
    </rcc>
    <rcc rId="0" sId="1">
      <nc r="GY32">
        <v>7.85</v>
      </nc>
    </rcc>
    <rcc rId="0" sId="1">
      <nc r="GZ32">
        <v>7.87</v>
      </nc>
    </rcc>
    <rcc rId="0" sId="1">
      <nc r="HA32">
        <v>7.91</v>
      </nc>
    </rcc>
    <rcc rId="0" sId="1">
      <nc r="HB32">
        <v>7.91</v>
      </nc>
    </rcc>
    <rcc rId="0" sId="1">
      <nc r="HC32">
        <v>8.02</v>
      </nc>
    </rcc>
    <rcc rId="0" sId="1">
      <nc r="HD32">
        <v>8.3000000000000007</v>
      </nc>
    </rcc>
    <rcc rId="0" sId="1">
      <nc r="HE32">
        <v>0</v>
      </nc>
    </rcc>
    <rcc rId="0" sId="1">
      <nc r="HF32">
        <v>1.2</v>
      </nc>
    </rcc>
    <rcc rId="0" sId="1">
      <nc r="HG32">
        <v>6.52</v>
      </nc>
    </rcc>
    <rcc rId="0" sId="1">
      <nc r="HH32">
        <v>6.38</v>
      </nc>
    </rcc>
    <rcc rId="0" sId="1">
      <nc r="HI32">
        <v>6.32</v>
      </nc>
    </rcc>
    <rcc rId="0" sId="1">
      <nc r="HJ32">
        <v>6.46</v>
      </nc>
    </rcc>
    <rcc rId="0" sId="1">
      <nc r="HK32">
        <v>6.84</v>
      </nc>
    </rcc>
    <rcc rId="0" sId="1">
      <nc r="HL32">
        <v>0</v>
      </nc>
    </rcc>
    <rcc rId="0" sId="1">
      <nc r="HM32">
        <v>0</v>
      </nc>
    </rcc>
    <rcc rId="0" sId="1" dxf="1">
      <nc r="HN32">
        <v>1.2</v>
      </nc>
      <ndxf>
        <border outline="0">
          <right style="double">
            <color indexed="64"/>
          </right>
        </border>
      </ndxf>
    </rcc>
    <rfmt sheetId="1" sqref="HO32" start="0" length="0">
      <dxf>
        <border outline="0">
          <left/>
          <right/>
        </border>
      </dxf>
    </rfmt>
    <rfmt sheetId="1" sqref="HP32" start="0" length="0">
      <dxf>
        <border outline="0">
          <left/>
          <right/>
        </border>
      </dxf>
    </rfmt>
    <rfmt sheetId="1" sqref="HQ32" start="0" length="0">
      <dxf>
        <border outline="0">
          <left/>
          <right/>
        </border>
      </dxf>
    </rfmt>
    <rfmt sheetId="1" sqref="HR32" start="0" length="0">
      <dxf>
        <border outline="0">
          <left/>
          <right/>
        </border>
      </dxf>
    </rfmt>
    <rfmt sheetId="1" sqref="HS32" start="0" length="0">
      <dxf>
        <border outline="0">
          <left/>
          <right/>
        </border>
      </dxf>
    </rfmt>
    <rfmt sheetId="1" sqref="HT32" start="0" length="0">
      <dxf>
        <border outline="0">
          <left/>
          <right/>
        </border>
      </dxf>
    </rfmt>
    <rfmt sheetId="1" sqref="HU32" start="0" length="0">
      <dxf>
        <border outline="0">
          <left/>
          <right/>
        </border>
      </dxf>
    </rfmt>
    <rfmt sheetId="1" sqref="HV32" start="0" length="0">
      <dxf>
        <border outline="0">
          <left/>
          <right/>
        </border>
      </dxf>
    </rfmt>
    <rfmt sheetId="1" sqref="HW32" start="0" length="0">
      <dxf>
        <border outline="0">
          <left/>
          <right/>
        </border>
      </dxf>
    </rfmt>
    <rfmt sheetId="1" sqref="HX32" start="0" length="0">
      <dxf>
        <border outline="0">
          <left/>
          <right/>
        </border>
      </dxf>
    </rfmt>
    <rfmt sheetId="1" sqref="HY32" start="0" length="0">
      <dxf>
        <border outline="0">
          <left/>
          <right/>
        </border>
      </dxf>
    </rfmt>
    <rfmt sheetId="1" sqref="HZ32" start="0" length="0">
      <dxf>
        <border outline="0">
          <left/>
          <right/>
        </border>
      </dxf>
    </rfmt>
    <rfmt sheetId="1" sqref="IA32" start="0" length="0">
      <dxf>
        <border outline="0">
          <left/>
          <right/>
        </border>
      </dxf>
    </rfmt>
    <rfmt sheetId="1" sqref="IB32" start="0" length="0">
      <dxf>
        <border outline="0">
          <left/>
          <right/>
        </border>
      </dxf>
    </rfmt>
    <rfmt sheetId="1" sqref="IC32" start="0" length="0">
      <dxf>
        <border outline="0">
          <left/>
          <right style="mediumDashed">
            <color auto="1"/>
          </right>
        </border>
      </dxf>
    </rfmt>
    <rcc rId="0" sId="1" dxf="1">
      <nc r="ID32">
        <f>IF(ISNUMBER(GH32),GH32,IF(ISNUMBER(EL32),EL32,""))</f>
      </nc>
      <ndxf>
        <border outline="0">
          <left/>
        </border>
      </ndxf>
    </rcc>
    <rcc rId="0" sId="1">
      <nc r="IE32">
        <f>IF(ISNUMBER(GI32),GI32,IF(ISNUMBER(EM32),EM32,""))</f>
      </nc>
    </rcc>
    <rcc rId="0" sId="1">
      <nc r="IF32">
        <f>IF(ISNUMBER(GJ32),GJ32,IF(ISNUMBER(EN32),EN32,""))</f>
      </nc>
    </rcc>
    <rcc rId="0" sId="1">
      <nc r="IG32">
        <f>IF(ISNUMBER(GK32),GK32,IF(ISNUMBER(EO32),EO32,""))</f>
      </nc>
    </rcc>
    <rcc rId="0" sId="1">
      <nc r="IH32">
        <f>IF(ISNUMBER(GL32),GL32,IF(ISNUMBER(EP32),EP32,""))</f>
      </nc>
    </rcc>
    <rcc rId="0" sId="1">
      <nc r="II32">
        <f>IF(ISNUMBER(GM32),GM32,IF(ISNUMBER(EQ32),EQ32,""))</f>
      </nc>
    </rcc>
    <rcc rId="0" sId="1">
      <nc r="IJ32">
        <f>IF(ISNUMBER(GN32),GN32,IF(ISNUMBER(ER32),ER32,""))</f>
      </nc>
    </rcc>
    <rcc rId="0" sId="1">
      <nc r="IK32">
        <f>IF(ISNUMBER(GO32),GO32,IF(ISNUMBER(ES32),ES32,""))</f>
      </nc>
    </rcc>
    <rcc rId="0" sId="1">
      <nc r="IL32">
        <f>IF(ISNUMBER(GP32),GP32,IF(ISNUMBER(ET32),ET32,""))</f>
      </nc>
    </rcc>
    <rcc rId="0" sId="1">
      <nc r="IM32">
        <f>IF(ISNUMBER(GQ32),GQ32,IF(ISNUMBER(EU32),EU32,""))</f>
      </nc>
    </rcc>
    <rcc rId="0" sId="1">
      <nc r="IN32">
        <f>IF(ISNUMBER(GR32),GR32,IF(ISNUMBER(EV32),EV32,""))</f>
      </nc>
    </rcc>
    <rcc rId="0" sId="1">
      <nc r="IO32">
        <f>IF(ISNUMBER(GS32),GS32,IF(ISNUMBER(EW32),EW32,""))</f>
      </nc>
    </rcc>
    <rcc rId="0" sId="1">
      <nc r="IP32">
        <f>IF(ISNUMBER(GT32),GT32,IF(ISNUMBER(EX32),EX32,""))</f>
      </nc>
    </rcc>
    <rcc rId="0" sId="1">
      <nc r="IQ32">
        <f>IF(ISNUMBER(GU32),GU32,IF(ISNUMBER(EY32),EY32,""))</f>
      </nc>
    </rcc>
    <rcc rId="0" sId="1">
      <nc r="IR32">
        <f>IF(ISNUMBER(GV32),GV32,IF(ISNUMBER(EZ32),EZ32,""))</f>
      </nc>
    </rcc>
    <rcc rId="0" sId="1">
      <nc r="IS32">
        <f>IF(ISNUMBER(GW32),GW32,IF(ISNUMBER(FA32),FA32,""))</f>
      </nc>
    </rcc>
    <rcc rId="0" sId="1">
      <nc r="IT32">
        <f>IF(ISNUMBER(GX32),GX32,IF(ISNUMBER(FB32),FB32,""))</f>
      </nc>
    </rcc>
    <rcc rId="0" sId="1">
      <nc r="IU32">
        <f>IF(ISNUMBER(GY32),GY32,IF(ISNUMBER(FC32),FC32,""))</f>
      </nc>
    </rcc>
    <rcc rId="0" sId="1">
      <nc r="IV32">
        <f>IF(ISNUMBER(GZ32),GZ32,IF(ISNUMBER(FD32),FD32,""))</f>
      </nc>
    </rcc>
    <rcc rId="0" sId="1">
      <nc r="IW32">
        <f>IF(ISNUMBER(HA32),HA32,IF(ISNUMBER(FE32),FE32,""))</f>
      </nc>
    </rcc>
    <rcc rId="0" sId="1">
      <nc r="IX32">
        <f>IF(ISNUMBER(HB32),HB32,IF(ISNUMBER(FF32),FF32,""))</f>
      </nc>
    </rcc>
    <rcc rId="0" sId="1">
      <nc r="IY32">
        <f>IF(ISNUMBER(HC32),HC32,IF(ISNUMBER(FG32),FG32,""))</f>
      </nc>
    </rcc>
    <rcc rId="0" sId="1">
      <nc r="IZ32">
        <f>IF(ISNUMBER(HD32),HD32,IF(ISNUMBER(FH32),FH32,""))</f>
      </nc>
    </rcc>
    <rcc rId="0" sId="1">
      <nc r="JA32">
        <f>IF(ISNUMBER(HE32),HE32,IF(ISNUMBER(FI32),FI32,""))</f>
      </nc>
    </rcc>
    <rcc rId="0" sId="1">
      <nc r="JB32">
        <f>IF(ISNUMBER(HF32),HF32,IF(ISNUMBER(FJ32),FJ32,""))</f>
      </nc>
    </rcc>
    <rcc rId="0" sId="1">
      <nc r="JC32">
        <f>IF(ISNUMBER(HG32),HG32,IF(ISNUMBER(FK32),FK32,""))</f>
      </nc>
    </rcc>
    <rcc rId="0" sId="1">
      <nc r="JD32">
        <f>IF(ISNUMBER(HH32),HH32,IF(ISNUMBER(FL32),FL32,""))</f>
      </nc>
    </rcc>
    <rcc rId="0" sId="1">
      <nc r="JE32">
        <f>IF(ISNUMBER(HI32),HI32,IF(ISNUMBER(FM32),FM32,""))</f>
      </nc>
    </rcc>
    <rcc rId="0" sId="1">
      <nc r="JF32">
        <f>IF(ISNUMBER(HJ32),HJ32,IF(ISNUMBER(FN32),FN32,""))</f>
      </nc>
    </rcc>
    <rcc rId="0" sId="1">
      <nc r="JG32">
        <f>IF(ISNUMBER(HK32),HK32,IF(ISNUMBER(FO32),FO32,""))</f>
      </nc>
    </rcc>
    <rcc rId="0" sId="1">
      <nc r="JH32">
        <f>IF(ISNUMBER(HL32),HL32,IF(ISNUMBER(FP32),FP32,""))</f>
      </nc>
    </rcc>
    <rcc rId="0" sId="1" dxf="1">
      <nc r="JI32">
        <f>IF(ISNUMBER(HM32),HM32,IF(ISNUMBER(FQ32),FQ32,""))</f>
      </nc>
      <ndxf>
        <border outline="0">
          <right/>
        </border>
      </ndxf>
    </rcc>
    <rcc rId="0" sId="1" dxf="1">
      <nc r="JJ32">
        <f>IF(ISNUMBER(HN32),HN32,IF(ISNUMBER(FR32),FR32,""))</f>
      </nc>
      <ndxf>
        <border outline="0">
          <left/>
          <right/>
        </border>
      </ndxf>
    </rcc>
    <rcc rId="0" sId="1" dxf="1">
      <nc r="JK32">
        <f>IF(ISNUMBER(HO32),HO32,IF(ISNUMBER(FS32),FS32,""))</f>
      </nc>
      <ndxf>
        <border outline="0">
          <left/>
          <right/>
        </border>
      </ndxf>
    </rcc>
    <rcc rId="0" sId="1" dxf="1">
      <nc r="JL32">
        <f>IF(ISNUMBER(HP32),HP32,IF(ISNUMBER(FT32),FT32,""))</f>
      </nc>
      <ndxf>
        <border outline="0">
          <left/>
          <right/>
        </border>
      </ndxf>
    </rcc>
    <rcc rId="0" sId="1" dxf="1">
      <nc r="JM32">
        <f>IF(ISNUMBER(HQ32),HQ32,IF(ISNUMBER(FU32),FU32,""))</f>
      </nc>
      <ndxf>
        <border outline="0">
          <left/>
          <right/>
        </border>
      </ndxf>
    </rcc>
    <rcc rId="0" sId="1" dxf="1">
      <nc r="JN32">
        <f>IF(ISNUMBER(HR32),HR32,IF(ISNUMBER(FV32),FV32,""))</f>
      </nc>
      <ndxf>
        <border outline="0">
          <left/>
          <right/>
        </border>
      </ndxf>
    </rcc>
    <rcc rId="0" sId="1" dxf="1">
      <nc r="JO32">
        <f>IF(ISNUMBER(HS32),HS32,IF(ISNUMBER(FW32),FW32,""))</f>
      </nc>
      <ndxf>
        <border outline="0">
          <left/>
          <right/>
        </border>
      </ndxf>
    </rcc>
    <rcc rId="0" sId="1" dxf="1">
      <nc r="JP32">
        <f>IF(ISNUMBER(HT32),HT32,IF(ISNUMBER(FX32),FX32,""))</f>
      </nc>
      <ndxf>
        <border outline="0">
          <left/>
          <right/>
        </border>
      </ndxf>
    </rcc>
    <rcc rId="0" sId="1" dxf="1">
      <nc r="JQ32">
        <f>IF(ISNUMBER(HU32),HU32,IF(ISNUMBER(FY32),FY32,""))</f>
      </nc>
      <ndxf>
        <border outline="0">
          <left/>
          <right/>
        </border>
      </ndxf>
    </rcc>
    <rcc rId="0" sId="1" dxf="1">
      <nc r="JR32">
        <f>IF(ISNUMBER(HV32),HV32,IF(ISNUMBER(FZ32),FZ32,""))</f>
      </nc>
      <ndxf>
        <border outline="0">
          <left/>
          <right/>
        </border>
      </ndxf>
    </rcc>
    <rcc rId="0" sId="1" dxf="1">
      <nc r="JS32">
        <f>IF(ISNUMBER(HW32),HW32,IF(ISNUMBER(GA32),GA32,""))</f>
      </nc>
      <ndxf>
        <border outline="0">
          <left/>
          <right/>
        </border>
      </ndxf>
    </rcc>
    <rcc rId="0" sId="1" dxf="1">
      <nc r="JT32">
        <f>IF(ISNUMBER(HX32),HX32,IF(ISNUMBER(GB32),GB32,""))</f>
      </nc>
      <ndxf>
        <border outline="0">
          <left/>
          <right/>
        </border>
      </ndxf>
    </rcc>
    <rcc rId="0" sId="1" dxf="1">
      <nc r="JU32">
        <f>IF(ISNUMBER(HY32),HY32,IF(ISNUMBER(GC32),GC32,""))</f>
      </nc>
      <ndxf>
        <border outline="0">
          <left/>
          <right/>
        </border>
      </ndxf>
    </rcc>
    <rcc rId="0" sId="1" dxf="1">
      <nc r="JV32">
        <f>IF(ISNUMBER(HZ32),HZ32,IF(ISNUMBER(GD32),GD32,""))</f>
      </nc>
      <ndxf>
        <border outline="0">
          <left/>
          <right/>
        </border>
      </ndxf>
    </rcc>
    <rcc rId="0" sId="1" dxf="1">
      <nc r="JW32">
        <f>IF(ISNUMBER(IA32),IA32,IF(ISNUMBER(GE32),GE32,""))</f>
      </nc>
      <ndxf>
        <border outline="0">
          <left/>
          <right/>
        </border>
      </ndxf>
    </rcc>
    <rcc rId="0" sId="1" dxf="1">
      <nc r="JX32">
        <f>IF(ISNUMBER(IB32),IB32,IF(ISNUMBER(GF32),GF32,""))</f>
      </nc>
      <ndxf>
        <border outline="0">
          <left/>
          <right/>
        </border>
      </ndxf>
    </rcc>
    <rcc rId="0" sId="1" dxf="1">
      <nc r="JY32">
        <f>IF(ISNUMBER(IC32),IC32,IF(ISNUMBER(GG32),GG32,""))</f>
      </nc>
      <ndxf>
        <border outline="0">
          <left/>
          <right style="mediumDashed">
            <color auto="1"/>
          </right>
        </border>
      </ndxf>
    </rcc>
    <rcc rId="0" sId="1" dxf="1">
      <nc r="JZ32">
        <f>IF(AND(ISNUMBER(ID32),ISNUMBER(CP32)),ID32-CP32,"")</f>
      </nc>
      <ndxf>
        <border outline="0">
          <left/>
        </border>
      </ndxf>
    </rcc>
    <rcc rId="0" sId="1">
      <nc r="KA32">
        <f>IF(AND(ISNUMBER(IE32),ISNUMBER(CQ32)),IE32-CQ32,"")</f>
      </nc>
    </rcc>
    <rcc rId="0" sId="1">
      <nc r="KB32">
        <f>IF(AND(ISNUMBER(IF32),ISNUMBER(CR32)),IF32-CR32,"")</f>
      </nc>
    </rcc>
    <rcc rId="0" sId="1">
      <nc r="KC32">
        <f>IF(AND(ISNUMBER(IG32),ISNUMBER(CS32)),IG32-CS32,"")</f>
      </nc>
    </rcc>
    <rcc rId="0" sId="1">
      <nc r="KD32">
        <f>IF(AND(ISNUMBER(IH32),ISNUMBER(CT32)),IH32-CT32,"")</f>
      </nc>
    </rcc>
    <rcc rId="0" sId="1">
      <nc r="KE32">
        <f>IF(AND(ISNUMBER(II32),ISNUMBER(CU32)),II32-CU32,"")</f>
      </nc>
    </rcc>
    <rcc rId="0" sId="1">
      <nc r="KF32">
        <f>IF(AND(ISNUMBER(IJ32),ISNUMBER(CV32)),IJ32-CV32,"")</f>
      </nc>
    </rcc>
    <rcc rId="0" sId="1">
      <nc r="KG32">
        <f>IF(AND(ISNUMBER(IK32),ISNUMBER(CW32)),IK32-CW32,"")</f>
      </nc>
    </rcc>
    <rcc rId="0" sId="1">
      <nc r="KH32">
        <f>IF(AND(ISNUMBER(IL32),ISNUMBER(CX32)),IL32-CX32,"")</f>
      </nc>
    </rcc>
    <rcc rId="0" sId="1">
      <nc r="KI32">
        <f>IF(AND(ISNUMBER(IM32),ISNUMBER(CY32)),IM32-CY32,"")</f>
      </nc>
    </rcc>
    <rcc rId="0" sId="1">
      <nc r="KJ32">
        <f>IF(AND(ISNUMBER(IN32),ISNUMBER(CZ32)),IN32-CZ32,"")</f>
      </nc>
    </rcc>
    <rcc rId="0" sId="1">
      <nc r="KK32">
        <f>IF(AND(ISNUMBER(IO32),ISNUMBER(DA32)),IO32-DA32,"")</f>
      </nc>
    </rcc>
    <rcc rId="0" sId="1">
      <nc r="KL32">
        <f>IF(AND(ISNUMBER(IP32),ISNUMBER(DB32)),IP32-DB32,"")</f>
      </nc>
    </rcc>
    <rcc rId="0" sId="1">
      <nc r="KM32">
        <f>IF(AND(ISNUMBER(IQ32),ISNUMBER(DC32)),IQ32-DC32,"")</f>
      </nc>
    </rcc>
    <rcc rId="0" sId="1">
      <nc r="KN32">
        <f>IF(AND(ISNUMBER(IR32),ISNUMBER(DD32)),IR32-DD32,"")</f>
      </nc>
    </rcc>
    <rcc rId="0" sId="1">
      <nc r="KO32">
        <f>IF(AND(ISNUMBER(IS32),ISNUMBER(DE32)),IS32-DE32,"")</f>
      </nc>
    </rcc>
    <rcc rId="0" sId="1">
      <nc r="KP32">
        <f>IF(AND(ISNUMBER(IT32),ISNUMBER(DF32)),IT32-DF32,"")</f>
      </nc>
    </rcc>
    <rcc rId="0" sId="1">
      <nc r="KQ32">
        <f>IF(AND(ISNUMBER(IU32),ISNUMBER(DG32)),IU32-DG32,"")</f>
      </nc>
    </rcc>
    <rcc rId="0" sId="1">
      <nc r="KR32">
        <f>IF(AND(ISNUMBER(IV32),ISNUMBER(DH32)),IV32-DH32,"")</f>
      </nc>
    </rcc>
    <rcc rId="0" sId="1">
      <nc r="KS32">
        <f>IF(AND(ISNUMBER(IW32),ISNUMBER(DI32)),IW32-DI32,"")</f>
      </nc>
    </rcc>
    <rcc rId="0" sId="1">
      <nc r="KT32">
        <f>IF(AND(ISNUMBER(IX32),ISNUMBER(DJ32)),IX32-DJ32,"")</f>
      </nc>
    </rcc>
    <rcc rId="0" sId="1">
      <nc r="KU32">
        <f>IF(AND(ISNUMBER(IY32),ISNUMBER(DK32)),IY32-DK32,"")</f>
      </nc>
    </rcc>
    <rcc rId="0" sId="1">
      <nc r="KV32">
        <f>IF(AND(ISNUMBER(IZ32),ISNUMBER(DL32)),IZ32-DL32,"")</f>
      </nc>
    </rcc>
    <rcc rId="0" sId="1">
      <nc r="KW32">
        <f>IF(AND(ISNUMBER(JA32),ISNUMBER(DM32)),JA32-DM32,"")</f>
      </nc>
    </rcc>
    <rcc rId="0" sId="1">
      <nc r="KX32">
        <f>IF(AND(ISNUMBER(JB32),ISNUMBER(DN32)),JB32-DN32,"")</f>
      </nc>
    </rcc>
    <rcc rId="0" sId="1">
      <nc r="KY32">
        <f>IF(AND(ISNUMBER(JC32),ISNUMBER(DO32)),JC32-DO32,"")</f>
      </nc>
    </rcc>
    <rcc rId="0" sId="1">
      <nc r="KZ32">
        <f>IF(AND(ISNUMBER(JD32),ISNUMBER(DP32)),JD32-DP32,"")</f>
      </nc>
    </rcc>
    <rcc rId="0" sId="1">
      <nc r="LA32">
        <f>IF(AND(ISNUMBER(JE32),ISNUMBER(DQ32)),JE32-DQ32,"")</f>
      </nc>
    </rcc>
    <rcc rId="0" sId="1">
      <nc r="LB32">
        <f>IF(AND(ISNUMBER(JF32),ISNUMBER(DR32)),JF32-DR32,"")</f>
      </nc>
    </rcc>
    <rcc rId="0" sId="1">
      <nc r="LC32">
        <f>IF(AND(ISNUMBER(JG32),ISNUMBER(DS32)),JG32-DS32,"")</f>
      </nc>
    </rcc>
    <rcc rId="0" sId="1">
      <nc r="LD32">
        <f>IF(AND(ISNUMBER(JH32),ISNUMBER(DT32)),JH32-DT32,"")</f>
      </nc>
    </rcc>
    <rcc rId="0" sId="1">
      <nc r="LE32">
        <f>IF(AND(ISNUMBER(JI32),ISNUMBER(DU32)),JI32-DU32,"")</f>
      </nc>
    </rcc>
    <rcc rId="0" sId="1">
      <nc r="LF32">
        <f>IF(AND(ISNUMBER(JJ32),ISNUMBER(DV32)),JJ32-DV32,"")</f>
      </nc>
    </rcc>
    <rcc rId="0" sId="1">
      <nc r="LG32">
        <f>IF(AND(ISNUMBER(JK32),ISNUMBER(DW32)),JK32-DW32,"")</f>
      </nc>
    </rcc>
    <rcc rId="0" sId="1">
      <nc r="LH32">
        <f>IF(AND(ISNUMBER(JL32),ISNUMBER(DX32)),JL32-DX32,"")</f>
      </nc>
    </rcc>
    <rcc rId="0" sId="1">
      <nc r="LI32">
        <f>IF(AND(ISNUMBER(JM32),ISNUMBER(DY32)),JM32-DY32,"")</f>
      </nc>
    </rcc>
    <rcc rId="0" sId="1">
      <nc r="LJ32">
        <f>IF(AND(ISNUMBER(JN32),ISNUMBER(DZ32)),JN32-DZ32,"")</f>
      </nc>
    </rcc>
    <rcc rId="0" sId="1">
      <nc r="LK32">
        <f>IF(AND(ISNUMBER(JO32),ISNUMBER(EA32)),JO32-EA32,"")</f>
      </nc>
    </rcc>
    <rcc rId="0" sId="1">
      <nc r="LL32">
        <f>IF(AND(ISNUMBER(JP32),ISNUMBER(EB32)),JP32-EB32,"")</f>
      </nc>
    </rcc>
    <rcc rId="0" sId="1">
      <nc r="LM32">
        <f>IF(AND(ISNUMBER(JQ32),ISNUMBER(EC32)),JQ32-EC32,"")</f>
      </nc>
    </rcc>
    <rcc rId="0" sId="1">
      <nc r="LN32">
        <f>IF(AND(ISNUMBER(JR32),ISNUMBER(ED32)),JR32-ED32,"")</f>
      </nc>
    </rcc>
    <rcc rId="0" sId="1">
      <nc r="LO32">
        <f>IF(AND(ISNUMBER(JS32),ISNUMBER(EE32)),JS32-EE32,"")</f>
      </nc>
    </rcc>
    <rcc rId="0" sId="1">
      <nc r="LP32">
        <f>IF(AND(ISNUMBER(JT32),ISNUMBER(EF32)),JT32-EF32,"")</f>
      </nc>
    </rcc>
    <rcc rId="0" sId="1">
      <nc r="LQ32">
        <f>IF(AND(ISNUMBER(JU32),ISNUMBER(EG32)),JU32-EG32,"")</f>
      </nc>
    </rcc>
    <rcc rId="0" sId="1">
      <nc r="LR32">
        <f>IF(AND(ISNUMBER(JV32),ISNUMBER(EH32)),JV32-EH32,"")</f>
      </nc>
    </rcc>
    <rcc rId="0" sId="1">
      <nc r="LS32">
        <f>IF(AND(ISNUMBER(JW32),ISNUMBER(EI32)),JW32-EI32,"")</f>
      </nc>
    </rcc>
    <rcc rId="0" sId="1">
      <nc r="LT32">
        <f>IF(AND(ISNUMBER(JX32),ISNUMBER(EJ32)),JX32-EJ32,"")</f>
      </nc>
    </rcc>
    <rcc rId="0" sId="1">
      <nc r="LU32">
        <f>IF(AND(ISNUMBER(JY32),ISNUMBER(EK32)),JY32-EK32,"")</f>
      </nc>
    </rcc>
    <rcc rId="0" sId="1">
      <nc r="LV32">
        <f>IF(AND(ISNUMBER(HO32),ISNUMBER(FS32)),HO32-FS32,"")</f>
      </nc>
    </rcc>
    <rcc rId="0" sId="1">
      <nc r="LW32">
        <f>IF(AND(ISNUMBER(HP32),ISNUMBER(FT32)),HP32-FT32,"")</f>
      </nc>
    </rcc>
    <rcc rId="0" sId="1">
      <nc r="LX32">
        <f>IF(AND(ISNUMBER(HT32),ISNUMBER(FX32)),HT32-FX32,"")</f>
      </nc>
    </rcc>
    <rcc rId="0" sId="1">
      <nc r="LY32">
        <f>HU32-FY32</f>
      </nc>
    </rcc>
  </rrc>
  <rrc rId="555" sId="1" ref="CM1:CM1048576" action="insertCol">
    <undo index="0" exp="area" ref3D="1" dr="$CM$1:$CM$1048576" dn="LAST_UDVA_DIST"/>
    <undo index="2" exp="area" ref3D="1" dr="$EL$1:$HN$1048576" dn="Z_9D4EC4DC_E305_42C0_86D3_802895C39393_.wvu.Cols" sId="1"/>
  </rrc>
  <rfmt sheetId="1" sqref="CM1" start="0" length="0">
    <dxf>
      <numFmt numFmtId="1" formatCode="0"/>
    </dxf>
  </rfmt>
  <rcc rId="556" sId="1">
    <nc r="CM1" t="inlineStr">
      <is>
        <t>[Calc] Last CDVA</t>
      </is>
    </nc>
  </rcc>
  <rdn rId="557" name="LAST_CDVA">
    <formula>Data!$CM:$CM</formula>
  </rdn>
  <rfmt sheetId="1" xfDxf="1" sqref="CM2" start="0" length="0">
    <dxf>
      <numFmt numFmtId="166" formatCode="\+#0.00;\-#0.00;0;@"/>
      <alignment horizontal="center" readingOrder="0"/>
    </dxf>
  </rfmt>
  <rfmt sheetId="1" sqref="CM1:CM1048576">
    <dxf>
      <numFmt numFmtId="1" formatCode="0"/>
    </dxf>
  </rfmt>
  <rcc rId="558" sId="1">
    <nc r="CM2">
      <f>IF(ISNUMBER(BCVA_12),BCVA_12,IF(ISNUMBER(BCVA_6),BCVA_6,""))</f>
    </nc>
  </rcc>
  <rcc rId="559" sId="1">
    <nc r="CM3">
      <f>IF(ISNUMBER(BCVA_12),BCVA_12,IF(ISNUMBER(BCVA_6),BCVA_6,""))</f>
    </nc>
  </rcc>
  <rcc rId="560" sId="1">
    <nc r="CM4">
      <f>IF(ISNUMBER(BCVA_12),BCVA_12,IF(ISNUMBER(BCVA_6),BCVA_6,""))</f>
    </nc>
  </rcc>
  <rcc rId="561" sId="1">
    <nc r="CM5">
      <f>IF(ISNUMBER(BCVA_12),BCVA_12,IF(ISNUMBER(BCVA_6),BCVA_6,""))</f>
    </nc>
  </rcc>
  <rcc rId="562" sId="1">
    <nc r="CM6">
      <f>IF(ISNUMBER(BCVA_12),BCVA_12,IF(ISNUMBER(BCVA_6),BCVA_6,""))</f>
    </nc>
  </rcc>
  <rcc rId="563" sId="1">
    <nc r="CM7">
      <f>IF(ISNUMBER(BCVA_12),BCVA_12,IF(ISNUMBER(BCVA_6),BCVA_6,""))</f>
    </nc>
  </rcc>
  <rcc rId="564" sId="1">
    <nc r="CM8">
      <f>IF(ISNUMBER(BCVA_12),BCVA_12,IF(ISNUMBER(BCVA_6),BCVA_6,""))</f>
    </nc>
  </rcc>
  <rcc rId="565" sId="1">
    <nc r="CM9">
      <f>IF(ISNUMBER(BCVA_12),BCVA_12,IF(ISNUMBER(BCVA_6),BCVA_6,""))</f>
    </nc>
  </rcc>
  <rcc rId="566" sId="1">
    <nc r="CM10">
      <f>IF(ISNUMBER(BCVA_12),BCVA_12,IF(ISNUMBER(BCVA_6),BCVA_6,""))</f>
    </nc>
  </rcc>
  <rcc rId="567" sId="1">
    <nc r="CM11">
      <f>IF(ISNUMBER(BCVA_12),BCVA_12,IF(ISNUMBER(BCVA_6),BCVA_6,""))</f>
    </nc>
  </rcc>
  <rcc rId="568" sId="1">
    <nc r="CM12">
      <f>IF(ISNUMBER(BCVA_12),BCVA_12,IF(ISNUMBER(BCVA_6),BCVA_6,""))</f>
    </nc>
  </rcc>
  <rcc rId="569" sId="1">
    <nc r="CM13">
      <f>IF(ISNUMBER(BCVA_12),BCVA_12,IF(ISNUMBER(BCVA_6),BCVA_6,""))</f>
    </nc>
  </rcc>
  <rcc rId="570" sId="1">
    <nc r="CM14">
      <f>IF(ISNUMBER(BCVA_12),BCVA_12,IF(ISNUMBER(BCVA_6),BCVA_6,""))</f>
    </nc>
  </rcc>
  <rcc rId="571" sId="1">
    <nc r="CM15">
      <f>IF(ISNUMBER(BCVA_12),BCVA_12,IF(ISNUMBER(BCVA_6),BCVA_6,""))</f>
    </nc>
  </rcc>
  <rcc rId="572" sId="1">
    <nc r="CM16">
      <f>IF(ISNUMBER(BCVA_12),BCVA_12,IF(ISNUMBER(BCVA_6),BCVA_6,""))</f>
    </nc>
  </rcc>
  <rcc rId="573" sId="1">
    <nc r="CM17">
      <f>IF(ISNUMBER(BCVA_12),BCVA_12,IF(ISNUMBER(BCVA_6),BCVA_6,""))</f>
    </nc>
  </rcc>
  <rcc rId="574" sId="1">
    <nc r="CM18">
      <f>IF(ISNUMBER(BCVA_12),BCVA_12,IF(ISNUMBER(BCVA_6),BCVA_6,""))</f>
    </nc>
  </rcc>
  <rcc rId="575" sId="1">
    <nc r="CM19">
      <f>IF(ISNUMBER(BCVA_12),BCVA_12,IF(ISNUMBER(BCVA_6),BCVA_6,""))</f>
    </nc>
  </rcc>
  <rcc rId="576" sId="1">
    <nc r="CM20">
      <f>IF(ISNUMBER(BCVA_12),BCVA_12,IF(ISNUMBER(BCVA_6),BCVA_6,""))</f>
    </nc>
  </rcc>
  <rcc rId="577" sId="1">
    <nc r="CM21">
      <f>IF(ISNUMBER(BCVA_12),BCVA_12,IF(ISNUMBER(BCVA_6),BCVA_6,""))</f>
    </nc>
  </rcc>
  <rcc rId="578" sId="1">
    <nc r="CM22">
      <f>IF(ISNUMBER(BCVA_12),BCVA_12,IF(ISNUMBER(BCVA_6),BCVA_6,""))</f>
    </nc>
  </rcc>
  <rcc rId="579" sId="1">
    <nc r="CM23">
      <f>IF(ISNUMBER(BCVA_12),BCVA_12,IF(ISNUMBER(BCVA_6),BCVA_6,""))</f>
    </nc>
  </rcc>
  <rcc rId="580" sId="1">
    <nc r="CM24">
      <f>IF(ISNUMBER(BCVA_12),BCVA_12,IF(ISNUMBER(BCVA_6),BCVA_6,""))</f>
    </nc>
  </rcc>
  <rcc rId="581" sId="1">
    <nc r="CM25">
      <f>IF(ISNUMBER(BCVA_12),BCVA_12,IF(ISNUMBER(BCVA_6),BCVA_6,""))</f>
    </nc>
  </rcc>
  <rcc rId="582" sId="1">
    <nc r="CM26">
      <f>IF(ISNUMBER(BCVA_12),BCVA_12,IF(ISNUMBER(BCVA_6),BCVA_6,""))</f>
    </nc>
  </rcc>
  <rcc rId="583" sId="1">
    <nc r="CM27">
      <f>IF(ISNUMBER(BCVA_12),BCVA_12,IF(ISNUMBER(BCVA_6),BCVA_6,""))</f>
    </nc>
  </rcc>
  <rcc rId="584" sId="1">
    <nc r="CM28">
      <f>IF(ISNUMBER(BCVA_12),BCVA_12,IF(ISNUMBER(BCVA_6),BCVA_6,""))</f>
    </nc>
  </rcc>
  <rcc rId="585" sId="1">
    <nc r="CM29">
      <f>IF(ISNUMBER(BCVA_12),BCVA_12,IF(ISNUMBER(BCVA_6),BCVA_6,""))</f>
    </nc>
  </rcc>
  <rcc rId="586" sId="1">
    <nc r="CM30">
      <f>IF(ISNUMBER(BCVA_12),BCVA_12,IF(ISNUMBER(BCVA_6),BCVA_6,""))</f>
    </nc>
  </rcc>
  <rcc rId="587" sId="1">
    <nc r="CM31">
      <f>IF(ISNUMBER(BCVA_12),BCVA_12,IF(ISNUMBER(BCVA_6),BCVA_6,""))</f>
    </nc>
  </rcc>
  <rcc rId="588" sId="1">
    <nc r="CM32">
      <f>IF(ISNUMBER(BCVA_12),BCVA_12,IF(ISNUMBER(BCVA_6),BCVA_6,""))</f>
    </nc>
  </rcc>
  <rcc rId="589" sId="1">
    <nc r="CM33">
      <f>IF(ISNUMBER(BCVA_12),BCVA_12,IF(ISNUMBER(BCVA_6),BCVA_6,""))</f>
    </nc>
  </rcc>
  <rcc rId="590" sId="1">
    <nc r="CM34">
      <f>IF(ISNUMBER(BCVA_12),BCVA_12,IF(ISNUMBER(BCVA_6),BCVA_6,""))</f>
    </nc>
  </rcc>
  <rcc rId="591" sId="1">
    <nc r="CM35">
      <f>IF(ISNUMBER(BCVA_12),BCVA_12,IF(ISNUMBER(BCVA_6),BCVA_6,""))</f>
    </nc>
  </rcc>
  <rcc rId="592" sId="1">
    <nc r="CM36">
      <f>IF(ISNUMBER(BCVA_12),BCVA_12,IF(ISNUMBER(BCVA_6),BCVA_6,""))</f>
    </nc>
  </rcc>
  <rcc rId="593" sId="1">
    <nc r="CM37">
      <f>IF(ISNUMBER(BCVA_12),BCVA_12,IF(ISNUMBER(BCVA_6),BCVA_6,""))</f>
    </nc>
  </rcc>
  <rcc rId="594" sId="1">
    <nc r="CM38">
      <f>IF(ISNUMBER(BCVA_12),BCVA_12,IF(ISNUMBER(BCVA_6),BCVA_6,""))</f>
    </nc>
  </rcc>
  <rcc rId="595" sId="1">
    <nc r="CM39">
      <f>IF(ISNUMBER(BCVA_12),BCVA_12,IF(ISNUMBER(BCVA_6),BCVA_6,""))</f>
    </nc>
  </rcc>
  <rcc rId="596" sId="1">
    <nc r="CM40">
      <f>IF(ISNUMBER(BCVA_12),BCVA_12,IF(ISNUMBER(BCVA_6),BCVA_6,""))</f>
    </nc>
  </rcc>
  <rcc rId="597" sId="1">
    <nc r="CM41">
      <f>IF(ISNUMBER(BCVA_12),BCVA_12,IF(ISNUMBER(BCVA_6),BCVA_6,""))</f>
    </nc>
  </rcc>
  <rcc rId="598" sId="1">
    <nc r="CM42">
      <f>IF(ISNUMBER(BCVA_12),BCVA_12,IF(ISNUMBER(BCVA_6),BCVA_6,""))</f>
    </nc>
  </rcc>
  <rcc rId="599" sId="1">
    <nc r="CM43">
      <f>IF(ISNUMBER(BCVA_12),BCVA_12,IF(ISNUMBER(BCVA_6),BCVA_6,""))</f>
    </nc>
  </rcc>
  <rcc rId="600" sId="1">
    <nc r="CM44">
      <f>IF(ISNUMBER(BCVA_12),BCVA_12,IF(ISNUMBER(BCVA_6),BCVA_6,""))</f>
    </nc>
  </rcc>
  <rcc rId="601" sId="1">
    <nc r="CM45">
      <f>IF(ISNUMBER(BCVA_12),BCVA_12,IF(ISNUMBER(BCVA_6),BCVA_6,""))</f>
    </nc>
  </rcc>
  <rcc rId="602" sId="1">
    <nc r="CM46">
      <f>IF(ISNUMBER(BCVA_12),BCVA_12,IF(ISNUMBER(BCVA_6),BCVA_6,""))</f>
    </nc>
  </rcc>
  <rcc rId="603" sId="1">
    <nc r="CM47">
      <f>IF(ISNUMBER(BCVA_12),BCVA_12,IF(ISNUMBER(BCVA_6),BCVA_6,""))</f>
    </nc>
  </rcc>
  <rcc rId="604" sId="1">
    <nc r="CM48">
      <f>IF(ISNUMBER(BCVA_12),BCVA_12,IF(ISNUMBER(BCVA_6),BCVA_6,""))</f>
    </nc>
  </rcc>
  <rcc rId="605" sId="1">
    <nc r="CM49">
      <f>IF(ISNUMBER(BCVA_12),BCVA_12,IF(ISNUMBER(BCVA_6),BCVA_6,""))</f>
    </nc>
  </rcc>
  <rcc rId="606" sId="1">
    <nc r="CM50">
      <f>IF(ISNUMBER(BCVA_12),BCVA_12,IF(ISNUMBER(BCVA_6),BCVA_6,""))</f>
    </nc>
  </rcc>
  <rcc rId="607" sId="1">
    <nc r="CM51">
      <f>IF(ISNUMBER(BCVA_12),BCVA_12,IF(ISNUMBER(BCVA_6),BCVA_6,""))</f>
    </nc>
  </rcc>
  <rcc rId="608" sId="1">
    <nc r="CM52">
      <f>IF(ISNUMBER(BCVA_12),BCVA_12,IF(ISNUMBER(BCVA_6),BCVA_6,""))</f>
    </nc>
  </rcc>
  <rcc rId="609" sId="1">
    <nc r="CM53">
      <f>IF(ISNUMBER(BCVA_12),BCVA_12,IF(ISNUMBER(BCVA_6),BCVA_6,""))</f>
    </nc>
  </rcc>
  <rcc rId="610" sId="1">
    <nc r="CM54">
      <f>IF(ISNUMBER(BCVA_12),BCVA_12,IF(ISNUMBER(BCVA_6),BCVA_6,""))</f>
    </nc>
  </rcc>
  <rcc rId="611" sId="1">
    <nc r="CM55">
      <f>IF(ISNUMBER(BCVA_12),BCVA_12,IF(ISNUMBER(BCVA_6),BCVA_6,""))</f>
    </nc>
  </rcc>
  <rcc rId="612" sId="1">
    <nc r="CM56">
      <f>IF(ISNUMBER(BCVA_12),BCVA_12,IF(ISNUMBER(BCVA_6),BCVA_6,""))</f>
    </nc>
  </rcc>
  <rcc rId="613" sId="1">
    <nc r="CM57">
      <f>IF(ISNUMBER(BCVA_12),BCVA_12,IF(ISNUMBER(BCVA_6),BCVA_6,""))</f>
    </nc>
  </rcc>
  <rcc rId="614" sId="1">
    <nc r="CM58">
      <f>IF(ISNUMBER(BCVA_12),BCVA_12,IF(ISNUMBER(BCVA_6),BCVA_6,""))</f>
    </nc>
  </rcc>
  <rcc rId="615" sId="1">
    <nc r="CM59">
      <f>IF(ISNUMBER(BCVA_12),BCVA_12,IF(ISNUMBER(BCVA_6),BCVA_6,""))</f>
    </nc>
  </rcc>
  <rcc rId="616" sId="1">
    <nc r="CM60">
      <f>IF(ISNUMBER(BCVA_12),BCVA_12,IF(ISNUMBER(BCVA_6),BCVA_6,""))</f>
    </nc>
  </rcc>
  <rcc rId="617" sId="1">
    <nc r="CM61">
      <f>IF(ISNUMBER(BCVA_12),BCVA_12,IF(ISNUMBER(BCVA_6),BCVA_6,""))</f>
    </nc>
  </rcc>
  <rcc rId="618" sId="1">
    <nc r="CM62">
      <f>IF(ISNUMBER(BCVA_12),BCVA_12,IF(ISNUMBER(BCVA_6),BCVA_6,""))</f>
    </nc>
  </rcc>
  <rcc rId="619" sId="1">
    <nc r="CM63">
      <f>IF(ISNUMBER(BCVA_12),BCVA_12,IF(ISNUMBER(BCVA_6),BCVA_6,""))</f>
    </nc>
  </rcc>
  <rcc rId="620" sId="1">
    <nc r="CM64">
      <f>IF(ISNUMBER(BCVA_12),BCVA_12,IF(ISNUMBER(BCVA_6),BCVA_6,""))</f>
    </nc>
  </rcc>
  <rcc rId="621" sId="1">
    <nc r="CM65">
      <f>IF(ISNUMBER(BCVA_12),BCVA_12,IF(ISNUMBER(BCVA_6),BCVA_6,""))</f>
    </nc>
  </rcc>
  <rcc rId="622" sId="1">
    <nc r="CM66">
      <f>IF(ISNUMBER(BCVA_12),BCVA_12,IF(ISNUMBER(BCVA_6),BCVA_6,""))</f>
    </nc>
  </rcc>
  <rcc rId="623" sId="1">
    <nc r="CM67">
      <f>IF(ISNUMBER(BCVA_12),BCVA_12,IF(ISNUMBER(BCVA_6),BCVA_6,""))</f>
    </nc>
  </rcc>
  <rcc rId="624" sId="1">
    <nc r="CM68">
      <f>IF(ISNUMBER(BCVA_12),BCVA_12,IF(ISNUMBER(BCVA_6),BCVA_6,""))</f>
    </nc>
  </rcc>
  <rcc rId="625" sId="1">
    <nc r="CM69">
      <f>IF(ISNUMBER(BCVA_12),BCVA_12,IF(ISNUMBER(BCVA_6),BCVA_6,""))</f>
    </nc>
  </rcc>
  <rcc rId="626" sId="1">
    <nc r="CM70">
      <f>IF(ISNUMBER(BCVA_12),BCVA_12,IF(ISNUMBER(BCVA_6),BCVA_6,""))</f>
    </nc>
  </rcc>
  <rcc rId="627" sId="1">
    <nc r="CM71">
      <f>IF(ISNUMBER(BCVA_12),BCVA_12,IF(ISNUMBER(BCVA_6),BCVA_6,""))</f>
    </nc>
  </rcc>
  <rcc rId="628" sId="1">
    <nc r="CM72">
      <f>IF(ISNUMBER(BCVA_12),BCVA_12,IF(ISNUMBER(BCVA_6),BCVA_6,""))</f>
    </nc>
  </rcc>
  <rcc rId="629" sId="1">
    <nc r="CM73">
      <f>IF(ISNUMBER(BCVA_12),BCVA_12,IF(ISNUMBER(BCVA_6),BCVA_6,""))</f>
    </nc>
  </rcc>
  <rcc rId="630" sId="1">
    <nc r="CM74">
      <f>IF(ISNUMBER(BCVA_12),BCVA_12,IF(ISNUMBER(BCVA_6),BCVA_6,""))</f>
    </nc>
  </rcc>
  <rcc rId="631" sId="1">
    <nc r="CM75">
      <f>IF(ISNUMBER(BCVA_12),BCVA_12,IF(ISNUMBER(BCVA_6),BCVA_6,""))</f>
    </nc>
  </rcc>
  <rcc rId="632" sId="1">
    <nc r="CM76">
      <f>IF(ISNUMBER(BCVA_12),BCVA_12,IF(ISNUMBER(BCVA_6),BCVA_6,""))</f>
    </nc>
  </rcc>
  <rcc rId="633" sId="1">
    <nc r="CM77">
      <f>IF(ISNUMBER(BCVA_12),BCVA_12,IF(ISNUMBER(BCVA_6),BCVA_6,""))</f>
    </nc>
  </rcc>
  <rcc rId="634" sId="1">
    <nc r="CM78">
      <f>IF(ISNUMBER(BCVA_12),BCVA_12,IF(ISNUMBER(BCVA_6),BCVA_6,""))</f>
    </nc>
  </rcc>
  <rcc rId="635" sId="1">
    <nc r="CM79">
      <f>IF(ISNUMBER(BCVA_12),BCVA_12,IF(ISNUMBER(BCVA_6),BCVA_6,""))</f>
    </nc>
  </rcc>
  <rcc rId="636" sId="1">
    <nc r="CM80">
      <f>IF(ISNUMBER(BCVA_12),BCVA_12,IF(ISNUMBER(BCVA_6),BCVA_6,""))</f>
    </nc>
  </rcc>
  <rcc rId="637" sId="1">
    <nc r="CM81">
      <f>IF(ISNUMBER(BCVA_12),BCVA_12,IF(ISNUMBER(BCVA_6),BCVA_6,""))</f>
    </nc>
  </rcc>
  <rcc rId="638" sId="1">
    <nc r="CM82">
      <f>IF(ISNUMBER(BCVA_12),BCVA_12,IF(ISNUMBER(BCVA_6),BCVA_6,""))</f>
    </nc>
  </rcc>
  <rcc rId="639" sId="1">
    <nc r="CM83">
      <f>IF(ISNUMBER(BCVA_12),BCVA_12,IF(ISNUMBER(BCVA_6),BCVA_6,""))</f>
    </nc>
  </rcc>
  <rcc rId="640" sId="1">
    <nc r="CM84">
      <f>IF(ISNUMBER(BCVA_12),BCVA_12,IF(ISNUMBER(BCVA_6),BCVA_6,""))</f>
    </nc>
  </rcc>
  <rcc rId="641" sId="1">
    <nc r="CM85">
      <f>IF(ISNUMBER(BCVA_12),BCVA_12,IF(ISNUMBER(BCVA_6),BCVA_6,""))</f>
    </nc>
  </rcc>
  <rcc rId="642" sId="1">
    <nc r="CM86">
      <f>IF(ISNUMBER(BCVA_12),BCVA_12,IF(ISNUMBER(BCVA_6),BCVA_6,""))</f>
    </nc>
  </rcc>
  <rcc rId="643" sId="1">
    <nc r="CM87">
      <f>IF(ISNUMBER(BCVA_12),BCVA_12,IF(ISNUMBER(BCVA_6),BCVA_6,""))</f>
    </nc>
  </rcc>
  <rcc rId="644" sId="1">
    <nc r="CM88">
      <f>IF(ISNUMBER(BCVA_12),BCVA_12,IF(ISNUMBER(BCVA_6),BCVA_6,""))</f>
    </nc>
  </rcc>
  <rcc rId="645" sId="1">
    <nc r="CM89">
      <f>IF(ISNUMBER(BCVA_12),BCVA_12,IF(ISNUMBER(BCVA_6),BCVA_6,""))</f>
    </nc>
  </rcc>
  <rcc rId="646" sId="1">
    <nc r="CM90">
      <f>IF(ISNUMBER(BCVA_12),BCVA_12,IF(ISNUMBER(BCVA_6),BCVA_6,""))</f>
    </nc>
  </rcc>
  <rcc rId="647" sId="1">
    <nc r="CM91">
      <f>IF(ISNUMBER(BCVA_12),BCVA_12,IF(ISNUMBER(BCVA_6),BCVA_6,""))</f>
    </nc>
  </rcc>
  <rcc rId="648" sId="1">
    <nc r="CM92">
      <f>IF(ISNUMBER(BCVA_12),BCVA_12,IF(ISNUMBER(BCVA_6),BCVA_6,""))</f>
    </nc>
  </rcc>
  <rcc rId="649" sId="1">
    <nc r="CM93">
      <f>IF(ISNUMBER(BCVA_12),BCVA_12,IF(ISNUMBER(BCVA_6),BCVA_6,""))</f>
    </nc>
  </rcc>
  <rcc rId="650" sId="1">
    <nc r="CM94">
      <f>IF(ISNUMBER(BCVA_12),BCVA_12,IF(ISNUMBER(BCVA_6),BCVA_6,""))</f>
    </nc>
  </rcc>
  <rcc rId="651" sId="1">
    <nc r="CM95">
      <f>IF(ISNUMBER(BCVA_12),BCVA_12,IF(ISNUMBER(BCVA_6),BCVA_6,""))</f>
    </nc>
  </rcc>
  <rcc rId="652" sId="1">
    <nc r="CM96">
      <f>IF(ISNUMBER(BCVA_12),BCVA_12,IF(ISNUMBER(BCVA_6),BCVA_6,""))</f>
    </nc>
  </rcc>
  <rcc rId="653" sId="1">
    <nc r="CM97">
      <f>IF(ISNUMBER(BCVA_12),BCVA_12,IF(ISNUMBER(BCVA_6),BCVA_6,""))</f>
    </nc>
  </rcc>
  <rcc rId="654" sId="1">
    <nc r="CM98">
      <f>IF(ISNUMBER(BCVA_12),BCVA_12,IF(ISNUMBER(BCVA_6),BCVA_6,""))</f>
    </nc>
  </rcc>
  <rcc rId="655" sId="1">
    <nc r="CM99">
      <f>IF(ISNUMBER(BCVA_12),BCVA_12,IF(ISNUMBER(BCVA_6),BCVA_6,""))</f>
    </nc>
  </rcc>
  <rcc rId="656" sId="1">
    <nc r="CM100">
      <f>IF(ISNUMBER(BCVA_12),BCVA_12,IF(ISNUMBER(BCVA_6),BCVA_6,""))</f>
    </nc>
  </rcc>
  <rcc rId="657" sId="1">
    <nc r="CM101">
      <f>IF(ISNUMBER(BCVA_12),BCVA_12,IF(ISNUMBER(BCVA_6),BCVA_6,""))</f>
    </nc>
  </rcc>
  <rcc rId="658" sId="1">
    <nc r="CM102">
      <f>IF(ISNUMBER(BCVA_12),BCVA_12,IF(ISNUMBER(BCVA_6),BCVA_6,""))</f>
    </nc>
  </rcc>
  <rcc rId="659" sId="1">
    <nc r="CM103">
      <f>IF(ISNUMBER(BCVA_12),BCVA_12,IF(ISNUMBER(BCVA_6),BCVA_6,""))</f>
    </nc>
  </rcc>
  <rcc rId="660" sId="1">
    <nc r="CM104">
      <f>IF(ISNUMBER(BCVA_12),BCVA_12,IF(ISNUMBER(BCVA_6),BCVA_6,""))</f>
    </nc>
  </rcc>
  <rcc rId="661" sId="1">
    <nc r="CM105">
      <f>IF(ISNUMBER(BCVA_12),BCVA_12,IF(ISNUMBER(BCVA_6),BCVA_6,""))</f>
    </nc>
  </rcc>
  <rcc rId="662" sId="1">
    <nc r="CM106">
      <f>IF(ISNUMBER(BCVA_12),BCVA_12,IF(ISNUMBER(BCVA_6),BCVA_6,""))</f>
    </nc>
  </rcc>
  <rcc rId="663" sId="1">
    <nc r="CM107">
      <f>IF(ISNUMBER(BCVA_12),BCVA_12,IF(ISNUMBER(BCVA_6),BCVA_6,""))</f>
    </nc>
  </rcc>
  <rcc rId="664" sId="1">
    <nc r="CM108">
      <f>IF(ISNUMBER(BCVA_12),BCVA_12,IF(ISNUMBER(BCVA_6),BCVA_6,""))</f>
    </nc>
  </rcc>
  <rcc rId="665" sId="1">
    <nc r="CM109">
      <f>IF(ISNUMBER(BCVA_12),BCVA_12,IF(ISNUMBER(BCVA_6),BCVA_6,""))</f>
    </nc>
  </rcc>
  <rcc rId="666" sId="1">
    <nc r="CM110">
      <f>IF(ISNUMBER(BCVA_12),BCVA_12,IF(ISNUMBER(BCVA_6),BCVA_6,""))</f>
    </nc>
  </rcc>
  <rcc rId="667" sId="1">
    <nc r="CM111">
      <f>IF(ISNUMBER(BCVA_12),BCVA_12,IF(ISNUMBER(BCVA_6),BCVA_6,""))</f>
    </nc>
  </rcc>
  <rcc rId="668" sId="1">
    <nc r="CM112">
      <f>IF(ISNUMBER(BCVA_12),BCVA_12,IF(ISNUMBER(BCVA_6),BCVA_6,""))</f>
    </nc>
  </rcc>
  <rcc rId="669" sId="1">
    <nc r="CM113">
      <f>IF(ISNUMBER(BCVA_12),BCVA_12,IF(ISNUMBER(BCVA_6),BCVA_6,""))</f>
    </nc>
  </rcc>
  <rcc rId="670" sId="1">
    <nc r="CM114">
      <f>IF(ISNUMBER(BCVA_12),BCVA_12,IF(ISNUMBER(BCVA_6),BCVA_6,""))</f>
    </nc>
  </rcc>
  <rcc rId="671" sId="1">
    <nc r="CM115">
      <f>IF(ISNUMBER(BCVA_12),BCVA_12,IF(ISNUMBER(BCVA_6),BCVA_6,""))</f>
    </nc>
  </rcc>
  <rcc rId="672" sId="1">
    <nc r="CM116">
      <f>IF(ISNUMBER(BCVA_12),BCVA_12,IF(ISNUMBER(BCVA_6),BCVA_6,""))</f>
    </nc>
  </rcc>
  <rcc rId="673" sId="1">
    <nc r="CM117">
      <f>IF(ISNUMBER(BCVA_12),BCVA_12,IF(ISNUMBER(BCVA_6),BCVA_6,""))</f>
    </nc>
  </rcc>
  <rcc rId="674" sId="1">
    <nc r="CM118">
      <f>IF(ISNUMBER(BCVA_12),BCVA_12,IF(ISNUMBER(BCVA_6),BCVA_6,""))</f>
    </nc>
  </rcc>
  <rcc rId="675" sId="1">
    <nc r="CM119">
      <f>IF(ISNUMBER(BCVA_12),BCVA_12,IF(ISNUMBER(BCVA_6),BCVA_6,""))</f>
    </nc>
  </rcc>
  <rcc rId="676" sId="1">
    <nc r="CM120">
      <f>IF(ISNUMBER(BCVA_12),BCVA_12,IF(ISNUMBER(BCVA_6),BCVA_6,""))</f>
    </nc>
  </rcc>
  <rcc rId="677" sId="1">
    <nc r="CM121">
      <f>IF(ISNUMBER(BCVA_12),BCVA_12,IF(ISNUMBER(BCVA_6),BCVA_6,""))</f>
    </nc>
  </rcc>
  <rcc rId="678" sId="1">
    <nc r="CM122">
      <f>IF(ISNUMBER(BCVA_12),BCVA_12,IF(ISNUMBER(BCVA_6),BCVA_6,""))</f>
    </nc>
  </rcc>
  <rcc rId="679" sId="1">
    <nc r="CM123">
      <f>IF(ISNUMBER(BCVA_12),BCVA_12,IF(ISNUMBER(BCVA_6),BCVA_6,""))</f>
    </nc>
  </rcc>
  <rcc rId="680" sId="1">
    <nc r="CM124">
      <f>IF(ISNUMBER(BCVA_12),BCVA_12,IF(ISNUMBER(BCVA_6),BCVA_6,""))</f>
    </nc>
  </rcc>
  <rcc rId="681" sId="1">
    <nc r="CM125">
      <f>IF(ISNUMBER(BCVA_12),BCVA_12,IF(ISNUMBER(BCVA_6),BCVA_6,""))</f>
    </nc>
  </rcc>
  <rcc rId="682" sId="1">
    <nc r="CM126">
      <f>IF(ISNUMBER(BCVA_12),BCVA_12,IF(ISNUMBER(BCVA_6),BCVA_6,""))</f>
    </nc>
  </rcc>
  <rcc rId="683" sId="1">
    <nc r="CM127">
      <f>IF(ISNUMBER(BCVA_12),BCVA_12,IF(ISNUMBER(BCVA_6),BCVA_6,""))</f>
    </nc>
  </rcc>
  <rcc rId="684" sId="1">
    <nc r="CM128">
      <f>IF(ISNUMBER(BCVA_12),BCVA_12,IF(ISNUMBER(BCVA_6),BCVA_6,""))</f>
    </nc>
  </rcc>
  <rcc rId="685" sId="1">
    <nc r="CM129">
      <f>IF(ISNUMBER(BCVA_12),BCVA_12,IF(ISNUMBER(BCVA_6),BCVA_6,""))</f>
    </nc>
  </rcc>
  <rcc rId="686" sId="1" odxf="1" dxf="1">
    <nc r="J53" t="inlineStr">
      <is>
        <t>Fuch's, ABMD, amblyopia</t>
      </is>
    </nc>
    <odxf>
      <font>
        <sz val="10"/>
        <color auto="1"/>
        <name val="Arial"/>
        <scheme val="none"/>
      </font>
    </odxf>
    <ndxf>
      <font>
        <sz val="10"/>
        <color auto="1"/>
        <name val="Arial"/>
        <scheme val="none"/>
      </font>
    </ndxf>
  </rcc>
  <rrc rId="687" sId="1" ref="CJ1:CJ1048576" action="insertCol">
    <undo index="0" exp="area" ref3D="1" dr="$CM$1:$CM$1048576" dn="LAST_CDVA"/>
    <undo index="0" exp="area" ref3D="1" dr="$CK$1:$CK$1048576" dn="CYL_LAST"/>
    <undo index="0" exp="area" ref3D="1" dr="$CN$1:$CN$1048576" dn="LAST_UDVA_DIST"/>
    <undo index="2" exp="area" ref3D="1" dr="$EM$1:$HO$1048576" dn="Z_9D4EC4DC_E305_42C0_86D3_802895C39393_.wvu.Cols" sId="1"/>
  </rrc>
  <rfmt sheetId="1" xfDxf="1" sqref="CJ1" start="0" length="0">
    <dxf>
      <font>
        <b/>
      </font>
      <alignment horizontal="center" wrapText="1" readingOrder="0"/>
    </dxf>
  </rfmt>
  <rcc rId="688" sId="1">
    <nc r="CJ1" t="inlineStr">
      <is>
        <t>[Calc] Target Refraction if SE Error known</t>
      </is>
    </nc>
  </rcc>
  <rdn rId="689" name="LAST_SE_ERROR">
    <formula>Data!$CG:$CG</formula>
  </rdn>
  <rcc rId="690" sId="1">
    <nc r="CJ2">
      <f>IF(ISNUMBER(LAST_SE_ERROR),REF_TARGET,"")</f>
    </nc>
  </rcc>
  <rcc rId="691" sId="1">
    <nc r="CJ3">
      <f>IF(ISNUMBER(LAST_SE_ERROR),REF_TARGET,"")</f>
    </nc>
  </rcc>
  <rcc rId="692" sId="1">
    <nc r="CJ4">
      <f>IF(ISNUMBER(LAST_SE_ERROR),REF_TARGET,"")</f>
    </nc>
  </rcc>
  <rcc rId="693" sId="1">
    <nc r="CJ5">
      <f>IF(ISNUMBER(LAST_SE_ERROR),REF_TARGET,"")</f>
    </nc>
  </rcc>
  <rcc rId="694" sId="1">
    <nc r="CJ6">
      <f>IF(ISNUMBER(LAST_SE_ERROR),REF_TARGET,"")</f>
    </nc>
  </rcc>
  <rcc rId="695" sId="1">
    <nc r="CJ7">
      <f>IF(ISNUMBER(LAST_SE_ERROR),REF_TARGET,"")</f>
    </nc>
  </rcc>
  <rcc rId="696" sId="1">
    <nc r="CJ8">
      <f>IF(ISNUMBER(LAST_SE_ERROR),REF_TARGET,"")</f>
    </nc>
  </rcc>
  <rcc rId="697" sId="1">
    <nc r="CJ9">
      <f>IF(ISNUMBER(LAST_SE_ERROR),REF_TARGET,"")</f>
    </nc>
  </rcc>
  <rcc rId="698" sId="1">
    <nc r="CJ10">
      <f>IF(ISNUMBER(LAST_SE_ERROR),REF_TARGET,"")</f>
    </nc>
  </rcc>
  <rcc rId="699" sId="1">
    <nc r="CJ11">
      <f>IF(ISNUMBER(LAST_SE_ERROR),REF_TARGET,"")</f>
    </nc>
  </rcc>
  <rcc rId="700" sId="1">
    <nc r="CJ12">
      <f>IF(ISNUMBER(LAST_SE_ERROR),REF_TARGET,"")</f>
    </nc>
  </rcc>
  <rcc rId="701" sId="1">
    <nc r="CJ13">
      <f>IF(ISNUMBER(LAST_SE_ERROR),REF_TARGET,"")</f>
    </nc>
  </rcc>
  <rcc rId="702" sId="1">
    <nc r="CJ14">
      <f>IF(ISNUMBER(LAST_SE_ERROR),REF_TARGET,"")</f>
    </nc>
  </rcc>
  <rcc rId="703" sId="1">
    <nc r="CJ15">
      <f>IF(ISNUMBER(LAST_SE_ERROR),REF_TARGET,"")</f>
    </nc>
  </rcc>
  <rcc rId="704" sId="1">
    <nc r="CJ16">
      <f>IF(ISNUMBER(LAST_SE_ERROR),REF_TARGET,"")</f>
    </nc>
  </rcc>
  <rcc rId="705" sId="1">
    <nc r="CJ17">
      <f>IF(ISNUMBER(LAST_SE_ERROR),REF_TARGET,"")</f>
    </nc>
  </rcc>
  <rcc rId="706" sId="1">
    <nc r="CJ18">
      <f>IF(ISNUMBER(LAST_SE_ERROR),REF_TARGET,"")</f>
    </nc>
  </rcc>
  <rcc rId="707" sId="1">
    <nc r="CJ19">
      <f>IF(ISNUMBER(LAST_SE_ERROR),REF_TARGET,"")</f>
    </nc>
  </rcc>
  <rcc rId="708" sId="1">
    <nc r="CJ20">
      <f>IF(ISNUMBER(LAST_SE_ERROR),REF_TARGET,"")</f>
    </nc>
  </rcc>
  <rcc rId="709" sId="1">
    <nc r="CJ21">
      <f>IF(ISNUMBER(LAST_SE_ERROR),REF_TARGET,"")</f>
    </nc>
  </rcc>
  <rcc rId="710" sId="1">
    <nc r="CJ22">
      <f>IF(ISNUMBER(LAST_SE_ERROR),REF_TARGET,"")</f>
    </nc>
  </rcc>
  <rcc rId="711" sId="1">
    <nc r="CJ23">
      <f>IF(ISNUMBER(LAST_SE_ERROR),REF_TARGET,"")</f>
    </nc>
  </rcc>
  <rcc rId="712" sId="1">
    <nc r="CJ24">
      <f>IF(ISNUMBER(LAST_SE_ERROR),REF_TARGET,"")</f>
    </nc>
  </rcc>
  <rcc rId="713" sId="1">
    <nc r="CJ25">
      <f>IF(ISNUMBER(LAST_SE_ERROR),REF_TARGET,"")</f>
    </nc>
  </rcc>
  <rcc rId="714" sId="1">
    <nc r="CJ26">
      <f>IF(ISNUMBER(LAST_SE_ERROR),REF_TARGET,"")</f>
    </nc>
  </rcc>
  <rcc rId="715" sId="1">
    <nc r="CJ27">
      <f>IF(ISNUMBER(LAST_SE_ERROR),REF_TARGET,"")</f>
    </nc>
  </rcc>
  <rcc rId="716" sId="1">
    <nc r="CJ28">
      <f>IF(ISNUMBER(LAST_SE_ERROR),REF_TARGET,"")</f>
    </nc>
  </rcc>
  <rcc rId="717" sId="1">
    <nc r="CJ29">
      <f>IF(ISNUMBER(LAST_SE_ERROR),REF_TARGET,"")</f>
    </nc>
  </rcc>
  <rcc rId="718" sId="1">
    <nc r="CJ30">
      <f>IF(ISNUMBER(LAST_SE_ERROR),REF_TARGET,"")</f>
    </nc>
  </rcc>
  <rcc rId="719" sId="1">
    <nc r="CJ31">
      <f>IF(ISNUMBER(LAST_SE_ERROR),REF_TARGET,"")</f>
    </nc>
  </rcc>
  <rcc rId="720" sId="1">
    <nc r="CJ32">
      <f>IF(ISNUMBER(LAST_SE_ERROR),REF_TARGET,"")</f>
    </nc>
  </rcc>
  <rcc rId="721" sId="1">
    <nc r="CJ33">
      <f>IF(ISNUMBER(LAST_SE_ERROR),REF_TARGET,"")</f>
    </nc>
  </rcc>
  <rcc rId="722" sId="1">
    <nc r="CJ34">
      <f>IF(ISNUMBER(LAST_SE_ERROR),REF_TARGET,"")</f>
    </nc>
  </rcc>
  <rcc rId="723" sId="1">
    <nc r="CJ35">
      <f>IF(ISNUMBER(LAST_SE_ERROR),REF_TARGET,"")</f>
    </nc>
  </rcc>
  <rcc rId="724" sId="1">
    <nc r="CJ36">
      <f>IF(ISNUMBER(LAST_SE_ERROR),REF_TARGET,"")</f>
    </nc>
  </rcc>
  <rcc rId="725" sId="1">
    <nc r="CJ37">
      <f>IF(ISNUMBER(LAST_SE_ERROR),REF_TARGET,"")</f>
    </nc>
  </rcc>
  <rcc rId="726" sId="1">
    <nc r="CJ38">
      <f>IF(ISNUMBER(LAST_SE_ERROR),REF_TARGET,"")</f>
    </nc>
  </rcc>
  <rcc rId="727" sId="1" odxf="1" dxf="1">
    <nc r="CJ39">
      <f>IF(ISNUMBER(LAST_SE_ERROR),REF_TARGET,"")</f>
    </nc>
    <odxf>
      <font>
        <b/>
      </font>
    </odxf>
    <ndxf>
      <font>
        <b val="0"/>
        <sz val="10"/>
        <color auto="1"/>
        <name val="Arial"/>
        <scheme val="none"/>
      </font>
    </ndxf>
  </rcc>
  <rcc rId="728" sId="1">
    <nc r="CJ40">
      <f>IF(ISNUMBER(LAST_SE_ERROR),REF_TARGET,"")</f>
    </nc>
  </rcc>
  <rcc rId="729" sId="1">
    <nc r="CJ41">
      <f>IF(ISNUMBER(LAST_SE_ERROR),REF_TARGET,"")</f>
    </nc>
  </rcc>
  <rcc rId="730" sId="1">
    <nc r="CJ42">
      <f>IF(ISNUMBER(LAST_SE_ERROR),REF_TARGET,"")</f>
    </nc>
  </rcc>
  <rcc rId="731" sId="1">
    <nc r="CJ43">
      <f>IF(ISNUMBER(LAST_SE_ERROR),REF_TARGET,"")</f>
    </nc>
  </rcc>
  <rcc rId="732" sId="1">
    <nc r="CJ44">
      <f>IF(ISNUMBER(LAST_SE_ERROR),REF_TARGET,"")</f>
    </nc>
  </rcc>
  <rcc rId="733" sId="1">
    <nc r="CJ45">
      <f>IF(ISNUMBER(LAST_SE_ERROR),REF_TARGET,"")</f>
    </nc>
  </rcc>
  <rcc rId="734" sId="1">
    <nc r="CJ46">
      <f>IF(ISNUMBER(LAST_SE_ERROR),REF_TARGET,"")</f>
    </nc>
  </rcc>
  <rcc rId="735" sId="1">
    <nc r="CJ47">
      <f>IF(ISNUMBER(LAST_SE_ERROR),REF_TARGET,"")</f>
    </nc>
  </rcc>
  <rcc rId="736" sId="1">
    <nc r="CJ48">
      <f>IF(ISNUMBER(LAST_SE_ERROR),REF_TARGET,"")</f>
    </nc>
  </rcc>
  <rcc rId="737" sId="1">
    <nc r="CJ49">
      <f>IF(ISNUMBER(LAST_SE_ERROR),REF_TARGET,"")</f>
    </nc>
  </rcc>
  <rcc rId="738" sId="1">
    <nc r="CJ50">
      <f>IF(ISNUMBER(LAST_SE_ERROR),REF_TARGET,"")</f>
    </nc>
  </rcc>
  <rcc rId="739" sId="1">
    <nc r="CJ51">
      <f>IF(ISNUMBER(LAST_SE_ERROR),REF_TARGET,"")</f>
    </nc>
  </rcc>
  <rcc rId="740" sId="1">
    <nc r="CJ52">
      <f>IF(ISNUMBER(LAST_SE_ERROR),REF_TARGET,"")</f>
    </nc>
  </rcc>
  <rcc rId="741" sId="1">
    <nc r="CJ53">
      <f>IF(ISNUMBER(LAST_SE_ERROR),REF_TARGET,"")</f>
    </nc>
  </rcc>
  <rcc rId="742" sId="1">
    <nc r="CJ54">
      <f>IF(ISNUMBER(LAST_SE_ERROR),REF_TARGET,"")</f>
    </nc>
  </rcc>
  <rcc rId="743" sId="1">
    <nc r="CJ55">
      <f>IF(ISNUMBER(LAST_SE_ERROR),REF_TARGET,"")</f>
    </nc>
  </rcc>
  <rcc rId="744" sId="1">
    <nc r="CJ56">
      <f>IF(ISNUMBER(LAST_SE_ERROR),REF_TARGET,"")</f>
    </nc>
  </rcc>
  <rcc rId="745" sId="1">
    <nc r="CJ57">
      <f>IF(ISNUMBER(LAST_SE_ERROR),REF_TARGET,"")</f>
    </nc>
  </rcc>
  <rcc rId="746" sId="1">
    <nc r="CJ58">
      <f>IF(ISNUMBER(LAST_SE_ERROR),REF_TARGET,"")</f>
    </nc>
  </rcc>
  <rcc rId="747" sId="1">
    <nc r="CJ59">
      <f>IF(ISNUMBER(LAST_SE_ERROR),REF_TARGET,"")</f>
    </nc>
  </rcc>
  <rcc rId="748" sId="1">
    <nc r="CJ60">
      <f>IF(ISNUMBER(LAST_SE_ERROR),REF_TARGET,"")</f>
    </nc>
  </rcc>
  <rcc rId="749" sId="1">
    <nc r="CJ61">
      <f>IF(ISNUMBER(LAST_SE_ERROR),REF_TARGET,"")</f>
    </nc>
  </rcc>
  <rcc rId="750" sId="1">
    <nc r="CJ62">
      <f>IF(ISNUMBER(LAST_SE_ERROR),REF_TARGET,"")</f>
    </nc>
  </rcc>
  <rcc rId="751" sId="1">
    <nc r="CJ63">
      <f>IF(ISNUMBER(LAST_SE_ERROR),REF_TARGET,"")</f>
    </nc>
  </rcc>
  <rcc rId="752" sId="1">
    <nc r="CJ64">
      <f>IF(ISNUMBER(LAST_SE_ERROR),REF_TARGET,"")</f>
    </nc>
  </rcc>
  <rcc rId="753" sId="1">
    <nc r="CJ65">
      <f>IF(ISNUMBER(LAST_SE_ERROR),REF_TARGET,"")</f>
    </nc>
  </rcc>
  <rcc rId="754" sId="1">
    <nc r="CJ66">
      <f>IF(ISNUMBER(LAST_SE_ERROR),REF_TARGET,"")</f>
    </nc>
  </rcc>
  <rcc rId="755" sId="1">
    <nc r="CJ67">
      <f>IF(ISNUMBER(LAST_SE_ERROR),REF_TARGET,"")</f>
    </nc>
  </rcc>
  <rcc rId="756" sId="1">
    <nc r="CJ68">
      <f>IF(ISNUMBER(LAST_SE_ERROR),REF_TARGET,"")</f>
    </nc>
  </rcc>
  <rcc rId="757" sId="1">
    <nc r="CJ69">
      <f>IF(ISNUMBER(LAST_SE_ERROR),REF_TARGET,"")</f>
    </nc>
  </rcc>
  <rcc rId="758" sId="1">
    <nc r="CJ70">
      <f>IF(ISNUMBER(LAST_SE_ERROR),REF_TARGET,"")</f>
    </nc>
  </rcc>
  <rcc rId="759" sId="1">
    <nc r="CJ71">
      <f>IF(ISNUMBER(LAST_SE_ERROR),REF_TARGET,"")</f>
    </nc>
  </rcc>
  <rcc rId="760" sId="1">
    <nc r="CJ72">
      <f>IF(ISNUMBER(LAST_SE_ERROR),REF_TARGET,"")</f>
    </nc>
  </rcc>
  <rcc rId="761" sId="1">
    <nc r="CJ73">
      <f>IF(ISNUMBER(LAST_SE_ERROR),REF_TARGET,"")</f>
    </nc>
  </rcc>
  <rcc rId="762" sId="1">
    <nc r="CJ74">
      <f>IF(ISNUMBER(LAST_SE_ERROR),REF_TARGET,"")</f>
    </nc>
  </rcc>
  <rcc rId="763" sId="1">
    <nc r="CJ75">
      <f>IF(ISNUMBER(LAST_SE_ERROR),REF_TARGET,"")</f>
    </nc>
  </rcc>
  <rcc rId="764" sId="1">
    <nc r="CJ76">
      <f>IF(ISNUMBER(LAST_SE_ERROR),REF_TARGET,"")</f>
    </nc>
  </rcc>
  <rcc rId="765" sId="1">
    <nc r="CJ77">
      <f>IF(ISNUMBER(LAST_SE_ERROR),REF_TARGET,"")</f>
    </nc>
  </rcc>
  <rcc rId="766" sId="1">
    <nc r="CJ78">
      <f>IF(ISNUMBER(LAST_SE_ERROR),REF_TARGET,"")</f>
    </nc>
  </rcc>
  <rcc rId="767" sId="1">
    <nc r="CJ79">
      <f>IF(ISNUMBER(LAST_SE_ERROR),REF_TARGET,"")</f>
    </nc>
  </rcc>
  <rcc rId="768" sId="1">
    <nc r="CJ80">
      <f>IF(ISNUMBER(LAST_SE_ERROR),REF_TARGET,"")</f>
    </nc>
  </rcc>
  <rcc rId="769" sId="1">
    <nc r="CJ81">
      <f>IF(ISNUMBER(LAST_SE_ERROR),REF_TARGET,"")</f>
    </nc>
  </rcc>
  <rcc rId="770" sId="1">
    <nc r="CJ82">
      <f>IF(ISNUMBER(LAST_SE_ERROR),REF_TARGET,"")</f>
    </nc>
  </rcc>
  <rcc rId="771" sId="1">
    <nc r="CJ83">
      <f>IF(ISNUMBER(LAST_SE_ERROR),REF_TARGET,"")</f>
    </nc>
  </rcc>
  <rcc rId="772" sId="1">
    <nc r="CJ84">
      <f>IF(ISNUMBER(LAST_SE_ERROR),REF_TARGET,"")</f>
    </nc>
  </rcc>
  <rcc rId="773" sId="1">
    <nc r="CJ85">
      <f>IF(ISNUMBER(LAST_SE_ERROR),REF_TARGET,"")</f>
    </nc>
  </rcc>
  <rcc rId="774" sId="1">
    <nc r="CJ86">
      <f>IF(ISNUMBER(LAST_SE_ERROR),REF_TARGET,"")</f>
    </nc>
  </rcc>
  <rcc rId="775" sId="1">
    <nc r="CJ87">
      <f>IF(ISNUMBER(LAST_SE_ERROR),REF_TARGET,"")</f>
    </nc>
  </rcc>
  <rcc rId="776" sId="1">
    <nc r="CJ88">
      <f>IF(ISNUMBER(LAST_SE_ERROR),REF_TARGET,"")</f>
    </nc>
  </rcc>
  <rcc rId="777" sId="1">
    <nc r="CJ89">
      <f>IF(ISNUMBER(LAST_SE_ERROR),REF_TARGET,"")</f>
    </nc>
  </rcc>
  <rcc rId="778" sId="1">
    <nc r="CJ90">
      <f>IF(ISNUMBER(LAST_SE_ERROR),REF_TARGET,"")</f>
    </nc>
  </rcc>
  <rcc rId="779" sId="1">
    <nc r="CJ91">
      <f>IF(ISNUMBER(LAST_SE_ERROR),REF_TARGET,"")</f>
    </nc>
  </rcc>
  <rcc rId="780" sId="1">
    <nc r="CJ92">
      <f>IF(ISNUMBER(LAST_SE_ERROR),REF_TARGET,"")</f>
    </nc>
  </rcc>
  <rcc rId="781" sId="1">
    <nc r="CJ93">
      <f>IF(ISNUMBER(LAST_SE_ERROR),REF_TARGET,"")</f>
    </nc>
  </rcc>
  <rcc rId="782" sId="1">
    <nc r="CJ94">
      <f>IF(ISNUMBER(LAST_SE_ERROR),REF_TARGET,"")</f>
    </nc>
  </rcc>
  <rcc rId="783" sId="1">
    <nc r="CJ95">
      <f>IF(ISNUMBER(LAST_SE_ERROR),REF_TARGET,"")</f>
    </nc>
  </rcc>
  <rcc rId="784" sId="1">
    <nc r="CJ96">
      <f>IF(ISNUMBER(LAST_SE_ERROR),REF_TARGET,"")</f>
    </nc>
  </rcc>
  <rcc rId="785" sId="1">
    <nc r="CJ97">
      <f>IF(ISNUMBER(LAST_SE_ERROR),REF_TARGET,"")</f>
    </nc>
  </rcc>
  <rcc rId="786" sId="1">
    <nc r="CJ98">
      <f>IF(ISNUMBER(LAST_SE_ERROR),REF_TARGET,"")</f>
    </nc>
  </rcc>
  <rcc rId="787" sId="1">
    <nc r="CJ99">
      <f>IF(ISNUMBER(LAST_SE_ERROR),REF_TARGET,"")</f>
    </nc>
  </rcc>
  <rcc rId="788" sId="1">
    <nc r="CJ100">
      <f>IF(ISNUMBER(LAST_SE_ERROR),REF_TARGET,"")</f>
    </nc>
  </rcc>
  <rcc rId="789" sId="1">
    <nc r="CJ101">
      <f>IF(ISNUMBER(LAST_SE_ERROR),REF_TARGET,"")</f>
    </nc>
  </rcc>
  <rcc rId="790" sId="1">
    <nc r="CJ102">
      <f>IF(ISNUMBER(LAST_SE_ERROR),REF_TARGET,"")</f>
    </nc>
  </rcc>
  <rcc rId="791" sId="1">
    <nc r="CJ103">
      <f>IF(ISNUMBER(LAST_SE_ERROR),REF_TARGET,"")</f>
    </nc>
  </rcc>
  <rcc rId="792" sId="1">
    <nc r="CJ104">
      <f>IF(ISNUMBER(LAST_SE_ERROR),REF_TARGET,"")</f>
    </nc>
  </rcc>
  <rcc rId="793" sId="1">
    <nc r="CJ105">
      <f>IF(ISNUMBER(LAST_SE_ERROR),REF_TARGET,"")</f>
    </nc>
  </rcc>
  <rcc rId="794" sId="1">
    <nc r="CJ106">
      <f>IF(ISNUMBER(LAST_SE_ERROR),REF_TARGET,"")</f>
    </nc>
  </rcc>
  <rcc rId="795" sId="1">
    <nc r="CJ107">
      <f>IF(ISNUMBER(LAST_SE_ERROR),REF_TARGET,"")</f>
    </nc>
  </rcc>
  <rcc rId="796" sId="1">
    <nc r="CJ108">
      <f>IF(ISNUMBER(LAST_SE_ERROR),REF_TARGET,"")</f>
    </nc>
  </rcc>
  <rcc rId="797" sId="1">
    <nc r="CJ109">
      <f>IF(ISNUMBER(LAST_SE_ERROR),REF_TARGET,"")</f>
    </nc>
  </rcc>
  <rcc rId="798" sId="1">
    <nc r="CJ110">
      <f>IF(ISNUMBER(LAST_SE_ERROR),REF_TARGET,"")</f>
    </nc>
  </rcc>
  <rcc rId="799" sId="1">
    <nc r="CJ111">
      <f>IF(ISNUMBER(LAST_SE_ERROR),REF_TARGET,"")</f>
    </nc>
  </rcc>
  <rcc rId="800" sId="1">
    <nc r="CJ112">
      <f>IF(ISNUMBER(LAST_SE_ERROR),REF_TARGET,"")</f>
    </nc>
  </rcc>
  <rcc rId="801" sId="1">
    <nc r="CJ113">
      <f>IF(ISNUMBER(LAST_SE_ERROR),REF_TARGET,"")</f>
    </nc>
  </rcc>
  <rcc rId="802" sId="1">
    <nc r="CJ114">
      <f>IF(ISNUMBER(LAST_SE_ERROR),REF_TARGET,"")</f>
    </nc>
  </rcc>
  <rcc rId="803" sId="1">
    <nc r="CJ115">
      <f>IF(ISNUMBER(LAST_SE_ERROR),REF_TARGET,"")</f>
    </nc>
  </rcc>
  <rcc rId="804" sId="1">
    <nc r="CJ116">
      <f>IF(ISNUMBER(LAST_SE_ERROR),REF_TARGET,"")</f>
    </nc>
  </rcc>
  <rcc rId="805" sId="1">
    <nc r="CJ117">
      <f>IF(ISNUMBER(LAST_SE_ERROR),REF_TARGET,"")</f>
    </nc>
  </rcc>
  <rcc rId="806" sId="1">
    <nc r="CJ118">
      <f>IF(ISNUMBER(LAST_SE_ERROR),REF_TARGET,"")</f>
    </nc>
  </rcc>
  <rcc rId="807" sId="1">
    <nc r="CJ119">
      <f>IF(ISNUMBER(LAST_SE_ERROR),REF_TARGET,"")</f>
    </nc>
  </rcc>
  <rcc rId="808" sId="1">
    <nc r="CJ120">
      <f>IF(ISNUMBER(LAST_SE_ERROR),REF_TARGET,"")</f>
    </nc>
  </rcc>
  <rcc rId="809" sId="1">
    <nc r="CJ121">
      <f>IF(ISNUMBER(LAST_SE_ERROR),REF_TARGET,"")</f>
    </nc>
  </rcc>
  <rcc rId="810" sId="1">
    <nc r="CJ122">
      <f>IF(ISNUMBER(LAST_SE_ERROR),REF_TARGET,"")</f>
    </nc>
  </rcc>
  <rcc rId="811" sId="1">
    <nc r="CJ123">
      <f>IF(ISNUMBER(LAST_SE_ERROR),REF_TARGET,"")</f>
    </nc>
  </rcc>
  <rcc rId="812" sId="1">
    <nc r="CJ124">
      <f>IF(ISNUMBER(LAST_SE_ERROR),REF_TARGET,"")</f>
    </nc>
  </rcc>
  <rcc rId="813" sId="1">
    <nc r="CJ125">
      <f>IF(ISNUMBER(LAST_SE_ERROR),REF_TARGET,"")</f>
    </nc>
  </rcc>
  <rcc rId="814" sId="1">
    <nc r="CJ126">
      <f>IF(ISNUMBER(LAST_SE_ERROR),REF_TARGET,"")</f>
    </nc>
  </rcc>
  <rcc rId="815" sId="1">
    <nc r="CJ127">
      <f>IF(ISNUMBER(LAST_SE_ERROR),REF_TARGET,"")</f>
    </nc>
  </rcc>
  <rcc rId="816" sId="1">
    <nc r="CJ128">
      <f>IF(ISNUMBER(LAST_SE_ERROR),REF_TARGET,"")</f>
    </nc>
  </rcc>
  <rcc rId="817" sId="1">
    <nc r="CJ129">
      <f>IF(ISNUMBER(LAST_SE_ERROR),REF_TARGET,"")</f>
    </nc>
  </rcc>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818" sId="1" ref="A16:XFD16" action="insertRow">
    <undo index="2" exp="area" ref3D="1" dr="$EN$1:$HP$1048576" dn="Z_9D4EC4DC_E305_42C0_86D3_802895C39393_.wvu.Cols" sId="1"/>
    <undo index="1" exp="area" ref3D="1" dr="$CH$1:$CI$1048576" dn="Z_9D4EC4DC_E305_42C0_86D3_802895C39393_.wvu.Cols" sId="1"/>
    <undo index="4" exp="area" ref3D="1" dr="$CH$1:$CI$1048576" dn="Z_54C114DD_C157_4E30_91DC_9B94C55E8054_.wvu.Cols" sId="1"/>
    <undo index="2" exp="area" ref3D="1" dr="$E$1:$H$1048576" dn="Z_54C114DD_C157_4E30_91DC_9B94C55E8054_.wvu.Cols" sId="1"/>
    <undo index="1" exp="area" ref3D="1" dr="$A$1:$C$1048576" dn="Z_54C114DD_C157_4E30_91DC_9B94C55E8054_.wvu.Cols" sId="1"/>
    <undo index="0" exp="area" ref3D="1" dr="$AK$1:$AK$1048576" dn="UDVA_6"/>
    <undo index="0" exp="area" ref3D="1" dr="$BC$1:$BC$1048576" dn="UDVA_12"/>
    <undo index="0" exp="area" ref3D="1" dr="$T$1:$T$1048576" dn="SPH_PREOP"/>
    <undo index="0" exp="area" ref3D="1" dr="$BV$1:$BV$1048576" dn="SE_preop_IF_6_12"/>
    <undo index="0" exp="area" ref3D="1" dr="$CE$1:$CE$1048576" dn="SE_PREOP"/>
    <undo index="0" exp="area" ref3D="1" dr="$CF$1:$CF$1048576" dn="SE_LAST_"/>
    <undo index="0" exp="area" ref3D="1" dr="$BR$1:$BR$1048576" dn="SE_ERROR_12"/>
    <undo index="0" exp="area" ref3D="1" dr="$BW$1:$BW$1048576" dn="SE_6_IF_6_12"/>
    <undo index="0" exp="area" ref3D="1" dr="$AY$1:$AY$1048576" dn="SE_6"/>
    <undo index="0" exp="area" ref3D="1" dr="$BX$1:$BX$1048576" dn="SE_12_IF_6_12"/>
    <undo index="0" exp="area" ref3D="1" dr="$BQ$1:$BQ$1048576" dn="SE_12"/>
    <undo index="0" exp="area" ref3D="1" dr="$Q$1:$Q$1048576" dn="REF_TARGET"/>
    <undo index="0" exp="area" ref3D="1" dr="$W$1:$W$1048576" dn="PREOP_BCVA"/>
    <undo index="0" exp="area" ref3D="1" dr="$S$1:$S$1048576" dn="PREOP"/>
    <undo index="0" exp="area" ref3D="1" dr="$CO$1:$CO$1048576" dn="LAST_UDVA_DIST"/>
    <undo index="0" exp="area" ref3D="1" dr="$CG$1:$CG$1048576" dn="LAST_SE_ERROR"/>
    <undo index="0" exp="area" ref3D="1" dr="$CN$1:$CN$1048576" dn="LAST_CDVA"/>
    <undo index="0" exp="area" ref3D="1" dr="$BM$1:$BM$1048576" dn="K1_12"/>
    <undo index="0" exp="area" ref3D="1" dr="$BU$1:$BU$1048576" dn="FU_6_AND_12"/>
    <undo index="0" exp="area" ref3D="1" dr="$U$1:$U$1048576" dn="CYL_PREOP"/>
    <undo index="0" exp="area" ref3D="1" dr="$CL$1:$CL$1048576" dn="CYL_LAST"/>
    <undo index="0" exp="area" ref3D="1" dr="$W$1:$W$1048576" dn="BCVA_PREOP"/>
    <undo index="0" exp="area" ref3D="1" dr="$AO$1:$AO$1048576" dn="BCVA_6"/>
    <undo index="0" exp="area" ref3D="1" dr="$BG$1:$BG$1048576" dn="BCVA_12"/>
  </rrc>
  <rcc rId="819" sId="1" numFmtId="19">
    <nc r="A16">
      <v>41199</v>
    </nc>
  </rcc>
  <rcc rId="820" sId="1" odxf="1" dxf="1">
    <nc r="B16" t="inlineStr">
      <is>
        <t>Suzanna</t>
      </is>
    </nc>
    <odxf>
      <font>
        <sz val="10"/>
        <color auto="1"/>
        <name val="Arial"/>
        <scheme val="none"/>
      </font>
    </odxf>
    <ndxf>
      <font>
        <sz val="10"/>
        <color auto="1"/>
        <name val="Arial"/>
        <scheme val="none"/>
      </font>
    </ndxf>
  </rcc>
  <rcc rId="821" sId="1" odxf="1" dxf="1">
    <nc r="C16" t="inlineStr">
      <is>
        <t>Jamison</t>
      </is>
    </nc>
    <odxf>
      <font>
        <sz val="10"/>
        <color auto="1"/>
        <name val="Arial"/>
        <scheme val="none"/>
      </font>
    </odxf>
    <ndxf>
      <font>
        <sz val="10"/>
        <color auto="1"/>
        <name val="Arial"/>
        <scheme val="none"/>
      </font>
    </ndxf>
  </rcc>
  <rcc rId="822" sId="1">
    <nc r="D16" t="inlineStr">
      <is>
        <t>OD</t>
      </is>
    </nc>
  </rcc>
  <rcc rId="823" sId="1">
    <nc r="E16">
      <v>51</v>
    </nc>
  </rcc>
  <rcc rId="824" sId="1" numFmtId="19">
    <nc r="F16">
      <v>22916</v>
    </nc>
  </rcc>
  <rcc rId="825" sId="1" odxf="1" dxf="1">
    <nc r="G16" t="inlineStr">
      <is>
        <t>W</t>
      </is>
    </nc>
    <odxf>
      <font>
        <sz val="10"/>
        <color auto="1"/>
        <name val="Arial"/>
        <scheme val="none"/>
      </font>
    </odxf>
    <ndxf>
      <font>
        <sz val="10"/>
        <color auto="1"/>
        <name val="Arial"/>
        <scheme val="none"/>
      </font>
    </ndxf>
  </rcc>
  <rcc rId="826" sId="1" odxf="1" dxf="1">
    <nc r="H16" t="inlineStr">
      <is>
        <t>F</t>
      </is>
    </nc>
    <odxf>
      <font>
        <sz val="10"/>
        <color auto="1"/>
        <name val="Arial"/>
        <scheme val="none"/>
      </font>
    </odxf>
    <ndxf>
      <font>
        <sz val="10"/>
        <color auto="1"/>
        <name val="Arial"/>
        <scheme val="none"/>
      </font>
    </ndxf>
  </rcc>
  <rcc rId="827" sId="1">
    <nc r="I16">
      <v>1828985</v>
    </nc>
  </rcc>
  <rcc rId="828" sId="1" numFmtId="19">
    <nc r="BB16">
      <v>41661</v>
    </nc>
  </rcc>
  <rcc rId="829" sId="1" numFmtId="4">
    <nc r="BC16">
      <v>25</v>
    </nc>
  </rcc>
  <rcc rId="830" sId="1" numFmtId="4">
    <nc r="BD16">
      <v>1</v>
    </nc>
  </rcc>
  <rcc rId="831" sId="1" numFmtId="4">
    <nc r="BE16">
      <v>-0.75</v>
    </nc>
  </rcc>
  <rcc rId="832" sId="1">
    <nc r="BQ16">
      <f>IF(ISNUMBER(BD16),BD16+0.5*BE16,"")</f>
    </nc>
  </rcc>
  <rcc rId="833" sId="1">
    <nc r="BF16">
      <v>150</v>
    </nc>
  </rcc>
  <rcc rId="834" sId="1">
    <nc r="BG16">
      <v>25</v>
    </nc>
  </rcc>
  <rcc rId="835" sId="1">
    <nc r="BH16">
      <v>10</v>
    </nc>
  </rcc>
  <rcc rId="836" sId="1">
    <nc r="BI16">
      <v>513</v>
    </nc>
  </rcc>
  <rcc rId="837" sId="1">
    <nc r="BK16">
      <v>24.71</v>
    </nc>
  </rcc>
  <rcc rId="838" sId="1">
    <nc r="BL16">
      <v>2.4500000000000002</v>
    </nc>
  </rcc>
  <rcc rId="839" sId="1">
    <nc r="BM16">
      <v>41.72</v>
    </nc>
  </rcc>
  <rcc rId="840" sId="1">
    <nc r="BN16">
      <v>152</v>
    </nc>
  </rcc>
  <rcc rId="841" sId="1">
    <nc r="BO16">
      <v>43.89</v>
    </nc>
  </rcc>
  <rcc rId="842" sId="1">
    <nc r="BP16">
      <v>62</v>
    </nc>
  </rcc>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843" name="REF_TARGET_IF_SE_KNOWN">
    <formula>Data!$CJ:$CJ</formula>
  </rdn>
  <rdn rId="844" name="LAST_CHANGE_CDVA">
    <formula>Data!$CK:$CK</formula>
  </rdn>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54C114DD-C157-4E30-91DC-9B94C55E8054}" action="delete"/>
  <rdn rId="0" localSheetId="1" customView="1" name="Z_54C114DD_C157_4E30_91DC_9B94C55E8054_.wvu.Cols" hidden="1" oldHidden="1">
    <formula>Data!$A:$C,Data!$CH:$CI</formula>
    <oldFormula>Data!$A:$C,Data!$E:$H,Data!$CH:$CI</oldFormula>
  </rdn>
  <rcv guid="{54C114DD-C157-4E30-91DC-9B94C55E8054}"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46" sId="2" odxf="1" dxf="1">
    <oc r="BC3" t="inlineStr">
      <is>
        <t>NOT DONE?</t>
      </is>
    </oc>
    <nc r="BC3">
      <v>24.71</v>
    </nc>
    <odxf>
      <font/>
      <fill>
        <patternFill patternType="solid">
          <bgColor indexed="22"/>
        </patternFill>
      </fill>
    </odxf>
    <ndxf>
      <font>
        <sz val="10"/>
        <color auto="1"/>
        <name val="Arial"/>
        <scheme val="none"/>
      </font>
      <fill>
        <patternFill patternType="none">
          <bgColor indexed="65"/>
        </patternFill>
      </fill>
    </ndxf>
  </rcc>
  <rcc rId="847" sId="2" odxf="1" dxf="1">
    <nc r="BD3">
      <v>2.4500000000000002</v>
    </nc>
    <odxf>
      <font/>
      <fill>
        <patternFill patternType="solid">
          <bgColor indexed="22"/>
        </patternFill>
      </fill>
    </odxf>
    <ndxf>
      <font>
        <sz val="10"/>
        <color auto="1"/>
        <name val="Arial"/>
        <scheme val="none"/>
      </font>
      <fill>
        <patternFill patternType="none">
          <bgColor indexed="65"/>
        </patternFill>
      </fill>
    </ndxf>
  </rcc>
  <rcc rId="848" sId="2" odxf="1" dxf="1">
    <nc r="BE3">
      <v>41.72</v>
    </nc>
    <odxf>
      <font/>
      <fill>
        <patternFill patternType="solid">
          <bgColor indexed="22"/>
        </patternFill>
      </fill>
    </odxf>
    <ndxf>
      <font>
        <sz val="10"/>
        <color auto="1"/>
        <name val="Arial"/>
        <scheme val="none"/>
      </font>
      <fill>
        <patternFill patternType="none">
          <bgColor indexed="65"/>
        </patternFill>
      </fill>
    </ndxf>
  </rcc>
  <rcc rId="849" sId="2" odxf="1" dxf="1">
    <nc r="BF3">
      <v>152</v>
    </nc>
    <odxf>
      <font/>
      <fill>
        <patternFill patternType="solid">
          <bgColor indexed="22"/>
        </patternFill>
      </fill>
    </odxf>
    <ndxf>
      <font>
        <sz val="10"/>
        <color auto="1"/>
        <name val="Arial"/>
        <scheme val="none"/>
      </font>
      <fill>
        <patternFill patternType="none">
          <bgColor indexed="65"/>
        </patternFill>
      </fill>
    </ndxf>
  </rcc>
  <rcc rId="850" sId="2" odxf="1" dxf="1">
    <nc r="BG3">
      <v>43.89</v>
    </nc>
    <odxf>
      <font/>
      <fill>
        <patternFill patternType="solid">
          <bgColor indexed="22"/>
        </patternFill>
      </fill>
    </odxf>
    <ndxf>
      <font>
        <sz val="10"/>
        <color auto="1"/>
        <name val="Arial"/>
        <scheme val="none"/>
      </font>
      <fill>
        <patternFill patternType="none">
          <bgColor indexed="65"/>
        </patternFill>
      </fill>
    </ndxf>
  </rcc>
  <rcc rId="851" sId="2" odxf="1" dxf="1">
    <nc r="BH3">
      <v>62</v>
    </nc>
    <odxf>
      <font/>
      <fill>
        <patternFill patternType="solid">
          <bgColor indexed="22"/>
        </patternFill>
      </fill>
    </odxf>
    <ndxf>
      <font>
        <sz val="10"/>
        <color auto="1"/>
        <name val="Arial"/>
        <scheme val="none"/>
      </font>
      <fill>
        <patternFill patternType="none">
          <bgColor indexed="65"/>
        </patternFill>
      </fill>
    </ndxf>
  </rcc>
  <rcc rId="852" sId="2" odxf="1" dxf="1" numFmtId="19">
    <oc r="AT3">
      <v>41556</v>
    </oc>
    <nc r="AT3">
      <v>41661</v>
    </nc>
    <odxf>
      <font/>
      <fill>
        <patternFill patternType="solid">
          <bgColor indexed="22"/>
        </patternFill>
      </fill>
    </odxf>
    <ndxf>
      <font>
        <sz val="10"/>
        <color auto="1"/>
        <name val="Arial"/>
        <scheme val="none"/>
      </font>
      <fill>
        <patternFill patternType="none">
          <bgColor indexed="65"/>
        </patternFill>
      </fill>
    </ndxf>
  </rcc>
  <rcc rId="853" sId="2" odxf="1" dxf="1" numFmtId="4">
    <nc r="AU3">
      <v>25</v>
    </nc>
    <odxf>
      <font/>
      <fill>
        <patternFill patternType="solid">
          <bgColor indexed="22"/>
        </patternFill>
      </fill>
    </odxf>
    <ndxf>
      <font>
        <sz val="10"/>
        <color auto="1"/>
        <name val="Arial"/>
        <scheme val="none"/>
      </font>
      <fill>
        <patternFill patternType="none">
          <bgColor indexed="65"/>
        </patternFill>
      </fill>
    </ndxf>
  </rcc>
  <rcc rId="854" sId="2" odxf="1" dxf="1" numFmtId="4">
    <oc r="AV3">
      <v>2.5</v>
    </oc>
    <nc r="AV3">
      <v>1</v>
    </nc>
    <odxf>
      <font/>
      <numFmt numFmtId="0" formatCode="General"/>
      <fill>
        <patternFill patternType="solid">
          <bgColor indexed="22"/>
        </patternFill>
      </fill>
    </odxf>
    <ndxf>
      <font>
        <sz val="10"/>
        <color auto="1"/>
        <name val="Arial"/>
        <scheme val="none"/>
      </font>
      <numFmt numFmtId="166" formatCode="\+#0.00;\-#0.00;0;@"/>
      <fill>
        <patternFill patternType="none">
          <bgColor indexed="65"/>
        </patternFill>
      </fill>
    </ndxf>
  </rcc>
  <rcc rId="855" sId="2" odxf="1" dxf="1" numFmtId="4">
    <oc r="AW3">
      <v>-2.25</v>
    </oc>
    <nc r="AW3">
      <v>-0.75</v>
    </nc>
    <odxf>
      <font/>
      <numFmt numFmtId="0" formatCode="General"/>
      <fill>
        <patternFill patternType="solid">
          <bgColor indexed="22"/>
        </patternFill>
      </fill>
    </odxf>
    <ndxf>
      <font>
        <sz val="10"/>
        <color auto="1"/>
        <name val="Arial"/>
        <scheme val="none"/>
      </font>
      <numFmt numFmtId="166" formatCode="\+#0.00;\-#0.00;0;@"/>
      <fill>
        <patternFill patternType="none">
          <bgColor indexed="65"/>
        </patternFill>
      </fill>
    </ndxf>
  </rcc>
  <rcc rId="856" sId="2" odxf="1" dxf="1">
    <oc r="AX3">
      <v>135</v>
    </oc>
    <nc r="AX3">
      <v>150</v>
    </nc>
    <odxf>
      <font/>
      <fill>
        <patternFill patternType="solid">
          <bgColor indexed="22"/>
        </patternFill>
      </fill>
    </odxf>
    <ndxf>
      <font>
        <sz val="10"/>
        <color auto="1"/>
        <name val="Arial"/>
        <scheme val="none"/>
      </font>
      <fill>
        <patternFill patternType="none">
          <bgColor indexed="65"/>
        </patternFill>
      </fill>
    </ndxf>
  </rcc>
  <rfmt sheetId="2" sqref="AY3" start="0" length="0">
    <dxf>
      <font>
        <sz val="10"/>
        <color auto="1"/>
        <name val="Arial"/>
        <scheme val="none"/>
      </font>
      <fill>
        <patternFill patternType="none">
          <bgColor indexed="65"/>
        </patternFill>
      </fill>
    </dxf>
  </rfmt>
  <rfmt sheetId="2" sqref="AZ3" start="0" length="0">
    <dxf>
      <font>
        <sz val="10"/>
        <color auto="1"/>
        <name val="Arial"/>
        <scheme val="none"/>
      </font>
      <fill>
        <patternFill patternType="none">
          <bgColor indexed="65"/>
        </patternFill>
      </fill>
    </dxf>
  </rfmt>
  <rfmt sheetId="2" sqref="BA3" start="0" length="0">
    <dxf>
      <font>
        <sz val="10"/>
        <color auto="1"/>
        <name val="Arial"/>
        <scheme val="none"/>
      </font>
      <fill>
        <patternFill patternType="none">
          <bgColor indexed="65"/>
        </patternFill>
      </fill>
    </dxf>
  </rfmt>
  <rrc rId="857" sId="1" ref="A16:XFD16" action="deleteRow">
    <undo index="0" exp="area" ref3D="1" dr="$CE$1:$CE$1048576" dn="SE_PREOP"/>
    <undo index="0" exp="area" ref3D="1" dr="$CK$1:$CK$1048576" dn="LAST_CHANGE_CDVA"/>
    <undo index="0" exp="area" ref3D="1" dr="$CG$1:$CG$1048576" dn="LAST_SE_ERROR"/>
    <undo index="0" exp="area" ref3D="1" dr="$T$1:$T$1048576" dn="SPH_PREOP"/>
    <undo index="0" exp="area" ref3D="1" dr="$AK$1:$AK$1048576" dn="UDVA_6"/>
    <undo index="0" exp="area" ref3D="1" dr="$BG$1:$BG$1048576" dn="BCVA_12"/>
    <undo index="0" exp="area" ref3D="1" dr="$BV$1:$BV$1048576" dn="SE_preop_IF_6_12"/>
    <undo index="0" exp="area" ref3D="1" dr="$BX$1:$BX$1048576" dn="SE_12_IF_6_12"/>
    <undo index="0" exp="area" ref3D="1" dr="$BW$1:$BW$1048576" dn="SE_6_IF_6_12"/>
    <undo index="0" exp="area" ref3D="1" dr="$BU$1:$BU$1048576" dn="FU_6_AND_12"/>
    <undo index="0" exp="area" ref3D="1" dr="$CN$1:$CN$1048576" dn="LAST_CDVA"/>
    <undo index="0" exp="area" ref3D="1" dr="$CL$1:$CL$1048576" dn="CYL_LAST"/>
    <undo index="0" exp="area" ref3D="1" dr="$U$1:$U$1048576" dn="CYL_PREOP"/>
    <undo index="0" exp="area" ref3D="1" dr="$BR$1:$BR$1048576" dn="SE_ERROR_12"/>
    <undo index="0" exp="area" ref3D="1" dr="$Q$1:$Q$1048576" dn="REF_TARGET"/>
    <undo index="0" exp="area" ref3D="1" dr="$BC$1:$BC$1048576" dn="UDVA_12"/>
    <undo index="0" exp="area" ref3D="1" dr="$CF$1:$CF$1048576" dn="SE_LAST_"/>
    <undo index="0" exp="area" ref3D="1" dr="$BQ$1:$BQ$1048576" dn="SE_12"/>
    <undo index="0" exp="area" ref3D="1" dr="$CO$1:$CO$1048576" dn="LAST_UDVA_DIST"/>
    <undo index="2" exp="area" ref3D="1" dr="$EN$1:$HP$1048576" dn="Z_9D4EC4DC_E305_42C0_86D3_802895C39393_.wvu.Cols" sId="1"/>
    <undo index="1" exp="area" ref3D="1" dr="$CH$1:$CI$1048576" dn="Z_9D4EC4DC_E305_42C0_86D3_802895C39393_.wvu.Cols" sId="1"/>
    <undo index="2" exp="area" ref3D="1" dr="$CH$1:$CI$1048576" dn="Z_54C114DD_C157_4E30_91DC_9B94C55E8054_.wvu.Cols" sId="1"/>
    <undo index="1" exp="area" ref3D="1" dr="$A$1:$C$1048576" dn="Z_54C114DD_C157_4E30_91DC_9B94C55E8054_.wvu.Cols" sId="1"/>
    <undo index="0" exp="area" ref3D="1" dr="$S$1:$S$1048576" dn="PREOP"/>
    <undo index="0" exp="area" ref3D="1" dr="$AY$1:$AY$1048576" dn="SE_6"/>
    <undo index="0" exp="area" ref3D="1" dr="$AO$1:$AO$1048576" dn="BCVA_6"/>
    <undo index="0" exp="area" ref3D="1" dr="$CJ$1:$CJ$1048576" dn="REF_TARGET_IF_SE_KNOWN"/>
    <undo index="0" exp="area" ref3D="1" dr="$W$1:$W$1048576" dn="PREOP_BCVA"/>
    <undo index="0" exp="area" ref3D="1" dr="$W$1:$W$1048576" dn="BCVA_PREOP"/>
    <undo index="0" exp="area" ref3D="1" dr="$BM$1:$BM$1048576" dn="K1_12"/>
    <rfmt sheetId="1" xfDxf="1" sqref="A16:XFD16" start="0" length="0">
      <dxf>
        <alignment horizontal="center" readingOrder="0"/>
        <border outline="0">
          <left style="thin">
            <color indexed="64"/>
          </left>
          <right style="thin">
            <color indexed="64"/>
          </right>
          <top style="thin">
            <color indexed="64"/>
          </top>
          <bottom style="thin">
            <color indexed="64"/>
          </bottom>
        </border>
      </dxf>
    </rfmt>
    <rcc rId="0" sId="1" dxf="1" numFmtId="19">
      <nc r="A16">
        <v>41199</v>
      </nc>
      <ndxf>
        <numFmt numFmtId="19" formatCode="mm/dd/yyyy"/>
      </ndxf>
    </rcc>
    <rcc rId="0" sId="1" dxf="1">
      <nc r="B16" t="inlineStr">
        <is>
          <t>Suzanna</t>
        </is>
      </nc>
      <ndxf>
        <font>
          <sz val="10"/>
          <color auto="1"/>
          <name val="Arial"/>
          <scheme val="none"/>
        </font>
      </ndxf>
    </rcc>
    <rcc rId="0" sId="1" dxf="1">
      <nc r="C16" t="inlineStr">
        <is>
          <t>Jamison</t>
        </is>
      </nc>
      <ndxf>
        <font>
          <sz val="10"/>
          <color auto="1"/>
          <name val="Arial"/>
          <scheme val="none"/>
        </font>
      </ndxf>
    </rcc>
    <rcc rId="0" sId="1" dxf="1">
      <nc r="D16" t="inlineStr">
        <is>
          <t>OD</t>
        </is>
      </nc>
      <ndxf>
        <font>
          <b/>
          <sz val="10"/>
          <color indexed="63"/>
          <name val="Arial"/>
          <scheme val="none"/>
        </font>
        <fill>
          <patternFill patternType="solid">
            <bgColor indexed="9"/>
          </patternFill>
        </fill>
      </ndxf>
    </rcc>
    <rcc rId="0" sId="1">
      <nc r="E16">
        <v>51</v>
      </nc>
    </rcc>
    <rcc rId="0" sId="1" dxf="1" numFmtId="19">
      <nc r="F16">
        <v>22916</v>
      </nc>
      <ndxf>
        <numFmt numFmtId="19" formatCode="mm/dd/yyyy"/>
      </ndxf>
    </rcc>
    <rcc rId="0" sId="1" dxf="1">
      <nc r="G16" t="inlineStr">
        <is>
          <t>W</t>
        </is>
      </nc>
      <ndxf>
        <font>
          <sz val="10"/>
          <color auto="1"/>
          <name val="Arial"/>
          <scheme val="none"/>
        </font>
      </ndxf>
    </rcc>
    <rcc rId="0" sId="1" dxf="1">
      <nc r="H16" t="inlineStr">
        <is>
          <t>F</t>
        </is>
      </nc>
      <ndxf>
        <font>
          <sz val="10"/>
          <color auto="1"/>
          <name val="Arial"/>
          <scheme val="none"/>
        </font>
      </ndxf>
    </rcc>
    <rcc rId="0" sId="1">
      <nc r="I16">
        <v>1828985</v>
      </nc>
    </rcc>
    <rfmt sheetId="1" sqref="K16" start="0" length="0">
      <dxf>
        <font>
          <sz val="6"/>
          <color auto="1"/>
          <name val="Arial"/>
          <scheme val="none"/>
        </font>
        <border outline="0">
          <left/>
          <right/>
          <top/>
          <bottom/>
        </border>
      </dxf>
    </rfmt>
    <rfmt sheetId="1" sqref="L16" start="0" length="0">
      <dxf>
        <font>
          <sz val="6"/>
          <color auto="1"/>
          <name val="Arial"/>
          <scheme val="none"/>
        </font>
        <border outline="0">
          <left/>
          <right/>
          <top/>
          <bottom/>
        </border>
      </dxf>
    </rfmt>
    <rfmt sheetId="1" sqref="M16" start="0" length="0">
      <dxf>
        <font>
          <sz val="6"/>
          <color auto="1"/>
          <name val="Arial"/>
          <scheme val="none"/>
        </font>
        <border outline="0">
          <left/>
          <right/>
          <top/>
          <bottom/>
        </border>
      </dxf>
    </rfmt>
    <rfmt sheetId="1" sqref="N16" start="0" length="0">
      <dxf>
        <font>
          <sz val="6"/>
          <color auto="1"/>
          <name val="Arial"/>
          <scheme val="none"/>
        </font>
        <border outline="0">
          <left/>
          <right/>
          <top/>
          <bottom/>
        </border>
      </dxf>
    </rfmt>
    <rfmt sheetId="1" sqref="O16" start="0" length="0">
      <dxf>
        <font>
          <sz val="6"/>
          <color auto="1"/>
          <name val="Arial"/>
          <scheme val="none"/>
        </font>
        <border outline="0">
          <left/>
          <right/>
          <top/>
          <bottom/>
        </border>
      </dxf>
    </rfmt>
    <rfmt sheetId="1" sqref="S16" start="0" length="0">
      <dxf>
        <numFmt numFmtId="19" formatCode="mm/dd/yyyy"/>
        <fill>
          <patternFill patternType="solid">
            <bgColor theme="5" tint="0.39994506668294322"/>
          </patternFill>
        </fill>
      </dxf>
    </rfmt>
    <rfmt sheetId="1" sqref="T16" start="0" length="0">
      <dxf>
        <numFmt numFmtId="166" formatCode="\+#0.00;\-#0.00;0;@"/>
      </dxf>
    </rfmt>
    <rfmt sheetId="1" sqref="U16" start="0" length="0">
      <dxf>
        <numFmt numFmtId="166" formatCode="\+#0.00;\-#0.00;0;@"/>
      </dxf>
    </rfmt>
    <rfmt sheetId="1" sqref="AI16" start="0" length="0">
      <dxf>
        <alignment wrapText="1" readingOrder="0"/>
      </dxf>
    </rfmt>
    <rfmt sheetId="1" sqref="AJ16" start="0" length="0">
      <dxf>
        <numFmt numFmtId="19" formatCode="mm/dd/yyyy"/>
      </dxf>
    </rfmt>
    <rfmt sheetId="1" sqref="AK16" start="0" length="0">
      <dxf>
        <numFmt numFmtId="1" formatCode="0"/>
      </dxf>
    </rfmt>
    <rfmt sheetId="1" sqref="AL16" start="0" length="0">
      <dxf>
        <numFmt numFmtId="166" formatCode="\+#0.00;\-#0.00;0;@"/>
      </dxf>
    </rfmt>
    <rfmt sheetId="1" sqref="AM16" start="0" length="0">
      <dxf>
        <numFmt numFmtId="166" formatCode="\+#0.00;\-#0.00;0;@"/>
      </dxf>
    </rfmt>
    <rcc rId="0" sId="1" dxf="1" numFmtId="19">
      <nc r="BB16">
        <v>41661</v>
      </nc>
      <ndxf>
        <numFmt numFmtId="19" formatCode="mm/dd/yyyy"/>
      </ndxf>
    </rcc>
    <rcc rId="0" sId="1" dxf="1" numFmtId="4">
      <nc r="BC16">
        <v>25</v>
      </nc>
      <ndxf>
        <numFmt numFmtId="1" formatCode="0"/>
      </ndxf>
    </rcc>
    <rcc rId="0" sId="1" dxf="1" numFmtId="4">
      <nc r="BD16">
        <v>1</v>
      </nc>
      <ndxf>
        <numFmt numFmtId="166" formatCode="\+#0.00;\-#0.00;0;@"/>
      </ndxf>
    </rcc>
    <rcc rId="0" sId="1" dxf="1" numFmtId="4">
      <nc r="BE16">
        <v>-0.75</v>
      </nc>
      <ndxf>
        <numFmt numFmtId="166" formatCode="\+#0.00;\-#0.00;0;@"/>
      </ndxf>
    </rcc>
    <rcc rId="0" sId="1">
      <nc r="BF16">
        <v>150</v>
      </nc>
    </rcc>
    <rcc rId="0" sId="1">
      <nc r="BG16">
        <v>25</v>
      </nc>
    </rcc>
    <rcc rId="0" sId="1">
      <nc r="BH16">
        <v>10</v>
      </nc>
    </rcc>
    <rcc rId="0" sId="1">
      <nc r="BI16">
        <v>513</v>
      </nc>
    </rcc>
    <rcc rId="0" sId="1">
      <nc r="BK16">
        <v>24.71</v>
      </nc>
    </rcc>
    <rcc rId="0" sId="1">
      <nc r="BL16">
        <v>2.4500000000000002</v>
      </nc>
    </rcc>
    <rcc rId="0" sId="1">
      <nc r="BM16">
        <v>41.72</v>
      </nc>
    </rcc>
    <rcc rId="0" sId="1">
      <nc r="BN16">
        <v>152</v>
      </nc>
    </rcc>
    <rcc rId="0" sId="1">
      <nc r="BO16">
        <v>43.89</v>
      </nc>
    </rcc>
    <rcc rId="0" sId="1">
      <nc r="BP16">
        <v>62</v>
      </nc>
    </rcc>
    <rcc rId="0" sId="1">
      <nc r="BQ16">
        <f>IF(ISNUMBER(BD16),BD16+0.5*BE16,"")</f>
      </nc>
    </rcc>
    <rfmt sheetId="1" sqref="BY16" start="0" length="0">
      <dxf>
        <numFmt numFmtId="2" formatCode="0.00"/>
      </dxf>
    </rfmt>
    <rfmt sheetId="1" sqref="BZ16" start="0" length="0">
      <dxf>
        <numFmt numFmtId="165" formatCode="0.0"/>
      </dxf>
    </rfmt>
    <rfmt sheetId="1" sqref="CG16" start="0" length="0">
      <dxf>
        <border outline="0">
          <right style="double">
            <color indexed="64"/>
          </right>
        </border>
      </dxf>
    </rfmt>
    <rfmt sheetId="1" sqref="CH16" start="0" length="0">
      <dxf>
        <border outline="0">
          <left/>
        </border>
      </dxf>
    </rfmt>
    <rfmt sheetId="1" sqref="CJ16" start="0" length="0">
      <dxf>
        <border outline="0">
          <left/>
          <right/>
          <top/>
          <bottom/>
        </border>
      </dxf>
    </rfmt>
    <rfmt sheetId="1" sqref="CK16" start="0" length="0">
      <dxf>
        <border outline="0">
          <left/>
          <right/>
          <top/>
          <bottom/>
        </border>
      </dxf>
    </rfmt>
    <rfmt sheetId="1" sqref="CL16" start="0" length="0">
      <dxf>
        <numFmt numFmtId="166" formatCode="\+#0.00;\-#0.00;0;@"/>
        <border outline="0">
          <left/>
          <right/>
          <top/>
          <bottom/>
        </border>
      </dxf>
    </rfmt>
    <rfmt sheetId="1" sqref="CM16" start="0" length="0">
      <dxf>
        <numFmt numFmtId="166" formatCode="\+#0.00;\-#0.00;0;@"/>
        <border outline="0">
          <left/>
          <right/>
          <top/>
          <bottom/>
        </border>
      </dxf>
    </rfmt>
    <rfmt sheetId="1" sqref="CN16" start="0" length="0">
      <dxf>
        <numFmt numFmtId="1" formatCode="0"/>
        <border outline="0">
          <left/>
          <right/>
          <top/>
          <bottom/>
        </border>
      </dxf>
    </rfmt>
    <rfmt sheetId="1" sqref="CO16" start="0" length="0">
      <dxf>
        <font>
          <sz val="10"/>
          <color auto="1"/>
          <name val="Arial"/>
          <scheme val="none"/>
        </font>
        <numFmt numFmtId="1" formatCode="0"/>
        <border outline="0">
          <left/>
          <right/>
          <top/>
          <bottom/>
        </border>
      </dxf>
    </rfmt>
    <rfmt sheetId="1" sqref="CP16" start="0" length="0">
      <dxf>
        <border outline="0">
          <left/>
          <right/>
          <top/>
          <bottom/>
        </border>
      </dxf>
    </rfmt>
    <rfmt sheetId="1" sqref="CQ16" start="0" length="0">
      <dxf>
        <border outline="0">
          <left/>
          <right/>
          <top/>
          <bottom/>
        </border>
      </dxf>
    </rfmt>
    <rfmt sheetId="1" sqref="CR16" start="0" length="0">
      <dxf>
        <alignment horizontal="general" vertical="bottom" readingOrder="0"/>
        <border outline="0">
          <left/>
          <right/>
          <top/>
          <bottom/>
        </border>
      </dxf>
    </rfmt>
    <rfmt sheetId="1" sqref="DX16" start="0" length="0">
      <dxf>
        <border outline="0">
          <right style="mediumDashDot">
            <color indexed="64"/>
          </right>
        </border>
      </dxf>
    </rfmt>
    <rfmt sheetId="1" sqref="DY16" start="0" length="0">
      <dxf>
        <border outline="0">
          <left/>
          <right/>
        </border>
      </dxf>
    </rfmt>
    <rfmt sheetId="1" sqref="DZ16" start="0" length="0">
      <dxf>
        <border outline="0">
          <left/>
          <right/>
        </border>
      </dxf>
    </rfmt>
    <rfmt sheetId="1" sqref="EA16" start="0" length="0">
      <dxf>
        <border outline="0">
          <left/>
          <right/>
        </border>
      </dxf>
    </rfmt>
    <rfmt sheetId="1" sqref="EB16" start="0" length="0">
      <dxf>
        <border outline="0">
          <left/>
          <right/>
        </border>
      </dxf>
    </rfmt>
    <rfmt sheetId="1" sqref="EC16" start="0" length="0">
      <dxf>
        <border outline="0">
          <left/>
          <right/>
        </border>
      </dxf>
    </rfmt>
    <rfmt sheetId="1" sqref="ED16" start="0" length="0">
      <dxf>
        <border outline="0">
          <left/>
          <right/>
        </border>
      </dxf>
    </rfmt>
    <rfmt sheetId="1" sqref="EE16" start="0" length="0">
      <dxf>
        <border outline="0">
          <left/>
          <right/>
        </border>
      </dxf>
    </rfmt>
    <rfmt sheetId="1" sqref="EF16" start="0" length="0">
      <dxf>
        <border outline="0">
          <left/>
          <right/>
        </border>
      </dxf>
    </rfmt>
    <rfmt sheetId="1" sqref="EG16" start="0" length="0">
      <dxf>
        <border outline="0">
          <left/>
          <right/>
        </border>
      </dxf>
    </rfmt>
    <rfmt sheetId="1" sqref="EH16" start="0" length="0">
      <dxf>
        <border outline="0">
          <left/>
          <right/>
        </border>
      </dxf>
    </rfmt>
    <rfmt sheetId="1" sqref="EI16" start="0" length="0">
      <dxf>
        <border outline="0">
          <left/>
          <right/>
        </border>
      </dxf>
    </rfmt>
    <rfmt sheetId="1" sqref="EJ16" start="0" length="0">
      <dxf>
        <border outline="0">
          <left/>
          <right/>
        </border>
      </dxf>
    </rfmt>
    <rfmt sheetId="1" sqref="EK16" start="0" length="0">
      <dxf>
        <border outline="0">
          <left/>
          <right/>
        </border>
      </dxf>
    </rfmt>
    <rfmt sheetId="1" sqref="EL16" start="0" length="0">
      <dxf>
        <border outline="0">
          <left/>
          <right/>
        </border>
      </dxf>
    </rfmt>
    <rfmt sheetId="1" sqref="EM16" start="0" length="0">
      <dxf>
        <border outline="0">
          <left/>
          <right style="dashed">
            <color auto="1"/>
          </right>
        </border>
      </dxf>
    </rfmt>
    <rfmt sheetId="1" sqref="EN16" start="0" length="0">
      <dxf>
        <border outline="0">
          <left/>
        </border>
      </dxf>
    </rfmt>
    <rfmt sheetId="1" sqref="FT16" start="0" length="0">
      <dxf>
        <border outline="0">
          <right style="mediumDashed">
            <color indexed="64"/>
          </right>
        </border>
      </dxf>
    </rfmt>
    <rfmt sheetId="1" sqref="FU16" start="0" length="0">
      <dxf>
        <border outline="0">
          <left/>
          <right/>
        </border>
      </dxf>
    </rfmt>
    <rfmt sheetId="1" sqref="FV16" start="0" length="0">
      <dxf>
        <border outline="0">
          <left/>
          <right/>
        </border>
      </dxf>
    </rfmt>
    <rfmt sheetId="1" sqref="FW16" start="0" length="0">
      <dxf>
        <border outline="0">
          <left/>
          <right/>
        </border>
      </dxf>
    </rfmt>
    <rfmt sheetId="1" sqref="FX16" start="0" length="0">
      <dxf>
        <border outline="0">
          <left/>
          <right/>
        </border>
      </dxf>
    </rfmt>
    <rfmt sheetId="1" sqref="FY16" start="0" length="0">
      <dxf>
        <border outline="0">
          <left/>
          <right/>
        </border>
      </dxf>
    </rfmt>
    <rfmt sheetId="1" sqref="FZ16" start="0" length="0">
      <dxf>
        <border outline="0">
          <left/>
          <right/>
        </border>
      </dxf>
    </rfmt>
    <rfmt sheetId="1" sqref="GA16" start="0" length="0">
      <dxf>
        <border outline="0">
          <left/>
          <right/>
        </border>
      </dxf>
    </rfmt>
    <rfmt sheetId="1" sqref="GB16" start="0" length="0">
      <dxf>
        <border outline="0">
          <left/>
          <right/>
        </border>
      </dxf>
    </rfmt>
    <rfmt sheetId="1" sqref="GC16" start="0" length="0">
      <dxf>
        <border outline="0">
          <left/>
          <right/>
        </border>
      </dxf>
    </rfmt>
    <rfmt sheetId="1" sqref="GD16" start="0" length="0">
      <dxf>
        <border outline="0">
          <left/>
          <right/>
        </border>
      </dxf>
    </rfmt>
    <rfmt sheetId="1" sqref="GE16" start="0" length="0">
      <dxf>
        <border outline="0">
          <left/>
          <right/>
        </border>
      </dxf>
    </rfmt>
    <rfmt sheetId="1" sqref="GF16" start="0" length="0">
      <dxf>
        <border outline="0">
          <left/>
          <right/>
        </border>
      </dxf>
    </rfmt>
    <rfmt sheetId="1" sqref="GG16" start="0" length="0">
      <dxf>
        <border outline="0">
          <left/>
          <right/>
        </border>
      </dxf>
    </rfmt>
    <rfmt sheetId="1" sqref="GH16" start="0" length="0">
      <dxf>
        <border outline="0">
          <left/>
          <right/>
        </border>
      </dxf>
    </rfmt>
    <rfmt sheetId="1" sqref="GI16" start="0" length="0">
      <dxf>
        <border outline="0">
          <left/>
          <right style="medium">
            <color auto="1"/>
          </right>
        </border>
      </dxf>
    </rfmt>
    <rfmt sheetId="1" sqref="GJ16" start="0" length="0">
      <dxf>
        <border outline="0">
          <left/>
        </border>
      </dxf>
    </rfmt>
    <rfmt sheetId="1" sqref="HP16" start="0" length="0">
      <dxf>
        <border outline="0">
          <right style="double">
            <color indexed="64"/>
          </right>
        </border>
      </dxf>
    </rfmt>
    <rfmt sheetId="1" sqref="HQ16" start="0" length="0">
      <dxf>
        <border outline="0">
          <left/>
          <right/>
        </border>
      </dxf>
    </rfmt>
    <rfmt sheetId="1" sqref="HR16" start="0" length="0">
      <dxf>
        <border outline="0">
          <left/>
          <right/>
        </border>
      </dxf>
    </rfmt>
    <rfmt sheetId="1" sqref="HS16" start="0" length="0">
      <dxf>
        <border outline="0">
          <left/>
          <right/>
        </border>
      </dxf>
    </rfmt>
    <rfmt sheetId="1" sqref="HT16" start="0" length="0">
      <dxf>
        <border outline="0">
          <left/>
          <right/>
        </border>
      </dxf>
    </rfmt>
    <rfmt sheetId="1" sqref="HU16" start="0" length="0">
      <dxf>
        <border outline="0">
          <left/>
          <right/>
        </border>
      </dxf>
    </rfmt>
    <rfmt sheetId="1" sqref="HV16" start="0" length="0">
      <dxf>
        <border outline="0">
          <left/>
          <right/>
        </border>
      </dxf>
    </rfmt>
    <rfmt sheetId="1" sqref="HW16" start="0" length="0">
      <dxf>
        <border outline="0">
          <left/>
          <right/>
        </border>
      </dxf>
    </rfmt>
    <rfmt sheetId="1" sqref="HX16" start="0" length="0">
      <dxf>
        <border outline="0">
          <left/>
          <right/>
        </border>
      </dxf>
    </rfmt>
    <rfmt sheetId="1" sqref="HY16" start="0" length="0">
      <dxf>
        <border outline="0">
          <left/>
          <right/>
        </border>
      </dxf>
    </rfmt>
    <rfmt sheetId="1" sqref="HZ16" start="0" length="0">
      <dxf>
        <border outline="0">
          <left/>
          <right/>
        </border>
      </dxf>
    </rfmt>
    <rfmt sheetId="1" sqref="IA16" start="0" length="0">
      <dxf>
        <border outline="0">
          <left/>
          <right/>
        </border>
      </dxf>
    </rfmt>
    <rfmt sheetId="1" sqref="IB16" start="0" length="0">
      <dxf>
        <border outline="0">
          <left/>
          <right/>
        </border>
      </dxf>
    </rfmt>
    <rfmt sheetId="1" sqref="IC16" start="0" length="0">
      <dxf>
        <border outline="0">
          <left/>
          <right/>
        </border>
      </dxf>
    </rfmt>
    <rfmt sheetId="1" sqref="ID16" start="0" length="0">
      <dxf>
        <border outline="0">
          <left/>
          <right/>
        </border>
      </dxf>
    </rfmt>
    <rfmt sheetId="1" sqref="IE16" start="0" length="0">
      <dxf>
        <border outline="0">
          <left/>
          <right style="mediumDashed">
            <color auto="1"/>
          </right>
        </border>
      </dxf>
    </rfmt>
    <rfmt sheetId="1" sqref="IF16" start="0" length="0">
      <dxf>
        <border outline="0">
          <left/>
        </border>
      </dxf>
    </rfmt>
    <rfmt sheetId="1" sqref="JK16" start="0" length="0">
      <dxf>
        <border outline="0">
          <right/>
        </border>
      </dxf>
    </rfmt>
    <rfmt sheetId="1" sqref="JL16" start="0" length="0">
      <dxf>
        <border outline="0">
          <left/>
          <right/>
        </border>
      </dxf>
    </rfmt>
    <rfmt sheetId="1" sqref="JM16" start="0" length="0">
      <dxf>
        <border outline="0">
          <left/>
          <right/>
        </border>
      </dxf>
    </rfmt>
    <rfmt sheetId="1" sqref="JN16" start="0" length="0">
      <dxf>
        <border outline="0">
          <left/>
          <right/>
        </border>
      </dxf>
    </rfmt>
    <rfmt sheetId="1" sqref="JO16" start="0" length="0">
      <dxf>
        <border outline="0">
          <left/>
          <right/>
        </border>
      </dxf>
    </rfmt>
    <rfmt sheetId="1" sqref="JP16" start="0" length="0">
      <dxf>
        <border outline="0">
          <left/>
          <right/>
        </border>
      </dxf>
    </rfmt>
    <rfmt sheetId="1" sqref="JQ16" start="0" length="0">
      <dxf>
        <border outline="0">
          <left/>
          <right/>
        </border>
      </dxf>
    </rfmt>
    <rfmt sheetId="1" sqref="JR16" start="0" length="0">
      <dxf>
        <border outline="0">
          <left/>
          <right/>
        </border>
      </dxf>
    </rfmt>
    <rfmt sheetId="1" sqref="JS16" start="0" length="0">
      <dxf>
        <border outline="0">
          <left/>
          <right/>
        </border>
      </dxf>
    </rfmt>
    <rfmt sheetId="1" sqref="JT16" start="0" length="0">
      <dxf>
        <border outline="0">
          <left/>
          <right/>
        </border>
      </dxf>
    </rfmt>
    <rfmt sheetId="1" sqref="JU16" start="0" length="0">
      <dxf>
        <border outline="0">
          <left/>
          <right/>
        </border>
      </dxf>
    </rfmt>
    <rfmt sheetId="1" sqref="JV16" start="0" length="0">
      <dxf>
        <border outline="0">
          <left/>
          <right/>
        </border>
      </dxf>
    </rfmt>
    <rfmt sheetId="1" sqref="JW16" start="0" length="0">
      <dxf>
        <border outline="0">
          <left/>
          <right/>
        </border>
      </dxf>
    </rfmt>
    <rfmt sheetId="1" sqref="JX16" start="0" length="0">
      <dxf>
        <border outline="0">
          <left/>
          <right/>
        </border>
      </dxf>
    </rfmt>
    <rfmt sheetId="1" sqref="JY16" start="0" length="0">
      <dxf>
        <border outline="0">
          <left/>
          <right/>
        </border>
      </dxf>
    </rfmt>
    <rfmt sheetId="1" sqref="JZ16" start="0" length="0">
      <dxf>
        <border outline="0">
          <left/>
          <right/>
        </border>
      </dxf>
    </rfmt>
    <rfmt sheetId="1" sqref="KA16" start="0" length="0">
      <dxf>
        <border outline="0">
          <left/>
          <right style="mediumDashed">
            <color auto="1"/>
          </right>
        </border>
      </dxf>
    </rfmt>
    <rfmt sheetId="1" sqref="KB16" start="0" length="0">
      <dxf>
        <border outline="0">
          <left/>
        </border>
      </dxf>
    </rfmt>
  </rrc>
  <rdn rId="0" localSheetId="1" customView="1" name="Z_54C114DD_C157_4E30_91DC_9B94C55E8054_.wvu.Cols" hidden="1" oldHidden="1">
    <oldFormula>Data!$A:$C,Data!$CH:$CI</oldFormula>
  </rdn>
  <rcv guid="{54C114DD-C157-4E30-91DC-9B94C55E8054}" action="delete"/>
  <rcv guid="{54C114DD-C157-4E30-91DC-9B94C55E8054}"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59" sId="1">
    <nc r="AH45">
      <v>0</v>
    </nc>
  </rcc>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60" sId="1" numFmtId="19">
    <oc r="BB44">
      <v>41676</v>
    </oc>
    <nc r="BB44">
      <v>41654</v>
    </nc>
  </rcc>
  <rcc rId="861" sId="1" numFmtId="4">
    <nc r="BC44">
      <v>20</v>
    </nc>
  </rcc>
  <rcc rId="862" sId="1" numFmtId="4">
    <nc r="BD44">
      <v>0</v>
    </nc>
  </rcc>
  <rcc rId="863" sId="1" numFmtId="4">
    <nc r="BE44">
      <v>0.25</v>
    </nc>
  </rcc>
  <rcc rId="864" sId="1">
    <nc r="BF44">
      <v>62</v>
    </nc>
  </rcc>
  <rcc rId="865" sId="1">
    <nc r="BG44">
      <v>15</v>
    </nc>
  </rcc>
  <rcc rId="866" sId="1">
    <nc r="BH44">
      <v>11</v>
    </nc>
  </rcc>
  <rcc rId="867" sId="1">
    <nc r="BJ44">
      <v>2525</v>
    </nc>
  </rcc>
  <rcc rId="868" sId="1">
    <nc r="BI44">
      <v>483</v>
    </nc>
  </rcc>
  <rcc rId="869" sId="1">
    <nc r="BK44">
      <v>23.68</v>
    </nc>
  </rcc>
  <rcc rId="870" sId="1">
    <nc r="BL44">
      <v>2.92</v>
    </nc>
  </rcc>
  <rcc rId="871" sId="1">
    <nc r="BM44">
      <v>44.23</v>
    </nc>
  </rcc>
  <rcc rId="872" sId="1">
    <nc r="BN44">
      <v>162</v>
    </nc>
  </rcc>
  <rcc rId="873" sId="1">
    <nc r="BO44">
      <v>46.11</v>
    </nc>
  </rcc>
  <rcc rId="874" sId="1">
    <nc r="BP44">
      <v>72</v>
    </nc>
  </rcc>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5" sId="1">
    <oc r="AH45">
      <v>0</v>
    </oc>
    <nc r="AH45"/>
  </rcc>
  <rcc rId="876" sId="1">
    <nc r="AI45" t="inlineStr">
      <is>
        <t>BSCL</t>
      </is>
    </nc>
  </rcc>
  <rcc rId="877" sId="1">
    <nc r="AI44" t="inlineStr">
      <is>
        <t>BSCL</t>
      </is>
    </nc>
  </rcc>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78" sId="1">
    <nc r="AH6">
      <v>0</v>
    </nc>
  </rcc>
  <rcc rId="879" sId="1">
    <nc r="BJ6">
      <v>1610</v>
    </nc>
  </rcc>
  <rcc rId="880" sId="1">
    <nc r="AH67">
      <v>0</v>
    </nc>
  </rcc>
  <rcc rId="881" sId="1" odxf="1" dxf="1" numFmtId="19">
    <oc r="BB67" t="inlineStr">
      <is>
        <t>? As of 1/2/14</t>
      </is>
    </oc>
    <nc r="BB67">
      <v>41660</v>
    </nc>
    <odxf>
      <numFmt numFmtId="0" formatCode="General"/>
    </odxf>
    <ndxf>
      <numFmt numFmtId="19" formatCode="mm/dd/yyyy"/>
    </ndxf>
  </rcc>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2" sId="1" numFmtId="4">
    <oc r="BC67" t="inlineStr">
      <is>
        <t>?</t>
      </is>
    </oc>
    <nc r="BC67">
      <v>50</v>
    </nc>
  </rcc>
  <rcc rId="883" sId="1" numFmtId="4">
    <nc r="BD67">
      <v>0.75</v>
    </nc>
  </rcc>
  <rcc rId="884" sId="1" numFmtId="4">
    <nc r="BE67">
      <v>-1.25</v>
    </nc>
  </rcc>
  <rcc rId="885" sId="1">
    <nc r="BF67">
      <v>110</v>
    </nc>
  </rcc>
  <rcc rId="886" sId="1">
    <nc r="BG67">
      <v>20</v>
    </nc>
  </rcc>
  <rcc rId="887" sId="1">
    <nc r="BH67">
      <v>13</v>
    </nc>
  </rcc>
  <rcc rId="888" sId="1">
    <nc r="BJ67">
      <v>2203</v>
    </nc>
  </rcc>
  <rcc rId="889" sId="1">
    <nc r="BI67">
      <v>506</v>
    </nc>
  </rcc>
  <rcc rId="890" sId="1">
    <nc r="BK67">
      <v>22.52</v>
    </nc>
  </rcc>
  <rcc rId="891" sId="1">
    <nc r="BL67">
      <v>4.2300000000000004</v>
    </nc>
  </rcc>
  <rcc rId="892" sId="1">
    <nc r="BM67">
      <v>44.64</v>
    </nc>
  </rcc>
  <rcc rId="893" sId="1">
    <nc r="BN67">
      <v>75</v>
    </nc>
  </rcc>
  <rcc rId="894" sId="1">
    <nc r="BO67">
      <v>44.82</v>
    </nc>
  </rcc>
  <rcc rId="895" sId="1">
    <nc r="BP67">
      <v>165</v>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96" sId="1">
    <nc r="AH44">
      <v>1</v>
    </nc>
  </rcc>
  <rcc rId="897" sId="1">
    <nc r="AH45">
      <v>1</v>
    </nc>
  </rcc>
  <rcc rId="898" sId="1">
    <oc r="AI44" t="inlineStr">
      <is>
        <t>BSCL</t>
      </is>
    </oc>
    <nc r="AI44"/>
  </rcc>
  <rcc rId="899" sId="1">
    <oc r="AI45" t="inlineStr">
      <is>
        <t>BSCL</t>
      </is>
    </oc>
    <nc r="AI45"/>
  </rcc>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00" sId="1">
    <nc r="AH2">
      <v>1</v>
    </nc>
  </rcc>
  <rcc rId="901" sId="2" odxf="1" dxf="1" numFmtId="19">
    <nc r="A9">
      <v>41178</v>
    </nc>
    <odxf>
      <numFmt numFmtId="0" formatCode="General"/>
      <alignment horizontal="general" vertical="bottom" readingOrder="0"/>
      <border outline="0">
        <left/>
        <right/>
        <top/>
        <bottom/>
      </border>
    </odxf>
    <ndxf>
      <numFmt numFmtId="19" formatCode="mm/dd/yyyy"/>
      <alignment horizontal="center" vertical="top" readingOrder="0"/>
      <border outline="0">
        <left style="thin">
          <color indexed="64"/>
        </left>
        <right style="thin">
          <color indexed="64"/>
        </right>
        <top style="thin">
          <color indexed="64"/>
        </top>
        <bottom style="thin">
          <color indexed="64"/>
        </bottom>
      </border>
    </ndxf>
  </rcc>
  <rcc rId="902" sId="2" odxf="1" dxf="1">
    <nc r="B9" t="inlineStr">
      <is>
        <t>David</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03" sId="2" odxf="1" dxf="1">
    <nc r="C9" t="inlineStr">
      <is>
        <t>Andrews</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04" sId="2" odxf="1" dxf="1">
    <nc r="D9" t="inlineStr">
      <is>
        <t>OS</t>
      </is>
    </nc>
    <odxf>
      <font>
        <b val="0"/>
        <sz val="10"/>
        <color auto="1"/>
        <name val="Arial"/>
        <scheme val="none"/>
      </font>
      <fill>
        <patternFill patternType="none">
          <bgColor indexed="65"/>
        </patternFill>
      </fill>
      <alignment horizontal="general" vertical="bottom" readingOrder="0"/>
      <border outline="0">
        <left/>
        <right/>
        <top/>
        <bottom/>
      </border>
    </odxf>
    <ndxf>
      <font>
        <b/>
        <sz val="10"/>
        <color indexed="63"/>
        <name val="Arial"/>
        <scheme val="none"/>
      </font>
      <fill>
        <patternFill patternType="solid">
          <bgColor indexed="9"/>
        </patternFill>
      </fill>
      <alignment horizontal="center" vertical="top" readingOrder="0"/>
      <border outline="0">
        <left style="thin">
          <color indexed="64"/>
        </left>
        <right style="thin">
          <color indexed="64"/>
        </right>
        <top style="thin">
          <color indexed="64"/>
        </top>
        <bottom style="thin">
          <color indexed="64"/>
        </bottom>
      </border>
    </ndxf>
  </rcc>
  <rcc rId="905" sId="2" odxf="1" dxf="1">
    <nc r="E9">
      <v>62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06" sId="2" odxf="1" dxf="1" numFmtId="19">
    <nc r="F9">
      <v>18491</v>
    </nc>
    <odxf>
      <numFmt numFmtId="0" formatCode="General"/>
      <alignment horizontal="general" vertical="bottom" readingOrder="0"/>
      <border outline="0">
        <left/>
        <right/>
        <top/>
        <bottom/>
      </border>
    </odxf>
    <ndxf>
      <numFmt numFmtId="19" formatCode="mm/dd/yyyy"/>
      <alignment horizontal="center" vertical="top" readingOrder="0"/>
      <border outline="0">
        <left style="thin">
          <color indexed="64"/>
        </left>
        <right style="thin">
          <color indexed="64"/>
        </right>
        <top style="thin">
          <color indexed="64"/>
        </top>
        <bottom style="thin">
          <color indexed="64"/>
        </bottom>
      </border>
    </ndxf>
  </rcc>
  <rcc rId="907" sId="2" odxf="1" dxf="1">
    <nc r="G9" t="inlineStr">
      <is>
        <t>W</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08" sId="2" odxf="1" dxf="1">
    <nc r="H9" t="inlineStr">
      <is>
        <t>M</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09" sId="2" odxf="1" dxf="1">
    <nc r="I9">
      <v>1829809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10" sId="2" odxf="1" dxf="1">
    <nc r="J9" t="inlineStr">
      <is>
        <t>Fuch's</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K9"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L9"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M9"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N9"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O9"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cc rId="911" sId="2" odxf="1" dxf="1">
    <nc r="P9">
      <v>-0.5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12" sId="2" odxf="1" dxf="1">
    <nc r="Q9">
      <v>-0.63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13" sId="2" odxf="1" dxf="1">
    <nc r="R9" t="inlineStr">
      <is>
        <t>SOFTEC HD</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14" sId="2" odxf="1" dxf="1" numFmtId="19">
    <nc r="S9">
      <v>41176</v>
    </nc>
    <odxf>
      <numFmt numFmtId="0" formatCode="General"/>
      <fill>
        <patternFill patternType="none">
          <bgColor indexed="65"/>
        </patternFill>
      </fill>
      <alignment horizontal="general" vertical="bottom" readingOrder="0"/>
      <border outline="0">
        <left/>
        <right/>
        <top/>
        <bottom/>
      </border>
    </odxf>
    <ndxf>
      <numFmt numFmtId="19" formatCode="mm/dd/yyyy"/>
      <fill>
        <patternFill patternType="solid">
          <bgColor theme="5" tint="0.39994506668294322"/>
        </patternFill>
      </fill>
      <alignment horizontal="center" vertical="top" readingOrder="0"/>
      <border outline="0">
        <left style="thin">
          <color indexed="64"/>
        </left>
        <right style="thin">
          <color indexed="64"/>
        </right>
        <top style="thin">
          <color indexed="64"/>
        </top>
        <bottom style="thin">
          <color indexed="64"/>
        </bottom>
      </border>
    </ndxf>
  </rcc>
  <rcc rId="915" sId="2" odxf="1" dxf="1" numFmtId="4">
    <nc r="T9">
      <v>-1.25</v>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cc rId="916" sId="2" odxf="1" dxf="1" numFmtId="4">
    <nc r="U9">
      <v>0.25</v>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cc rId="917" sId="2" odxf="1" dxf="1">
    <nc r="V9">
      <v>145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18" sId="2" odxf="1" dxf="1">
    <nc r="W9">
      <v>20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19" sId="2" odxf="1" dxf="1">
    <nc r="X9">
      <v>11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20" sId="2" odxf="1" dxf="1">
    <nc r="Y9">
      <v>564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21" sId="2" odxf="1" dxf="1">
    <nc r="Z9">
      <v>26.78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AA9" start="0" length="0">
    <dxf>
      <alignment horizontal="center" vertical="top" readingOrder="0"/>
      <border outline="0">
        <left style="thin">
          <color indexed="64"/>
        </left>
        <right style="thin">
          <color indexed="64"/>
        </right>
        <top style="thin">
          <color indexed="64"/>
        </top>
        <bottom style="thin">
          <color indexed="64"/>
        </bottom>
      </border>
    </dxf>
  </rfmt>
  <rfmt sheetId="2" sqref="AB9" start="0" length="0">
    <dxf>
      <alignment horizontal="center" vertical="top" readingOrder="0"/>
      <border outline="0">
        <left style="thin">
          <color indexed="64"/>
        </left>
        <right style="thin">
          <color indexed="64"/>
        </right>
        <top style="thin">
          <color indexed="64"/>
        </top>
        <bottom style="thin">
          <color indexed="64"/>
        </bottom>
      </border>
    </dxf>
  </rfmt>
  <rcc rId="922" sId="2" odxf="1" dxf="1">
    <nc r="AC9">
      <v>3.82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23" sId="2" odxf="1" dxf="1">
    <nc r="AD9">
      <v>40.04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24" sId="2" odxf="1" dxf="1">
    <nc r="AE9">
      <v>39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25" sId="2" odxf="1" dxf="1">
    <nc r="AF9">
      <v>40.369999999999997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26" sId="2" odxf="1" dxf="1">
    <nc r="AG9">
      <v>129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AH9" start="0" length="0">
    <dxf>
      <alignment horizontal="center" vertical="top" readingOrder="0"/>
      <border outline="0">
        <left style="thin">
          <color indexed="64"/>
        </left>
        <right style="thin">
          <color indexed="64"/>
        </right>
        <top style="thin">
          <color indexed="64"/>
        </top>
        <bottom style="thin">
          <color indexed="64"/>
        </bottom>
      </border>
    </dxf>
  </rfmt>
  <rfmt sheetId="2" sqref="AI9" start="0" length="0">
    <dxf>
      <alignment horizontal="center" vertical="top" wrapText="1" readingOrder="0"/>
      <border outline="0">
        <left style="thin">
          <color indexed="64"/>
        </left>
        <right style="thin">
          <color indexed="64"/>
        </right>
        <top style="thin">
          <color indexed="64"/>
        </top>
        <bottom style="thin">
          <color indexed="64"/>
        </bottom>
      </border>
    </dxf>
  </rfmt>
  <rcc rId="927" sId="2" odxf="1" dxf="1" numFmtId="19">
    <nc r="AJ9">
      <v>41374</v>
    </nc>
    <odxf>
      <font>
        <sz val="10"/>
        <color auto="1"/>
        <name val="Arial"/>
        <scheme val="none"/>
      </font>
      <numFmt numFmtId="0" formatCode="General"/>
      <alignment horizontal="general" vertical="bottom" readingOrder="0"/>
      <border outline="0">
        <left/>
        <right/>
        <top/>
        <bottom/>
      </border>
    </odxf>
    <ndxf>
      <font>
        <sz val="10"/>
        <color auto="1"/>
        <name val="Arial"/>
        <scheme val="none"/>
      </font>
      <numFmt numFmtId="19" formatCode="mm/dd/yyyy"/>
      <alignment horizontal="center" vertical="top" readingOrder="0"/>
      <border outline="0">
        <left style="thin">
          <color indexed="64"/>
        </left>
        <right style="thin">
          <color indexed="64"/>
        </right>
        <top style="thin">
          <color indexed="64"/>
        </top>
        <bottom style="thin">
          <color indexed="64"/>
        </bottom>
      </border>
    </ndxf>
  </rcc>
  <rfmt sheetId="2" sqref="AK9" start="0" length="0">
    <dxf>
      <font>
        <sz val="10"/>
        <color auto="1"/>
        <name val="Arial"/>
        <scheme val="none"/>
      </font>
      <numFmt numFmtId="1" formatCode="0"/>
      <alignment horizontal="center" vertical="top" readingOrder="0"/>
      <border outline="0">
        <left style="thin">
          <color indexed="64"/>
        </left>
        <right style="thin">
          <color indexed="64"/>
        </right>
        <top style="thin">
          <color indexed="64"/>
        </top>
        <bottom style="thin">
          <color indexed="64"/>
        </bottom>
      </border>
    </dxf>
  </rfmt>
  <rcc rId="928" sId="2" odxf="1" dxf="1" numFmtId="4">
    <nc r="AL9">
      <v>-0.5</v>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cc rId="929" sId="2" odxf="1" dxf="1" numFmtId="4">
    <nc r="AM9">
      <v>1</v>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cc rId="930" sId="2" odxf="1" dxf="1">
    <nc r="AN9">
      <v>104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31" sId="2" odxf="1" dxf="1">
    <nc r="AO9">
      <v>15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32" sId="2" odxf="1" dxf="1">
    <nc r="AP9">
      <v>10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33" sId="2" odxf="1" dxf="1">
    <nc r="AQ9">
      <v>454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34" sId="2" odxf="1" dxf="1">
    <nc r="AR9">
      <v>2336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AS9" start="0" length="0">
    <dxf>
      <alignment horizontal="center" vertical="top" readingOrder="0"/>
      <border outline="0">
        <left style="thin">
          <color indexed="64"/>
        </left>
        <right style="thin">
          <color indexed="64"/>
        </right>
        <top style="thin">
          <color indexed="64"/>
        </top>
        <bottom style="thin">
          <color indexed="64"/>
        </bottom>
      </border>
    </dxf>
  </rfmt>
  <rfmt sheetId="2" sqref="AT9" start="0" length="0">
    <dxf>
      <alignment horizontal="center" vertical="top" readingOrder="0"/>
      <border outline="0">
        <left style="thin">
          <color indexed="64"/>
        </left>
        <right style="thin">
          <color indexed="64"/>
        </right>
        <top style="thin">
          <color indexed="64"/>
        </top>
        <bottom style="thin">
          <color indexed="64"/>
        </bottom>
      </border>
    </dxf>
  </rfmt>
  <rfmt sheetId="2" sqref="AU9" start="0" length="0">
    <dxf>
      <alignment horizontal="center" vertical="top" readingOrder="0"/>
      <border outline="0">
        <left style="thin">
          <color indexed="64"/>
        </left>
        <right style="thin">
          <color indexed="64"/>
        </right>
        <top style="thin">
          <color indexed="64"/>
        </top>
        <bottom style="thin">
          <color indexed="64"/>
        </bottom>
      </border>
    </dxf>
  </rfmt>
  <rfmt sheetId="2" sqref="AV9" start="0" length="0">
    <dxf>
      <alignment horizontal="center" vertical="top" readingOrder="0"/>
      <border outline="0">
        <left style="thin">
          <color indexed="64"/>
        </left>
        <right style="thin">
          <color indexed="64"/>
        </right>
        <top style="thin">
          <color indexed="64"/>
        </top>
        <bottom style="thin">
          <color indexed="64"/>
        </bottom>
      </border>
    </dxf>
  </rfmt>
  <rfmt sheetId="2" sqref="AW9" start="0" length="0">
    <dxf>
      <alignment horizontal="center" vertical="top" readingOrder="0"/>
      <border outline="0">
        <left style="thin">
          <color indexed="64"/>
        </left>
        <right style="thin">
          <color indexed="64"/>
        </right>
        <top style="thin">
          <color indexed="64"/>
        </top>
        <bottom style="thin">
          <color indexed="64"/>
        </bottom>
      </border>
    </dxf>
  </rfmt>
  <rfmt sheetId="2" sqref="AX9" start="0" length="0">
    <dxf>
      <alignment horizontal="center" vertical="top" readingOrder="0"/>
      <border outline="0">
        <left style="thin">
          <color indexed="64"/>
        </left>
        <right style="thin">
          <color indexed="64"/>
        </right>
        <top style="thin">
          <color indexed="64"/>
        </top>
        <bottom style="thin">
          <color indexed="64"/>
        </bottom>
      </border>
    </dxf>
  </rfmt>
  <rcc rId="935" sId="2" odxf="1" dxf="1">
    <nc r="AY9">
      <f>IF(ISNUMBER(AL9),AL9+0.5*AM9,"")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36" sId="2" odxf="1" dxf="1">
    <nc r="AZ9">
      <f>IF(ISNUMBER(AY9),IF(ISNUMBER(Q9),AY9-Q9,"MISSING"),"")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37" sId="2" odxf="1" dxf="1">
    <nc r="BA9">
      <f>IF(AND(ISNUMBER(AQ9),ISNUMBER(Y9)),AQ9-Y9,IF(ISNUMBER(AQ9),"MISSING",""))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38" sId="2" odxf="1" dxf="1" numFmtId="19">
    <nc r="BB9">
      <v>41561</v>
    </nc>
    <odxf>
      <numFmt numFmtId="0" formatCode="General"/>
      <alignment horizontal="general" vertical="bottom" readingOrder="0"/>
      <border outline="0">
        <left/>
        <right/>
        <top/>
        <bottom/>
      </border>
    </odxf>
    <ndxf>
      <numFmt numFmtId="19" formatCode="mm/dd/yyyy"/>
      <alignment horizontal="center" vertical="top" readingOrder="0"/>
      <border outline="0">
        <left style="thin">
          <color indexed="64"/>
        </left>
        <right style="thin">
          <color indexed="64"/>
        </right>
        <top style="thin">
          <color indexed="64"/>
        </top>
        <bottom style="thin">
          <color indexed="64"/>
        </bottom>
      </border>
    </ndxf>
  </rcc>
  <rfmt sheetId="2" sqref="BC9" start="0" length="0">
    <dxf>
      <numFmt numFmtId="1" formatCode="0"/>
      <alignment horizontal="center" vertical="top" readingOrder="0"/>
      <border outline="0">
        <left style="thin">
          <color indexed="64"/>
        </left>
        <right style="thin">
          <color indexed="64"/>
        </right>
        <top style="thin">
          <color indexed="64"/>
        </top>
        <bottom style="thin">
          <color indexed="64"/>
        </bottom>
      </border>
    </dxf>
  </rfmt>
  <rcc rId="939" sId="2" odxf="1" dxf="1" numFmtId="4">
    <nc r="BD9">
      <v>-0.5</v>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cc rId="940" sId="2" odxf="1" dxf="1" numFmtId="4">
    <nc r="BE9">
      <v>1.25</v>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cc rId="941" sId="2" odxf="1" dxf="1">
    <nc r="BF9">
      <v>74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42" sId="2" odxf="1" dxf="1">
    <nc r="BG9">
      <v>25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43" sId="2" odxf="1" dxf="1">
    <nc r="BH9">
      <v>11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44" sId="2" odxf="1" dxf="1">
    <nc r="BI9">
      <v>569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45" sId="2" odxf="1" dxf="1">
    <nc r="BJ9">
      <v>1724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46" sId="2" odxf="1" dxf="1">
    <nc r="BK9">
      <v>26.8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47" sId="2" odxf="1" dxf="1">
    <nc r="BL9" t="inlineStr">
      <is>
        <t>?</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48" sId="2" odxf="1" dxf="1">
    <nc r="BM9">
      <v>38.14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49" sId="2" odxf="1" dxf="1">
    <nc r="BN9">
      <v>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50" sId="2" odxf="1" dxf="1">
    <nc r="BO9">
      <v>38.31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51" sId="2" odxf="1" dxf="1">
    <nc r="BP9">
      <v>95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52" sId="2" odxf="1" dxf="1">
    <nc r="BQ9">
      <f>IF(ISNUMBER(BD9),BD9+0.5*BE9,"")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53" sId="2" odxf="1" dxf="1">
    <nc r="BR9">
      <f>IF(ISNUMBER(BQ9),IF(ISNUMBER($Q9),BQ9-$Q9,"MISSING"),"")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54" sId="2" odxf="1" dxf="1">
    <nc r="BS9">
      <f>IF(AND(ISNUMBER(BI9),ISNUMBER($Y9)),BI9-$Y9,IF(ISNUMBER(BI9),"MISSING",""))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55" sId="2" odxf="1" dxf="1">
    <nc r="BT9">
      <f>IF(AND(ISBLANK($AL9),ISBLANK($BD9)),0,1)</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56" sId="2" odxf="1" dxf="1">
    <nc r="BU9">
      <f>IF(AND(ISNUMBER($AL9),ISNUMBER($BD9)),1,0)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57" sId="2" odxf="1" dxf="1">
    <nc r="BV9">
      <f>IF(BU9,SE_PREOP,"")</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58" sId="2" odxf="1" dxf="1">
    <nc r="BW9">
      <f>IF(FU_6_AND_12,SE_6,"")</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59" sId="2" odxf="1" dxf="1">
    <nc r="BX9">
      <f>IF(FU_6_AND_12,SE_12,"")</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60" sId="2" odxf="1" dxf="1">
    <nc r="BY9">
      <f>IF(AND(ISNUMBER(BB9),ISNUMBER(BD9)),BB9-A9,IF(ISNUMBER(AJ9),AJ9-A9,0))</f>
    </nc>
    <odxf>
      <numFmt numFmtId="0" formatCode="General"/>
      <alignment horizontal="general" vertical="bottom" readingOrder="0"/>
      <border outline="0">
        <left/>
        <right/>
        <top/>
        <bottom/>
      </border>
    </odxf>
    <ndxf>
      <numFmt numFmtId="2" formatCode="0.00"/>
      <alignment horizontal="center" vertical="top" readingOrder="0"/>
      <border outline="0">
        <left style="thin">
          <color indexed="64"/>
        </left>
        <right style="thin">
          <color indexed="64"/>
        </right>
        <top style="thin">
          <color indexed="64"/>
        </top>
        <bottom style="thin">
          <color indexed="64"/>
        </bottom>
      </border>
    </ndxf>
  </rcc>
  <rcc rId="961" sId="2" odxf="1" dxf="1">
    <nc r="BZ9">
      <f>IF(BY9&gt;0,BY9/30,"")</f>
    </nc>
    <odxf>
      <numFmt numFmtId="0" formatCode="General"/>
      <alignment horizontal="general" vertical="bottom" readingOrder="0"/>
      <border outline="0">
        <left/>
        <right/>
        <top/>
        <bottom/>
      </border>
    </odxf>
    <ndxf>
      <numFmt numFmtId="165" formatCode="0.0"/>
      <alignment horizontal="center" vertical="top" readingOrder="0"/>
      <border outline="0">
        <left style="thin">
          <color indexed="64"/>
        </left>
        <right style="thin">
          <color indexed="64"/>
        </right>
        <top style="thin">
          <color indexed="64"/>
        </top>
        <bottom style="thin">
          <color indexed="64"/>
        </bottom>
      </border>
    </ndxf>
  </rcc>
  <rcc rId="962" sId="2" odxf="1" dxf="1">
    <nc r="CA9">
      <f>IF(AND(ISNUMBER(AY9),ISNUMBER(BQ9)),(BQ9-AY9),"")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63" sId="2" odxf="1" dxf="1">
    <nc r="CB9">
      <f>IF(AND(ISNUMBER(AW9), ISNUMBER(AD9)), AVERAGE(AW9,AU9)-AVERAGE(AD9,AF9),"")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64" sId="2" odxf="1" dxf="1">
    <nc r="CC9">
      <f>IF(AND(ISNUMBER(BM9), ISNUMBER(AD9)), AVERAGE(BM9,BO9)-AVERAGE(AD9,AF9),"")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65" sId="2" odxf="1" dxf="1">
    <nc r="CD9">
      <f>IF(ISNUMBER(CC9),CC9,IF(ISNUMBER(CB9),CB9,""))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66" sId="2" odxf="1" dxf="1">
    <nc r="CE9">
      <f>IF(AND(ISNUMBER(SPH_PREOP),ISNUMBER(SE_LAST_)),SPH_PREOP+CYL_PREOP/2,"")</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67" sId="2" odxf="1" dxf="1">
    <nc r="CF9">
      <f>IF(ISNUMBER(SE_12),SE_12,IF(ISNUMBER(SE_6),SE_6,""))</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68" sId="2" odxf="1" dxf="1">
    <nc r="CG9">
      <f>IF(AND(ISNUMBER(SE_LAST_),ISNUMBER(REF_TARGET)),SE_LAST_-REF_TARGET,"")</f>
    </nc>
    <odxf>
      <alignment horizontal="general" vertical="bottom" readingOrder="0"/>
      <border outline="0">
        <left/>
        <right/>
        <top/>
        <bottom/>
      </border>
    </odxf>
    <ndxf>
      <alignment horizontal="center" vertical="top" readingOrder="0"/>
      <border outline="0">
        <left style="thin">
          <color indexed="64"/>
        </left>
        <right style="double">
          <color indexed="64"/>
        </right>
        <top style="thin">
          <color indexed="64"/>
        </top>
        <bottom style="thin">
          <color indexed="64"/>
        </bottom>
      </border>
    </ndxf>
  </rcc>
  <rcc rId="969" sId="2" odxf="1" dxf="1">
    <nc r="CH9">
      <f>IF(ISNUMBER(Y9),IF(ISNUMBER(BI9),BI9-Y9,IF(ISNUMBER(AQ9),AQ9-Y9,"")),"")</f>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970" sId="2" odxf="1" dxf="1">
    <nc r="CI9">
      <f>IF(ISNUMBER(Z9),IF(ISNUMBER(AS9),AS9-Z9,IF(ISNUMBER(BK9),BK9-Z9,"")),"")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71" sId="2" odxf="1" dxf="1">
    <nc r="CJ9">
      <f>IF(ISNUMBER(LAST_SE_ERROR),REF_TARGET,"")</f>
    </nc>
    <odxf>
      <alignment horizontal="general" vertical="bottom" readingOrder="0"/>
    </odxf>
    <ndxf>
      <alignment horizontal="center" vertical="top" readingOrder="0"/>
    </ndxf>
  </rcc>
  <rcc rId="972" sId="2" odxf="1" dxf="1">
    <nc r="CK9">
      <f>IF(AND(OR(ISNUMBER(BG9),ISNUMBER(AO9)),ISNUMBER(W9)),-LOG(20/W9)--LOG(20/IF(ISNUMBER(BG9),BG9,AO9)),"")</f>
    </nc>
    <odxf>
      <alignment horizontal="general" vertical="bottom" readingOrder="0"/>
    </odxf>
    <ndxf>
      <alignment horizontal="center" vertical="top" readingOrder="0"/>
    </ndxf>
  </rcc>
  <rcc rId="973" sId="2" odxf="1" dxf="1">
    <nc r="CL9">
      <f>IF(ISNUMBER(BE9),BE9,IF(ISNUMBER(AM9),AM9,""))</f>
    </nc>
    <odxf>
      <numFmt numFmtId="0" formatCode="General"/>
      <alignment horizontal="general" vertical="bottom" readingOrder="0"/>
    </odxf>
    <ndxf>
      <numFmt numFmtId="166" formatCode="\+#0.00;\-#0.00;0;@"/>
      <alignment horizontal="center" vertical="top" readingOrder="0"/>
    </ndxf>
  </rcc>
  <rcc rId="974" sId="2" odxf="1" dxf="1">
    <nc r="CM9">
      <f>IF(AND(ISNUMBER(CL9),ISNUMBER(U9)),CL9-U9,"")</f>
    </nc>
    <odxf>
      <numFmt numFmtId="0" formatCode="General"/>
      <alignment horizontal="general" vertical="bottom" readingOrder="0"/>
    </odxf>
    <ndxf>
      <numFmt numFmtId="166" formatCode="\+#0.00;\-#0.00;0;@"/>
      <alignment horizontal="center" vertical="top" readingOrder="0"/>
    </ndxf>
  </rcc>
  <rcc rId="975" sId="2" odxf="1" dxf="1">
    <nc r="CN9">
      <f>IF(ISNUMBER(BCVA_12),BCVA_12,IF(ISNUMBER(BCVA_6),BCVA_6,""))</f>
    </nc>
    <odxf>
      <numFmt numFmtId="0" formatCode="General"/>
      <alignment horizontal="general" vertical="bottom" readingOrder="0"/>
    </odxf>
    <ndxf>
      <numFmt numFmtId="1" formatCode="0"/>
      <alignment horizontal="center" vertical="top" readingOrder="0"/>
    </ndxf>
  </rcc>
  <rcc rId="976" sId="2" odxf="1" dxf="1">
    <nc r="CO9">
      <f>IF(AND(REF_TARGET&lt;=0,REF_TARGET&gt;-1),IF(ISNUMBER(UDVA_12),UDVA_12,IF(ISNUMBER(UDVA_6),UDVA_6,"")),"")</f>
    </nc>
    <odxf>
      <font>
        <sz val="10"/>
        <color auto="1"/>
        <name val="Arial"/>
        <scheme val="none"/>
      </font>
      <numFmt numFmtId="0" formatCode="General"/>
      <alignment horizontal="general" vertical="bottom" readingOrder="0"/>
    </odxf>
    <ndxf>
      <font>
        <sz val="10"/>
        <color auto="1"/>
        <name val="Arial"/>
        <scheme val="none"/>
      </font>
      <numFmt numFmtId="1" formatCode="0"/>
      <alignment horizontal="center" vertical="top" readingOrder="0"/>
    </ndxf>
  </rcc>
  <rcc rId="977" sId="2" odxf="1" dxf="1">
    <nc r="CP9">
      <f>IF(ISNUMBER($CS9),IF(ISNUMBER($AL9),IF(ISNUMBER($EN9),0,1),""),"")</f>
    </nc>
    <odxf>
      <alignment horizontal="general" vertical="bottom" readingOrder="0"/>
    </odxf>
    <ndxf>
      <alignment horizontal="center" vertical="top" readingOrder="0"/>
    </ndxf>
  </rcc>
  <rcc rId="978" sId="2" odxf="1" dxf="1">
    <nc r="CQ9">
      <f>IF(ISNUMBER($CS9),IF(ISNUMBER($BD9),IF(ISNUMBER($GJ9),0,1),""),"")</f>
    </nc>
    <odxf>
      <alignment horizontal="general" vertical="bottom" readingOrder="0"/>
    </odxf>
    <ndxf>
      <alignment horizontal="center" vertical="top" readingOrder="0"/>
    </ndxf>
  </rcc>
  <rcc rId="979" sId="2">
    <nc r="CR9">
      <v>9.02</v>
    </nc>
  </rcc>
  <rcc rId="980" sId="2" odxf="1" dxf="1">
    <nc r="CS9">
      <v>8.65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81" sId="2" odxf="1" dxf="1">
    <nc r="CT9">
      <v>3.5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82" sId="2" odxf="1" dxf="1">
    <nc r="CU9">
      <v>-1.6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83" sId="2" odxf="1" dxf="1">
    <nc r="CV9">
      <v>-0.94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84" sId="2" odxf="1" dxf="1">
    <nc r="CW9">
      <v>-0.81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85" sId="2" odxf="1" dxf="1">
    <nc r="CX9">
      <v>3.19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86" sId="2" odxf="1" dxf="1">
    <nc r="CY9">
      <v>3.76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87" sId="2" odxf="1" dxf="1">
    <nc r="CZ9">
      <v>568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88" sId="2" odxf="1" dxf="1">
    <nc r="DA9">
      <v>565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89" sId="2" odxf="1" dxf="1">
    <nc r="DB9">
      <v>623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90" sId="2" odxf="1" dxf="1">
    <nc r="DC9">
      <v>647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91" sId="2" odxf="1" dxf="1">
    <nc r="DD9">
      <v>641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92" sId="2" odxf="1" dxf="1">
    <nc r="DE9">
      <v>636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93" sId="2" odxf="1" dxf="1">
    <nc r="DF9">
      <v>555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94" sId="2" odxf="1" dxf="1">
    <nc r="DG9">
      <v>7.0000000000000007E-2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95" sId="2" odxf="1" dxf="1">
    <nc r="DH9">
      <v>0.97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96" sId="2" odxf="1" dxf="1">
    <nc r="DI9">
      <v>8.92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97" sId="2" odxf="1" dxf="1">
    <nc r="DJ9">
      <v>8.66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98" sId="2" odxf="1" dxf="1">
    <nc r="DK9">
      <v>8.34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999" sId="2" odxf="1" dxf="1">
    <nc r="DL9">
      <v>8.14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00" sId="2" odxf="1" dxf="1">
    <nc r="DM9">
      <v>8.2799999999999994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01" sId="2" odxf="1" dxf="1">
    <nc r="DN9">
      <v>8.57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02" sId="2" odxf="1" dxf="1">
    <nc r="DO9">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03" sId="2" odxf="1" dxf="1">
    <nc r="DP9">
      <v>1.2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04" sId="2" odxf="1" dxf="1">
    <nc r="DQ9">
      <v>7.28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05" sId="2" odxf="1" dxf="1">
    <nc r="DR9">
      <v>7.21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06" sId="2" odxf="1" dxf="1">
    <nc r="DS9">
      <v>7.09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07" sId="2" odxf="1" dxf="1">
    <nc r="DT9">
      <v>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08" sId="2" odxf="1" dxf="1">
    <nc r="DU9">
      <v>7.21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09" sId="2" odxf="1" dxf="1">
    <nc r="DV9">
      <v>7.55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10" sId="2" odxf="1" dxf="1">
    <nc r="DW9">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11" sId="2" odxf="1" dxf="1">
    <nc r="DX9">
      <v>1.2</v>
    </nc>
    <odxf>
      <alignment horizontal="general" vertical="bottom" readingOrder="0"/>
      <border outline="0">
        <left/>
        <right/>
        <top/>
        <bottom/>
      </border>
    </odxf>
    <ndxf>
      <alignment horizontal="center" vertical="top" readingOrder="0"/>
      <border outline="0">
        <left style="thin">
          <color indexed="64"/>
        </left>
        <right style="mediumDashDot">
          <color indexed="64"/>
        </right>
        <top style="thin">
          <color indexed="64"/>
        </top>
        <bottom style="thin">
          <color indexed="64"/>
        </bottom>
      </border>
    </ndxf>
  </rcc>
  <rcc rId="1012" sId="2" odxf="1" dxf="1">
    <nc r="DY9">
      <v>37.4</v>
    </nc>
    <odxf>
      <alignment horizontal="general" vertical="bottom" readingOrder="0"/>
      <border outline="0">
        <top/>
        <bottom/>
      </border>
    </odxf>
    <ndxf>
      <alignment horizontal="center" vertical="top" readingOrder="0"/>
      <border outline="0">
        <top style="thin">
          <color indexed="64"/>
        </top>
        <bottom style="thin">
          <color indexed="64"/>
        </bottom>
      </border>
    </ndxf>
  </rcc>
  <rcc rId="1013" sId="2" odxf="1" dxf="1">
    <nc r="DZ9">
      <v>39</v>
    </nc>
    <odxf>
      <alignment horizontal="general" vertical="bottom" readingOrder="0"/>
      <border outline="0">
        <top/>
        <bottom/>
      </border>
    </odxf>
    <ndxf>
      <alignment horizontal="center" vertical="top" readingOrder="0"/>
      <border outline="0">
        <top style="thin">
          <color indexed="64"/>
        </top>
        <bottom style="thin">
          <color indexed="64"/>
        </bottom>
      </border>
    </ndxf>
  </rcc>
  <rcc rId="1014" sId="2" odxf="1" dxf="1">
    <nc r="EA9">
      <v>38.200000000000003</v>
    </nc>
    <odxf>
      <alignment horizontal="general" vertical="bottom" readingOrder="0"/>
      <border outline="0">
        <top/>
        <bottom/>
      </border>
    </odxf>
    <ndxf>
      <alignment horizontal="center" vertical="top" readingOrder="0"/>
      <border outline="0">
        <top style="thin">
          <color indexed="64"/>
        </top>
        <bottom style="thin">
          <color indexed="64"/>
        </bottom>
      </border>
    </ndxf>
  </rcc>
  <rcc rId="1015" sId="2" odxf="1" dxf="1">
    <nc r="EB9">
      <v>3.5</v>
    </nc>
    <odxf>
      <alignment horizontal="general" vertical="bottom" readingOrder="0"/>
      <border outline="0">
        <top/>
        <bottom/>
      </border>
    </odxf>
    <ndxf>
      <alignment horizontal="center" vertical="top" readingOrder="0"/>
      <border outline="0">
        <top style="thin">
          <color indexed="64"/>
        </top>
        <bottom style="thin">
          <color indexed="64"/>
        </bottom>
      </border>
    </ndxf>
  </rcc>
  <rcc rId="1016" sId="2" odxf="1" dxf="1">
    <nc r="EC9">
      <v>1.6</v>
    </nc>
    <odxf>
      <alignment horizontal="general" vertical="bottom" readingOrder="0"/>
      <border outline="0">
        <top/>
        <bottom/>
      </border>
    </odxf>
    <ndxf>
      <alignment horizontal="center" vertical="top" readingOrder="0"/>
      <border outline="0">
        <top style="thin">
          <color indexed="64"/>
        </top>
        <bottom style="thin">
          <color indexed="64"/>
        </bottom>
      </border>
    </ndxf>
  </rcc>
  <rcc rId="1017" sId="2" odxf="1" dxf="1">
    <nc r="ED9">
      <v>-5.5</v>
    </nc>
    <odxf>
      <alignment horizontal="general" vertical="bottom" readingOrder="0"/>
      <border outline="0">
        <top/>
        <bottom/>
      </border>
    </odxf>
    <ndxf>
      <alignment horizontal="center" vertical="top" readingOrder="0"/>
      <border outline="0">
        <top style="thin">
          <color indexed="64"/>
        </top>
        <bottom style="thin">
          <color indexed="64"/>
        </bottom>
      </border>
    </ndxf>
  </rcc>
  <rcc rId="1018" sId="2" odxf="1" dxf="1">
    <nc r="EE9">
      <v>-5.5</v>
    </nc>
    <odxf>
      <alignment horizontal="general" vertical="bottom" readingOrder="0"/>
      <border outline="0">
        <top/>
        <bottom/>
      </border>
    </odxf>
    <ndxf>
      <alignment horizontal="center" vertical="top" readingOrder="0"/>
      <border outline="0">
        <top style="thin">
          <color indexed="64"/>
        </top>
        <bottom style="thin">
          <color indexed="64"/>
        </bottom>
      </border>
    </ndxf>
  </rcc>
  <rcc rId="1019" sId="2" odxf="1" dxf="1">
    <nc r="EF9">
      <v>-5.5</v>
    </nc>
    <odxf>
      <alignment horizontal="general" vertical="bottom" readingOrder="0"/>
      <border outline="0">
        <top/>
        <bottom/>
      </border>
    </odxf>
    <ndxf>
      <alignment horizontal="center" vertical="top" readingOrder="0"/>
      <border outline="0">
        <top style="thin">
          <color indexed="64"/>
        </top>
        <bottom style="thin">
          <color indexed="64"/>
        </bottom>
      </border>
    </ndxf>
  </rcc>
  <rcc rId="1020" sId="2" odxf="1" dxf="1">
    <nc r="EG9">
      <v>165.8</v>
    </nc>
    <odxf>
      <alignment horizontal="general" vertical="bottom" readingOrder="0"/>
      <border outline="0">
        <top/>
        <bottom/>
      </border>
    </odxf>
    <ndxf>
      <alignment horizontal="center" vertical="top" readingOrder="0"/>
      <border outline="0">
        <top style="thin">
          <color indexed="64"/>
        </top>
        <bottom style="thin">
          <color indexed="64"/>
        </bottom>
      </border>
    </ndxf>
  </rcc>
  <rcc rId="1021" sId="2" odxf="1" dxf="1">
    <nc r="EH9">
      <v>0</v>
    </nc>
    <odxf>
      <alignment horizontal="general" vertical="bottom" readingOrder="0"/>
      <border outline="0">
        <top/>
        <bottom/>
      </border>
    </odxf>
    <ndxf>
      <alignment horizontal="center" vertical="top" readingOrder="0"/>
      <border outline="0">
        <top style="thin">
          <color indexed="64"/>
        </top>
        <bottom style="thin">
          <color indexed="64"/>
        </bottom>
      </border>
    </ndxf>
  </rcc>
  <rcc rId="1022" sId="2" odxf="1" dxf="1">
    <nc r="EI9">
      <v>4.0999999999999996</v>
    </nc>
    <odxf>
      <alignment horizontal="general" vertical="bottom" readingOrder="0"/>
      <border outline="0">
        <top/>
        <bottom/>
      </border>
    </odxf>
    <ndxf>
      <alignment horizontal="center" vertical="top" readingOrder="0"/>
      <border outline="0">
        <top style="thin">
          <color indexed="64"/>
        </top>
        <bottom style="thin">
          <color indexed="64"/>
        </bottom>
      </border>
    </ndxf>
  </rcc>
  <rcc rId="1023" sId="2" odxf="1" dxf="1">
    <nc r="EJ9">
      <v>11.9</v>
    </nc>
    <odxf>
      <alignment horizontal="general" vertical="bottom" readingOrder="0"/>
      <border outline="0">
        <top/>
        <bottom/>
      </border>
    </odxf>
    <ndxf>
      <alignment horizontal="center" vertical="top" readingOrder="0"/>
      <border outline="0">
        <top style="thin">
          <color indexed="64"/>
        </top>
        <bottom style="thin">
          <color indexed="64"/>
        </bottom>
      </border>
    </ndxf>
  </rcc>
  <rcc rId="1024" sId="2" odxf="1" dxf="1">
    <nc r="EK9">
      <v>25</v>
    </nc>
    <odxf>
      <alignment horizontal="general" vertical="bottom" readingOrder="0"/>
      <border outline="0">
        <top/>
        <bottom/>
      </border>
    </odxf>
    <ndxf>
      <alignment horizontal="center" vertical="top" readingOrder="0"/>
      <border outline="0">
        <top style="thin">
          <color indexed="64"/>
        </top>
        <bottom style="thin">
          <color indexed="64"/>
        </bottom>
      </border>
    </ndxf>
  </rcc>
  <rcc rId="1025" sId="2" odxf="1" dxf="1">
    <nc r="EL9">
      <v>58.6</v>
    </nc>
    <odxf>
      <alignment horizontal="general" vertical="bottom" readingOrder="0"/>
      <border outline="0">
        <top/>
        <bottom/>
      </border>
    </odxf>
    <ndxf>
      <alignment horizontal="center" vertical="top" readingOrder="0"/>
      <border outline="0">
        <top style="thin">
          <color indexed="64"/>
        </top>
        <bottom style="thin">
          <color indexed="64"/>
        </bottom>
      </border>
    </ndxf>
  </rcc>
  <rcc rId="1026" sId="2" odxf="1" dxf="1">
    <nc r="EM9">
      <v>38</v>
    </nc>
    <odxf>
      <alignment horizontal="general" vertical="bottom" readingOrder="0"/>
      <border outline="0">
        <right/>
        <top/>
        <bottom/>
      </border>
    </odxf>
    <ndxf>
      <alignment horizontal="center" vertical="top" readingOrder="0"/>
      <border outline="0">
        <right style="dashed">
          <color auto="1"/>
        </right>
        <top style="thin">
          <color indexed="64"/>
        </top>
        <bottom style="thin">
          <color indexed="64"/>
        </bottom>
      </border>
    </ndxf>
  </rcc>
  <rcc rId="1027" sId="2" odxf="1" dxf="1">
    <nc r="EN9">
      <v>9</v>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1028" sId="2" odxf="1" dxf="1">
    <nc r="EO9">
      <v>8.85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29" sId="2" odxf="1" dxf="1">
    <nc r="EP9">
      <v>160.4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30" sId="2" odxf="1" dxf="1">
    <nc r="EQ9">
      <v>-0.6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31" sId="2" odxf="1" dxf="1">
    <nc r="ER9">
      <v>-0.85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32" sId="2" odxf="1" dxf="1">
    <nc r="ES9">
      <v>-0.86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33" sId="2" odxf="1" dxf="1">
    <nc r="ET9">
      <v>5.94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34" sId="2" odxf="1" dxf="1">
    <nc r="EU9">
      <v>6.39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35" sId="2" odxf="1" dxf="1">
    <nc r="EV9">
      <v>452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36" sId="2" odxf="1" dxf="1">
    <nc r="EW9">
      <v>453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37" sId="2" odxf="1" dxf="1">
    <nc r="EX9">
      <v>638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38" sId="2" odxf="1" dxf="1">
    <nc r="EY9">
      <v>537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39" sId="2" odxf="1" dxf="1">
    <nc r="EZ9">
      <v>605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40" sId="2" odxf="1" dxf="1">
    <nc r="FA9">
      <v>527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41" sId="2" odxf="1" dxf="1">
    <nc r="FB9">
      <v>439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42" sId="2" odxf="1" dxf="1">
    <nc r="FC9">
      <v>0.79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43" sId="2" odxf="1" dxf="1">
    <nc r="FD9">
      <v>-0.59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44" sId="2" odxf="1" dxf="1">
    <nc r="FE9">
      <v>8.94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45" sId="2" odxf="1" dxf="1">
    <nc r="FF9">
      <v>8.86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46" sId="2" odxf="1" dxf="1">
    <nc r="FG9">
      <v>8.59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47" sId="2" odxf="1" dxf="1">
    <nc r="FH9">
      <v>8.26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48" sId="2" odxf="1" dxf="1">
    <nc r="FI9">
      <v>8.23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49" sId="2" odxf="1" dxf="1">
    <nc r="FJ9">
      <v>8.3699999999999992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50" sId="2" odxf="1" dxf="1">
    <nc r="FK9">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51" sId="2" odxf="1" dxf="1">
    <nc r="FL9">
      <v>1.3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52" sId="2" odxf="1" dxf="1">
    <nc r="FM9">
      <v>6.99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53" sId="2" odxf="1" dxf="1">
    <nc r="FN9">
      <v>6.73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54" sId="2" odxf="1" dxf="1">
    <nc r="FO9">
      <v>6.67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55" sId="2" odxf="1" dxf="1">
    <nc r="FP9">
      <v>6.77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56" sId="2" odxf="1" dxf="1">
    <nc r="FQ9">
      <v>6.96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57" sId="2" odxf="1" dxf="1">
    <nc r="FR9">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58" sId="2" odxf="1" dxf="1">
    <nc r="FS9">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59" sId="2" odxf="1" dxf="1">
    <nc r="FT9">
      <v>1.3</v>
    </nc>
    <odxf>
      <alignment horizontal="general" vertical="bottom" readingOrder="0"/>
      <border outline="0">
        <left/>
        <right/>
        <top/>
        <bottom/>
      </border>
    </odxf>
    <ndxf>
      <alignment horizontal="center" vertical="top" readingOrder="0"/>
      <border outline="0">
        <left style="thin">
          <color indexed="64"/>
        </left>
        <right style="mediumDashed">
          <color indexed="64"/>
        </right>
        <top style="thin">
          <color indexed="64"/>
        </top>
        <bottom style="thin">
          <color indexed="64"/>
        </bottom>
      </border>
    </ndxf>
  </rcc>
  <rcc rId="1060" sId="2" odxf="1" dxf="1">
    <nc r="FU9">
      <v>37.5</v>
    </nc>
    <odxf>
      <alignment horizontal="general" vertical="bottom" readingOrder="0"/>
      <border outline="0">
        <top/>
        <bottom/>
      </border>
    </odxf>
    <ndxf>
      <alignment horizontal="center" vertical="top" readingOrder="0"/>
      <border outline="0">
        <top style="thin">
          <color indexed="64"/>
        </top>
        <bottom style="thin">
          <color indexed="64"/>
        </bottom>
      </border>
    </ndxf>
  </rcc>
  <rcc rId="1061" sId="2" odxf="1" dxf="1">
    <nc r="FV9">
      <v>38.1</v>
    </nc>
    <odxf>
      <alignment horizontal="general" vertical="bottom" readingOrder="0"/>
      <border outline="0">
        <top/>
        <bottom/>
      </border>
    </odxf>
    <ndxf>
      <alignment horizontal="center" vertical="top" readingOrder="0"/>
      <border outline="0">
        <top style="thin">
          <color indexed="64"/>
        </top>
        <bottom style="thin">
          <color indexed="64"/>
        </bottom>
      </border>
    </ndxf>
  </rcc>
  <rcc rId="1062" sId="2" odxf="1" dxf="1">
    <nc r="FW9">
      <v>37.799999999999997</v>
    </nc>
    <odxf>
      <alignment horizontal="general" vertical="bottom" readingOrder="0"/>
      <border outline="0">
        <top/>
        <bottom/>
      </border>
    </odxf>
    <ndxf>
      <alignment horizontal="center" vertical="top" readingOrder="0"/>
      <border outline="0">
        <top style="thin">
          <color indexed="64"/>
        </top>
        <bottom style="thin">
          <color indexed="64"/>
        </bottom>
      </border>
    </ndxf>
  </rcc>
  <rcc rId="1063" sId="2" odxf="1" dxf="1">
    <nc r="FX9">
      <v>160.4</v>
    </nc>
    <odxf>
      <alignment horizontal="general" vertical="bottom" readingOrder="0"/>
      <border outline="0">
        <top/>
        <bottom/>
      </border>
    </odxf>
    <ndxf>
      <alignment horizontal="center" vertical="top" readingOrder="0"/>
      <border outline="0">
        <top style="thin">
          <color indexed="64"/>
        </top>
        <bottom style="thin">
          <color indexed="64"/>
        </bottom>
      </border>
    </ndxf>
  </rcc>
  <rcc rId="1064" sId="2" odxf="1" dxf="1">
    <nc r="FY9">
      <v>0.6</v>
    </nc>
    <odxf>
      <alignment horizontal="general" vertical="bottom" readingOrder="0"/>
      <border outline="0">
        <top/>
        <bottom/>
      </border>
    </odxf>
    <ndxf>
      <alignment horizontal="center" vertical="top" readingOrder="0"/>
      <border outline="0">
        <top style="thin">
          <color indexed="64"/>
        </top>
        <bottom style="thin">
          <color indexed="64"/>
        </bottom>
      </border>
    </ndxf>
  </rcc>
  <rcc rId="1065" sId="2" odxf="1" dxf="1">
    <nc r="FZ9">
      <v>-5.5</v>
    </nc>
    <odxf>
      <alignment horizontal="general" vertical="bottom" readingOrder="0"/>
      <border outline="0">
        <top/>
        <bottom/>
      </border>
    </odxf>
    <ndxf>
      <alignment horizontal="center" vertical="top" readingOrder="0"/>
      <border outline="0">
        <top style="thin">
          <color indexed="64"/>
        </top>
        <bottom style="thin">
          <color indexed="64"/>
        </bottom>
      </border>
    </ndxf>
  </rcc>
  <rcc rId="1066" sId="2" odxf="1" dxf="1">
    <nc r="GA9">
      <v>-6</v>
    </nc>
    <odxf>
      <alignment horizontal="general" vertical="bottom" readingOrder="0"/>
      <border outline="0">
        <top/>
        <bottom/>
      </border>
    </odxf>
    <ndxf>
      <alignment horizontal="center" vertical="top" readingOrder="0"/>
      <border outline="0">
        <top style="thin">
          <color indexed="64"/>
        </top>
        <bottom style="thin">
          <color indexed="64"/>
        </bottom>
      </border>
    </ndxf>
  </rcc>
  <rcc rId="1067" sId="2" odxf="1" dxf="1">
    <nc r="GB9">
      <v>-5.8</v>
    </nc>
    <odxf>
      <alignment horizontal="general" vertical="bottom" readingOrder="0"/>
      <border outline="0">
        <top/>
        <bottom/>
      </border>
    </odxf>
    <ndxf>
      <alignment horizontal="center" vertical="top" readingOrder="0"/>
      <border outline="0">
        <top style="thin">
          <color indexed="64"/>
        </top>
        <bottom style="thin">
          <color indexed="64"/>
        </bottom>
      </border>
    </ndxf>
  </rcc>
  <rcc rId="1068" sId="2" odxf="1" dxf="1">
    <nc r="GC9">
      <v>168.6</v>
    </nc>
    <odxf>
      <alignment horizontal="general" vertical="bottom" readingOrder="0"/>
      <border outline="0">
        <top/>
        <bottom/>
      </border>
    </odxf>
    <ndxf>
      <alignment horizontal="center" vertical="top" readingOrder="0"/>
      <border outline="0">
        <top style="thin">
          <color indexed="64"/>
        </top>
        <bottom style="thin">
          <color indexed="64"/>
        </bottom>
      </border>
    </ndxf>
  </rcc>
  <rcc rId="1069" sId="2" odxf="1" dxf="1">
    <nc r="GD9">
      <v>0.5</v>
    </nc>
    <odxf>
      <alignment horizontal="general" vertical="bottom" readingOrder="0"/>
      <border outline="0">
        <top/>
        <bottom/>
      </border>
    </odxf>
    <ndxf>
      <alignment horizontal="center" vertical="top" readingOrder="0"/>
      <border outline="0">
        <top style="thin">
          <color indexed="64"/>
        </top>
        <bottom style="thin">
          <color indexed="64"/>
        </bottom>
      </border>
    </ndxf>
  </rcc>
  <rcc rId="1070" sId="2" odxf="1" dxf="1">
    <nc r="GE9">
      <v>3.3</v>
    </nc>
    <odxf>
      <alignment horizontal="general" vertical="bottom" readingOrder="0"/>
      <border outline="0">
        <top/>
        <bottom/>
      </border>
    </odxf>
    <ndxf>
      <alignment horizontal="center" vertical="top" readingOrder="0"/>
      <border outline="0">
        <top style="thin">
          <color indexed="64"/>
        </top>
        <bottom style="thin">
          <color indexed="64"/>
        </bottom>
      </border>
    </ndxf>
  </rcc>
  <rcc rId="1071" sId="2" odxf="1" dxf="1">
    <nc r="GF9">
      <v>9.9</v>
    </nc>
    <odxf>
      <alignment horizontal="general" vertical="bottom" readingOrder="0"/>
      <border outline="0">
        <top/>
        <bottom/>
      </border>
    </odxf>
    <ndxf>
      <alignment horizontal="center" vertical="top" readingOrder="0"/>
      <border outline="0">
        <top style="thin">
          <color indexed="64"/>
        </top>
        <bottom style="thin">
          <color indexed="64"/>
        </bottom>
      </border>
    </ndxf>
  </rcc>
  <rcc rId="1072" sId="2" odxf="1" dxf="1">
    <nc r="GG9">
      <v>21.9</v>
    </nc>
    <odxf>
      <alignment horizontal="general" vertical="bottom" readingOrder="0"/>
      <border outline="0">
        <top/>
        <bottom/>
      </border>
    </odxf>
    <ndxf>
      <alignment horizontal="center" vertical="top" readingOrder="0"/>
      <border outline="0">
        <top style="thin">
          <color indexed="64"/>
        </top>
        <bottom style="thin">
          <color indexed="64"/>
        </bottom>
      </border>
    </ndxf>
  </rcc>
  <rcc rId="1073" sId="2" odxf="1" dxf="1">
    <nc r="GH9">
      <v>55.6</v>
    </nc>
    <odxf>
      <alignment horizontal="general" vertical="bottom" readingOrder="0"/>
      <border outline="0">
        <top/>
        <bottom/>
      </border>
    </odxf>
    <ndxf>
      <alignment horizontal="center" vertical="top" readingOrder="0"/>
      <border outline="0">
        <top style="thin">
          <color indexed="64"/>
        </top>
        <bottom style="thin">
          <color indexed="64"/>
        </bottom>
      </border>
    </ndxf>
  </rcc>
  <rcc rId="1074" sId="2" odxf="1" dxf="1">
    <nc r="GI9">
      <v>35</v>
    </nc>
    <odxf>
      <alignment horizontal="general" vertical="bottom" readingOrder="0"/>
      <border outline="0">
        <right/>
        <top/>
        <bottom/>
      </border>
    </odxf>
    <ndxf>
      <alignment horizontal="center" vertical="top" readingOrder="0"/>
      <border outline="0">
        <right style="medium">
          <color auto="1"/>
        </right>
        <top style="thin">
          <color indexed="64"/>
        </top>
        <bottom style="thin">
          <color indexed="64"/>
        </bottom>
      </border>
    </ndxf>
  </rcc>
  <rcc rId="1075" sId="2" odxf="1" dxf="1">
    <nc r="GJ9">
      <v>8.91</v>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1076" sId="2" odxf="1" dxf="1">
    <nc r="GK9">
      <v>8.83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77" sId="2" odxf="1" dxf="1">
    <nc r="GL9">
      <v>141.19999999999999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78" sId="2" odxf="1" dxf="1">
    <nc r="GM9">
      <v>-0.3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79" sId="2" odxf="1" dxf="1">
    <nc r="GN9">
      <v>-0.76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80" sId="2" odxf="1" dxf="1">
    <nc r="GO9">
      <v>-0.78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81" sId="2" odxf="1" dxf="1">
    <nc r="GP9">
      <v>4.99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82" sId="2" odxf="1" dxf="1">
    <nc r="GQ9">
      <v>5.45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83" sId="2" odxf="1" dxf="1">
    <nc r="GR9">
      <v>457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84" sId="2" odxf="1" dxf="1">
    <nc r="GS9">
      <v>458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85" sId="2" odxf="1" dxf="1">
    <nc r="GT9">
      <v>604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86" sId="2" odxf="1" dxf="1">
    <nc r="GU9">
      <v>550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87" sId="2" odxf="1" dxf="1">
    <nc r="GV9">
      <v>569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88" sId="2" odxf="1" dxf="1">
    <nc r="GW9">
      <v>560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89" sId="2" odxf="1" dxf="1">
    <nc r="GX9">
      <v>453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90" sId="2" odxf="1" dxf="1">
    <nc r="GY9">
      <v>0.26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91" sId="2" odxf="1" dxf="1">
    <nc r="GZ9">
      <v>-0.52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92" sId="2" odxf="1" dxf="1">
    <nc r="HA9">
      <v>8.9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93" sId="2" odxf="1" dxf="1">
    <nc r="HB9">
      <v>8.7899999999999991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94" sId="2" odxf="1" dxf="1">
    <nc r="HC9">
      <v>8.57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95" sId="2" odxf="1" dxf="1">
    <nc r="HD9">
      <v>8.31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96" sId="2" odxf="1" dxf="1">
    <nc r="HE9">
      <v>8.34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97" sId="2" odxf="1" dxf="1">
    <nc r="HF9">
      <v>8.4700000000000006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98" sId="2" odxf="1" dxf="1">
    <nc r="HG9">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099" sId="2" odxf="1" dxf="1">
    <nc r="HH9">
      <v>1.3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00" sId="2" odxf="1" dxf="1">
    <nc r="HI9">
      <v>7.01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01" sId="2" odxf="1" dxf="1">
    <nc r="HJ9">
      <v>6.84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02" sId="2" odxf="1" dxf="1">
    <nc r="HK9">
      <v>6.78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03" sId="2" odxf="1" dxf="1">
    <nc r="HL9">
      <v>6.77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04" sId="2" odxf="1" dxf="1">
    <nc r="HM9">
      <v>6.94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05" sId="2" odxf="1" dxf="1">
    <nc r="HN9">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06" sId="2" odxf="1" dxf="1">
    <nc r="HO9">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07" sId="2" odxf="1" dxf="1">
    <nc r="HP9">
      <v>1.3</v>
    </nc>
    <odxf>
      <alignment horizontal="general" vertical="bottom" readingOrder="0"/>
      <border outline="0">
        <left/>
        <right/>
        <top/>
        <bottom/>
      </border>
    </odxf>
    <ndxf>
      <alignment horizontal="center" vertical="top" readingOrder="0"/>
      <border outline="0">
        <left style="thin">
          <color indexed="64"/>
        </left>
        <right style="double">
          <color indexed="64"/>
        </right>
        <top style="thin">
          <color indexed="64"/>
        </top>
        <bottom style="thin">
          <color indexed="64"/>
        </bottom>
      </border>
    </ndxf>
  </rcc>
  <rcc rId="1108" sId="2" odxf="1" dxf="1">
    <nc r="HQ9">
      <v>37.9</v>
    </nc>
    <odxf>
      <alignment horizontal="general" vertical="bottom" readingOrder="0"/>
      <border outline="0">
        <top/>
        <bottom/>
      </border>
    </odxf>
    <ndxf>
      <alignment horizontal="center" vertical="top" readingOrder="0"/>
      <border outline="0">
        <top style="thin">
          <color indexed="64"/>
        </top>
        <bottom style="thin">
          <color indexed="64"/>
        </bottom>
      </border>
    </ndxf>
  </rcc>
  <rcc rId="1109" sId="2" odxf="1" dxf="1">
    <nc r="HR9">
      <v>38.200000000000003</v>
    </nc>
    <odxf>
      <alignment horizontal="general" vertical="bottom" readingOrder="0"/>
      <border outline="0">
        <top/>
        <bottom/>
      </border>
    </odxf>
    <ndxf>
      <alignment horizontal="center" vertical="top" readingOrder="0"/>
      <border outline="0">
        <top style="thin">
          <color indexed="64"/>
        </top>
        <bottom style="thin">
          <color indexed="64"/>
        </bottom>
      </border>
    </ndxf>
  </rcc>
  <rcc rId="1110" sId="2" odxf="1" dxf="1">
    <nc r="HS9">
      <v>38</v>
    </nc>
    <odxf>
      <alignment horizontal="general" vertical="bottom" readingOrder="0"/>
      <border outline="0">
        <top/>
        <bottom/>
      </border>
    </odxf>
    <ndxf>
      <alignment horizontal="center" vertical="top" readingOrder="0"/>
      <border outline="0">
        <top style="thin">
          <color indexed="64"/>
        </top>
        <bottom style="thin">
          <color indexed="64"/>
        </bottom>
      </border>
    </ndxf>
  </rcc>
  <rcc rId="1111" sId="2" odxf="1" dxf="1">
    <nc r="HT9">
      <v>141.19999999999999</v>
    </nc>
    <odxf>
      <alignment horizontal="general" vertical="bottom" readingOrder="0"/>
      <border outline="0">
        <top/>
        <bottom/>
      </border>
    </odxf>
    <ndxf>
      <alignment horizontal="center" vertical="top" readingOrder="0"/>
      <border outline="0">
        <top style="thin">
          <color indexed="64"/>
        </top>
        <bottom style="thin">
          <color indexed="64"/>
        </bottom>
      </border>
    </ndxf>
  </rcc>
  <rcc rId="1112" sId="2" odxf="1" dxf="1">
    <nc r="HU9">
      <v>0.3</v>
    </nc>
    <odxf>
      <alignment horizontal="general" vertical="bottom" readingOrder="0"/>
      <border outline="0">
        <top/>
        <bottom/>
      </border>
    </odxf>
    <ndxf>
      <alignment horizontal="center" vertical="top" readingOrder="0"/>
      <border outline="0">
        <top style="thin">
          <color indexed="64"/>
        </top>
        <bottom style="thin">
          <color indexed="64"/>
        </bottom>
      </border>
    </ndxf>
  </rcc>
  <rcc rId="1113" sId="2" odxf="1" dxf="1">
    <nc r="HV9">
      <v>-5.7</v>
    </nc>
    <odxf>
      <alignment horizontal="general" vertical="bottom" readingOrder="0"/>
      <border outline="0">
        <top/>
        <bottom/>
      </border>
    </odxf>
    <ndxf>
      <alignment horizontal="center" vertical="top" readingOrder="0"/>
      <border outline="0">
        <top style="thin">
          <color indexed="64"/>
        </top>
        <bottom style="thin">
          <color indexed="64"/>
        </bottom>
      </border>
    </ndxf>
  </rcc>
  <rcc rId="1114" sId="2" odxf="1" dxf="1">
    <nc r="HW9">
      <v>-5.8</v>
    </nc>
    <odxf>
      <alignment horizontal="general" vertical="bottom" readingOrder="0"/>
      <border outline="0">
        <top/>
        <bottom/>
      </border>
    </odxf>
    <ndxf>
      <alignment horizontal="center" vertical="top" readingOrder="0"/>
      <border outline="0">
        <top style="thin">
          <color indexed="64"/>
        </top>
        <bottom style="thin">
          <color indexed="64"/>
        </bottom>
      </border>
    </ndxf>
  </rcc>
  <rcc rId="1115" sId="2" odxf="1" dxf="1">
    <nc r="HX9">
      <v>-5.8</v>
    </nc>
    <odxf>
      <alignment horizontal="general" vertical="bottom" readingOrder="0"/>
      <border outline="0">
        <top/>
        <bottom/>
      </border>
    </odxf>
    <ndxf>
      <alignment horizontal="center" vertical="top" readingOrder="0"/>
      <border outline="0">
        <top style="thin">
          <color indexed="64"/>
        </top>
        <bottom style="thin">
          <color indexed="64"/>
        </bottom>
      </border>
    </ndxf>
  </rcc>
  <rcc rId="1116" sId="2" odxf="1" dxf="1">
    <nc r="HY9">
      <v>155.69999999999999</v>
    </nc>
    <odxf>
      <alignment horizontal="general" vertical="bottom" readingOrder="0"/>
      <border outline="0">
        <top/>
        <bottom/>
      </border>
    </odxf>
    <ndxf>
      <alignment horizontal="center" vertical="top" readingOrder="0"/>
      <border outline="0">
        <top style="thin">
          <color indexed="64"/>
        </top>
        <bottom style="thin">
          <color indexed="64"/>
        </bottom>
      </border>
    </ndxf>
  </rcc>
  <rcc rId="1117" sId="2" odxf="1" dxf="1">
    <nc r="HZ9">
      <v>0.2</v>
    </nc>
    <odxf>
      <alignment horizontal="general" vertical="bottom" readingOrder="0"/>
      <border outline="0">
        <top/>
        <bottom/>
      </border>
    </odxf>
    <ndxf>
      <alignment horizontal="center" vertical="top" readingOrder="0"/>
      <border outline="0">
        <top style="thin">
          <color indexed="64"/>
        </top>
        <bottom style="thin">
          <color indexed="64"/>
        </bottom>
      </border>
    </ndxf>
  </rcc>
  <rcc rId="1118" sId="2" odxf="1" dxf="1">
    <nc r="IA9">
      <v>3.3</v>
    </nc>
    <odxf>
      <alignment horizontal="general" vertical="bottom" readingOrder="0"/>
      <border outline="0">
        <top/>
        <bottom/>
      </border>
    </odxf>
    <ndxf>
      <alignment horizontal="center" vertical="top" readingOrder="0"/>
      <border outline="0">
        <top style="thin">
          <color indexed="64"/>
        </top>
        <bottom style="thin">
          <color indexed="64"/>
        </bottom>
      </border>
    </ndxf>
  </rcc>
  <rcc rId="1119" sId="2" odxf="1" dxf="1">
    <nc r="IB9">
      <v>9.9</v>
    </nc>
    <odxf>
      <alignment horizontal="general" vertical="bottom" readingOrder="0"/>
      <border outline="0">
        <top/>
        <bottom/>
      </border>
    </odxf>
    <ndxf>
      <alignment horizontal="center" vertical="top" readingOrder="0"/>
      <border outline="0">
        <top style="thin">
          <color indexed="64"/>
        </top>
        <bottom style="thin">
          <color indexed="64"/>
        </bottom>
      </border>
    </ndxf>
  </rcc>
  <rcc rId="1120" sId="2" odxf="1" dxf="1">
    <nc r="IC9">
      <v>21.7</v>
    </nc>
    <odxf>
      <alignment horizontal="general" vertical="bottom" readingOrder="0"/>
      <border outline="0">
        <top/>
        <bottom/>
      </border>
    </odxf>
    <ndxf>
      <alignment horizontal="center" vertical="top" readingOrder="0"/>
      <border outline="0">
        <top style="thin">
          <color indexed="64"/>
        </top>
        <bottom style="thin">
          <color indexed="64"/>
        </bottom>
      </border>
    </ndxf>
  </rcc>
  <rcc rId="1121" sId="2" odxf="1" dxf="1">
    <nc r="ID9">
      <v>55</v>
    </nc>
    <odxf>
      <alignment horizontal="general" vertical="bottom" readingOrder="0"/>
      <border outline="0">
        <top/>
        <bottom/>
      </border>
    </odxf>
    <ndxf>
      <alignment horizontal="center" vertical="top" readingOrder="0"/>
      <border outline="0">
        <top style="thin">
          <color indexed="64"/>
        </top>
        <bottom style="thin">
          <color indexed="64"/>
        </bottom>
      </border>
    </ndxf>
  </rcc>
  <rcc rId="1122" sId="2" odxf="1" dxf="1">
    <nc r="IE9">
      <v>28</v>
    </nc>
    <odxf>
      <alignment horizontal="general" vertical="bottom" readingOrder="0"/>
      <border outline="0">
        <right/>
        <top/>
        <bottom/>
      </border>
    </odxf>
    <ndxf>
      <alignment horizontal="center" vertical="top" readingOrder="0"/>
      <border outline="0">
        <right style="mediumDashed">
          <color auto="1"/>
        </right>
        <top style="thin">
          <color indexed="64"/>
        </top>
        <bottom style="thin">
          <color indexed="64"/>
        </bottom>
      </border>
    </ndxf>
  </rcc>
  <rcc rId="1123" sId="2" odxf="1" dxf="1">
    <nc r="IF9">
      <f>IF(ISNUMBER(GJ9),GJ9,IF(ISNUMBER(EN9),EN9,""))</f>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1124" sId="2" odxf="1" dxf="1">
    <nc r="IG9">
      <f>IF(ISNUMBER(GK9),GK9,IF(ISNUMBER(EO9),EO9,""))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25" sId="2" odxf="1" dxf="1">
    <nc r="IH9">
      <f>IF(ISNUMBER(GL9),GL9,IF(ISNUMBER(EP9),EP9,""))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26" sId="2" odxf="1" dxf="1">
    <nc r="II9">
      <f>IF(ISNUMBER(GM9),GM9,IF(ISNUMBER(EQ9),EQ9,""))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27" sId="2" odxf="1" dxf="1">
    <nc r="IJ9">
      <f>IF(ISNUMBER(GN9),GN9,IF(ISNUMBER(ER9),ER9,""))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28" sId="2" odxf="1" dxf="1">
    <nc r="IK9">
      <f>IF(ISNUMBER(GO9),GO9,IF(ISNUMBER(ES9),ES9,""))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29" sId="2" odxf="1" dxf="1">
    <nc r="IL9">
      <f>IF(ISNUMBER(GP9),GP9,IF(ISNUMBER(ET9),ET9,""))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30" sId="2" odxf="1" dxf="1">
    <nc r="IM9">
      <f>IF(ISNUMBER(GQ9),GQ9,IF(ISNUMBER(EU9),EU9,""))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31" sId="2" odxf="1" dxf="1">
    <nc r="IN9">
      <f>IF(ISNUMBER(GR9),GR9,IF(ISNUMBER(EV9),EV9,""))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32" sId="2" odxf="1" dxf="1">
    <nc r="IO9">
      <f>IF(ISNUMBER(GS9),GS9,IF(ISNUMBER(EW9),EW9,""))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33" sId="2" odxf="1" dxf="1">
    <nc r="IP9">
      <f>IF(ISNUMBER(GT9),GT9,IF(ISNUMBER(EX9),EX9,""))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34" sId="2" odxf="1" dxf="1">
    <nc r="IQ9">
      <f>IF(ISNUMBER(GU9),GU9,IF(ISNUMBER(EY9),EY9,""))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35" sId="2" odxf="1" dxf="1">
    <nc r="IR9">
      <f>IF(ISNUMBER(GV9),GV9,IF(ISNUMBER(EZ9),EZ9,""))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36" sId="2" odxf="1" dxf="1">
    <nc r="IS9">
      <f>IF(ISNUMBER(GW9),GW9,IF(ISNUMBER(FA9),FA9,""))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37" sId="2" odxf="1" dxf="1">
    <nc r="IT9">
      <f>IF(ISNUMBER(GX9),GX9,IF(ISNUMBER(FB9),FB9,""))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38" sId="2" odxf="1" dxf="1">
    <nc r="IU9">
      <f>IF(ISNUMBER(GY9),GY9,IF(ISNUMBER(FC9),FC9,""))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39" sId="2" odxf="1" dxf="1">
    <nc r="IV9">
      <f>IF(ISNUMBER(GZ9),GZ9,IF(ISNUMBER(FD9),FD9,""))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40" sId="2" odxf="1" dxf="1">
    <nc r="IW9">
      <f>IF(ISNUMBER(HA9),HA9,IF(ISNUMBER(FE9),FE9,""))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41" sId="2" odxf="1" dxf="1">
    <nc r="IX9">
      <f>IF(ISNUMBER(HB9),HB9,IF(ISNUMBER(FF9),FF9,""))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42" sId="2" odxf="1" dxf="1">
    <nc r="IY9">
      <f>IF(ISNUMBER(HC9),HC9,IF(ISNUMBER(FG9),FG9,""))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43" sId="2" odxf="1" dxf="1">
    <nc r="IZ9">
      <f>IF(ISNUMBER(HD9),HD9,IF(ISNUMBER(FH9),FH9,""))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44" sId="2" odxf="1" dxf="1">
    <nc r="JA9">
      <f>IF(ISNUMBER(HE9),HE9,IF(ISNUMBER(FI9),FI9,""))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45" sId="2" odxf="1" dxf="1">
    <nc r="JB9">
      <f>IF(ISNUMBER(HF9),HF9,IF(ISNUMBER(FJ9),FJ9,""))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46" sId="2" odxf="1" dxf="1">
    <nc r="JC9">
      <f>IF(ISNUMBER(HG9),HG9,IF(ISNUMBER(FK9),FK9,""))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47" sId="2" odxf="1" dxf="1">
    <nc r="JD9">
      <f>IF(ISNUMBER(HH9),HH9,IF(ISNUMBER(FL9),FL9,""))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48" sId="2" odxf="1" dxf="1">
    <nc r="JE9">
      <f>IF(ISNUMBER(HI9),HI9,IF(ISNUMBER(FM9),FM9,""))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49" sId="2" odxf="1" dxf="1">
    <nc r="JF9">
      <f>IF(ISNUMBER(HJ9),HJ9,IF(ISNUMBER(FN9),FN9,""))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50" sId="2" odxf="1" dxf="1">
    <nc r="JG9">
      <f>IF(ISNUMBER(HK9),HK9,IF(ISNUMBER(FO9),FO9,""))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51" sId="2" odxf="1" dxf="1">
    <nc r="JH9">
      <f>IF(ISNUMBER(HL9),HL9,IF(ISNUMBER(FP9),FP9,""))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52" sId="2" odxf="1" dxf="1">
    <nc r="JI9">
      <f>IF(ISNUMBER(HM9),HM9,IF(ISNUMBER(FQ9),FQ9,""))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53" sId="2" odxf="1" dxf="1">
    <nc r="JJ9">
      <f>IF(ISNUMBER(HN9),HN9,IF(ISNUMBER(FR9),FR9,""))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54" sId="2" odxf="1" dxf="1">
    <nc r="JK9">
      <f>IF(ISNUMBER(HO9),HO9,IF(ISNUMBER(FS9),FS9,""))</f>
    </nc>
    <odxf>
      <alignment horizontal="general" vertical="bottom" readingOrder="0"/>
      <border outline="0">
        <left/>
        <top/>
        <bottom/>
      </border>
    </odxf>
    <ndxf>
      <alignment horizontal="center" vertical="top" readingOrder="0"/>
      <border outline="0">
        <left style="thin">
          <color indexed="64"/>
        </left>
        <top style="thin">
          <color indexed="64"/>
        </top>
        <bottom style="thin">
          <color indexed="64"/>
        </bottom>
      </border>
    </ndxf>
  </rcc>
  <rcc rId="1155" sId="2" odxf="1" dxf="1">
    <nc r="JL9">
      <f>IF(ISNUMBER(HP9),HP9,IF(ISNUMBER(FT9),FT9,""))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56" sId="2" odxf="1" dxf="1">
    <nc r="JM9">
      <f>IF(ISNUMBER(HQ9),HQ9,IF(ISNUMBER(FU9),FU9,""))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57" sId="2" odxf="1" dxf="1">
    <nc r="JN9">
      <f>IF(ISNUMBER(HR9),HR9,IF(ISNUMBER(FV9),FV9,""))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58" sId="2" odxf="1" dxf="1">
    <nc r="JO9">
      <f>IF(ISNUMBER(HS9),HS9,IF(ISNUMBER(FW9),FW9,""))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59" sId="2" odxf="1" dxf="1">
    <nc r="JP9">
      <f>IF(ISNUMBER(HT9),HT9,IF(ISNUMBER(FX9),FX9,""))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60" sId="2" odxf="1" dxf="1">
    <nc r="JQ9">
      <f>IF(ISNUMBER(HU9),HU9,IF(ISNUMBER(FY9),FY9,""))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61" sId="2" odxf="1" dxf="1">
    <nc r="JR9">
      <f>IF(ISNUMBER(HV9),HV9,IF(ISNUMBER(FZ9),FZ9,""))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62" sId="2" odxf="1" dxf="1">
    <nc r="JS9">
      <f>IF(ISNUMBER(HW9),HW9,IF(ISNUMBER(GA9),GA9,""))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63" sId="2" odxf="1" dxf="1">
    <nc r="JT9">
      <f>IF(ISNUMBER(HX9),HX9,IF(ISNUMBER(GB9),GB9,""))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64" sId="2" odxf="1" dxf="1">
    <nc r="JU9">
      <f>IF(ISNUMBER(HY9),HY9,IF(ISNUMBER(GC9),GC9,""))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65" sId="2" odxf="1" dxf="1">
    <nc r="JV9">
      <f>IF(ISNUMBER(HZ9),HZ9,IF(ISNUMBER(GD9),GD9,""))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66" sId="2" odxf="1" dxf="1">
    <nc r="JW9">
      <f>IF(ISNUMBER(IA9),IA9,IF(ISNUMBER(GE9),GE9,""))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67" sId="2" odxf="1" dxf="1">
    <nc r="JX9">
      <f>IF(ISNUMBER(IB9),IB9,IF(ISNUMBER(GF9),GF9,""))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68" sId="2" odxf="1" dxf="1">
    <nc r="JY9">
      <f>IF(ISNUMBER(IC9),IC9,IF(ISNUMBER(GG9),GG9,""))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69" sId="2" odxf="1" dxf="1">
    <nc r="JZ9">
      <f>IF(ISNUMBER(ID9),ID9,IF(ISNUMBER(GH9),GH9,""))</f>
    </nc>
    <odxf>
      <alignment horizontal="general" vertical="bottom" readingOrder="0"/>
      <border outline="0">
        <top/>
        <bottom/>
      </border>
    </odxf>
    <ndxf>
      <alignment horizontal="center" vertical="top" readingOrder="0"/>
      <border outline="0">
        <top style="thin">
          <color indexed="64"/>
        </top>
        <bottom style="thin">
          <color indexed="64"/>
        </bottom>
      </border>
    </ndxf>
  </rcc>
  <rcc rId="1170" sId="2" odxf="1" dxf="1">
    <nc r="KA9">
      <f>IF(ISNUMBER(IE9),IE9,IF(ISNUMBER(GI9),GI9,""))</f>
    </nc>
    <odxf>
      <alignment horizontal="general" vertical="bottom" readingOrder="0"/>
      <border outline="0">
        <right/>
        <top/>
        <bottom/>
      </border>
    </odxf>
    <ndxf>
      <alignment horizontal="center" vertical="top" readingOrder="0"/>
      <border outline="0">
        <right style="mediumDashed">
          <color auto="1"/>
        </right>
        <top style="thin">
          <color indexed="64"/>
        </top>
        <bottom style="thin">
          <color indexed="64"/>
        </bottom>
      </border>
    </ndxf>
  </rcc>
  <rcc rId="1171" sId="2" odxf="1" dxf="1">
    <nc r="KB9">
      <f>IF(AND(ISNUMBER(IF9),ISNUMBER(CR9)),IF9-CR9,"")</f>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1172" sId="2" odxf="1" dxf="1">
    <nc r="KC9">
      <f>IF(AND(ISNUMBER(IG9),ISNUMBER(CS9)),IG9-CS9,"")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73" sId="2" odxf="1" dxf="1">
    <nc r="KD9">
      <f>IF(AND(ISNUMBER(IH9),ISNUMBER(CT9)),IH9-CT9,"")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74" sId="2" odxf="1" dxf="1">
    <nc r="KE9">
      <f>IF(AND(ISNUMBER(II9),ISNUMBER(CU9)),II9-CU9,"")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75" sId="2" odxf="1" dxf="1">
    <nc r="KF9">
      <f>IF(AND(ISNUMBER(IJ9),ISNUMBER(CV9)),IJ9-CV9,"")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76" sId="2" odxf="1" dxf="1">
    <nc r="KG9">
      <f>IF(AND(ISNUMBER(IK9),ISNUMBER(CW9)),IK9-CW9,"")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77" sId="2" odxf="1" dxf="1">
    <nc r="KH9">
      <f>IF(AND(ISNUMBER(IL9),ISNUMBER(CX9)),IL9-CX9,"")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78" sId="2" odxf="1" dxf="1">
    <nc r="KI9">
      <f>IF(AND(ISNUMBER(IM9),ISNUMBER(CY9)),IM9-CY9,"")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79" sId="2" odxf="1" dxf="1">
    <nc r="KJ9">
      <f>IF(AND(ISNUMBER(IN9),ISNUMBER(CZ9)),IN9-CZ9,"")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80" sId="2" odxf="1" dxf="1">
    <nc r="KK9">
      <f>IF(AND(ISNUMBER(IO9),ISNUMBER(DA9)),IO9-DA9,"")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81" sId="2" odxf="1" dxf="1">
    <nc r="KL9">
      <f>IF(AND(ISNUMBER(IP9),ISNUMBER(DB9)),IP9-DB9,"")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82" sId="2" odxf="1" dxf="1">
    <nc r="KM9">
      <f>IF(AND(ISNUMBER(IQ9),ISNUMBER(DC9)),IQ9-DC9,"")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83" sId="2" odxf="1" dxf="1">
    <nc r="KN9">
      <f>IF(AND(ISNUMBER(IR9),ISNUMBER(DD9)),IR9-DD9,"")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84" sId="2" odxf="1" dxf="1">
    <nc r="KO9">
      <f>IF(AND(ISNUMBER(IS9),ISNUMBER(DE9)),IS9-DE9,"")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85" sId="2" odxf="1" dxf="1">
    <nc r="KP9">
      <f>IF(AND(ISNUMBER(IT9),ISNUMBER(DF9)),IT9-DF9,"")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86" sId="2" odxf="1" dxf="1">
    <nc r="KQ9">
      <f>IF(AND(ISNUMBER(IU9),ISNUMBER(DG9)),IU9-DG9,"")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87" sId="2" odxf="1" dxf="1">
    <nc r="KR9">
      <f>IF(AND(ISNUMBER(IV9),ISNUMBER(DH9)),IV9-DH9,"")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88" sId="2" odxf="1" dxf="1">
    <nc r="KS9">
      <f>IF(AND(ISNUMBER(IW9),ISNUMBER(DI9)),IW9-DI9,"")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89" sId="2" odxf="1" dxf="1">
    <nc r="KT9">
      <f>IF(AND(ISNUMBER(IX9),ISNUMBER(DJ9)),IX9-DJ9,"")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90" sId="2" odxf="1" dxf="1">
    <nc r="KU9">
      <f>IF(AND(ISNUMBER(IY9),ISNUMBER(DK9)),IY9-DK9,"")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91" sId="2" odxf="1" dxf="1">
    <nc r="KV9">
      <f>IF(AND(ISNUMBER(IZ9),ISNUMBER(DL9)),IZ9-DL9,"")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92" sId="2" odxf="1" dxf="1">
    <nc r="KW9">
      <f>IF(AND(ISNUMBER(JA9),ISNUMBER(DM9)),JA9-DM9,"")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93" sId="2" odxf="1" dxf="1">
    <nc r="KX9">
      <f>IF(AND(ISNUMBER(JB9),ISNUMBER(DN9)),JB9-DN9,"")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94" sId="2" odxf="1" dxf="1">
    <nc r="KY9">
      <f>IF(AND(ISNUMBER(JC9),ISNUMBER(DO9)),JC9-DO9,"")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95" sId="2" odxf="1" dxf="1">
    <nc r="KZ9">
      <f>IF(AND(ISNUMBER(JD9),ISNUMBER(DP9)),JD9-DP9,"")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96" sId="2" odxf="1" dxf="1">
    <nc r="LA9">
      <f>IF(AND(ISNUMBER(JE9),ISNUMBER(DQ9)),JE9-DQ9,"")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97" sId="2" odxf="1" dxf="1">
    <nc r="LB9">
      <f>IF(AND(ISNUMBER(JF9),ISNUMBER(DR9)),JF9-DR9,"")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98" sId="2" odxf="1" dxf="1">
    <nc r="LC9">
      <f>IF(AND(ISNUMBER(JG9),ISNUMBER(DS9)),JG9-DS9,"")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199" sId="2" odxf="1" dxf="1">
    <nc r="LD9">
      <f>IF(AND(ISNUMBER(JH9),ISNUMBER(DT9)),JH9-DT9,"")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00" sId="2" odxf="1" dxf="1">
    <nc r="LE9">
      <f>IF(AND(ISNUMBER(JI9),ISNUMBER(DU9)),JI9-DU9,"")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01" sId="2" odxf="1" dxf="1">
    <nc r="LF9">
      <f>IF(AND(ISNUMBER(JJ9),ISNUMBER(DV9)),JJ9-DV9,"")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02" sId="2" odxf="1" dxf="1">
    <nc r="LG9">
      <f>IF(AND(ISNUMBER(JK9),ISNUMBER(DW9)),JK9-DW9,"")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03" sId="2" odxf="1" dxf="1">
    <nc r="LH9">
      <f>IF(AND(ISNUMBER(JL9),ISNUMBER(DX9)),JL9-DX9,"")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04" sId="2" odxf="1" dxf="1">
    <nc r="LI9">
      <f>IF(AND(ISNUMBER(JM9),ISNUMBER(DY9)),JM9-DY9,"")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05" sId="2" odxf="1" dxf="1">
    <nc r="LJ9">
      <f>IF(AND(ISNUMBER(JN9),ISNUMBER(DZ9)),JN9-DZ9,"")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06" sId="2" odxf="1" dxf="1">
    <nc r="LK9">
      <f>IF(AND(ISNUMBER(JO9),ISNUMBER(EA9)),JO9-EA9,"")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07" sId="2" odxf="1" dxf="1">
    <nc r="LL9">
      <f>IF(AND(ISNUMBER(JP9),ISNUMBER(EB9)),JP9-EB9,"")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08" sId="2" odxf="1" dxf="1">
    <nc r="LM9">
      <f>IF(AND(ISNUMBER(JQ9),ISNUMBER(EC9)),JQ9-EC9,"")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09" sId="2" odxf="1" dxf="1">
    <nc r="LN9">
      <f>IF(AND(ISNUMBER(JR9),ISNUMBER(ED9)),JR9-ED9,"")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10" sId="2" odxf="1" dxf="1">
    <nc r="LO9">
      <f>IF(AND(ISNUMBER(JS9),ISNUMBER(EE9)),JS9-EE9,"")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11" sId="2" odxf="1" dxf="1">
    <nc r="LP9">
      <f>IF(AND(ISNUMBER(JT9),ISNUMBER(EF9)),JT9-EF9,"")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12" sId="2" odxf="1" dxf="1">
    <nc r="LQ9">
      <f>IF(AND(ISNUMBER(JU9),ISNUMBER(EG9)),JU9-EG9,"")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13" sId="2" odxf="1" dxf="1">
    <nc r="LR9">
      <f>IF(AND(ISNUMBER(JV9),ISNUMBER(EH9)),JV9-EH9,"")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14" sId="2" odxf="1" dxf="1">
    <nc r="LS9">
      <f>IF(AND(ISNUMBER(JW9),ISNUMBER(EI9)),JW9-EI9,"")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15" sId="2" odxf="1" dxf="1">
    <nc r="LT9">
      <f>IF(AND(ISNUMBER(JX9),ISNUMBER(EJ9)),JX9-EJ9,"")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16" sId="2" odxf="1" dxf="1">
    <nc r="LU9">
      <f>IF(AND(ISNUMBER(JY9),ISNUMBER(EK9)),JY9-EK9,"")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17" sId="2" odxf="1" dxf="1">
    <nc r="LV9">
      <f>IF(AND(ISNUMBER(JZ9),ISNUMBER(EL9)),JZ9-EL9,"")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18" sId="2" odxf="1" dxf="1">
    <nc r="LW9">
      <f>IF(AND(ISNUMBER(KA9),ISNUMBER(EM9)),KA9-EM9,"")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19" sId="2" odxf="1" dxf="1">
    <nc r="LX9">
      <f>IF(AND(ISNUMBER(HQ9),ISNUMBER(FU9)),HQ9-FU9,"")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20" sId="2" odxf="1" dxf="1">
    <nc r="LY9">
      <f>IF(AND(ISNUMBER(HR9),ISNUMBER(FV9)),HR9-FV9,"")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21" sId="2" odxf="1" dxf="1">
    <nc r="LZ9">
      <f>IF(AND(ISNUMBER(HV9),ISNUMBER(FZ9)),HV9-FZ9,"")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222" sId="2" odxf="1" dxf="1">
    <nc r="MA9">
      <f>HW9-GA9</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A9:XFD9" start="0" length="0">
    <dxf>
      <alignment horizontal="center" vertical="top" readingOrder="0"/>
      <border outline="0">
        <left style="thin">
          <color indexed="64"/>
        </left>
        <right style="thin">
          <color indexed="64"/>
        </right>
        <top style="thin">
          <color indexed="64"/>
        </top>
        <bottom style="thin">
          <color indexed="64"/>
        </bottom>
      </border>
    </dxf>
  </rfmt>
  <rrc rId="1223" sId="1" ref="A3:XFD3" action="deleteRow">
    <undo index="2" exp="area" ref3D="1" dr="$EN$1:$HP$1048576" dn="Z_9D4EC4DC_E305_42C0_86D3_802895C39393_.wvu.Cols" sId="1"/>
    <undo index="1" exp="area" ref3D="1" dr="$CH$1:$CI$1048576" dn="Z_9D4EC4DC_E305_42C0_86D3_802895C39393_.wvu.Cols" sId="1"/>
    <undo index="0" exp="area" ref3D="1" dr="$AK$1:$AK$1048576" dn="UDVA_6"/>
    <undo index="0" exp="area" ref3D="1" dr="$BC$1:$BC$1048576" dn="UDVA_12"/>
    <undo index="0" exp="area" ref3D="1" dr="$T$1:$T$1048576" dn="SPH_PREOP"/>
    <undo index="0" exp="area" ref3D="1" dr="$BV$1:$BV$1048576" dn="SE_preop_IF_6_12"/>
    <undo index="0" exp="area" ref3D="1" dr="$CE$1:$CE$1048576" dn="SE_PREOP"/>
    <undo index="0" exp="area" ref3D="1" dr="$CF$1:$CF$1048576" dn="SE_LAST_"/>
    <undo index="0" exp="area" ref3D="1" dr="$BR$1:$BR$1048576" dn="SE_ERROR_12"/>
    <undo index="0" exp="area" ref3D="1" dr="$BW$1:$BW$1048576" dn="SE_6_IF_6_12"/>
    <undo index="0" exp="area" ref3D="1" dr="$AY$1:$AY$1048576" dn="SE_6"/>
    <undo index="0" exp="area" ref3D="1" dr="$BX$1:$BX$1048576" dn="SE_12_IF_6_12"/>
    <undo index="0" exp="area" ref3D="1" dr="$BQ$1:$BQ$1048576" dn="SE_12"/>
    <undo index="0" exp="area" ref3D="1" dr="$CJ$1:$CJ$1048576" dn="REF_TARGET_IF_SE_KNOWN"/>
    <undo index="0" exp="area" ref3D="1" dr="$Q$1:$Q$1048576" dn="REF_TARGET"/>
    <undo index="0" exp="area" ref3D="1" dr="$W$1:$W$1048576" dn="PREOP_BCVA"/>
    <undo index="0" exp="area" ref3D="1" dr="$S$1:$S$1048576" dn="PREOP"/>
    <undo index="0" exp="area" ref3D="1" dr="$CO$1:$CO$1048576" dn="LAST_UDVA_DIST"/>
    <undo index="0" exp="area" ref3D="1" dr="$CG$1:$CG$1048576" dn="LAST_SE_ERROR"/>
    <undo index="0" exp="area" ref3D="1" dr="$CK$1:$CK$1048576" dn="LAST_CHANGE_CDVA"/>
    <undo index="0" exp="area" ref3D="1" dr="$CN$1:$CN$1048576" dn="LAST_CDVA"/>
    <undo index="0" exp="area" ref3D="1" dr="$BM$1:$BM$1048576" dn="K1_12"/>
    <undo index="0" exp="area" ref3D="1" dr="$BU$1:$BU$1048576" dn="FU_6_AND_12"/>
    <undo index="0" exp="area" ref3D="1" dr="$U$1:$U$1048576" dn="CYL_PREOP"/>
    <undo index="0" exp="area" ref3D="1" dr="$CL$1:$CL$1048576" dn="CYL_LAST"/>
    <undo index="0" exp="area" ref3D="1" dr="$W$1:$W$1048576" dn="BCVA_PREOP"/>
    <undo index="0" exp="area" ref3D="1" dr="$AO$1:$AO$1048576" dn="BCVA_6"/>
    <undo index="0" exp="area" ref3D="1" dr="$BG$1:$BG$1048576" dn="BCVA_12"/>
    <rfmt sheetId="1" xfDxf="1" sqref="A3:XFD3" start="0" length="0">
      <dxf>
        <alignment horizontal="center" readingOrder="0"/>
        <border outline="0">
          <left style="thin">
            <color indexed="64"/>
          </left>
          <right style="thin">
            <color indexed="64"/>
          </right>
          <top style="thin">
            <color indexed="64"/>
          </top>
          <bottom style="thin">
            <color indexed="64"/>
          </bottom>
        </border>
      </dxf>
    </rfmt>
    <rcc rId="0" sId="1" dxf="1" numFmtId="19">
      <nc r="A3">
        <v>41178</v>
      </nc>
      <ndxf>
        <numFmt numFmtId="19" formatCode="mm/dd/yyyy"/>
      </ndxf>
    </rcc>
    <rcc rId="0" sId="1" dxf="1">
      <nc r="B3" t="inlineStr">
        <is>
          <t>David</t>
        </is>
      </nc>
      <ndxf/>
    </rcc>
    <rcc rId="0" sId="1" dxf="1">
      <nc r="C3" t="inlineStr">
        <is>
          <t>Andrews</t>
        </is>
      </nc>
      <ndxf/>
    </rcc>
    <rcc rId="0" sId="1" dxf="1">
      <nc r="D3" t="inlineStr">
        <is>
          <t>OS</t>
        </is>
      </nc>
      <ndxf>
        <font>
          <b/>
          <sz val="10"/>
          <color indexed="63"/>
          <name val="Arial"/>
          <scheme val="none"/>
        </font>
        <fill>
          <patternFill patternType="solid">
            <bgColor indexed="9"/>
          </patternFill>
        </fill>
      </ndxf>
    </rcc>
    <rcc rId="0" sId="1">
      <nc r="E3">
        <v>62</v>
      </nc>
    </rcc>
    <rcc rId="0" sId="1" dxf="1" numFmtId="19">
      <nc r="F3">
        <v>18491</v>
      </nc>
      <ndxf>
        <numFmt numFmtId="19" formatCode="mm/dd/yyyy"/>
      </ndxf>
    </rcc>
    <rcc rId="0" sId="1">
      <nc r="G3" t="inlineStr">
        <is>
          <t>W</t>
        </is>
      </nc>
    </rcc>
    <rcc rId="0" sId="1">
      <nc r="H3" t="inlineStr">
        <is>
          <t>M</t>
        </is>
      </nc>
    </rcc>
    <rcc rId="0" sId="1">
      <nc r="I3">
        <v>1829809</v>
      </nc>
    </rcc>
    <rcc rId="0" sId="1">
      <nc r="J3" t="inlineStr">
        <is>
          <t>Fuch's</t>
        </is>
      </nc>
    </rcc>
    <rfmt sheetId="1" sqref="K3" start="0" length="0">
      <dxf>
        <font>
          <sz val="6"/>
          <color auto="1"/>
          <name val="Arial"/>
          <scheme val="none"/>
        </font>
      </dxf>
    </rfmt>
    <rfmt sheetId="1" sqref="L3" start="0" length="0">
      <dxf>
        <font>
          <sz val="6"/>
          <color auto="1"/>
          <name val="Arial"/>
          <scheme val="none"/>
        </font>
      </dxf>
    </rfmt>
    <rfmt sheetId="1" sqref="M3" start="0" length="0">
      <dxf>
        <font>
          <sz val="6"/>
          <color auto="1"/>
          <name val="Arial"/>
          <scheme val="none"/>
        </font>
      </dxf>
    </rfmt>
    <rfmt sheetId="1" sqref="N3" start="0" length="0">
      <dxf>
        <font>
          <sz val="6"/>
          <color auto="1"/>
          <name val="Arial"/>
          <scheme val="none"/>
        </font>
      </dxf>
    </rfmt>
    <rfmt sheetId="1" sqref="O3" start="0" length="0">
      <dxf>
        <font>
          <sz val="6"/>
          <color auto="1"/>
          <name val="Arial"/>
          <scheme val="none"/>
        </font>
      </dxf>
    </rfmt>
    <rcc rId="0" sId="1" dxf="1">
      <nc r="P3">
        <v>-0.5</v>
      </nc>
      <ndxf/>
    </rcc>
    <rcc rId="0" sId="1" dxf="1">
      <nc r="Q3">
        <v>-0.63</v>
      </nc>
      <ndxf/>
    </rcc>
    <rcc rId="0" sId="1">
      <nc r="R3" t="inlineStr">
        <is>
          <t>SOFTEC HD</t>
        </is>
      </nc>
    </rcc>
    <rcc rId="0" sId="1" dxf="1" numFmtId="19">
      <nc r="S3">
        <v>41176</v>
      </nc>
      <ndxf>
        <numFmt numFmtId="19" formatCode="mm/dd/yyyy"/>
        <fill>
          <patternFill patternType="solid">
            <bgColor theme="5" tint="0.39994506668294322"/>
          </patternFill>
        </fill>
      </ndxf>
    </rcc>
    <rcc rId="0" sId="1" dxf="1" numFmtId="4">
      <nc r="T3">
        <v>-1.25</v>
      </nc>
      <ndxf>
        <numFmt numFmtId="166" formatCode="\+#0.00;\-#0.00;0;@"/>
      </ndxf>
    </rcc>
    <rcc rId="0" sId="1" dxf="1" numFmtId="4">
      <nc r="U3">
        <v>0.25</v>
      </nc>
      <ndxf>
        <numFmt numFmtId="166" formatCode="\+#0.00;\-#0.00;0;@"/>
      </ndxf>
    </rcc>
    <rcc rId="0" sId="1">
      <nc r="V3">
        <v>145</v>
      </nc>
    </rcc>
    <rcc rId="0" sId="1">
      <nc r="W3">
        <v>20</v>
      </nc>
    </rcc>
    <rcc rId="0" sId="1">
      <nc r="X3">
        <v>11</v>
      </nc>
    </rcc>
    <rcc rId="0" sId="1">
      <nc r="Y3">
        <v>564</v>
      </nc>
    </rcc>
    <rcc rId="0" sId="1">
      <nc r="Z3">
        <v>26.78</v>
      </nc>
    </rcc>
    <rcc rId="0" sId="1">
      <nc r="AC3">
        <v>3.82</v>
      </nc>
    </rcc>
    <rcc rId="0" sId="1">
      <nc r="AD3">
        <v>40.04</v>
      </nc>
    </rcc>
    <rcc rId="0" sId="1">
      <nc r="AE3">
        <v>39</v>
      </nc>
    </rcc>
    <rcc rId="0" sId="1">
      <nc r="AF3">
        <v>40.369999999999997</v>
      </nc>
    </rcc>
    <rcc rId="0" sId="1">
      <nc r="AG3">
        <v>129</v>
      </nc>
    </rcc>
    <rfmt sheetId="1" sqref="AI3" start="0" length="0">
      <dxf>
        <alignment wrapText="1" readingOrder="0"/>
      </dxf>
    </rfmt>
    <rcc rId="0" sId="1" dxf="1" numFmtId="19">
      <nc r="AJ3">
        <v>41374</v>
      </nc>
      <ndxf>
        <font>
          <sz val="10"/>
          <color auto="1"/>
          <name val="Arial"/>
          <scheme val="none"/>
        </font>
        <numFmt numFmtId="19" formatCode="mm/dd/yyyy"/>
      </ndxf>
    </rcc>
    <rfmt sheetId="1" sqref="AK3" start="0" length="0">
      <dxf>
        <font>
          <sz val="10"/>
          <color auto="1"/>
          <name val="Arial"/>
          <scheme val="none"/>
        </font>
        <numFmt numFmtId="1" formatCode="0"/>
      </dxf>
    </rfmt>
    <rcc rId="0" sId="1" dxf="1" numFmtId="4">
      <nc r="AL3">
        <v>-0.5</v>
      </nc>
      <ndxf>
        <numFmt numFmtId="166" formatCode="\+#0.00;\-#0.00;0;@"/>
      </ndxf>
    </rcc>
    <rcc rId="0" sId="1" dxf="1" numFmtId="4">
      <nc r="AM3">
        <v>1</v>
      </nc>
      <ndxf>
        <numFmt numFmtId="166" formatCode="\+#0.00;\-#0.00;0;@"/>
      </ndxf>
    </rcc>
    <rcc rId="0" sId="1">
      <nc r="AN3">
        <v>104</v>
      </nc>
    </rcc>
    <rcc rId="0" sId="1">
      <nc r="AO3">
        <v>15</v>
      </nc>
    </rcc>
    <rcc rId="0" sId="1">
      <nc r="AP3">
        <v>10</v>
      </nc>
    </rcc>
    <rcc rId="0" sId="1">
      <nc r="AQ3">
        <v>454</v>
      </nc>
    </rcc>
    <rcc rId="0" sId="1">
      <nc r="AR3">
        <v>2336</v>
      </nc>
    </rcc>
    <rcc rId="0" sId="1">
      <nc r="AY3">
        <f>IF(ISNUMBER(AL3),AL3+0.5*AM3,"")</f>
      </nc>
    </rcc>
    <rcc rId="0" sId="1">
      <nc r="AZ3">
        <f>IF(ISNUMBER(AY3),IF(ISNUMBER(Q3),AY3-Q3,"MISSING"),"")</f>
      </nc>
    </rcc>
    <rcc rId="0" sId="1">
      <nc r="BA3">
        <f>IF(AND(ISNUMBER(AQ3),ISNUMBER(Y3)),AQ3-Y3,IF(ISNUMBER(AQ3),"MISSING",""))</f>
      </nc>
    </rcc>
    <rcc rId="0" sId="1" dxf="1" numFmtId="19">
      <nc r="BB3">
        <v>41561</v>
      </nc>
      <ndxf>
        <numFmt numFmtId="19" formatCode="mm/dd/yyyy"/>
      </ndxf>
    </rcc>
    <rfmt sheetId="1" sqref="BC3" start="0" length="0">
      <dxf>
        <numFmt numFmtId="1" formatCode="0"/>
      </dxf>
    </rfmt>
    <rcc rId="0" sId="1" dxf="1" numFmtId="4">
      <nc r="BD3">
        <v>-0.5</v>
      </nc>
      <ndxf>
        <numFmt numFmtId="166" formatCode="\+#0.00;\-#0.00;0;@"/>
      </ndxf>
    </rcc>
    <rcc rId="0" sId="1" dxf="1" numFmtId="4">
      <nc r="BE3">
        <v>1.25</v>
      </nc>
      <ndxf>
        <numFmt numFmtId="166" formatCode="\+#0.00;\-#0.00;0;@"/>
      </ndxf>
    </rcc>
    <rcc rId="0" sId="1">
      <nc r="BF3">
        <v>74</v>
      </nc>
    </rcc>
    <rcc rId="0" sId="1">
      <nc r="BG3">
        <v>25</v>
      </nc>
    </rcc>
    <rcc rId="0" sId="1">
      <nc r="BH3">
        <v>11</v>
      </nc>
    </rcc>
    <rcc rId="0" sId="1">
      <nc r="BI3">
        <v>569</v>
      </nc>
    </rcc>
    <rcc rId="0" sId="1">
      <nc r="BJ3">
        <v>1724</v>
      </nc>
    </rcc>
    <rcc rId="0" sId="1">
      <nc r="BK3">
        <v>26.8</v>
      </nc>
    </rcc>
    <rcc rId="0" sId="1">
      <nc r="BL3" t="inlineStr">
        <is>
          <t>?</t>
        </is>
      </nc>
    </rcc>
    <rcc rId="0" sId="1">
      <nc r="BM3">
        <v>38.14</v>
      </nc>
    </rcc>
    <rcc rId="0" sId="1">
      <nc r="BN3">
        <v>5</v>
      </nc>
    </rcc>
    <rcc rId="0" sId="1">
      <nc r="BO3">
        <v>38.31</v>
      </nc>
    </rcc>
    <rcc rId="0" sId="1">
      <nc r="BP3">
        <v>95</v>
      </nc>
    </rcc>
    <rcc rId="0" sId="1">
      <nc r="BQ3">
        <f>IF(ISNUMBER(BD3),BD3+0.5*BE3,"")</f>
      </nc>
    </rcc>
    <rcc rId="0" sId="1">
      <nc r="BR3">
        <f>IF(ISNUMBER(BQ3),IF(ISNUMBER($Q3),BQ3-$Q3,"MISSING"),"")</f>
      </nc>
    </rcc>
    <rcc rId="0" sId="1">
      <nc r="BS3">
        <f>IF(AND(ISNUMBER(BI3),ISNUMBER($Y3)),BI3-$Y3,IF(ISNUMBER(BI3),"MISSING",""))</f>
      </nc>
    </rcc>
    <rcc rId="0" sId="1">
      <nc r="BT3">
        <f>IF(AND(ISBLANK($AL3),ISBLANK($BD3)),0,1)</f>
      </nc>
    </rcc>
    <rcc rId="0" sId="1">
      <nc r="BU3">
        <f>IF(AND(ISNUMBER($AL3),ISNUMBER($BD3)),1,0)</f>
      </nc>
    </rcc>
    <rcc rId="0" sId="1">
      <nc r="BV3">
        <f>IF(BU3,SE_PREOP,"")</f>
      </nc>
    </rcc>
    <rcc rId="0" sId="1">
      <nc r="BW3">
        <f>IF(FU_6_AND_12,SE_6,"")</f>
      </nc>
    </rcc>
    <rcc rId="0" sId="1">
      <nc r="BX3">
        <f>IF(FU_6_AND_12,SE_12,"")</f>
      </nc>
    </rcc>
    <rcc rId="0" sId="1" dxf="1">
      <nc r="BY3">
        <f>IF(AND(ISNUMBER(BB3),ISNUMBER(BD3)),BB3-A3,IF(ISNUMBER(AJ3),AJ3-A3,0))</f>
      </nc>
      <ndxf>
        <numFmt numFmtId="2" formatCode="0.00"/>
      </ndxf>
    </rcc>
    <rcc rId="0" sId="1" dxf="1">
      <nc r="BZ3">
        <f>IF(BY3&gt;0,BY3/30,"")</f>
      </nc>
      <ndxf>
        <numFmt numFmtId="165" formatCode="0.0"/>
      </ndxf>
    </rcc>
    <rcc rId="0" sId="1">
      <nc r="CA3">
        <f>IF(AND(ISNUMBER(AY3),ISNUMBER(BQ3)),(BQ3-AY3),"")</f>
      </nc>
    </rcc>
    <rcc rId="0" sId="1">
      <nc r="CB3">
        <f>IF(AND(ISNUMBER(AW3), ISNUMBER(AD3)), AVERAGE(AW3,AU3)-AVERAGE(AD3,AF3),"")</f>
      </nc>
    </rcc>
    <rcc rId="0" sId="1">
      <nc r="CC3">
        <f>IF(AND(ISNUMBER(BM3), ISNUMBER(AD3)), AVERAGE(BM3,BO3)-AVERAGE(AD3,AF3),"")</f>
      </nc>
    </rcc>
    <rcc rId="0" sId="1">
      <nc r="CD3">
        <f>IF(ISNUMBER(CC3),CC3,IF(ISNUMBER(CB3),CB3,""))</f>
      </nc>
    </rcc>
    <rcc rId="0" sId="1">
      <nc r="CE3">
        <f>IF(AND(ISNUMBER(SPH_PREOP),ISNUMBER(SE_LAST_)),SPH_PREOP+CYL_PREOP/2,"")</f>
      </nc>
    </rcc>
    <rcc rId="0" sId="1">
      <nc r="CF3">
        <f>IF(ISNUMBER(SE_12),SE_12,IF(ISNUMBER(SE_6),SE_6,""))</f>
      </nc>
    </rcc>
    <rcc rId="0" sId="1" dxf="1">
      <nc r="CG3">
        <f>IF(AND(ISNUMBER(SE_LAST_),ISNUMBER(REF_TARGET)),SE_LAST_-REF_TARGET,"")</f>
      </nc>
      <ndxf>
        <border outline="0">
          <right style="double">
            <color indexed="64"/>
          </right>
        </border>
      </ndxf>
    </rcc>
    <rcc rId="0" sId="1" dxf="1">
      <nc r="CH3">
        <f>IF(ISNUMBER(Y3),IF(ISNUMBER(BI3),BI3-Y3,IF(ISNUMBER(AQ3),AQ3-Y3,"")),"")</f>
      </nc>
      <ndxf>
        <border outline="0">
          <left/>
        </border>
      </ndxf>
    </rcc>
    <rcc rId="0" sId="1">
      <nc r="CI3">
        <f>IF(ISNUMBER(Z3),IF(ISNUMBER(AS3),AS3-Z3,IF(ISNUMBER(BK3),BK3-Z3,"")),"")</f>
      </nc>
    </rcc>
    <rcc rId="0" sId="1" dxf="1">
      <nc r="CJ3">
        <f>IF(ISNUMBER(LAST_SE_ERROR),REF_TARGET,"")</f>
      </nc>
      <ndxf>
        <border outline="0">
          <left/>
          <right/>
          <top/>
          <bottom/>
        </border>
      </ndxf>
    </rcc>
    <rcc rId="0" sId="1" dxf="1">
      <nc r="CK3">
        <f>IF(AND(OR(ISNUMBER(BG3),ISNUMBER(AO3)),ISNUMBER(W3)),-LOG(20/W3)--LOG(20/IF(ISNUMBER(BG3),BG3,AO3)),"")</f>
      </nc>
      <ndxf>
        <border outline="0">
          <left/>
          <right/>
          <top/>
          <bottom/>
        </border>
      </ndxf>
    </rcc>
    <rcc rId="0" sId="1" dxf="1">
      <nc r="CL3">
        <f>IF(ISNUMBER(BE3),BE3,IF(ISNUMBER(AM3),AM3,""))</f>
      </nc>
      <ndxf>
        <numFmt numFmtId="166" formatCode="\+#0.00;\-#0.00;0;@"/>
        <border outline="0">
          <left/>
          <right/>
          <top/>
          <bottom/>
        </border>
      </ndxf>
    </rcc>
    <rcc rId="0" sId="1" dxf="1">
      <nc r="CM3">
        <f>IF(AND(ISNUMBER(CL3),ISNUMBER(U3)),CL3-U3,"")</f>
      </nc>
      <ndxf>
        <numFmt numFmtId="166" formatCode="\+#0.00;\-#0.00;0;@"/>
        <border outline="0">
          <left/>
          <right/>
          <top/>
          <bottom/>
        </border>
      </ndxf>
    </rcc>
    <rcc rId="0" sId="1" dxf="1">
      <nc r="CN3">
        <f>IF(ISNUMBER(BCVA_12),BCVA_12,IF(ISNUMBER(BCVA_6),BCVA_6,""))</f>
      </nc>
      <ndxf>
        <numFmt numFmtId="1" formatCode="0"/>
        <border outline="0">
          <left/>
          <right/>
          <top/>
          <bottom/>
        </border>
      </ndxf>
    </rcc>
    <rcc rId="0" sId="1" dxf="1">
      <nc r="CO3">
        <f>IF(AND(REF_TARGET&lt;=0,REF_TARGET&gt;-1),IF(ISNUMBER(UDVA_12),UDVA_12,IF(ISNUMBER(UDVA_6),UDVA_6,"")),"")</f>
      </nc>
      <ndxf>
        <font>
          <sz val="10"/>
          <color auto="1"/>
          <name val="Arial"/>
          <scheme val="none"/>
        </font>
        <numFmt numFmtId="1" formatCode="0"/>
        <border outline="0">
          <left/>
          <right/>
          <top/>
          <bottom/>
        </border>
      </ndxf>
    </rcc>
    <rcc rId="0" sId="1" dxf="1">
      <nc r="CP3">
        <f>IF(ISNUMBER($CS3),IF(ISNUMBER($AL3),IF(ISNUMBER($EN3),0,1),""),"")</f>
      </nc>
      <ndxf>
        <border outline="0">
          <left/>
          <right/>
          <top/>
          <bottom/>
        </border>
      </ndxf>
    </rcc>
    <rcc rId="0" sId="1" dxf="1">
      <nc r="CQ3">
        <f>IF(ISNUMBER($CS3),IF(ISNUMBER($BD3),IF(ISNUMBER($GJ3),0,1),""),"")</f>
      </nc>
      <ndxf>
        <border outline="0">
          <left/>
          <right/>
          <top/>
          <bottom/>
        </border>
      </ndxf>
    </rcc>
    <rcc rId="0" sId="1" dxf="1">
      <nc r="CR3">
        <v>9.02</v>
      </nc>
      <ndxf>
        <alignment horizontal="general" vertical="bottom" readingOrder="0"/>
        <border outline="0">
          <left/>
          <right/>
          <top/>
          <bottom/>
        </border>
      </ndxf>
    </rcc>
    <rcc rId="0" sId="1">
      <nc r="CS3">
        <v>8.65</v>
      </nc>
    </rcc>
    <rcc rId="0" sId="1">
      <nc r="CT3">
        <v>3.5</v>
      </nc>
    </rcc>
    <rcc rId="0" sId="1">
      <nc r="CU3">
        <v>-1.6</v>
      </nc>
    </rcc>
    <rcc rId="0" sId="1">
      <nc r="CV3">
        <v>-0.94</v>
      </nc>
    </rcc>
    <rcc rId="0" sId="1">
      <nc r="CW3">
        <v>-0.81</v>
      </nc>
    </rcc>
    <rcc rId="0" sId="1">
      <nc r="CX3">
        <v>3.19</v>
      </nc>
    </rcc>
    <rcc rId="0" sId="1">
      <nc r="CY3">
        <v>3.76</v>
      </nc>
    </rcc>
    <rcc rId="0" sId="1">
      <nc r="CZ3">
        <v>568</v>
      </nc>
    </rcc>
    <rcc rId="0" sId="1">
      <nc r="DA3">
        <v>565</v>
      </nc>
    </rcc>
    <rcc rId="0" sId="1">
      <nc r="DB3">
        <v>623</v>
      </nc>
    </rcc>
    <rcc rId="0" sId="1">
      <nc r="DC3">
        <v>647</v>
      </nc>
    </rcc>
    <rcc rId="0" sId="1">
      <nc r="DD3">
        <v>641</v>
      </nc>
    </rcc>
    <rcc rId="0" sId="1">
      <nc r="DE3">
        <v>636</v>
      </nc>
    </rcc>
    <rcc rId="0" sId="1">
      <nc r="DF3">
        <v>555</v>
      </nc>
    </rcc>
    <rcc rId="0" sId="1">
      <nc r="DG3">
        <v>7.0000000000000007E-2</v>
      </nc>
    </rcc>
    <rcc rId="0" sId="1">
      <nc r="DH3">
        <v>0.97</v>
      </nc>
    </rcc>
    <rcc rId="0" sId="1">
      <nc r="DI3">
        <v>8.92</v>
      </nc>
    </rcc>
    <rcc rId="0" sId="1">
      <nc r="DJ3">
        <v>8.66</v>
      </nc>
    </rcc>
    <rcc rId="0" sId="1">
      <nc r="DK3">
        <v>8.34</v>
      </nc>
    </rcc>
    <rcc rId="0" sId="1">
      <nc r="DL3">
        <v>8.14</v>
      </nc>
    </rcc>
    <rcc rId="0" sId="1">
      <nc r="DM3">
        <v>8.2799999999999994</v>
      </nc>
    </rcc>
    <rcc rId="0" sId="1">
      <nc r="DN3">
        <v>8.57</v>
      </nc>
    </rcc>
    <rcc rId="0" sId="1">
      <nc r="DO3">
        <v>0</v>
      </nc>
    </rcc>
    <rcc rId="0" sId="1">
      <nc r="DP3">
        <v>1.2</v>
      </nc>
    </rcc>
    <rcc rId="0" sId="1">
      <nc r="DQ3">
        <v>7.28</v>
      </nc>
    </rcc>
    <rcc rId="0" sId="1">
      <nc r="DR3">
        <v>7.21</v>
      </nc>
    </rcc>
    <rcc rId="0" sId="1">
      <nc r="DS3">
        <v>7.09</v>
      </nc>
    </rcc>
    <rcc rId="0" sId="1">
      <nc r="DT3">
        <v>7</v>
      </nc>
    </rcc>
    <rcc rId="0" sId="1">
      <nc r="DU3">
        <v>7.21</v>
      </nc>
    </rcc>
    <rcc rId="0" sId="1">
      <nc r="DV3">
        <v>7.55</v>
      </nc>
    </rcc>
    <rcc rId="0" sId="1">
      <nc r="DW3">
        <v>0</v>
      </nc>
    </rcc>
    <rcc rId="0" sId="1" dxf="1">
      <nc r="DX3">
        <v>1.2</v>
      </nc>
      <ndxf>
        <border outline="0">
          <right style="mediumDashDot">
            <color indexed="64"/>
          </right>
        </border>
      </ndxf>
    </rcc>
    <rcc rId="0" sId="1" dxf="1">
      <nc r="DY3">
        <v>37.4</v>
      </nc>
      <ndxf>
        <border outline="0">
          <left/>
          <right/>
        </border>
      </ndxf>
    </rcc>
    <rcc rId="0" sId="1" dxf="1">
      <nc r="DZ3">
        <v>39</v>
      </nc>
      <ndxf>
        <border outline="0">
          <left/>
          <right/>
        </border>
      </ndxf>
    </rcc>
    <rcc rId="0" sId="1" dxf="1">
      <nc r="EA3">
        <v>38.200000000000003</v>
      </nc>
      <ndxf>
        <border outline="0">
          <left/>
          <right/>
        </border>
      </ndxf>
    </rcc>
    <rcc rId="0" sId="1" dxf="1">
      <nc r="EB3">
        <v>3.5</v>
      </nc>
      <ndxf>
        <border outline="0">
          <left/>
          <right/>
        </border>
      </ndxf>
    </rcc>
    <rcc rId="0" sId="1" dxf="1">
      <nc r="EC3">
        <v>1.6</v>
      </nc>
      <ndxf>
        <border outline="0">
          <left/>
          <right/>
        </border>
      </ndxf>
    </rcc>
    <rcc rId="0" sId="1" dxf="1">
      <nc r="ED3">
        <v>-5.5</v>
      </nc>
      <ndxf>
        <border outline="0">
          <left/>
          <right/>
        </border>
      </ndxf>
    </rcc>
    <rcc rId="0" sId="1" dxf="1">
      <nc r="EE3">
        <v>-5.5</v>
      </nc>
      <ndxf>
        <border outline="0">
          <left/>
          <right/>
        </border>
      </ndxf>
    </rcc>
    <rcc rId="0" sId="1" dxf="1">
      <nc r="EF3">
        <v>-5.5</v>
      </nc>
      <ndxf>
        <border outline="0">
          <left/>
          <right/>
        </border>
      </ndxf>
    </rcc>
    <rcc rId="0" sId="1" dxf="1">
      <nc r="EG3">
        <v>165.8</v>
      </nc>
      <ndxf>
        <border outline="0">
          <left/>
          <right/>
        </border>
      </ndxf>
    </rcc>
    <rcc rId="0" sId="1" dxf="1">
      <nc r="EH3">
        <v>0</v>
      </nc>
      <ndxf>
        <border outline="0">
          <left/>
          <right/>
        </border>
      </ndxf>
    </rcc>
    <rcc rId="0" sId="1" dxf="1">
      <nc r="EI3">
        <v>4.0999999999999996</v>
      </nc>
      <ndxf>
        <border outline="0">
          <left/>
          <right/>
        </border>
      </ndxf>
    </rcc>
    <rcc rId="0" sId="1" dxf="1">
      <nc r="EJ3">
        <v>11.9</v>
      </nc>
      <ndxf>
        <border outline="0">
          <left/>
          <right/>
        </border>
      </ndxf>
    </rcc>
    <rcc rId="0" sId="1" dxf="1">
      <nc r="EK3">
        <v>25</v>
      </nc>
      <ndxf>
        <border outline="0">
          <left/>
          <right/>
        </border>
      </ndxf>
    </rcc>
    <rcc rId="0" sId="1" dxf="1">
      <nc r="EL3">
        <v>58.6</v>
      </nc>
      <ndxf>
        <border outline="0">
          <left/>
          <right/>
        </border>
      </ndxf>
    </rcc>
    <rcc rId="0" sId="1" dxf="1">
      <nc r="EM3">
        <v>38</v>
      </nc>
      <ndxf>
        <border outline="0">
          <left/>
          <right style="dashed">
            <color auto="1"/>
          </right>
        </border>
      </ndxf>
    </rcc>
    <rcc rId="0" sId="1" dxf="1">
      <nc r="EN3">
        <v>9</v>
      </nc>
      <ndxf>
        <border outline="0">
          <left/>
        </border>
      </ndxf>
    </rcc>
    <rcc rId="0" sId="1">
      <nc r="EO3">
        <v>8.85</v>
      </nc>
    </rcc>
    <rcc rId="0" sId="1">
      <nc r="EP3">
        <v>160.4</v>
      </nc>
    </rcc>
    <rcc rId="0" sId="1">
      <nc r="EQ3">
        <v>-0.6</v>
      </nc>
    </rcc>
    <rcc rId="0" sId="1">
      <nc r="ER3">
        <v>-0.85</v>
      </nc>
    </rcc>
    <rcc rId="0" sId="1">
      <nc r="ES3">
        <v>-0.86</v>
      </nc>
    </rcc>
    <rcc rId="0" sId="1">
      <nc r="ET3">
        <v>5.94</v>
      </nc>
    </rcc>
    <rcc rId="0" sId="1">
      <nc r="EU3">
        <v>6.39</v>
      </nc>
    </rcc>
    <rcc rId="0" sId="1">
      <nc r="EV3">
        <v>452</v>
      </nc>
    </rcc>
    <rcc rId="0" sId="1">
      <nc r="EW3">
        <v>453</v>
      </nc>
    </rcc>
    <rcc rId="0" sId="1">
      <nc r="EX3">
        <v>638</v>
      </nc>
    </rcc>
    <rcc rId="0" sId="1">
      <nc r="EY3">
        <v>537</v>
      </nc>
    </rcc>
    <rcc rId="0" sId="1">
      <nc r="EZ3">
        <v>605</v>
      </nc>
    </rcc>
    <rcc rId="0" sId="1">
      <nc r="FA3">
        <v>527</v>
      </nc>
    </rcc>
    <rcc rId="0" sId="1">
      <nc r="FB3">
        <v>439</v>
      </nc>
    </rcc>
    <rcc rId="0" sId="1">
      <nc r="FC3">
        <v>0.79</v>
      </nc>
    </rcc>
    <rcc rId="0" sId="1">
      <nc r="FD3">
        <v>-0.59</v>
      </nc>
    </rcc>
    <rcc rId="0" sId="1">
      <nc r="FE3">
        <v>8.94</v>
      </nc>
    </rcc>
    <rcc rId="0" sId="1">
      <nc r="FF3">
        <v>8.86</v>
      </nc>
    </rcc>
    <rcc rId="0" sId="1">
      <nc r="FG3">
        <v>8.59</v>
      </nc>
    </rcc>
    <rcc rId="0" sId="1">
      <nc r="FH3">
        <v>8.26</v>
      </nc>
    </rcc>
    <rcc rId="0" sId="1">
      <nc r="FI3">
        <v>8.23</v>
      </nc>
    </rcc>
    <rcc rId="0" sId="1">
      <nc r="FJ3">
        <v>8.3699999999999992</v>
      </nc>
    </rcc>
    <rcc rId="0" sId="1">
      <nc r="FK3">
        <v>0</v>
      </nc>
    </rcc>
    <rcc rId="0" sId="1">
      <nc r="FL3">
        <v>1.3</v>
      </nc>
    </rcc>
    <rcc rId="0" sId="1">
      <nc r="FM3">
        <v>6.99</v>
      </nc>
    </rcc>
    <rcc rId="0" sId="1">
      <nc r="FN3">
        <v>6.73</v>
      </nc>
    </rcc>
    <rcc rId="0" sId="1">
      <nc r="FO3">
        <v>6.67</v>
      </nc>
    </rcc>
    <rcc rId="0" sId="1">
      <nc r="FP3">
        <v>6.77</v>
      </nc>
    </rcc>
    <rcc rId="0" sId="1">
      <nc r="FQ3">
        <v>6.96</v>
      </nc>
    </rcc>
    <rcc rId="0" sId="1">
      <nc r="FR3">
        <v>0</v>
      </nc>
    </rcc>
    <rcc rId="0" sId="1">
      <nc r="FS3">
        <v>0</v>
      </nc>
    </rcc>
    <rcc rId="0" sId="1" dxf="1">
      <nc r="FT3">
        <v>1.3</v>
      </nc>
      <ndxf>
        <border outline="0">
          <right style="mediumDashed">
            <color indexed="64"/>
          </right>
        </border>
      </ndxf>
    </rcc>
    <rcc rId="0" sId="1" dxf="1">
      <nc r="FU3">
        <v>37.5</v>
      </nc>
      <ndxf>
        <border outline="0">
          <left/>
          <right/>
        </border>
      </ndxf>
    </rcc>
    <rcc rId="0" sId="1" dxf="1">
      <nc r="FV3">
        <v>38.1</v>
      </nc>
      <ndxf>
        <border outline="0">
          <left/>
          <right/>
        </border>
      </ndxf>
    </rcc>
    <rcc rId="0" sId="1" dxf="1">
      <nc r="FW3">
        <v>37.799999999999997</v>
      </nc>
      <ndxf>
        <border outline="0">
          <left/>
          <right/>
        </border>
      </ndxf>
    </rcc>
    <rcc rId="0" sId="1" dxf="1">
      <nc r="FX3">
        <v>160.4</v>
      </nc>
      <ndxf>
        <border outline="0">
          <left/>
          <right/>
        </border>
      </ndxf>
    </rcc>
    <rcc rId="0" sId="1" dxf="1">
      <nc r="FY3">
        <v>0.6</v>
      </nc>
      <ndxf>
        <border outline="0">
          <left/>
          <right/>
        </border>
      </ndxf>
    </rcc>
    <rcc rId="0" sId="1" dxf="1">
      <nc r="FZ3">
        <v>-5.5</v>
      </nc>
      <ndxf>
        <border outline="0">
          <left/>
          <right/>
        </border>
      </ndxf>
    </rcc>
    <rcc rId="0" sId="1" dxf="1">
      <nc r="GA3">
        <v>-6</v>
      </nc>
      <ndxf>
        <border outline="0">
          <left/>
          <right/>
        </border>
      </ndxf>
    </rcc>
    <rcc rId="0" sId="1" dxf="1">
      <nc r="GB3">
        <v>-5.8</v>
      </nc>
      <ndxf>
        <border outline="0">
          <left/>
          <right/>
        </border>
      </ndxf>
    </rcc>
    <rcc rId="0" sId="1" dxf="1">
      <nc r="GC3">
        <v>168.6</v>
      </nc>
      <ndxf>
        <border outline="0">
          <left/>
          <right/>
        </border>
      </ndxf>
    </rcc>
    <rcc rId="0" sId="1" dxf="1">
      <nc r="GD3">
        <v>0.5</v>
      </nc>
      <ndxf>
        <border outline="0">
          <left/>
          <right/>
        </border>
      </ndxf>
    </rcc>
    <rcc rId="0" sId="1" dxf="1">
      <nc r="GE3">
        <v>3.3</v>
      </nc>
      <ndxf>
        <border outline="0">
          <left/>
          <right/>
        </border>
      </ndxf>
    </rcc>
    <rcc rId="0" sId="1" dxf="1">
      <nc r="GF3">
        <v>9.9</v>
      </nc>
      <ndxf>
        <border outline="0">
          <left/>
          <right/>
        </border>
      </ndxf>
    </rcc>
    <rcc rId="0" sId="1" dxf="1">
      <nc r="GG3">
        <v>21.9</v>
      </nc>
      <ndxf>
        <border outline="0">
          <left/>
          <right/>
        </border>
      </ndxf>
    </rcc>
    <rcc rId="0" sId="1" dxf="1">
      <nc r="GH3">
        <v>55.6</v>
      </nc>
      <ndxf>
        <border outline="0">
          <left/>
          <right/>
        </border>
      </ndxf>
    </rcc>
    <rcc rId="0" sId="1" dxf="1">
      <nc r="GI3">
        <v>35</v>
      </nc>
      <ndxf>
        <border outline="0">
          <left/>
          <right style="medium">
            <color auto="1"/>
          </right>
        </border>
      </ndxf>
    </rcc>
    <rcc rId="0" sId="1" dxf="1">
      <nc r="GJ3">
        <v>8.91</v>
      </nc>
      <ndxf>
        <border outline="0">
          <left/>
        </border>
      </ndxf>
    </rcc>
    <rcc rId="0" sId="1">
      <nc r="GK3">
        <v>8.83</v>
      </nc>
    </rcc>
    <rcc rId="0" sId="1">
      <nc r="GL3">
        <v>141.19999999999999</v>
      </nc>
    </rcc>
    <rcc rId="0" sId="1">
      <nc r="GM3">
        <v>-0.3</v>
      </nc>
    </rcc>
    <rcc rId="0" sId="1">
      <nc r="GN3">
        <v>-0.76</v>
      </nc>
    </rcc>
    <rcc rId="0" sId="1">
      <nc r="GO3">
        <v>-0.78</v>
      </nc>
    </rcc>
    <rcc rId="0" sId="1">
      <nc r="GP3">
        <v>4.99</v>
      </nc>
    </rcc>
    <rcc rId="0" sId="1">
      <nc r="GQ3">
        <v>5.45</v>
      </nc>
    </rcc>
    <rcc rId="0" sId="1">
      <nc r="GR3">
        <v>457</v>
      </nc>
    </rcc>
    <rcc rId="0" sId="1">
      <nc r="GS3">
        <v>458</v>
      </nc>
    </rcc>
    <rcc rId="0" sId="1">
      <nc r="GT3">
        <v>604</v>
      </nc>
    </rcc>
    <rcc rId="0" sId="1">
      <nc r="GU3">
        <v>550</v>
      </nc>
    </rcc>
    <rcc rId="0" sId="1">
      <nc r="GV3">
        <v>569</v>
      </nc>
    </rcc>
    <rcc rId="0" sId="1">
      <nc r="GW3">
        <v>560</v>
      </nc>
    </rcc>
    <rcc rId="0" sId="1">
      <nc r="GX3">
        <v>453</v>
      </nc>
    </rcc>
    <rcc rId="0" sId="1">
      <nc r="GY3">
        <v>0.26</v>
      </nc>
    </rcc>
    <rcc rId="0" sId="1">
      <nc r="GZ3">
        <v>-0.52</v>
      </nc>
    </rcc>
    <rcc rId="0" sId="1">
      <nc r="HA3">
        <v>8.9</v>
      </nc>
    </rcc>
    <rcc rId="0" sId="1">
      <nc r="HB3">
        <v>8.7899999999999991</v>
      </nc>
    </rcc>
    <rcc rId="0" sId="1">
      <nc r="HC3">
        <v>8.57</v>
      </nc>
    </rcc>
    <rcc rId="0" sId="1">
      <nc r="HD3">
        <v>8.31</v>
      </nc>
    </rcc>
    <rcc rId="0" sId="1">
      <nc r="HE3">
        <v>8.34</v>
      </nc>
    </rcc>
    <rcc rId="0" sId="1">
      <nc r="HF3">
        <v>8.4700000000000006</v>
      </nc>
    </rcc>
    <rcc rId="0" sId="1">
      <nc r="HG3">
        <v>0</v>
      </nc>
    </rcc>
    <rcc rId="0" sId="1">
      <nc r="HH3">
        <v>1.3</v>
      </nc>
    </rcc>
    <rcc rId="0" sId="1">
      <nc r="HI3">
        <v>7.01</v>
      </nc>
    </rcc>
    <rcc rId="0" sId="1">
      <nc r="HJ3">
        <v>6.84</v>
      </nc>
    </rcc>
    <rcc rId="0" sId="1">
      <nc r="HK3">
        <v>6.78</v>
      </nc>
    </rcc>
    <rcc rId="0" sId="1">
      <nc r="HL3">
        <v>6.77</v>
      </nc>
    </rcc>
    <rcc rId="0" sId="1">
      <nc r="HM3">
        <v>6.94</v>
      </nc>
    </rcc>
    <rcc rId="0" sId="1">
      <nc r="HN3">
        <v>0</v>
      </nc>
    </rcc>
    <rcc rId="0" sId="1">
      <nc r="HO3">
        <v>0</v>
      </nc>
    </rcc>
    <rcc rId="0" sId="1" dxf="1">
      <nc r="HP3">
        <v>1.3</v>
      </nc>
      <ndxf>
        <border outline="0">
          <right style="double">
            <color indexed="64"/>
          </right>
        </border>
      </ndxf>
    </rcc>
    <rcc rId="0" sId="1" dxf="1">
      <nc r="HQ3">
        <v>37.9</v>
      </nc>
      <ndxf>
        <border outline="0">
          <left/>
          <right/>
        </border>
      </ndxf>
    </rcc>
    <rcc rId="0" sId="1" dxf="1">
      <nc r="HR3">
        <v>38.200000000000003</v>
      </nc>
      <ndxf>
        <border outline="0">
          <left/>
          <right/>
        </border>
      </ndxf>
    </rcc>
    <rcc rId="0" sId="1" dxf="1">
      <nc r="HS3">
        <v>38</v>
      </nc>
      <ndxf>
        <border outline="0">
          <left/>
          <right/>
        </border>
      </ndxf>
    </rcc>
    <rcc rId="0" sId="1" dxf="1">
      <nc r="HT3">
        <v>141.19999999999999</v>
      </nc>
      <ndxf>
        <border outline="0">
          <left/>
          <right/>
        </border>
      </ndxf>
    </rcc>
    <rcc rId="0" sId="1" dxf="1">
      <nc r="HU3">
        <v>0.3</v>
      </nc>
      <ndxf>
        <border outline="0">
          <left/>
          <right/>
        </border>
      </ndxf>
    </rcc>
    <rcc rId="0" sId="1" dxf="1">
      <nc r="HV3">
        <v>-5.7</v>
      </nc>
      <ndxf>
        <border outline="0">
          <left/>
          <right/>
        </border>
      </ndxf>
    </rcc>
    <rcc rId="0" sId="1" dxf="1">
      <nc r="HW3">
        <v>-5.8</v>
      </nc>
      <ndxf>
        <border outline="0">
          <left/>
          <right/>
        </border>
      </ndxf>
    </rcc>
    <rcc rId="0" sId="1" dxf="1">
      <nc r="HX3">
        <v>-5.8</v>
      </nc>
      <ndxf>
        <border outline="0">
          <left/>
          <right/>
        </border>
      </ndxf>
    </rcc>
    <rcc rId="0" sId="1" dxf="1">
      <nc r="HY3">
        <v>155.69999999999999</v>
      </nc>
      <ndxf>
        <border outline="0">
          <left/>
          <right/>
        </border>
      </ndxf>
    </rcc>
    <rcc rId="0" sId="1" dxf="1">
      <nc r="HZ3">
        <v>0.2</v>
      </nc>
      <ndxf>
        <border outline="0">
          <left/>
          <right/>
        </border>
      </ndxf>
    </rcc>
    <rcc rId="0" sId="1" dxf="1">
      <nc r="IA3">
        <v>3.3</v>
      </nc>
      <ndxf>
        <border outline="0">
          <left/>
          <right/>
        </border>
      </ndxf>
    </rcc>
    <rcc rId="0" sId="1" dxf="1">
      <nc r="IB3">
        <v>9.9</v>
      </nc>
      <ndxf>
        <border outline="0">
          <left/>
          <right/>
        </border>
      </ndxf>
    </rcc>
    <rcc rId="0" sId="1" dxf="1">
      <nc r="IC3">
        <v>21.7</v>
      </nc>
      <ndxf>
        <border outline="0">
          <left/>
          <right/>
        </border>
      </ndxf>
    </rcc>
    <rcc rId="0" sId="1" dxf="1">
      <nc r="ID3">
        <v>55</v>
      </nc>
      <ndxf>
        <border outline="0">
          <left/>
          <right/>
        </border>
      </ndxf>
    </rcc>
    <rcc rId="0" sId="1" dxf="1">
      <nc r="IE3">
        <v>28</v>
      </nc>
      <ndxf>
        <border outline="0">
          <left/>
          <right style="mediumDashed">
            <color auto="1"/>
          </right>
        </border>
      </ndxf>
    </rcc>
    <rcc rId="0" sId="1" dxf="1">
      <nc r="IF3">
        <f>IF(ISNUMBER(GJ3),GJ3,IF(ISNUMBER(EN3),EN3,""))</f>
      </nc>
      <ndxf>
        <border outline="0">
          <left/>
        </border>
      </ndxf>
    </rcc>
    <rcc rId="0" sId="1">
      <nc r="IG3">
        <f>IF(ISNUMBER(GK3),GK3,IF(ISNUMBER(EO3),EO3,""))</f>
      </nc>
    </rcc>
    <rcc rId="0" sId="1">
      <nc r="IH3">
        <f>IF(ISNUMBER(GL3),GL3,IF(ISNUMBER(EP3),EP3,""))</f>
      </nc>
    </rcc>
    <rcc rId="0" sId="1">
      <nc r="II3">
        <f>IF(ISNUMBER(GM3),GM3,IF(ISNUMBER(EQ3),EQ3,""))</f>
      </nc>
    </rcc>
    <rcc rId="0" sId="1">
      <nc r="IJ3">
        <f>IF(ISNUMBER(GN3),GN3,IF(ISNUMBER(ER3),ER3,""))</f>
      </nc>
    </rcc>
    <rcc rId="0" sId="1">
      <nc r="IK3">
        <f>IF(ISNUMBER(GO3),GO3,IF(ISNUMBER(ES3),ES3,""))</f>
      </nc>
    </rcc>
    <rcc rId="0" sId="1">
      <nc r="IL3">
        <f>IF(ISNUMBER(GP3),GP3,IF(ISNUMBER(ET3),ET3,""))</f>
      </nc>
    </rcc>
    <rcc rId="0" sId="1">
      <nc r="IM3">
        <f>IF(ISNUMBER(GQ3),GQ3,IF(ISNUMBER(EU3),EU3,""))</f>
      </nc>
    </rcc>
    <rcc rId="0" sId="1">
      <nc r="IN3">
        <f>IF(ISNUMBER(GR3),GR3,IF(ISNUMBER(EV3),EV3,""))</f>
      </nc>
    </rcc>
    <rcc rId="0" sId="1">
      <nc r="IO3">
        <f>IF(ISNUMBER(GS3),GS3,IF(ISNUMBER(EW3),EW3,""))</f>
      </nc>
    </rcc>
    <rcc rId="0" sId="1">
      <nc r="IP3">
        <f>IF(ISNUMBER(GT3),GT3,IF(ISNUMBER(EX3),EX3,""))</f>
      </nc>
    </rcc>
    <rcc rId="0" sId="1">
      <nc r="IQ3">
        <f>IF(ISNUMBER(GU3),GU3,IF(ISNUMBER(EY3),EY3,""))</f>
      </nc>
    </rcc>
    <rcc rId="0" sId="1">
      <nc r="IR3">
        <f>IF(ISNUMBER(GV3),GV3,IF(ISNUMBER(EZ3),EZ3,""))</f>
      </nc>
    </rcc>
    <rcc rId="0" sId="1">
      <nc r="IS3">
        <f>IF(ISNUMBER(GW3),GW3,IF(ISNUMBER(FA3),FA3,""))</f>
      </nc>
    </rcc>
    <rcc rId="0" sId="1">
      <nc r="IT3">
        <f>IF(ISNUMBER(GX3),GX3,IF(ISNUMBER(FB3),FB3,""))</f>
      </nc>
    </rcc>
    <rcc rId="0" sId="1">
      <nc r="IU3">
        <f>IF(ISNUMBER(GY3),GY3,IF(ISNUMBER(FC3),FC3,""))</f>
      </nc>
    </rcc>
    <rcc rId="0" sId="1">
      <nc r="IV3">
        <f>IF(ISNUMBER(GZ3),GZ3,IF(ISNUMBER(FD3),FD3,""))</f>
      </nc>
    </rcc>
    <rcc rId="0" sId="1">
      <nc r="IW3">
        <f>IF(ISNUMBER(HA3),HA3,IF(ISNUMBER(FE3),FE3,""))</f>
      </nc>
    </rcc>
    <rcc rId="0" sId="1">
      <nc r="IX3">
        <f>IF(ISNUMBER(HB3),HB3,IF(ISNUMBER(FF3),FF3,""))</f>
      </nc>
    </rcc>
    <rcc rId="0" sId="1">
      <nc r="IY3">
        <f>IF(ISNUMBER(HC3),HC3,IF(ISNUMBER(FG3),FG3,""))</f>
      </nc>
    </rcc>
    <rcc rId="0" sId="1">
      <nc r="IZ3">
        <f>IF(ISNUMBER(HD3),HD3,IF(ISNUMBER(FH3),FH3,""))</f>
      </nc>
    </rcc>
    <rcc rId="0" sId="1">
      <nc r="JA3">
        <f>IF(ISNUMBER(HE3),HE3,IF(ISNUMBER(FI3),FI3,""))</f>
      </nc>
    </rcc>
    <rcc rId="0" sId="1">
      <nc r="JB3">
        <f>IF(ISNUMBER(HF3),HF3,IF(ISNUMBER(FJ3),FJ3,""))</f>
      </nc>
    </rcc>
    <rcc rId="0" sId="1">
      <nc r="JC3">
        <f>IF(ISNUMBER(HG3),HG3,IF(ISNUMBER(FK3),FK3,""))</f>
      </nc>
    </rcc>
    <rcc rId="0" sId="1">
      <nc r="JD3">
        <f>IF(ISNUMBER(HH3),HH3,IF(ISNUMBER(FL3),FL3,""))</f>
      </nc>
    </rcc>
    <rcc rId="0" sId="1">
      <nc r="JE3">
        <f>IF(ISNUMBER(HI3),HI3,IF(ISNUMBER(FM3),FM3,""))</f>
      </nc>
    </rcc>
    <rcc rId="0" sId="1">
      <nc r="JF3">
        <f>IF(ISNUMBER(HJ3),HJ3,IF(ISNUMBER(FN3),FN3,""))</f>
      </nc>
    </rcc>
    <rcc rId="0" sId="1">
      <nc r="JG3">
        <f>IF(ISNUMBER(HK3),HK3,IF(ISNUMBER(FO3),FO3,""))</f>
      </nc>
    </rcc>
    <rcc rId="0" sId="1">
      <nc r="JH3">
        <f>IF(ISNUMBER(HL3),HL3,IF(ISNUMBER(FP3),FP3,""))</f>
      </nc>
    </rcc>
    <rcc rId="0" sId="1">
      <nc r="JI3">
        <f>IF(ISNUMBER(HM3),HM3,IF(ISNUMBER(FQ3),FQ3,""))</f>
      </nc>
    </rcc>
    <rcc rId="0" sId="1">
      <nc r="JJ3">
        <f>IF(ISNUMBER(HN3),HN3,IF(ISNUMBER(FR3),FR3,""))</f>
      </nc>
    </rcc>
    <rcc rId="0" sId="1" dxf="1">
      <nc r="JK3">
        <f>IF(ISNUMBER(HO3),HO3,IF(ISNUMBER(FS3),FS3,""))</f>
      </nc>
      <ndxf>
        <border outline="0">
          <right/>
        </border>
      </ndxf>
    </rcc>
    <rcc rId="0" sId="1" dxf="1">
      <nc r="JL3">
        <f>IF(ISNUMBER(HP3),HP3,IF(ISNUMBER(FT3),FT3,""))</f>
      </nc>
      <ndxf>
        <border outline="0">
          <left/>
          <right/>
        </border>
      </ndxf>
    </rcc>
    <rcc rId="0" sId="1" dxf="1">
      <nc r="JM3">
        <f>IF(ISNUMBER(HQ3),HQ3,IF(ISNUMBER(FU3),FU3,""))</f>
      </nc>
      <ndxf>
        <border outline="0">
          <left/>
          <right/>
        </border>
      </ndxf>
    </rcc>
    <rcc rId="0" sId="1" dxf="1">
      <nc r="JN3">
        <f>IF(ISNUMBER(HR3),HR3,IF(ISNUMBER(FV3),FV3,""))</f>
      </nc>
      <ndxf>
        <border outline="0">
          <left/>
          <right/>
        </border>
      </ndxf>
    </rcc>
    <rcc rId="0" sId="1" dxf="1">
      <nc r="JO3">
        <f>IF(ISNUMBER(HS3),HS3,IF(ISNUMBER(FW3),FW3,""))</f>
      </nc>
      <ndxf>
        <border outline="0">
          <left/>
          <right/>
        </border>
      </ndxf>
    </rcc>
    <rcc rId="0" sId="1" dxf="1">
      <nc r="JP3">
        <f>IF(ISNUMBER(HT3),HT3,IF(ISNUMBER(FX3),FX3,""))</f>
      </nc>
      <ndxf>
        <border outline="0">
          <left/>
          <right/>
        </border>
      </ndxf>
    </rcc>
    <rcc rId="0" sId="1" dxf="1">
      <nc r="JQ3">
        <f>IF(ISNUMBER(HU3),HU3,IF(ISNUMBER(FY3),FY3,""))</f>
      </nc>
      <ndxf>
        <border outline="0">
          <left/>
          <right/>
        </border>
      </ndxf>
    </rcc>
    <rcc rId="0" sId="1" dxf="1">
      <nc r="JR3">
        <f>IF(ISNUMBER(HV3),HV3,IF(ISNUMBER(FZ3),FZ3,""))</f>
      </nc>
      <ndxf>
        <border outline="0">
          <left/>
          <right/>
        </border>
      </ndxf>
    </rcc>
    <rcc rId="0" sId="1" dxf="1">
      <nc r="JS3">
        <f>IF(ISNUMBER(HW3),HW3,IF(ISNUMBER(GA3),GA3,""))</f>
      </nc>
      <ndxf>
        <border outline="0">
          <left/>
          <right/>
        </border>
      </ndxf>
    </rcc>
    <rcc rId="0" sId="1" dxf="1">
      <nc r="JT3">
        <f>IF(ISNUMBER(HX3),HX3,IF(ISNUMBER(GB3),GB3,""))</f>
      </nc>
      <ndxf>
        <border outline="0">
          <left/>
          <right/>
        </border>
      </ndxf>
    </rcc>
    <rcc rId="0" sId="1" dxf="1">
      <nc r="JU3">
        <f>IF(ISNUMBER(HY3),HY3,IF(ISNUMBER(GC3),GC3,""))</f>
      </nc>
      <ndxf>
        <border outline="0">
          <left/>
          <right/>
        </border>
      </ndxf>
    </rcc>
    <rcc rId="0" sId="1" dxf="1">
      <nc r="JV3">
        <f>IF(ISNUMBER(HZ3),HZ3,IF(ISNUMBER(GD3),GD3,""))</f>
      </nc>
      <ndxf>
        <border outline="0">
          <left/>
          <right/>
        </border>
      </ndxf>
    </rcc>
    <rcc rId="0" sId="1" dxf="1">
      <nc r="JW3">
        <f>IF(ISNUMBER(IA3),IA3,IF(ISNUMBER(GE3),GE3,""))</f>
      </nc>
      <ndxf>
        <border outline="0">
          <left/>
          <right/>
        </border>
      </ndxf>
    </rcc>
    <rcc rId="0" sId="1" dxf="1">
      <nc r="JX3">
        <f>IF(ISNUMBER(IB3),IB3,IF(ISNUMBER(GF3),GF3,""))</f>
      </nc>
      <ndxf>
        <border outline="0">
          <left/>
          <right/>
        </border>
      </ndxf>
    </rcc>
    <rcc rId="0" sId="1" dxf="1">
      <nc r="JY3">
        <f>IF(ISNUMBER(IC3),IC3,IF(ISNUMBER(GG3),GG3,""))</f>
      </nc>
      <ndxf>
        <border outline="0">
          <left/>
          <right/>
        </border>
      </ndxf>
    </rcc>
    <rcc rId="0" sId="1" dxf="1">
      <nc r="JZ3">
        <f>IF(ISNUMBER(ID3),ID3,IF(ISNUMBER(GH3),GH3,""))</f>
      </nc>
      <ndxf>
        <border outline="0">
          <left/>
          <right/>
        </border>
      </ndxf>
    </rcc>
    <rcc rId="0" sId="1" dxf="1">
      <nc r="KA3">
        <f>IF(ISNUMBER(IE3),IE3,IF(ISNUMBER(GI3),GI3,""))</f>
      </nc>
      <ndxf>
        <border outline="0">
          <left/>
          <right style="mediumDashed">
            <color auto="1"/>
          </right>
        </border>
      </ndxf>
    </rcc>
    <rcc rId="0" sId="1" dxf="1">
      <nc r="KB3">
        <f>IF(AND(ISNUMBER(IF3),ISNUMBER(CR3)),IF3-CR3,"")</f>
      </nc>
      <ndxf>
        <border outline="0">
          <left/>
        </border>
      </ndxf>
    </rcc>
    <rcc rId="0" sId="1">
      <nc r="KC3">
        <f>IF(AND(ISNUMBER(IG3),ISNUMBER(CS3)),IG3-CS3,"")</f>
      </nc>
    </rcc>
    <rcc rId="0" sId="1">
      <nc r="KD3">
        <f>IF(AND(ISNUMBER(IH3),ISNUMBER(CT3)),IH3-CT3,"")</f>
      </nc>
    </rcc>
    <rcc rId="0" sId="1">
      <nc r="KE3">
        <f>IF(AND(ISNUMBER(II3),ISNUMBER(CU3)),II3-CU3,"")</f>
      </nc>
    </rcc>
    <rcc rId="0" sId="1">
      <nc r="KF3">
        <f>IF(AND(ISNUMBER(IJ3),ISNUMBER(CV3)),IJ3-CV3,"")</f>
      </nc>
    </rcc>
    <rcc rId="0" sId="1">
      <nc r="KG3">
        <f>IF(AND(ISNUMBER(IK3),ISNUMBER(CW3)),IK3-CW3,"")</f>
      </nc>
    </rcc>
    <rcc rId="0" sId="1">
      <nc r="KH3">
        <f>IF(AND(ISNUMBER(IL3),ISNUMBER(CX3)),IL3-CX3,"")</f>
      </nc>
    </rcc>
    <rcc rId="0" sId="1">
      <nc r="KI3">
        <f>IF(AND(ISNUMBER(IM3),ISNUMBER(CY3)),IM3-CY3,"")</f>
      </nc>
    </rcc>
    <rcc rId="0" sId="1">
      <nc r="KJ3">
        <f>IF(AND(ISNUMBER(IN3),ISNUMBER(CZ3)),IN3-CZ3,"")</f>
      </nc>
    </rcc>
    <rcc rId="0" sId="1">
      <nc r="KK3">
        <f>IF(AND(ISNUMBER(IO3),ISNUMBER(DA3)),IO3-DA3,"")</f>
      </nc>
    </rcc>
    <rcc rId="0" sId="1">
      <nc r="KL3">
        <f>IF(AND(ISNUMBER(IP3),ISNUMBER(DB3)),IP3-DB3,"")</f>
      </nc>
    </rcc>
    <rcc rId="0" sId="1">
      <nc r="KM3">
        <f>IF(AND(ISNUMBER(IQ3),ISNUMBER(DC3)),IQ3-DC3,"")</f>
      </nc>
    </rcc>
    <rcc rId="0" sId="1">
      <nc r="KN3">
        <f>IF(AND(ISNUMBER(IR3),ISNUMBER(DD3)),IR3-DD3,"")</f>
      </nc>
    </rcc>
    <rcc rId="0" sId="1">
      <nc r="KO3">
        <f>IF(AND(ISNUMBER(IS3),ISNUMBER(DE3)),IS3-DE3,"")</f>
      </nc>
    </rcc>
    <rcc rId="0" sId="1">
      <nc r="KP3">
        <f>IF(AND(ISNUMBER(IT3),ISNUMBER(DF3)),IT3-DF3,"")</f>
      </nc>
    </rcc>
    <rcc rId="0" sId="1">
      <nc r="KQ3">
        <f>IF(AND(ISNUMBER(IU3),ISNUMBER(DG3)),IU3-DG3,"")</f>
      </nc>
    </rcc>
    <rcc rId="0" sId="1">
      <nc r="KR3">
        <f>IF(AND(ISNUMBER(IV3),ISNUMBER(DH3)),IV3-DH3,"")</f>
      </nc>
    </rcc>
    <rcc rId="0" sId="1">
      <nc r="KS3">
        <f>IF(AND(ISNUMBER(IW3),ISNUMBER(DI3)),IW3-DI3,"")</f>
      </nc>
    </rcc>
    <rcc rId="0" sId="1">
      <nc r="KT3">
        <f>IF(AND(ISNUMBER(IX3),ISNUMBER(DJ3)),IX3-DJ3,"")</f>
      </nc>
    </rcc>
    <rcc rId="0" sId="1">
      <nc r="KU3">
        <f>IF(AND(ISNUMBER(IY3),ISNUMBER(DK3)),IY3-DK3,"")</f>
      </nc>
    </rcc>
    <rcc rId="0" sId="1">
      <nc r="KV3">
        <f>IF(AND(ISNUMBER(IZ3),ISNUMBER(DL3)),IZ3-DL3,"")</f>
      </nc>
    </rcc>
    <rcc rId="0" sId="1">
      <nc r="KW3">
        <f>IF(AND(ISNUMBER(JA3),ISNUMBER(DM3)),JA3-DM3,"")</f>
      </nc>
    </rcc>
    <rcc rId="0" sId="1">
      <nc r="KX3">
        <f>IF(AND(ISNUMBER(JB3),ISNUMBER(DN3)),JB3-DN3,"")</f>
      </nc>
    </rcc>
    <rcc rId="0" sId="1">
      <nc r="KY3">
        <f>IF(AND(ISNUMBER(JC3),ISNUMBER(DO3)),JC3-DO3,"")</f>
      </nc>
    </rcc>
    <rcc rId="0" sId="1">
      <nc r="KZ3">
        <f>IF(AND(ISNUMBER(JD3),ISNUMBER(DP3)),JD3-DP3,"")</f>
      </nc>
    </rcc>
    <rcc rId="0" sId="1">
      <nc r="LA3">
        <f>IF(AND(ISNUMBER(JE3),ISNUMBER(DQ3)),JE3-DQ3,"")</f>
      </nc>
    </rcc>
    <rcc rId="0" sId="1">
      <nc r="LB3">
        <f>IF(AND(ISNUMBER(JF3),ISNUMBER(DR3)),JF3-DR3,"")</f>
      </nc>
    </rcc>
    <rcc rId="0" sId="1">
      <nc r="LC3">
        <f>IF(AND(ISNUMBER(JG3),ISNUMBER(DS3)),JG3-DS3,"")</f>
      </nc>
    </rcc>
    <rcc rId="0" sId="1">
      <nc r="LD3">
        <f>IF(AND(ISNUMBER(JH3),ISNUMBER(DT3)),JH3-DT3,"")</f>
      </nc>
    </rcc>
    <rcc rId="0" sId="1">
      <nc r="LE3">
        <f>IF(AND(ISNUMBER(JI3),ISNUMBER(DU3)),JI3-DU3,"")</f>
      </nc>
    </rcc>
    <rcc rId="0" sId="1">
      <nc r="LF3">
        <f>IF(AND(ISNUMBER(JJ3),ISNUMBER(DV3)),JJ3-DV3,"")</f>
      </nc>
    </rcc>
    <rcc rId="0" sId="1">
      <nc r="LG3">
        <f>IF(AND(ISNUMBER(JK3),ISNUMBER(DW3)),JK3-DW3,"")</f>
      </nc>
    </rcc>
    <rcc rId="0" sId="1">
      <nc r="LH3">
        <f>IF(AND(ISNUMBER(JL3),ISNUMBER(DX3)),JL3-DX3,"")</f>
      </nc>
    </rcc>
    <rcc rId="0" sId="1">
      <nc r="LI3">
        <f>IF(AND(ISNUMBER(JM3),ISNUMBER(DY3)),JM3-DY3,"")</f>
      </nc>
    </rcc>
    <rcc rId="0" sId="1">
      <nc r="LJ3">
        <f>IF(AND(ISNUMBER(JN3),ISNUMBER(DZ3)),JN3-DZ3,"")</f>
      </nc>
    </rcc>
    <rcc rId="0" sId="1">
      <nc r="LK3">
        <f>IF(AND(ISNUMBER(JO3),ISNUMBER(EA3)),JO3-EA3,"")</f>
      </nc>
    </rcc>
    <rcc rId="0" sId="1">
      <nc r="LL3">
        <f>IF(AND(ISNUMBER(JP3),ISNUMBER(EB3)),JP3-EB3,"")</f>
      </nc>
    </rcc>
    <rcc rId="0" sId="1">
      <nc r="LM3">
        <f>IF(AND(ISNUMBER(JQ3),ISNUMBER(EC3)),JQ3-EC3,"")</f>
      </nc>
    </rcc>
    <rcc rId="0" sId="1">
      <nc r="LN3">
        <f>IF(AND(ISNUMBER(JR3),ISNUMBER(ED3)),JR3-ED3,"")</f>
      </nc>
    </rcc>
    <rcc rId="0" sId="1">
      <nc r="LO3">
        <f>IF(AND(ISNUMBER(JS3),ISNUMBER(EE3)),JS3-EE3,"")</f>
      </nc>
    </rcc>
    <rcc rId="0" sId="1">
      <nc r="LP3">
        <f>IF(AND(ISNUMBER(JT3),ISNUMBER(EF3)),JT3-EF3,"")</f>
      </nc>
    </rcc>
    <rcc rId="0" sId="1">
      <nc r="LQ3">
        <f>IF(AND(ISNUMBER(JU3),ISNUMBER(EG3)),JU3-EG3,"")</f>
      </nc>
    </rcc>
    <rcc rId="0" sId="1">
      <nc r="LR3">
        <f>IF(AND(ISNUMBER(JV3),ISNUMBER(EH3)),JV3-EH3,"")</f>
      </nc>
    </rcc>
    <rcc rId="0" sId="1">
      <nc r="LS3">
        <f>IF(AND(ISNUMBER(JW3),ISNUMBER(EI3)),JW3-EI3,"")</f>
      </nc>
    </rcc>
    <rcc rId="0" sId="1">
      <nc r="LT3">
        <f>IF(AND(ISNUMBER(JX3),ISNUMBER(EJ3)),JX3-EJ3,"")</f>
      </nc>
    </rcc>
    <rcc rId="0" sId="1">
      <nc r="LU3">
        <f>IF(AND(ISNUMBER(JY3),ISNUMBER(EK3)),JY3-EK3,"")</f>
      </nc>
    </rcc>
    <rcc rId="0" sId="1">
      <nc r="LV3">
        <f>IF(AND(ISNUMBER(JZ3),ISNUMBER(EL3)),JZ3-EL3,"")</f>
      </nc>
    </rcc>
    <rcc rId="0" sId="1">
      <nc r="LW3">
        <f>IF(AND(ISNUMBER(KA3),ISNUMBER(EM3)),KA3-EM3,"")</f>
      </nc>
    </rcc>
    <rcc rId="0" sId="1">
      <nc r="LX3">
        <f>IF(AND(ISNUMBER(HQ3),ISNUMBER(FU3)),HQ3-FU3,"")</f>
      </nc>
    </rcc>
    <rcc rId="0" sId="1">
      <nc r="LY3">
        <f>IF(AND(ISNUMBER(HR3),ISNUMBER(FV3)),HR3-FV3,"")</f>
      </nc>
    </rcc>
    <rcc rId="0" sId="1">
      <nc r="LZ3">
        <f>IF(AND(ISNUMBER(HV3),ISNUMBER(FZ3)),HV3-FZ3,"")</f>
      </nc>
    </rcc>
    <rcc rId="0" sId="1">
      <nc r="MA3">
        <f>HW3-GA3</f>
      </nc>
    </rcc>
  </rrc>
  <rcc rId="1224" sId="1">
    <nc r="AH3">
      <v>0</v>
    </nc>
  </rcc>
  <rcc rId="1225" sId="1">
    <nc r="AH4">
      <v>2</v>
    </nc>
  </rcc>
  <rcc rId="1226" sId="1">
    <nc r="AH6">
      <v>1</v>
    </nc>
  </rcc>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27" sId="1">
    <oc r="AH6">
      <v>1</v>
    </oc>
    <nc r="AH6">
      <v>0</v>
    </nc>
  </rcc>
  <rcc rId="1228" sId="1">
    <nc r="AH53">
      <v>1</v>
    </nc>
  </rcc>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29" sId="1">
    <nc r="AH7">
      <v>0</v>
    </nc>
  </rcc>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30" sId="1">
    <nc r="AH8">
      <v>0</v>
    </nc>
  </rcc>
  <rcc rId="1231" sId="1">
    <nc r="AH32">
      <v>0</v>
    </nc>
  </rcc>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32" sId="1">
    <nc r="AH10">
      <v>1</v>
    </nc>
  </rcc>
  <rcc rId="1233" sId="1">
    <nc r="AH9">
      <v>1</v>
    </nc>
  </rcc>
  <rcc rId="1234" sId="1">
    <nc r="AH11">
      <v>1</v>
    </nc>
  </rcc>
  <rfmt sheetId="1" sqref="AI11" start="0" length="0">
    <dxf>
      <font>
        <sz val="10"/>
        <color auto="1"/>
        <name val="Arial"/>
        <scheme val="none"/>
      </font>
    </dxf>
  </rfmt>
  <rcc rId="1235" sId="1">
    <nc r="AI11" t="inlineStr">
      <is>
        <t>Astigmatism management?</t>
      </is>
    </nc>
  </rcc>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36" sId="1">
    <nc r="AH12">
      <v>0</v>
    </nc>
  </rcc>
  <rcc rId="1237" sId="1">
    <nc r="AH13">
      <v>0</v>
    </nc>
  </rcc>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38" sId="1">
    <oc r="AI11" t="inlineStr">
      <is>
        <t>Astigmatism management?</t>
      </is>
    </oc>
    <nc r="AI11" t="inlineStr">
      <is>
        <t>Astigmatism management</t>
      </is>
    </nc>
  </rcc>
  <rcc rId="1239" sId="1" odxf="1" dxf="1">
    <nc r="AI5" t="inlineStr">
      <is>
        <t>Astigmatism management</t>
      </is>
    </nc>
    <odxf>
      <font>
        <sz val="10"/>
        <color auto="1"/>
        <name val="Arial"/>
        <scheme val="none"/>
      </font>
    </odxf>
    <ndxf>
      <font>
        <sz val="10"/>
        <color auto="1"/>
        <name val="Arial"/>
        <scheme val="none"/>
      </font>
    </ndxf>
  </rcc>
  <rcc rId="1240" sId="1">
    <nc r="AH14">
      <v>1</v>
    </nc>
  </rcc>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41" sId="1">
    <nc r="AH15">
      <v>1</v>
    </nc>
  </rcc>
  <rcc rId="1242" sId="1" odxf="1" dxf="1">
    <nc r="AI15" t="inlineStr">
      <is>
        <t xml:space="preserve">Retraction Sutures? </t>
      </is>
    </nc>
    <odxf>
      <font>
        <sz val="10"/>
        <color auto="1"/>
        <name val="Arial"/>
        <scheme val="none"/>
      </font>
    </odxf>
    <ndxf>
      <font>
        <sz val="10"/>
        <color auto="1"/>
        <name val="Arial"/>
        <scheme val="none"/>
      </font>
    </ndxf>
  </rcc>
  <rcc rId="1243" sId="1">
    <nc r="AH17">
      <v>0</v>
    </nc>
  </rcc>
  <rcc rId="1244" sId="1" odxf="1" dxf="1">
    <nc r="AI16" t="inlineStr">
      <is>
        <t>y</t>
      </is>
    </nc>
    <odxf>
      <font>
        <sz val="10"/>
        <color auto="1"/>
        <name val="Arial"/>
        <scheme val="none"/>
      </font>
    </odxf>
    <ndxf>
      <font>
        <sz val="10"/>
        <color auto="1"/>
        <name val="Arial"/>
        <scheme val="none"/>
      </font>
    </ndxf>
  </rcc>
  <rcc rId="1245" sId="1">
    <nc r="AH20">
      <v>0</v>
    </nc>
  </rcc>
  <rcc rId="1246" sId="1">
    <nc r="AH21">
      <v>0</v>
    </nc>
  </rcc>
  <rcc rId="1247" sId="1" odxf="1" dxf="1">
    <nc r="AI22" t="inlineStr">
      <is>
        <t>y</t>
      </is>
    </nc>
    <odxf>
      <font>
        <sz val="10"/>
        <color auto="1"/>
        <name val="Arial"/>
        <scheme val="none"/>
      </font>
    </odxf>
    <ndxf>
      <font>
        <sz val="10"/>
        <color auto="1"/>
        <name val="Arial"/>
        <scheme val="none"/>
      </font>
    </ndxf>
  </rcc>
  <rcc rId="1248" sId="1">
    <nc r="AH23">
      <v>0</v>
    </nc>
  </rcc>
  <rcc rId="1249" sId="1" odxf="1" dxf="1">
    <nc r="AI27" t="inlineStr">
      <is>
        <t>y</t>
      </is>
    </nc>
    <odxf>
      <font>
        <sz val="10"/>
        <color auto="1"/>
        <name val="Arial"/>
        <scheme val="none"/>
      </font>
    </odxf>
    <ndxf>
      <font>
        <sz val="10"/>
        <color auto="1"/>
        <name val="Arial"/>
        <scheme val="none"/>
      </font>
    </ndxf>
  </rcc>
  <rcc rId="1250" sId="1" odxf="1" dxf="1">
    <nc r="AI28" t="inlineStr">
      <is>
        <t>y</t>
      </is>
    </nc>
    <odxf>
      <font>
        <sz val="10"/>
        <color auto="1"/>
        <name val="Arial"/>
        <scheme val="none"/>
      </font>
    </odxf>
    <ndxf>
      <font>
        <sz val="10"/>
        <color auto="1"/>
        <name val="Arial"/>
        <scheme val="none"/>
      </font>
    </ndxf>
  </rcc>
  <rcc rId="1251" sId="1" odxf="1" dxf="1">
    <nc r="AI29" t="inlineStr">
      <is>
        <t>y</t>
      </is>
    </nc>
    <odxf>
      <font>
        <sz val="10"/>
        <color auto="1"/>
        <name val="Arial"/>
        <scheme val="none"/>
      </font>
    </odxf>
    <ndxf>
      <font>
        <sz val="10"/>
        <color auto="1"/>
        <name val="Arial"/>
        <scheme val="none"/>
      </font>
    </ndxf>
  </rcc>
  <rcc rId="1252" sId="1">
    <nc r="AH30">
      <v>0</v>
    </nc>
  </rcc>
  <rcc rId="1253" sId="1" odxf="1" dxf="1">
    <nc r="AI31" t="inlineStr">
      <is>
        <t>y</t>
      </is>
    </nc>
    <odxf>
      <font>
        <sz val="10"/>
        <color auto="1"/>
        <name val="Arial"/>
        <scheme val="none"/>
      </font>
    </odxf>
    <ndxf>
      <font>
        <sz val="10"/>
        <color auto="1"/>
        <name val="Arial"/>
        <scheme val="none"/>
      </font>
    </ndxf>
  </rcc>
  <rcc rId="1254" sId="1">
    <nc r="AH33">
      <v>0</v>
    </nc>
  </rcc>
  <rcc rId="1255" sId="1" odxf="1" dxf="1">
    <nc r="AI34" t="inlineStr">
      <is>
        <t>y</t>
      </is>
    </nc>
    <odxf>
      <font>
        <sz val="10"/>
        <color auto="1"/>
        <name val="Arial"/>
        <scheme val="none"/>
      </font>
    </odxf>
    <ndxf>
      <font>
        <sz val="10"/>
        <color auto="1"/>
        <name val="Arial"/>
        <scheme val="none"/>
      </font>
    </ndxf>
  </rcc>
  <rcc rId="1256" sId="1">
    <nc r="AH35">
      <v>0</v>
    </nc>
  </rcc>
  <rcc rId="1257" sId="1" odxf="1" dxf="1">
    <nc r="AI36" t="inlineStr">
      <is>
        <t>y</t>
      </is>
    </nc>
    <odxf>
      <font>
        <sz val="10"/>
        <color auto="1"/>
        <name val="Arial"/>
        <scheme val="none"/>
      </font>
    </odxf>
    <ndxf>
      <font>
        <sz val="10"/>
        <color auto="1"/>
        <name val="Arial"/>
        <scheme val="none"/>
      </font>
    </ndxf>
  </rcc>
  <rcc rId="1258" sId="1">
    <nc r="AH37">
      <v>0</v>
    </nc>
  </rcc>
  <rcc rId="1259" sId="1">
    <nc r="AH39">
      <v>0</v>
    </nc>
  </rcc>
  <rcc rId="1260" sId="1">
    <nc r="AH40">
      <v>0</v>
    </nc>
  </rcc>
  <rcc rId="1261" sId="1">
    <nc r="AH41">
      <v>0</v>
    </nc>
  </rcc>
  <rcc rId="1262" sId="1" odxf="1" dxf="1">
    <nc r="AI42" t="inlineStr">
      <is>
        <t>y</t>
      </is>
    </nc>
    <odxf>
      <font>
        <sz val="10"/>
        <color auto="1"/>
        <name val="Arial"/>
        <scheme val="none"/>
      </font>
    </odxf>
    <ndxf>
      <font>
        <sz val="10"/>
        <color auto="1"/>
        <name val="Arial"/>
        <scheme val="none"/>
      </font>
    </ndxf>
  </rcc>
  <rcc rId="1263" sId="1" odxf="1" dxf="1">
    <nc r="AI45" t="inlineStr">
      <is>
        <t>y</t>
      </is>
    </nc>
    <odxf>
      <font>
        <sz val="10"/>
        <color auto="1"/>
        <name val="Arial"/>
        <scheme val="none"/>
      </font>
    </odxf>
    <ndxf>
      <font>
        <sz val="10"/>
        <color auto="1"/>
        <name val="Arial"/>
        <scheme val="none"/>
      </font>
    </ndxf>
  </rcc>
  <rcc rId="1264" sId="1" odxf="1" dxf="1">
    <nc r="AI48" t="inlineStr">
      <is>
        <t>y</t>
      </is>
    </nc>
    <odxf>
      <font>
        <sz val="10"/>
        <color auto="1"/>
        <name val="Arial"/>
        <scheme val="none"/>
      </font>
    </odxf>
    <ndxf>
      <font>
        <sz val="10"/>
        <color auto="1"/>
        <name val="Arial"/>
        <scheme val="none"/>
      </font>
    </ndxf>
  </rcc>
  <rcc rId="1265" sId="1">
    <nc r="AH49">
      <v>0</v>
    </nc>
  </rcc>
  <rcc rId="1266" sId="1" odxf="1" dxf="1">
    <nc r="AI50" t="inlineStr">
      <is>
        <t>y</t>
      </is>
    </nc>
    <odxf>
      <font>
        <sz val="10"/>
        <color auto="1"/>
        <name val="Arial"/>
        <scheme val="none"/>
      </font>
    </odxf>
    <ndxf>
      <font>
        <sz val="10"/>
        <color auto="1"/>
        <name val="Arial"/>
        <scheme val="none"/>
      </font>
    </ndxf>
  </rcc>
  <rcc rId="1267" sId="1" odxf="1" dxf="1">
    <nc r="AI52" t="inlineStr">
      <is>
        <t>y</t>
      </is>
    </nc>
    <odxf>
      <font>
        <sz val="10"/>
        <color auto="1"/>
        <name val="Arial"/>
        <scheme val="none"/>
      </font>
    </odxf>
    <ndxf>
      <font>
        <sz val="10"/>
        <color auto="1"/>
        <name val="Arial"/>
        <scheme val="none"/>
      </font>
    </ndxf>
  </rcc>
  <rcc rId="1268" sId="1" odxf="1" dxf="1">
    <nc r="AI55" t="inlineStr">
      <is>
        <t>y</t>
      </is>
    </nc>
    <odxf>
      <font>
        <sz val="10"/>
        <color auto="1"/>
        <name val="Arial"/>
        <scheme val="none"/>
      </font>
    </odxf>
    <ndxf>
      <font>
        <sz val="10"/>
        <color auto="1"/>
        <name val="Arial"/>
        <scheme val="none"/>
      </font>
    </ndxf>
  </rcc>
  <rcc rId="1269" sId="1">
    <nc r="AH56">
      <v>0</v>
    </nc>
  </rcc>
  <rcc rId="1270" sId="1">
    <nc r="AH57">
      <v>0</v>
    </nc>
  </rcc>
  <rcc rId="1271" sId="1">
    <nc r="AH54">
      <v>0</v>
    </nc>
  </rcc>
  <rcc rId="1272" sId="1" odxf="1" dxf="1">
    <nc r="AI59" t="inlineStr">
      <is>
        <t>y</t>
      </is>
    </nc>
    <odxf>
      <font>
        <sz val="10"/>
        <color auto="1"/>
        <name val="Arial"/>
        <scheme val="none"/>
      </font>
    </odxf>
    <ndxf>
      <font>
        <sz val="10"/>
        <color auto="1"/>
        <name val="Arial"/>
        <scheme val="none"/>
      </font>
    </ndxf>
  </rcc>
  <rcc rId="1273" sId="1" odxf="1" dxf="1">
    <nc r="AI61" t="inlineStr">
      <is>
        <t>y</t>
      </is>
    </nc>
    <odxf>
      <font>
        <sz val="10"/>
        <color auto="1"/>
        <name val="Arial"/>
        <scheme val="none"/>
      </font>
    </odxf>
    <ndxf>
      <font>
        <sz val="10"/>
        <color auto="1"/>
        <name val="Arial"/>
        <scheme val="none"/>
      </font>
    </ndxf>
  </rcc>
  <rcc rId="1274" sId="1">
    <nc r="AH58">
      <v>0</v>
    </nc>
  </rcc>
  <rcc rId="1275" sId="1" odxf="1" dxf="1">
    <nc r="AI60" t="inlineStr">
      <is>
        <t>y</t>
      </is>
    </nc>
    <odxf>
      <font>
        <sz val="10"/>
        <color auto="1"/>
        <name val="Arial"/>
        <scheme val="none"/>
      </font>
    </odxf>
    <ndxf>
      <font>
        <sz val="10"/>
        <color auto="1"/>
        <name val="Arial"/>
        <scheme val="none"/>
      </font>
    </ndxf>
  </rcc>
  <rcc rId="1276" sId="1">
    <nc r="AH62">
      <v>0</v>
    </nc>
  </rcc>
  <rcc rId="1277" sId="1">
    <nc r="AH63">
      <v>0</v>
    </nc>
  </rcc>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78" sId="1">
    <nc r="AH64">
      <v>0</v>
    </nc>
  </rcc>
  <rcc rId="1279" sId="1">
    <nc r="AH65">
      <v>0</v>
    </nc>
  </rcc>
  <rcc rId="1280" sId="1" odxf="1" dxf="1">
    <nc r="AI69" t="inlineStr">
      <is>
        <t>y</t>
      </is>
    </nc>
    <odxf>
      <font>
        <sz val="10"/>
        <color auto="1"/>
        <name val="Arial"/>
        <scheme val="none"/>
      </font>
    </odxf>
    <ndxf>
      <font>
        <sz val="10"/>
        <color auto="1"/>
        <name val="Arial"/>
        <scheme val="none"/>
      </font>
    </ndxf>
  </rcc>
  <rfmt sheetId="1" sqref="AI70" start="0" length="0">
    <dxf>
      <font>
        <sz val="10"/>
        <color auto="1"/>
        <name val="Arial"/>
        <scheme val="none"/>
      </font>
    </dxf>
  </rfmt>
  <rcc rId="1281" sId="1">
    <nc r="AH71">
      <v>0</v>
    </nc>
  </rcc>
  <rcc rId="1282" sId="1">
    <oc r="AH70">
      <v>0</v>
    </oc>
    <nc r="AH70"/>
  </rcc>
  <rcc rId="1283" sId="1">
    <nc r="AI70" t="inlineStr">
      <is>
        <t>y</t>
      </is>
    </nc>
  </rcc>
  <rcc rId="1284" sId="1">
    <nc r="AH68">
      <v>0</v>
    </nc>
  </rcc>
  <rcc rId="1285" sId="1">
    <nc r="AH72">
      <v>0</v>
    </nc>
  </rcc>
  <rcc rId="1286" sId="1">
    <nc r="AH76">
      <v>0</v>
    </nc>
  </rcc>
  <rcc rId="1287" sId="1">
    <nc r="AH77">
      <v>0</v>
    </nc>
  </rcc>
  <rcc rId="1288" sId="1">
    <nc r="AH74">
      <v>0</v>
    </nc>
  </rcc>
  <rcc rId="1289" sId="1" odxf="1" dxf="1">
    <nc r="AI75" t="inlineStr">
      <is>
        <t>y</t>
      </is>
    </nc>
    <odxf>
      <font>
        <sz val="10"/>
        <color auto="1"/>
        <name val="Arial"/>
        <scheme val="none"/>
      </font>
    </odxf>
    <ndxf>
      <font>
        <sz val="10"/>
        <color auto="1"/>
        <name val="Arial"/>
        <scheme val="none"/>
      </font>
    </ndxf>
  </rcc>
  <rcc rId="1290" sId="1">
    <nc r="AH78">
      <v>0</v>
    </nc>
  </rcc>
  <rcc rId="1291" sId="1">
    <nc r="AH79">
      <v>0</v>
    </nc>
  </rcc>
  <rcc rId="1292" sId="1" odxf="1" dxf="1">
    <nc r="AI82" t="inlineStr">
      <is>
        <t>y</t>
      </is>
    </nc>
    <odxf>
      <font>
        <sz val="10"/>
        <color auto="1"/>
        <name val="Arial"/>
        <scheme val="none"/>
      </font>
    </odxf>
    <ndxf>
      <font>
        <sz val="10"/>
        <color auto="1"/>
        <name val="Arial"/>
        <scheme val="none"/>
      </font>
    </ndxf>
  </rcc>
  <rcc rId="1293" sId="1">
    <nc r="AH89">
      <v>0</v>
    </nc>
  </rcc>
  <rcc rId="1294" sId="1">
    <nc r="AH94">
      <v>0</v>
    </nc>
  </rcc>
  <rcc rId="1295" sId="1">
    <nc r="AH96">
      <v>0</v>
    </nc>
  </rcc>
  <rcc rId="1296" sId="1">
    <nc r="AH115">
      <v>0</v>
    </nc>
  </rcc>
  <rcc rId="1297" sId="1">
    <nc r="AH116">
      <v>0</v>
    </nc>
  </rcc>
  <rcc rId="1298" sId="1" odxf="1" dxf="1">
    <nc r="AI117" t="inlineStr">
      <is>
        <t>y</t>
      </is>
    </nc>
    <odxf>
      <font>
        <sz val="10"/>
        <color auto="1"/>
        <name val="Arial"/>
        <scheme val="none"/>
      </font>
    </odxf>
    <ndxf>
      <font>
        <sz val="10"/>
        <color auto="1"/>
        <name val="Arial"/>
        <scheme val="none"/>
      </font>
    </ndxf>
  </rcc>
  <rcc rId="1299" sId="1">
    <nc r="AH118">
      <v>0</v>
    </nc>
  </rcc>
  <rcc rId="1300" sId="1" odxf="1" dxf="1">
    <nc r="AI122" t="inlineStr">
      <is>
        <t>y</t>
      </is>
    </nc>
    <odxf>
      <font>
        <sz val="10"/>
        <color auto="1"/>
        <name val="Arial"/>
        <scheme val="none"/>
      </font>
    </odxf>
    <ndxf>
      <font>
        <sz val="10"/>
        <color auto="1"/>
        <name val="Arial"/>
        <scheme val="none"/>
      </font>
    </ndxf>
  </rcc>
  <rcc rId="1301" sId="1" odxf="1" dxf="1">
    <nc r="AI119" t="inlineStr">
      <is>
        <t>y</t>
      </is>
    </nc>
    <odxf>
      <font>
        <sz val="10"/>
        <color auto="1"/>
        <name val="Arial"/>
        <scheme val="none"/>
      </font>
    </odxf>
    <ndxf>
      <font>
        <sz val="10"/>
        <color auto="1"/>
        <name val="Arial"/>
        <scheme val="none"/>
      </font>
    </ndxf>
  </rcc>
  <rcc rId="1302" sId="1">
    <nc r="AH120">
      <v>0</v>
    </nc>
  </rcc>
  <rcc rId="1303" sId="1" odxf="1" dxf="1">
    <nc r="AI121" t="inlineStr">
      <is>
        <t>y</t>
      </is>
    </nc>
    <odxf>
      <font>
        <sz val="10"/>
        <color auto="1"/>
        <name val="Arial"/>
        <scheme val="none"/>
      </font>
    </odxf>
    <ndxf>
      <font>
        <sz val="10"/>
        <color auto="1"/>
        <name val="Arial"/>
        <scheme val="none"/>
      </font>
    </ndxf>
  </rcc>
  <rcc rId="1304" sId="1">
    <nc r="AH123">
      <v>0</v>
    </nc>
  </rcc>
  <rcc rId="1305" sId="1">
    <nc r="AH125">
      <v>0</v>
    </nc>
  </rcc>
  <rfmt sheetId="1" sqref="AI124" start="0" length="0">
    <dxf>
      <font>
        <sz val="10"/>
        <color auto="1"/>
        <name val="Arial"/>
        <scheme val="none"/>
      </font>
    </dxf>
  </rfmt>
  <rcc rId="1306" sId="1">
    <nc r="AH126">
      <v>2</v>
    </nc>
  </rcc>
  <rcc rId="1307" sId="1">
    <nc r="AH124">
      <v>1</v>
    </nc>
  </rcc>
  <rcc rId="1308" sId="1">
    <nc r="AH127">
      <v>0</v>
    </nc>
  </rcc>
  <rcc rId="1309" sId="1">
    <nc r="AH16">
      <v>1</v>
    </nc>
  </rcc>
  <rcc rId="1310" sId="1">
    <oc r="AI16" t="inlineStr">
      <is>
        <t>y</t>
      </is>
    </oc>
    <nc r="AI16"/>
  </rcc>
  <rcc rId="1311" sId="1">
    <nc r="AH18">
      <v>1</v>
    </nc>
  </rcc>
  <rcc rId="1312" sId="1">
    <nc r="AH61">
      <v>2</v>
    </nc>
  </rcc>
  <rcc rId="1313" sId="1">
    <oc r="AI61" t="inlineStr">
      <is>
        <t>y</t>
      </is>
    </oc>
    <nc r="AI61"/>
  </rcc>
  <rcc rId="1314" sId="1">
    <nc r="AH22">
      <v>1</v>
    </nc>
  </rcc>
  <rcc rId="1315" sId="1">
    <oc r="AI22" t="inlineStr">
      <is>
        <t>y</t>
      </is>
    </oc>
    <nc r="AI22"/>
  </rcc>
  <rcc rId="1316" sId="1">
    <nc r="AH26">
      <v>1</v>
    </nc>
  </rcc>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17" sId="1">
    <nc r="AH27">
      <v>1</v>
    </nc>
  </rcc>
  <rcc rId="1318" sId="1">
    <oc r="AI27" t="inlineStr">
      <is>
        <t>y</t>
      </is>
    </oc>
    <nc r="AI27"/>
  </rcc>
  <rcc rId="1319" sId="1">
    <nc r="AH28">
      <v>2</v>
    </nc>
  </rcc>
  <rcc rId="1320" sId="1">
    <oc r="AI28" t="inlineStr">
      <is>
        <t>y</t>
      </is>
    </oc>
    <nc r="AI28"/>
  </rcc>
  <rcc rId="1321" sId="1">
    <nc r="AH29">
      <v>2</v>
    </nc>
  </rcc>
  <rcc rId="1322" sId="1">
    <oc r="AI29" t="inlineStr">
      <is>
        <t>y</t>
      </is>
    </oc>
    <nc r="AI29"/>
  </rcc>
  <rcc rId="1323" sId="1">
    <nc r="AH31">
      <v>2</v>
    </nc>
  </rcc>
  <rcc rId="1324" sId="1">
    <oc r="AI31" t="inlineStr">
      <is>
        <t>y</t>
      </is>
    </oc>
    <nc r="AI31"/>
  </rcc>
  <rcc rId="1325" sId="1">
    <nc r="AH34">
      <v>1</v>
    </nc>
  </rcc>
  <rcc rId="1326" sId="1">
    <oc r="AI34" t="inlineStr">
      <is>
        <t>y</t>
      </is>
    </oc>
    <nc r="AI34"/>
  </rcc>
  <rcc rId="1327" sId="1">
    <nc r="AH36">
      <v>1</v>
    </nc>
  </rcc>
  <rcc rId="1328" sId="1">
    <oc r="AI36" t="inlineStr">
      <is>
        <t>y</t>
      </is>
    </oc>
    <nc r="AI36"/>
  </rcc>
  <rcc rId="1329" sId="1">
    <oc r="AI15" t="inlineStr">
      <is>
        <t xml:space="preserve">Retraction Sutures? </t>
      </is>
    </oc>
    <nc r="AI15"/>
  </rcc>
  <rcc rId="1330" sId="1">
    <oc r="AI18" t="inlineStr">
      <is>
        <t>loose epi removed intraop</t>
      </is>
    </oc>
    <nc r="AI18"/>
  </rcc>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1" sId="1">
    <nc r="AH42">
      <v>1</v>
    </nc>
  </rcc>
  <rcc rId="1332" sId="1">
    <oc r="AI42" t="inlineStr">
      <is>
        <t>y</t>
      </is>
    </oc>
    <nc r="AI42"/>
  </rcc>
  <rcc rId="1333" sId="1">
    <nc r="AH45">
      <v>1</v>
    </nc>
  </rcc>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34" sId="1">
    <nc r="AH47">
      <v>0</v>
    </nc>
  </rcc>
  <rcc rId="1335" sId="1">
    <nc r="AH46">
      <v>0</v>
    </nc>
  </rcc>
  <rcc rId="1336" sId="1">
    <oc r="AI45" t="inlineStr">
      <is>
        <t>y</t>
      </is>
    </oc>
    <nc r="AI45"/>
  </rcc>
  <rcc rId="1337" sId="1">
    <nc r="AH48">
      <v>2</v>
    </nc>
  </rcc>
  <rcc rId="1338" sId="1">
    <oc r="AI48" t="inlineStr">
      <is>
        <t>y</t>
      </is>
    </oc>
    <nc r="AI48"/>
  </rcc>
  <rcc rId="1339" sId="1">
    <nc r="AH50">
      <v>1</v>
    </nc>
  </rcc>
  <rcc rId="1340" sId="1">
    <oc r="AI50" t="inlineStr">
      <is>
        <t>y</t>
      </is>
    </oc>
    <nc r="AI50"/>
  </rcc>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1" sId="1">
    <nc r="AH52">
      <v>1</v>
    </nc>
  </rcc>
  <rcc rId="1342" sId="1">
    <oc r="AI52" t="inlineStr">
      <is>
        <t>y</t>
      </is>
    </oc>
    <nc r="AI52"/>
  </rcc>
  <rcc rId="1343" sId="1">
    <nc r="AH55">
      <v>2</v>
    </nc>
  </rcc>
  <rcc rId="1344" sId="1">
    <oc r="AI55" t="inlineStr">
      <is>
        <t>y</t>
      </is>
    </oc>
    <nc r="AI55"/>
  </rcc>
  <rcc rId="1345" sId="1">
    <nc r="AH59">
      <v>1</v>
    </nc>
  </rcc>
  <rcc rId="1346" sId="1">
    <oc r="AI59" t="inlineStr">
      <is>
        <t>y</t>
      </is>
    </oc>
    <nc r="AI59" t="inlineStr">
      <is>
        <t>Astigmatism management</t>
      </is>
    </nc>
  </rcc>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7" sId="1">
    <nc r="AH60">
      <v>2</v>
    </nc>
  </rcc>
  <rcc rId="1348" sId="1">
    <oc r="AI60" t="inlineStr">
      <is>
        <t>y</t>
      </is>
    </oc>
    <nc r="AI60"/>
  </rcc>
  <rcc rId="1349" sId="1">
    <nc r="AH69">
      <v>1</v>
    </nc>
  </rcc>
  <rcc rId="1350" sId="1">
    <oc r="AI69" t="inlineStr">
      <is>
        <t>y</t>
      </is>
    </oc>
    <nc r="AI69"/>
  </rcc>
  <rcc rId="1351" sId="1">
    <nc r="AH70">
      <v>1</v>
    </nc>
  </rcc>
  <rcc rId="1352" sId="1">
    <oc r="AI70" t="inlineStr">
      <is>
        <t>y</t>
      </is>
    </oc>
    <nc r="AI70"/>
  </rcc>
  <rcc rId="1353" sId="1">
    <nc r="AH75">
      <v>1</v>
    </nc>
  </rcc>
  <rcc rId="1354" sId="1">
    <oc r="AI75" t="inlineStr">
      <is>
        <t>y</t>
      </is>
    </oc>
    <nc r="AI75" t="inlineStr">
      <is>
        <t>Astigmatism management</t>
      </is>
    </nc>
  </rcc>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I80" start="0" length="0">
    <dxf>
      <font>
        <sz val="10"/>
        <color auto="1"/>
        <name val="Arial"/>
        <scheme val="none"/>
      </font>
    </dxf>
  </rfmt>
  <rcc rId="1355" sId="1">
    <oc r="AI80" t="inlineStr">
      <is>
        <t>irregular Ks</t>
      </is>
    </oc>
    <nc r="AI80" t="inlineStr">
      <is>
        <t>irregular Ks and synechialysis</t>
      </is>
    </nc>
  </rcc>
  <rcc rId="1356" sId="1">
    <nc r="AH80">
      <v>1</v>
    </nc>
  </rcc>
  <rcc rId="1357" sId="1">
    <nc r="AH82">
      <v>2</v>
    </nc>
  </rcc>
  <rcc rId="1358" sId="1">
    <oc r="AI82" t="inlineStr">
      <is>
        <t>y</t>
      </is>
    </oc>
    <nc r="AI82"/>
  </rcc>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59" sId="2" odxf="1" dxf="1" numFmtId="19">
    <nc r="A10">
      <v>41374</v>
    </nc>
    <odxf>
      <numFmt numFmtId="0" formatCode="General"/>
      <alignment horizontal="general" vertical="bottom" readingOrder="0"/>
      <border outline="0">
        <left/>
        <right/>
        <top/>
        <bottom/>
      </border>
    </odxf>
    <ndxf>
      <numFmt numFmtId="19" formatCode="mm/dd/yyyy"/>
      <alignment horizontal="center" vertical="top" readingOrder="0"/>
      <border outline="0">
        <left style="thin">
          <color indexed="64"/>
        </left>
        <right style="thin">
          <color indexed="64"/>
        </right>
        <top style="thin">
          <color indexed="64"/>
        </top>
        <bottom style="thin">
          <color indexed="64"/>
        </bottom>
      </border>
    </ndxf>
  </rcc>
  <rcc rId="1360" sId="2" odxf="1" dxf="1">
    <nc r="B10" t="inlineStr">
      <is>
        <t>Antoinette</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61" sId="2" odxf="1" dxf="1">
    <nc r="C10" t="inlineStr">
      <is>
        <t xml:space="preserve">Alexander </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62" sId="2" odxf="1" dxf="1">
    <nc r="D10" t="inlineStr">
      <is>
        <t>OD</t>
      </is>
    </nc>
    <odxf>
      <font>
        <b val="0"/>
        <sz val="10"/>
        <color auto="1"/>
        <name val="Arial"/>
        <scheme val="none"/>
      </font>
      <fill>
        <patternFill patternType="none">
          <bgColor indexed="65"/>
        </patternFill>
      </fill>
      <alignment horizontal="general" vertical="bottom" readingOrder="0"/>
      <border outline="0">
        <left/>
        <right/>
        <top/>
        <bottom/>
      </border>
    </odxf>
    <ndxf>
      <font>
        <b/>
        <sz val="10"/>
        <color indexed="63"/>
        <name val="Arial"/>
        <scheme val="none"/>
      </font>
      <fill>
        <patternFill patternType="solid">
          <bgColor indexed="9"/>
        </patternFill>
      </fill>
      <alignment horizontal="center" vertical="top" readingOrder="0"/>
      <border outline="0">
        <left style="thin">
          <color indexed="64"/>
        </left>
        <right style="thin">
          <color indexed="64"/>
        </right>
        <top style="thin">
          <color indexed="64"/>
        </top>
        <bottom style="thin">
          <color indexed="64"/>
        </bottom>
      </border>
    </ndxf>
  </rcc>
  <rcc rId="1363" sId="2" odxf="1" dxf="1">
    <nc r="E10">
      <v>58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64" sId="2" odxf="1" dxf="1" numFmtId="19">
    <nc r="F10">
      <v>20151</v>
    </nc>
    <odxf>
      <numFmt numFmtId="0" formatCode="General"/>
      <alignment horizontal="general" vertical="bottom" readingOrder="0"/>
      <border outline="0">
        <left/>
        <right/>
        <top/>
        <bottom/>
      </border>
    </odxf>
    <ndxf>
      <numFmt numFmtId="19" formatCode="mm/dd/yyyy"/>
      <alignment horizontal="center" vertical="top" readingOrder="0"/>
      <border outline="0">
        <left style="thin">
          <color indexed="64"/>
        </left>
        <right style="thin">
          <color indexed="64"/>
        </right>
        <top style="thin">
          <color indexed="64"/>
        </top>
        <bottom style="thin">
          <color indexed="64"/>
        </bottom>
      </border>
    </ndxf>
  </rcc>
  <rcc rId="1365" sId="2" odxf="1" dxf="1">
    <nc r="G10" t="inlineStr">
      <is>
        <t>W</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66" sId="2" odxf="1" dxf="1">
    <nc r="H10" t="inlineStr">
      <is>
        <t>F</t>
      </is>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67" sId="2" odxf="1" dxf="1">
    <nc r="I10">
      <v>1835949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J10" start="0" length="0">
    <dxf>
      <alignment horizontal="center" vertical="top" readingOrder="0"/>
      <border outline="0">
        <left style="thin">
          <color indexed="64"/>
        </left>
        <right style="thin">
          <color indexed="64"/>
        </right>
        <top style="thin">
          <color indexed="64"/>
        </top>
        <bottom style="thin">
          <color indexed="64"/>
        </bottom>
      </border>
    </dxf>
  </rfmt>
  <rfmt sheetId="2" sqref="K10" start="0" length="0">
    <dxf>
      <font>
        <sz val="6"/>
        <color auto="1"/>
        <name val="Arial"/>
        <scheme val="none"/>
      </font>
      <alignment horizontal="center" vertical="top" readingOrder="0"/>
      <border outline="0">
        <left style="medium">
          <color indexed="22"/>
        </left>
        <right style="medium">
          <color indexed="22"/>
        </right>
        <top style="medium">
          <color indexed="22"/>
        </top>
        <bottom style="medium">
          <color indexed="22"/>
        </bottom>
      </border>
    </dxf>
  </rfmt>
  <rfmt sheetId="2" sqref="L10" start="0" length="0">
    <dxf>
      <font>
        <sz val="6"/>
        <color auto="1"/>
        <name val="Arial"/>
        <scheme val="none"/>
      </font>
      <alignment horizontal="center" vertical="top" readingOrder="0"/>
      <border outline="0">
        <right style="medium">
          <color indexed="22"/>
        </right>
        <top style="medium">
          <color indexed="22"/>
        </top>
        <bottom style="medium">
          <color indexed="22"/>
        </bottom>
      </border>
    </dxf>
  </rfmt>
  <rfmt sheetId="2" sqref="M10" start="0" length="0">
    <dxf>
      <font>
        <sz val="6"/>
        <color auto="1"/>
        <name val="Arial"/>
        <scheme val="none"/>
      </font>
      <alignment horizontal="center" vertical="top" readingOrder="0"/>
      <border outline="0">
        <right style="medium">
          <color indexed="22"/>
        </right>
        <top style="medium">
          <color indexed="22"/>
        </top>
        <bottom style="medium">
          <color indexed="22"/>
        </bottom>
      </border>
    </dxf>
  </rfmt>
  <rfmt sheetId="2" sqref="N10" start="0" length="0">
    <dxf>
      <font>
        <sz val="6"/>
        <color auto="1"/>
        <name val="Arial"/>
        <scheme val="none"/>
      </font>
      <alignment horizontal="center" vertical="top" readingOrder="0"/>
      <border outline="0">
        <right style="medium">
          <color indexed="22"/>
        </right>
        <top style="medium">
          <color indexed="22"/>
        </top>
        <bottom style="medium">
          <color indexed="22"/>
        </bottom>
      </border>
    </dxf>
  </rfmt>
  <rfmt sheetId="2" sqref="O10" start="0" length="0">
    <dxf>
      <font>
        <sz val="6"/>
        <color auto="1"/>
        <name val="Arial"/>
        <scheme val="none"/>
      </font>
      <alignment horizontal="center" vertical="top" readingOrder="0"/>
      <border outline="0">
        <right style="medium">
          <color indexed="22"/>
        </right>
        <top style="medium">
          <color indexed="22"/>
        </top>
        <bottom style="medium">
          <color indexed="22"/>
        </bottom>
      </border>
    </dxf>
  </rfmt>
  <rcc rId="1368" sId="2" odxf="1" dxf="1">
    <nc r="P10">
      <v>-0.5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69" sId="2" odxf="1" dxf="1">
    <nc r="Q10">
      <v>-0.54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R10" start="0" length="0">
    <dxf>
      <alignment horizontal="center" vertical="top" readingOrder="0"/>
      <border outline="0">
        <left style="thin">
          <color indexed="64"/>
        </left>
        <right style="thin">
          <color indexed="64"/>
        </right>
        <top style="thin">
          <color indexed="64"/>
        </top>
        <bottom style="thin">
          <color indexed="64"/>
        </bottom>
      </border>
    </dxf>
  </rfmt>
  <rcc rId="1370" sId="2" odxf="1" dxf="1" numFmtId="19">
    <nc r="S10">
      <v>41372</v>
    </nc>
    <odxf>
      <numFmt numFmtId="0" formatCode="General"/>
      <fill>
        <patternFill patternType="none">
          <bgColor indexed="65"/>
        </patternFill>
      </fill>
      <alignment horizontal="general" vertical="bottom" readingOrder="0"/>
      <border outline="0">
        <left/>
        <right/>
        <top/>
        <bottom/>
      </border>
    </odxf>
    <ndxf>
      <numFmt numFmtId="19" formatCode="mm/dd/yyyy"/>
      <fill>
        <patternFill patternType="solid">
          <bgColor theme="5" tint="0.39994506668294322"/>
        </patternFill>
      </fill>
      <alignment horizontal="center" vertical="top" readingOrder="0"/>
      <border outline="0">
        <left style="thin">
          <color indexed="64"/>
        </left>
        <right style="thin">
          <color indexed="64"/>
        </right>
        <top style="thin">
          <color indexed="64"/>
        </top>
        <bottom style="thin">
          <color indexed="64"/>
        </bottom>
      </border>
    </ndxf>
  </rcc>
  <rcc rId="1371" sId="2" odxf="1" dxf="1">
    <nc r="T10" t="inlineStr">
      <is>
        <t>not taken</t>
      </is>
    </nc>
    <odxf>
      <numFmt numFmtId="0" formatCode="General"/>
      <alignment horizontal="general" vertical="bottom" readingOrder="0"/>
      <border outline="0">
        <left/>
        <right/>
        <top/>
        <bottom/>
      </border>
    </odxf>
    <ndxf>
      <numFmt numFmtId="166" formatCode="\+#0.00;\-#0.00;0;@"/>
      <alignment horizontal="center" vertical="top" readingOrder="0"/>
      <border outline="0">
        <left style="thin">
          <color indexed="64"/>
        </left>
        <right style="thin">
          <color indexed="64"/>
        </right>
        <top style="thin">
          <color indexed="64"/>
        </top>
        <bottom style="thin">
          <color indexed="64"/>
        </bottom>
      </border>
    </ndxf>
  </rcc>
  <rfmt sheetId="2" sqref="U10" start="0" length="0">
    <dxf>
      <numFmt numFmtId="166" formatCode="\+#0.00;\-#0.00;0;@"/>
      <alignment horizontal="center" vertical="top" readingOrder="0"/>
      <border outline="0">
        <left style="thin">
          <color indexed="64"/>
        </left>
        <right style="thin">
          <color indexed="64"/>
        </right>
        <top style="thin">
          <color indexed="64"/>
        </top>
        <bottom style="thin">
          <color indexed="64"/>
        </bottom>
      </border>
    </dxf>
  </rfmt>
  <rfmt sheetId="2" sqref="V10" start="0" length="0">
    <dxf>
      <alignment horizontal="center" vertical="top" readingOrder="0"/>
      <border outline="0">
        <left style="thin">
          <color indexed="64"/>
        </left>
        <right style="thin">
          <color indexed="64"/>
        </right>
        <top style="thin">
          <color indexed="64"/>
        </top>
        <bottom style="thin">
          <color indexed="64"/>
        </bottom>
      </border>
    </dxf>
  </rfmt>
  <rfmt sheetId="2" sqref="W10" start="0" length="0">
    <dxf>
      <alignment horizontal="center" vertical="top" readingOrder="0"/>
      <border outline="0">
        <left style="thin">
          <color indexed="64"/>
        </left>
        <right style="thin">
          <color indexed="64"/>
        </right>
        <top style="thin">
          <color indexed="64"/>
        </top>
        <bottom style="thin">
          <color indexed="64"/>
        </bottom>
      </border>
    </dxf>
  </rfmt>
  <rcc rId="1372" sId="2" odxf="1" dxf="1">
    <nc r="X10">
      <v>12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Y10" start="0" length="0">
    <dxf>
      <alignment horizontal="center" vertical="top" readingOrder="0"/>
      <border outline="0">
        <left style="thin">
          <color indexed="64"/>
        </left>
        <right style="thin">
          <color indexed="64"/>
        </right>
        <top style="thin">
          <color indexed="64"/>
        </top>
        <bottom style="thin">
          <color indexed="64"/>
        </bottom>
      </border>
    </dxf>
  </rfmt>
  <rfmt sheetId="2" sqref="Z10" start="0" length="0">
    <dxf>
      <alignment horizontal="center" vertical="top" readingOrder="0"/>
      <border outline="0">
        <left style="thin">
          <color indexed="64"/>
        </left>
        <right style="thin">
          <color indexed="64"/>
        </right>
        <top style="thin">
          <color indexed="64"/>
        </top>
        <bottom style="thin">
          <color indexed="64"/>
        </bottom>
      </border>
    </dxf>
  </rfmt>
  <rfmt sheetId="2" sqref="AA10" start="0" length="0">
    <dxf>
      <alignment horizontal="center" vertical="top" readingOrder="0"/>
      <border outline="0">
        <left style="thin">
          <color indexed="64"/>
        </left>
        <right style="thin">
          <color indexed="64"/>
        </right>
        <top style="thin">
          <color indexed="64"/>
        </top>
        <bottom style="thin">
          <color indexed="64"/>
        </bottom>
      </border>
    </dxf>
  </rfmt>
  <rfmt sheetId="2" sqref="AB10" start="0" length="0">
    <dxf>
      <alignment horizontal="center" vertical="top" readingOrder="0"/>
      <border outline="0">
        <left style="thin">
          <color indexed="64"/>
        </left>
        <right style="thin">
          <color indexed="64"/>
        </right>
        <top style="thin">
          <color indexed="64"/>
        </top>
        <bottom style="thin">
          <color indexed="64"/>
        </bottom>
      </border>
    </dxf>
  </rfmt>
  <rfmt sheetId="2" sqref="AC10" start="0" length="0">
    <dxf>
      <alignment horizontal="center" vertical="top" readingOrder="0"/>
      <border outline="0">
        <left style="thin">
          <color indexed="64"/>
        </left>
        <right style="thin">
          <color indexed="64"/>
        </right>
        <top style="thin">
          <color indexed="64"/>
        </top>
        <bottom style="thin">
          <color indexed="64"/>
        </bottom>
      </border>
    </dxf>
  </rfmt>
  <rfmt sheetId="2" sqref="AD10" start="0" length="0">
    <dxf>
      <alignment horizontal="center" vertical="top" readingOrder="0"/>
      <border outline="0">
        <left style="thin">
          <color indexed="64"/>
        </left>
        <right style="thin">
          <color indexed="64"/>
        </right>
        <top style="thin">
          <color indexed="64"/>
        </top>
        <bottom style="thin">
          <color indexed="64"/>
        </bottom>
      </border>
    </dxf>
  </rfmt>
  <rfmt sheetId="2" sqref="AE10" start="0" length="0">
    <dxf>
      <alignment horizontal="center" vertical="top" readingOrder="0"/>
      <border outline="0">
        <left style="thin">
          <color indexed="64"/>
        </left>
        <right style="thin">
          <color indexed="64"/>
        </right>
        <top style="thin">
          <color indexed="64"/>
        </top>
        <bottom style="thin">
          <color indexed="64"/>
        </bottom>
      </border>
    </dxf>
  </rfmt>
  <rfmt sheetId="2" sqref="AF10" start="0" length="0">
    <dxf>
      <alignment horizontal="center" vertical="top" readingOrder="0"/>
      <border outline="0">
        <left style="thin">
          <color indexed="64"/>
        </left>
        <right style="thin">
          <color indexed="64"/>
        </right>
        <top style="thin">
          <color indexed="64"/>
        </top>
        <bottom style="thin">
          <color indexed="64"/>
        </bottom>
      </border>
    </dxf>
  </rfmt>
  <rfmt sheetId="2" sqref="AG10" start="0" length="0">
    <dxf>
      <alignment horizontal="center" vertical="top" readingOrder="0"/>
      <border outline="0">
        <left style="thin">
          <color indexed="64"/>
        </left>
        <right style="thin">
          <color indexed="64"/>
        </right>
        <top style="thin">
          <color indexed="64"/>
        </top>
        <bottom style="thin">
          <color indexed="64"/>
        </bottom>
      </border>
    </dxf>
  </rfmt>
  <rfmt sheetId="2" sqref="AH10" start="0" length="0">
    <dxf>
      <alignment horizontal="center" vertical="top" readingOrder="0"/>
      <border outline="0">
        <left style="thin">
          <color indexed="64"/>
        </left>
        <right style="thin">
          <color indexed="64"/>
        </right>
        <top style="thin">
          <color indexed="64"/>
        </top>
        <bottom style="thin">
          <color indexed="64"/>
        </bottom>
      </border>
    </dxf>
  </rfmt>
  <rcc rId="1373" sId="2" odxf="1" dxf="1">
    <nc r="AI10" t="inlineStr">
      <is>
        <t>last pachy prior to sx 5 months earlier</t>
      </is>
    </nc>
    <odxf>
      <font>
        <sz val="10"/>
        <color auto="1"/>
        <name val="Arial"/>
        <scheme val="none"/>
      </font>
      <alignment horizontal="general" vertical="bottom" wrapText="0" readingOrder="0"/>
      <border outline="0">
        <left/>
        <right/>
        <top/>
        <bottom/>
      </border>
    </odxf>
    <ndxf>
      <font>
        <sz val="10"/>
        <color auto="1"/>
        <name val="Arial"/>
        <scheme val="none"/>
      </font>
      <alignment horizontal="center" vertical="top" wrapText="1" readingOrder="0"/>
      <border outline="0">
        <left style="thin">
          <color indexed="64"/>
        </left>
        <right style="thin">
          <color indexed="64"/>
        </right>
        <top style="thin">
          <color indexed="64"/>
        </top>
        <bottom style="thin">
          <color indexed="64"/>
        </bottom>
      </border>
    </ndxf>
  </rcc>
  <rcc rId="1374" sId="2" odxf="1" dxf="1" numFmtId="19">
    <nc r="AJ10">
      <v>41619</v>
    </nc>
    <odxf>
      <font>
        <sz val="10"/>
        <color auto="1"/>
        <name val="Arial"/>
        <scheme val="none"/>
      </font>
      <numFmt numFmtId="0" formatCode="General"/>
      <alignment horizontal="general" vertical="bottom" readingOrder="0"/>
      <border outline="0">
        <left/>
        <right/>
        <top/>
        <bottom/>
      </border>
    </odxf>
    <ndxf>
      <font>
        <sz val="10"/>
        <color indexed="20"/>
        <name val="Arial"/>
        <scheme val="none"/>
      </font>
      <numFmt numFmtId="19" formatCode="mm/dd/yyyy"/>
      <alignment horizontal="center" vertical="top" readingOrder="0"/>
      <border outline="0">
        <left style="thin">
          <color indexed="64"/>
        </left>
        <right style="thin">
          <color indexed="64"/>
        </right>
        <top style="thin">
          <color indexed="64"/>
        </top>
        <bottom style="thin">
          <color indexed="64"/>
        </bottom>
      </border>
    </ndxf>
  </rcc>
  <rfmt sheetId="2" sqref="AK10" start="0" length="0">
    <dxf>
      <font>
        <sz val="10"/>
        <color indexed="20"/>
        <name val="Arial"/>
        <scheme val="none"/>
      </font>
      <numFmt numFmtId="1" formatCode="0"/>
      <alignment horizontal="center" vertical="top" readingOrder="0"/>
      <border outline="0">
        <left style="thin">
          <color indexed="64"/>
        </left>
        <right style="thin">
          <color indexed="64"/>
        </right>
        <top style="thin">
          <color indexed="64"/>
        </top>
        <bottom style="thin">
          <color indexed="64"/>
        </bottom>
      </border>
    </dxf>
  </rfmt>
  <rfmt sheetId="2" sqref="AL10" start="0" length="0">
    <dxf>
      <numFmt numFmtId="166" formatCode="\+#0.00;\-#0.00;0;@"/>
      <alignment horizontal="center" vertical="top" readingOrder="0"/>
      <border outline="0">
        <left style="thin">
          <color indexed="64"/>
        </left>
        <right style="thin">
          <color indexed="64"/>
        </right>
        <top style="thin">
          <color indexed="64"/>
        </top>
        <bottom style="thin">
          <color indexed="64"/>
        </bottom>
      </border>
    </dxf>
  </rfmt>
  <rfmt sheetId="2" sqref="AM10" start="0" length="0">
    <dxf>
      <numFmt numFmtId="166" formatCode="\+#0.00;\-#0.00;0;@"/>
      <alignment horizontal="center" vertical="top" readingOrder="0"/>
      <border outline="0">
        <left style="thin">
          <color indexed="64"/>
        </left>
        <right style="thin">
          <color indexed="64"/>
        </right>
        <top style="thin">
          <color indexed="64"/>
        </top>
        <bottom style="thin">
          <color indexed="64"/>
        </bottom>
      </border>
    </dxf>
  </rfmt>
  <rfmt sheetId="2" sqref="AN10" start="0" length="0">
    <dxf>
      <alignment horizontal="center" vertical="top" readingOrder="0"/>
      <border outline="0">
        <left style="thin">
          <color indexed="64"/>
        </left>
        <right style="thin">
          <color indexed="64"/>
        </right>
        <top style="thin">
          <color indexed="64"/>
        </top>
        <bottom style="thin">
          <color indexed="64"/>
        </bottom>
      </border>
    </dxf>
  </rfmt>
  <rfmt sheetId="2" sqref="AO10" start="0" length="0">
    <dxf>
      <alignment horizontal="center" vertical="top" readingOrder="0"/>
      <border outline="0">
        <left style="thin">
          <color indexed="64"/>
        </left>
        <right style="thin">
          <color indexed="64"/>
        </right>
        <top style="thin">
          <color indexed="64"/>
        </top>
        <bottom style="thin">
          <color indexed="64"/>
        </bottom>
      </border>
    </dxf>
  </rfmt>
  <rfmt sheetId="2" sqref="AP10" start="0" length="0">
    <dxf>
      <alignment horizontal="center" vertical="top" readingOrder="0"/>
      <border outline="0">
        <left style="thin">
          <color indexed="64"/>
        </left>
        <right style="thin">
          <color indexed="64"/>
        </right>
        <top style="thin">
          <color indexed="64"/>
        </top>
        <bottom style="thin">
          <color indexed="64"/>
        </bottom>
      </border>
    </dxf>
  </rfmt>
  <rfmt sheetId="2" sqref="AQ10" start="0" length="0">
    <dxf>
      <alignment horizontal="center" vertical="top" readingOrder="0"/>
      <border outline="0">
        <left style="thin">
          <color indexed="64"/>
        </left>
        <right style="thin">
          <color indexed="64"/>
        </right>
        <top style="thin">
          <color indexed="64"/>
        </top>
        <bottom style="thin">
          <color indexed="64"/>
        </bottom>
      </border>
    </dxf>
  </rfmt>
  <rfmt sheetId="2" sqref="AR10" start="0" length="0">
    <dxf>
      <alignment horizontal="center" vertical="top" readingOrder="0"/>
      <border outline="0">
        <left style="thin">
          <color indexed="64"/>
        </left>
        <right style="thin">
          <color indexed="64"/>
        </right>
        <top style="thin">
          <color indexed="64"/>
        </top>
        <bottom style="thin">
          <color indexed="64"/>
        </bottom>
      </border>
    </dxf>
  </rfmt>
  <rfmt sheetId="2" sqref="AS10" start="0" length="0">
    <dxf>
      <alignment horizontal="center" vertical="top" readingOrder="0"/>
      <border outline="0">
        <left style="thin">
          <color indexed="64"/>
        </left>
        <right style="thin">
          <color indexed="64"/>
        </right>
        <top style="thin">
          <color indexed="64"/>
        </top>
        <bottom style="thin">
          <color indexed="64"/>
        </bottom>
      </border>
    </dxf>
  </rfmt>
  <rfmt sheetId="2" sqref="AT10" start="0" length="0">
    <dxf>
      <alignment horizontal="center" vertical="top" readingOrder="0"/>
      <border outline="0">
        <left style="thin">
          <color indexed="64"/>
        </left>
        <right style="thin">
          <color indexed="64"/>
        </right>
        <top style="thin">
          <color indexed="64"/>
        </top>
        <bottom style="thin">
          <color indexed="64"/>
        </bottom>
      </border>
    </dxf>
  </rfmt>
  <rfmt sheetId="2" sqref="AU10" start="0" length="0">
    <dxf>
      <alignment horizontal="center" vertical="top" readingOrder="0"/>
      <border outline="0">
        <left style="thin">
          <color indexed="64"/>
        </left>
        <right style="thin">
          <color indexed="64"/>
        </right>
        <top style="thin">
          <color indexed="64"/>
        </top>
        <bottom style="thin">
          <color indexed="64"/>
        </bottom>
      </border>
    </dxf>
  </rfmt>
  <rfmt sheetId="2" sqref="AV10" start="0" length="0">
    <dxf>
      <alignment horizontal="center" vertical="top" readingOrder="0"/>
      <border outline="0">
        <left style="thin">
          <color indexed="64"/>
        </left>
        <right style="thin">
          <color indexed="64"/>
        </right>
        <top style="thin">
          <color indexed="64"/>
        </top>
        <bottom style="thin">
          <color indexed="64"/>
        </bottom>
      </border>
    </dxf>
  </rfmt>
  <rfmt sheetId="2" sqref="AW10" start="0" length="0">
    <dxf>
      <alignment horizontal="center" vertical="top" readingOrder="0"/>
      <border outline="0">
        <left style="thin">
          <color indexed="64"/>
        </left>
        <right style="thin">
          <color indexed="64"/>
        </right>
        <top style="thin">
          <color indexed="64"/>
        </top>
        <bottom style="thin">
          <color indexed="64"/>
        </bottom>
      </border>
    </dxf>
  </rfmt>
  <rfmt sheetId="2" sqref="AX10" start="0" length="0">
    <dxf>
      <alignment horizontal="center" vertical="top" readingOrder="0"/>
      <border outline="0">
        <left style="thin">
          <color indexed="64"/>
        </left>
        <right style="thin">
          <color indexed="64"/>
        </right>
        <top style="thin">
          <color indexed="64"/>
        </top>
        <bottom style="thin">
          <color indexed="64"/>
        </bottom>
      </border>
    </dxf>
  </rfmt>
  <rcc rId="1375" sId="2" odxf="1" dxf="1">
    <nc r="AY10">
      <f>IF(ISNUMBER(AL10),AL10+0.5*AM10,"")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76" sId="2" odxf="1" dxf="1">
    <nc r="AZ10">
      <f>IF(ISNUMBER(AY10),IF(ISNUMBER(Q10),AY10-Q10,"MISSING"),"")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77" sId="2" odxf="1" dxf="1">
    <nc r="BA10">
      <f>IF(AND(ISNUMBER(AQ10),ISNUMBER(Y10)),AQ10-Y10,IF(ISNUMBER(AQ10),"MISSING",""))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BB10" start="0" length="0">
    <dxf>
      <alignment horizontal="center" vertical="top" readingOrder="0"/>
      <border outline="0">
        <left style="thin">
          <color indexed="64"/>
        </left>
        <right style="thin">
          <color indexed="64"/>
        </right>
        <top style="thin">
          <color indexed="64"/>
        </top>
        <bottom style="thin">
          <color indexed="64"/>
        </bottom>
      </border>
    </dxf>
  </rfmt>
  <rfmt sheetId="2" sqref="BC10" start="0" length="0">
    <dxf>
      <numFmt numFmtId="1" formatCode="0"/>
      <alignment horizontal="center" vertical="top" readingOrder="0"/>
      <border outline="0">
        <left style="thin">
          <color indexed="64"/>
        </left>
        <right style="thin">
          <color indexed="64"/>
        </right>
        <top style="thin">
          <color indexed="64"/>
        </top>
        <bottom style="thin">
          <color indexed="64"/>
        </bottom>
      </border>
    </dxf>
  </rfmt>
  <rfmt sheetId="2" sqref="BD10" start="0" length="0">
    <dxf>
      <numFmt numFmtId="166" formatCode="\+#0.00;\-#0.00;0;@"/>
      <alignment horizontal="center" vertical="top" readingOrder="0"/>
      <border outline="0">
        <left style="thin">
          <color indexed="64"/>
        </left>
        <right style="thin">
          <color indexed="64"/>
        </right>
        <top style="thin">
          <color indexed="64"/>
        </top>
        <bottom style="thin">
          <color indexed="64"/>
        </bottom>
      </border>
    </dxf>
  </rfmt>
  <rfmt sheetId="2" sqref="BE10" start="0" length="0">
    <dxf>
      <numFmt numFmtId="166" formatCode="\+#0.00;\-#0.00;0;@"/>
      <alignment horizontal="center" vertical="top" readingOrder="0"/>
      <border outline="0">
        <left style="thin">
          <color indexed="64"/>
        </left>
        <right style="thin">
          <color indexed="64"/>
        </right>
        <top style="thin">
          <color indexed="64"/>
        </top>
        <bottom style="thin">
          <color indexed="64"/>
        </bottom>
      </border>
    </dxf>
  </rfmt>
  <rfmt sheetId="2" sqref="BF10" start="0" length="0">
    <dxf>
      <alignment horizontal="center" vertical="top" readingOrder="0"/>
      <border outline="0">
        <left style="thin">
          <color indexed="64"/>
        </left>
        <right style="thin">
          <color indexed="64"/>
        </right>
        <top style="thin">
          <color indexed="64"/>
        </top>
        <bottom style="thin">
          <color indexed="64"/>
        </bottom>
      </border>
    </dxf>
  </rfmt>
  <rfmt sheetId="2" sqref="BG10" start="0" length="0">
    <dxf>
      <alignment horizontal="center" vertical="top" readingOrder="0"/>
      <border outline="0">
        <left style="thin">
          <color indexed="64"/>
        </left>
        <right style="thin">
          <color indexed="64"/>
        </right>
        <top style="thin">
          <color indexed="64"/>
        </top>
        <bottom style="thin">
          <color indexed="64"/>
        </bottom>
      </border>
    </dxf>
  </rfmt>
  <rfmt sheetId="2" sqref="BH10" start="0" length="0">
    <dxf>
      <alignment horizontal="center" vertical="top" readingOrder="0"/>
      <border outline="0">
        <left style="thin">
          <color indexed="64"/>
        </left>
        <right style="thin">
          <color indexed="64"/>
        </right>
        <top style="thin">
          <color indexed="64"/>
        </top>
        <bottom style="thin">
          <color indexed="64"/>
        </bottom>
      </border>
    </dxf>
  </rfmt>
  <rfmt sheetId="2" sqref="BI10" start="0" length="0">
    <dxf>
      <alignment horizontal="center" vertical="top" readingOrder="0"/>
      <border outline="0">
        <left style="thin">
          <color indexed="64"/>
        </left>
        <right style="thin">
          <color indexed="64"/>
        </right>
        <top style="thin">
          <color indexed="64"/>
        </top>
        <bottom style="thin">
          <color indexed="64"/>
        </bottom>
      </border>
    </dxf>
  </rfmt>
  <rfmt sheetId="2" sqref="BJ10" start="0" length="0">
    <dxf>
      <alignment horizontal="center" vertical="top" readingOrder="0"/>
      <border outline="0">
        <left style="thin">
          <color indexed="64"/>
        </left>
        <right style="thin">
          <color indexed="64"/>
        </right>
        <top style="thin">
          <color indexed="64"/>
        </top>
        <bottom style="thin">
          <color indexed="64"/>
        </bottom>
      </border>
    </dxf>
  </rfmt>
  <rfmt sheetId="2" sqref="BK10" start="0" length="0">
    <dxf>
      <alignment horizontal="center" vertical="top" readingOrder="0"/>
      <border outline="0">
        <left style="thin">
          <color indexed="64"/>
        </left>
        <right style="thin">
          <color indexed="64"/>
        </right>
        <top style="thin">
          <color indexed="64"/>
        </top>
        <bottom style="thin">
          <color indexed="64"/>
        </bottom>
      </border>
    </dxf>
  </rfmt>
  <rfmt sheetId="2" sqref="BL10" start="0" length="0">
    <dxf>
      <alignment horizontal="center" vertical="top" readingOrder="0"/>
      <border outline="0">
        <left style="thin">
          <color indexed="64"/>
        </left>
        <right style="thin">
          <color indexed="64"/>
        </right>
        <top style="thin">
          <color indexed="64"/>
        </top>
        <bottom style="thin">
          <color indexed="64"/>
        </bottom>
      </border>
    </dxf>
  </rfmt>
  <rfmt sheetId="2" sqref="BM10" start="0" length="0">
    <dxf>
      <alignment horizontal="center" vertical="top" readingOrder="0"/>
      <border outline="0">
        <left style="thin">
          <color indexed="64"/>
        </left>
        <right style="thin">
          <color indexed="64"/>
        </right>
        <top style="thin">
          <color indexed="64"/>
        </top>
        <bottom style="thin">
          <color indexed="64"/>
        </bottom>
      </border>
    </dxf>
  </rfmt>
  <rfmt sheetId="2" sqref="BN10" start="0" length="0">
    <dxf>
      <alignment horizontal="center" vertical="top" readingOrder="0"/>
      <border outline="0">
        <left style="thin">
          <color indexed="64"/>
        </left>
        <right style="thin">
          <color indexed="64"/>
        </right>
        <top style="thin">
          <color indexed="64"/>
        </top>
        <bottom style="thin">
          <color indexed="64"/>
        </bottom>
      </border>
    </dxf>
  </rfmt>
  <rfmt sheetId="2" sqref="BO10" start="0" length="0">
    <dxf>
      <alignment horizontal="center" vertical="top" readingOrder="0"/>
      <border outline="0">
        <left style="thin">
          <color indexed="64"/>
        </left>
        <right style="thin">
          <color indexed="64"/>
        </right>
        <top style="thin">
          <color indexed="64"/>
        </top>
        <bottom style="thin">
          <color indexed="64"/>
        </bottom>
      </border>
    </dxf>
  </rfmt>
  <rfmt sheetId="2" sqref="BP10" start="0" length="0">
    <dxf>
      <alignment horizontal="center" vertical="top" readingOrder="0"/>
      <border outline="0">
        <left style="thin">
          <color indexed="64"/>
        </left>
        <right style="thin">
          <color indexed="64"/>
        </right>
        <top style="thin">
          <color indexed="64"/>
        </top>
        <bottom style="thin">
          <color indexed="64"/>
        </bottom>
      </border>
    </dxf>
  </rfmt>
  <rcc rId="1378" sId="2" odxf="1" dxf="1">
    <nc r="BQ10">
      <f>IF(ISNUMBER(BD10),BD10+0.5*BE10,"")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79" sId="2" odxf="1" dxf="1">
    <nc r="BR10">
      <f>IF(ISNUMBER(BQ10),IF(ISNUMBER($Q10),BQ10-$Q10,"MISSING"),"")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80" sId="2" odxf="1" dxf="1">
    <nc r="BS10">
      <f>IF(AND(ISNUMBER(BI10),ISNUMBER($Y10)),BI10-$Y10,IF(ISNUMBER(BI10),"MISSING",""))</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81" sId="2" odxf="1" dxf="1">
    <nc r="BT10">
      <f>IF(AND(ISBLANK($AL10),ISBLANK($BD10)),0,1)</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82" sId="2" odxf="1" dxf="1">
    <nc r="BU10">
      <f>IF(AND(ISNUMBER($AL10),ISNUMBER($BD10)),1,0)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83" sId="2" odxf="1" dxf="1">
    <nc r="BV10">
      <f>IF(BU10,SE_PREOP,"")</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84" sId="2" odxf="1" dxf="1">
    <nc r="BW10">
      <f>IF(FU_6_AND_12,SE_6,"")</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85" sId="2" odxf="1" dxf="1">
    <nc r="BX10">
      <f>IF(FU_6_AND_12,SE_12,"")</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86" sId="2" odxf="1" dxf="1">
    <nc r="BY10">
      <f>IF(AND(ISNUMBER(BB10),ISNUMBER(BD10)),BB10-A10,IF(ISNUMBER(AJ10),AJ10-A10,0))</f>
    </nc>
    <odxf>
      <numFmt numFmtId="0" formatCode="General"/>
      <alignment horizontal="general" vertical="bottom" readingOrder="0"/>
      <border outline="0">
        <left/>
        <right/>
        <top/>
        <bottom/>
      </border>
    </odxf>
    <ndxf>
      <numFmt numFmtId="2" formatCode="0.00"/>
      <alignment horizontal="center" vertical="top" readingOrder="0"/>
      <border outline="0">
        <left style="thin">
          <color indexed="64"/>
        </left>
        <right style="thin">
          <color indexed="64"/>
        </right>
        <top style="thin">
          <color indexed="64"/>
        </top>
        <bottom style="thin">
          <color indexed="64"/>
        </bottom>
      </border>
    </ndxf>
  </rcc>
  <rcc rId="1387" sId="2" odxf="1" dxf="1">
    <nc r="BZ10">
      <f>IF(BY10&gt;0,BY10/30,"")</f>
    </nc>
    <odxf>
      <numFmt numFmtId="0" formatCode="General"/>
      <alignment horizontal="general" vertical="bottom" readingOrder="0"/>
      <border outline="0">
        <left/>
        <right/>
        <top/>
        <bottom/>
      </border>
    </odxf>
    <ndxf>
      <numFmt numFmtId="165" formatCode="0.0"/>
      <alignment horizontal="center" vertical="top" readingOrder="0"/>
      <border outline="0">
        <left style="thin">
          <color indexed="64"/>
        </left>
        <right style="thin">
          <color indexed="64"/>
        </right>
        <top style="thin">
          <color indexed="64"/>
        </top>
        <bottom style="thin">
          <color indexed="64"/>
        </bottom>
      </border>
    </ndxf>
  </rcc>
  <rcc rId="1388" sId="2" odxf="1" dxf="1">
    <nc r="CA10">
      <f>IF(AND(ISNUMBER(AY10),ISNUMBER(BQ10)),(BQ10-AY10),"")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89" sId="2" odxf="1" dxf="1">
    <nc r="CB10">
      <f>IF(AND(ISNUMBER(AW10), ISNUMBER(AD10)), AVERAGE(AW10,AU10)-AVERAGE(AD10,AF10),"")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90" sId="2" odxf="1" dxf="1">
    <nc r="CC10">
      <f>IF(AND(ISNUMBER(BM10), ISNUMBER(AD10)), AVERAGE(BM10,BO10)-AVERAGE(AD10,AF10),"")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91" sId="2" odxf="1" dxf="1">
    <nc r="CD10">
      <f>IF(ISNUMBER(CC10),CC10,IF(ISNUMBER(CB10),CB10,""))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92" sId="2" odxf="1" dxf="1">
    <nc r="CE10">
      <f>IF(AND(ISNUMBER(SPH_PREOP),ISNUMBER(SE_LAST_)),SPH_PREOP+CYL_PREOP/2,"")</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93" sId="2" odxf="1" dxf="1">
    <nc r="CF10">
      <f>IF(ISNUMBER(SE_12),SE_12,IF(ISNUMBER(SE_6),SE_6,""))</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94" sId="2" odxf="1" dxf="1">
    <nc r="CG10">
      <f>IF(AND(ISNUMBER(SE_LAST_),ISNUMBER(REF_TARGET)),SE_LAST_-REF_TARGET,"")</f>
    </nc>
    <odxf>
      <alignment horizontal="general" vertical="bottom" readingOrder="0"/>
      <border outline="0">
        <left/>
        <right/>
        <top/>
        <bottom/>
      </border>
    </odxf>
    <ndxf>
      <alignment horizontal="center" vertical="top" readingOrder="0"/>
      <border outline="0">
        <left style="thin">
          <color indexed="64"/>
        </left>
        <right style="double">
          <color indexed="64"/>
        </right>
        <top style="thin">
          <color indexed="64"/>
        </top>
        <bottom style="thin">
          <color indexed="64"/>
        </bottom>
      </border>
    </ndxf>
  </rcc>
  <rcc rId="1395" sId="2" odxf="1" dxf="1">
    <nc r="CH10">
      <f>IF(ISNUMBER(Y10),IF(ISNUMBER(BI10),BI10-Y10,IF(ISNUMBER(AQ10),AQ10-Y10,"")),"")</f>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1396" sId="2" odxf="1" dxf="1">
    <nc r="CI10">
      <f>IF(ISNUMBER(Z10),IF(ISNUMBER(AS10),AS10-Z10,IF(ISNUMBER(BK10),BK10-Z10,"")),"")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397" sId="2" odxf="1" dxf="1">
    <nc r="CJ10">
      <f>IF(ISNUMBER(LAST_SE_ERROR),REF_TARGET,"")</f>
    </nc>
    <odxf>
      <alignment horizontal="general" vertical="bottom" readingOrder="0"/>
    </odxf>
    <ndxf>
      <alignment horizontal="center" vertical="top" readingOrder="0"/>
    </ndxf>
  </rcc>
  <rcc rId="1398" sId="2" odxf="1" dxf="1">
    <nc r="CK10">
      <f>IF(AND(OR(ISNUMBER(BG10),ISNUMBER(AO10)),ISNUMBER(W10)),-LOG(20/W10)--LOG(20/IF(ISNUMBER(BG10),BG10,AO10)),"")</f>
    </nc>
    <odxf>
      <alignment horizontal="general" vertical="bottom" readingOrder="0"/>
    </odxf>
    <ndxf>
      <alignment horizontal="center" vertical="top" readingOrder="0"/>
    </ndxf>
  </rcc>
  <rcc rId="1399" sId="2" odxf="1" dxf="1">
    <nc r="CL10">
      <f>IF(ISNUMBER(BE10),BE10,IF(ISNUMBER(AM10),AM10,""))</f>
    </nc>
    <odxf>
      <numFmt numFmtId="0" formatCode="General"/>
      <alignment horizontal="general" vertical="bottom" readingOrder="0"/>
    </odxf>
    <ndxf>
      <numFmt numFmtId="166" formatCode="\+#0.00;\-#0.00;0;@"/>
      <alignment horizontal="center" vertical="top" readingOrder="0"/>
    </ndxf>
  </rcc>
  <rcc rId="1400" sId="2" odxf="1" dxf="1">
    <nc r="CM10">
      <f>IF(AND(ISNUMBER(CL10),ISNUMBER(U10)),CL10-U10,"")</f>
    </nc>
    <odxf>
      <numFmt numFmtId="0" formatCode="General"/>
      <alignment horizontal="general" vertical="bottom" readingOrder="0"/>
    </odxf>
    <ndxf>
      <numFmt numFmtId="166" formatCode="\+#0.00;\-#0.00;0;@"/>
      <alignment horizontal="center" vertical="top" readingOrder="0"/>
    </ndxf>
  </rcc>
  <rcc rId="1401" sId="2" odxf="1" dxf="1">
    <nc r="CN10">
      <f>IF(ISNUMBER(BCVA_12),BCVA_12,IF(ISNUMBER(BCVA_6),BCVA_6,""))</f>
    </nc>
    <odxf>
      <numFmt numFmtId="0" formatCode="General"/>
      <alignment horizontal="general" vertical="bottom" readingOrder="0"/>
    </odxf>
    <ndxf>
      <numFmt numFmtId="1" formatCode="0"/>
      <alignment horizontal="center" vertical="top" readingOrder="0"/>
    </ndxf>
  </rcc>
  <rcc rId="1402" sId="2" odxf="1" dxf="1">
    <nc r="CO10">
      <f>IF(AND(REF_TARGET&lt;=0,REF_TARGET&gt;-1),IF(ISNUMBER(UDVA_12),UDVA_12,IF(ISNUMBER(UDVA_6),UDVA_6,"")),"")</f>
    </nc>
    <odxf>
      <font>
        <sz val="10"/>
        <color auto="1"/>
        <name val="Arial"/>
        <scheme val="none"/>
      </font>
      <numFmt numFmtId="0" formatCode="General"/>
      <alignment horizontal="general" vertical="bottom" readingOrder="0"/>
    </odxf>
    <ndxf>
      <font>
        <sz val="10"/>
        <color auto="1"/>
        <name val="Arial"/>
        <scheme val="none"/>
      </font>
      <numFmt numFmtId="1" formatCode="0"/>
      <alignment horizontal="center" vertical="top" readingOrder="0"/>
    </ndxf>
  </rcc>
  <rcc rId="1403" sId="2" odxf="1" dxf="1">
    <nc r="CP10">
      <f>IF(ISNUMBER($CS10),IF(ISNUMBER($AL10),IF(ISNUMBER($EN10),0,1),""),"")</f>
    </nc>
    <odxf>
      <alignment horizontal="general" vertical="bottom" readingOrder="0"/>
    </odxf>
    <ndxf>
      <alignment horizontal="center" vertical="top" readingOrder="0"/>
    </ndxf>
  </rcc>
  <rcc rId="1404" sId="2" odxf="1" dxf="1">
    <nc r="CQ10">
      <f>IF(ISNUMBER($CS10),IF(ISNUMBER($BD10),IF(ISNUMBER($GJ10),0,1),""),"")</f>
    </nc>
    <odxf>
      <alignment horizontal="general" vertical="bottom" readingOrder="0"/>
    </odxf>
    <ndxf>
      <alignment horizontal="center" vertical="top" readingOrder="0"/>
    </ndxf>
  </rcc>
  <rcc rId="1405" sId="2">
    <nc r="CR10">
      <v>7.92</v>
    </nc>
  </rcc>
  <rcc rId="1406" sId="2" odxf="1" dxf="1">
    <nc r="CS10">
      <v>7.69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07" sId="2" odxf="1" dxf="1">
    <nc r="CT10">
      <v>17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08" sId="2" odxf="1" dxf="1">
    <nc r="CU10">
      <v>-1.3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09" sId="2" odxf="1" dxf="1">
    <nc r="CV10">
      <v>0.8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10" sId="2" odxf="1" dxf="1">
    <nc r="CW10">
      <v>0.77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11" sId="2" odxf="1" dxf="1">
    <nc r="CX10">
      <v>4.7300000000000004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12" sId="2" odxf="1" dxf="1">
    <nc r="CY10">
      <v>5.27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13" sId="2" odxf="1" dxf="1">
    <nc r="CZ10">
      <v>537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14" sId="2" odxf="1" dxf="1">
    <nc r="DA10">
      <v>536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15" sId="2" odxf="1" dxf="1">
    <nc r="DB10">
      <v>633</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16" sId="2" odxf="1" dxf="1">
    <nc r="DC10">
      <v>615</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17" sId="2" odxf="1" dxf="1">
    <nc r="DD10">
      <v>642</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18" sId="2" odxf="1" dxf="1">
    <nc r="DE10">
      <v>579</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19" sId="2" odxf="1" dxf="1">
    <nc r="DF10">
      <v>524</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20" sId="2" odxf="1" dxf="1">
    <nc r="DG10">
      <v>1.28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21" sId="2" odxf="1" dxf="1">
    <nc r="DH10">
      <v>-0.06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22" sId="2" odxf="1" dxf="1">
    <nc r="DI10">
      <v>7.86</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23" sId="2" odxf="1" dxf="1">
    <nc r="DJ10">
      <v>7.77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24" sId="2" odxf="1" dxf="1">
    <nc r="DK10">
      <v>7.97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25" sId="2" odxf="1" dxf="1">
    <nc r="DL10">
      <v>8.2899999999999991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26" sId="2" odxf="1" dxf="1">
    <nc r="DM10">
      <v>8.51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27" sId="2" odxf="1" dxf="1">
    <nc r="DN10">
      <v>8.27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28" sId="2" odxf="1" dxf="1">
    <nc r="DO10">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29" sId="2" odxf="1" dxf="1">
    <nc r="DP10">
      <v>1</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30" sId="2" odxf="1" dxf="1">
    <nc r="DQ10">
      <v>6.68</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31" sId="2" odxf="1" dxf="1">
    <nc r="DR10">
      <v>6.47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32" sId="2" odxf="1" dxf="1">
    <nc r="DS10">
      <v>6.47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33" sId="2" odxf="1" dxf="1">
    <nc r="DT10">
      <v>6.7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34" sId="2" odxf="1" dxf="1">
    <nc r="DU10">
      <v>6.7</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35" sId="2" odxf="1" dxf="1">
    <nc r="DV10">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36" sId="2" odxf="1" dxf="1">
    <nc r="DW10">
      <v>0</v>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37" sId="2" odxf="1" dxf="1">
    <nc r="DX10">
      <v>1</v>
    </nc>
    <odxf>
      <alignment horizontal="general" vertical="bottom" readingOrder="0"/>
      <border outline="0">
        <left/>
        <right/>
        <top/>
        <bottom/>
      </border>
    </odxf>
    <ndxf>
      <alignment horizontal="center" vertical="top" readingOrder="0"/>
      <border outline="0">
        <left style="thin">
          <color indexed="64"/>
        </left>
        <right style="mediumDashDot">
          <color indexed="64"/>
        </right>
        <top style="thin">
          <color indexed="64"/>
        </top>
        <bottom style="thin">
          <color indexed="64"/>
        </bottom>
      </border>
    </ndxf>
  </rcc>
  <rcc rId="1438" sId="2" odxf="1" dxf="1">
    <nc r="DY10">
      <v>42.1</v>
    </nc>
    <odxf>
      <alignment horizontal="general" vertical="bottom" readingOrder="0"/>
      <border outline="0">
        <top/>
        <bottom/>
      </border>
    </odxf>
    <ndxf>
      <alignment horizontal="center" vertical="top" readingOrder="0"/>
      <border outline="0">
        <top style="thin">
          <color indexed="64"/>
        </top>
        <bottom style="thin">
          <color indexed="64"/>
        </bottom>
      </border>
    </ndxf>
  </rcc>
  <rcc rId="1439" sId="2" odxf="1" dxf="1">
    <nc r="DZ10">
      <v>42.2</v>
    </nc>
    <odxf>
      <alignment horizontal="general" vertical="bottom" readingOrder="0"/>
      <border outline="0">
        <top/>
        <bottom/>
      </border>
    </odxf>
    <ndxf>
      <alignment horizontal="center" vertical="top" readingOrder="0"/>
      <border outline="0">
        <top style="thin">
          <color indexed="64"/>
        </top>
        <bottom style="thin">
          <color indexed="64"/>
        </bottom>
      </border>
    </ndxf>
  </rcc>
  <rcc rId="1440" sId="2" odxf="1" dxf="1">
    <nc r="EA10">
      <v>42.2</v>
    </nc>
    <odxf>
      <alignment horizontal="general" vertical="bottom" readingOrder="0"/>
      <border outline="0">
        <top/>
        <bottom/>
      </border>
    </odxf>
    <ndxf>
      <alignment horizontal="center" vertical="top" readingOrder="0"/>
      <border outline="0">
        <top style="thin">
          <color indexed="64"/>
        </top>
        <bottom style="thin">
          <color indexed="64"/>
        </bottom>
      </border>
    </ndxf>
  </rcc>
  <rcc rId="1441" sId="2" odxf="1" dxf="1">
    <nc r="EB10">
      <v>41.6</v>
    </nc>
    <odxf>
      <alignment horizontal="general" vertical="bottom" readingOrder="0"/>
      <border outline="0">
        <top/>
        <bottom/>
      </border>
    </odxf>
    <ndxf>
      <alignment horizontal="center" vertical="top" readingOrder="0"/>
      <border outline="0">
        <top style="thin">
          <color indexed="64"/>
        </top>
        <bottom style="thin">
          <color indexed="64"/>
        </bottom>
      </border>
    </ndxf>
  </rcc>
  <rcc rId="1442" sId="2" odxf="1" dxf="1">
    <nc r="EC10">
      <v>0</v>
    </nc>
    <odxf>
      <alignment horizontal="general" vertical="bottom" readingOrder="0"/>
      <border outline="0">
        <top/>
        <bottom/>
      </border>
    </odxf>
    <ndxf>
      <alignment horizontal="center" vertical="top" readingOrder="0"/>
      <border outline="0">
        <top style="thin">
          <color indexed="64"/>
        </top>
        <bottom style="thin">
          <color indexed="64"/>
        </bottom>
      </border>
    </ndxf>
  </rcc>
  <rcc rId="1443" sId="2" odxf="1" dxf="1">
    <nc r="ED10">
      <v>-5.7</v>
    </nc>
    <odxf>
      <alignment horizontal="general" vertical="bottom" readingOrder="0"/>
      <border outline="0">
        <top/>
        <bottom/>
      </border>
    </odxf>
    <ndxf>
      <alignment horizontal="center" vertical="top" readingOrder="0"/>
      <border outline="0">
        <top style="thin">
          <color indexed="64"/>
        </top>
        <bottom style="thin">
          <color indexed="64"/>
        </bottom>
      </border>
    </ndxf>
  </rcc>
  <rcc rId="1444" sId="2" odxf="1" dxf="1">
    <nc r="EE10">
      <v>-5.8</v>
    </nc>
    <odxf>
      <alignment horizontal="general" vertical="bottom" readingOrder="0"/>
      <border outline="0">
        <top/>
        <bottom/>
      </border>
    </odxf>
    <ndxf>
      <alignment horizontal="center" vertical="top" readingOrder="0"/>
      <border outline="0">
        <top style="thin">
          <color indexed="64"/>
        </top>
        <bottom style="thin">
          <color indexed="64"/>
        </bottom>
      </border>
    </ndxf>
  </rcc>
  <rcc rId="1445" sId="2" odxf="1" dxf="1">
    <nc r="EF10">
      <v>-5.7</v>
    </nc>
    <odxf>
      <alignment horizontal="general" vertical="bottom" readingOrder="0"/>
      <border outline="0">
        <top/>
        <bottom/>
      </border>
    </odxf>
    <ndxf>
      <alignment horizontal="center" vertical="top" readingOrder="0"/>
      <border outline="0">
        <top style="thin">
          <color indexed="64"/>
        </top>
        <bottom style="thin">
          <color indexed="64"/>
        </bottom>
      </border>
    </ndxf>
  </rcc>
  <rcc rId="1446" sId="2" odxf="1" dxf="1">
    <nc r="EG10">
      <v>38.4</v>
    </nc>
    <odxf>
      <alignment horizontal="general" vertical="bottom" readingOrder="0"/>
      <border outline="0">
        <top/>
        <bottom/>
      </border>
    </odxf>
    <ndxf>
      <alignment horizontal="center" vertical="top" readingOrder="0"/>
      <border outline="0">
        <top style="thin">
          <color indexed="64"/>
        </top>
        <bottom style="thin">
          <color indexed="64"/>
        </bottom>
      </border>
    </ndxf>
  </rcc>
  <rcc rId="1447" sId="2" odxf="1" dxf="1">
    <nc r="EH10">
      <v>0.1</v>
    </nc>
    <odxf>
      <alignment horizontal="general" vertical="bottom" readingOrder="0"/>
      <border outline="0">
        <top/>
        <bottom/>
      </border>
    </odxf>
    <ndxf>
      <alignment horizontal="center" vertical="top" readingOrder="0"/>
      <border outline="0">
        <top style="thin">
          <color indexed="64"/>
        </top>
        <bottom style="thin">
          <color indexed="64"/>
        </bottom>
      </border>
    </ndxf>
  </rcc>
  <rcc rId="1448" sId="2" odxf="1" dxf="1">
    <nc r="EI10">
      <v>4.0999999999999996</v>
    </nc>
    <odxf>
      <alignment horizontal="general" vertical="bottom" readingOrder="0"/>
      <border outline="0">
        <top/>
        <bottom/>
      </border>
    </odxf>
    <ndxf>
      <alignment horizontal="center" vertical="top" readingOrder="0"/>
      <border outline="0">
        <top style="thin">
          <color indexed="64"/>
        </top>
        <bottom style="thin">
          <color indexed="64"/>
        </bottom>
      </border>
    </ndxf>
  </rcc>
  <rcc rId="1449" sId="2" odxf="1" dxf="1">
    <nc r="EJ10">
      <v>11.8</v>
    </nc>
    <odxf>
      <alignment horizontal="general" vertical="bottom" readingOrder="0"/>
      <border outline="0">
        <top/>
        <bottom/>
      </border>
    </odxf>
    <ndxf>
      <alignment horizontal="center" vertical="top" readingOrder="0"/>
      <border outline="0">
        <top style="thin">
          <color indexed="64"/>
        </top>
        <bottom style="thin">
          <color indexed="64"/>
        </bottom>
      </border>
    </ndxf>
  </rcc>
  <rcc rId="1450" sId="2" odxf="1" dxf="1">
    <nc r="EK10">
      <v>25.1</v>
    </nc>
    <odxf>
      <alignment horizontal="general" vertical="bottom" readingOrder="0"/>
      <border outline="0">
        <top/>
        <bottom/>
      </border>
    </odxf>
    <ndxf>
      <alignment horizontal="center" vertical="top" readingOrder="0"/>
      <border outline="0">
        <top style="thin">
          <color indexed="64"/>
        </top>
        <bottom style="thin">
          <color indexed="64"/>
        </bottom>
      </border>
    </ndxf>
  </rcc>
  <rcc rId="1451" sId="2" odxf="1" dxf="1">
    <nc r="EL10">
      <v>60.7</v>
    </nc>
    <odxf>
      <alignment horizontal="general" vertical="bottom" readingOrder="0"/>
      <border outline="0">
        <top/>
        <bottom/>
      </border>
    </odxf>
    <ndxf>
      <alignment horizontal="center" vertical="top" readingOrder="0"/>
      <border outline="0">
        <top style="thin">
          <color indexed="64"/>
        </top>
        <bottom style="thin">
          <color indexed="64"/>
        </bottom>
      </border>
    </ndxf>
  </rcc>
  <rcc rId="1452" sId="2" odxf="1" dxf="1">
    <nc r="EM10">
      <v>9</v>
    </nc>
    <odxf>
      <alignment horizontal="general" vertical="bottom" readingOrder="0"/>
      <border outline="0">
        <right/>
        <top/>
        <bottom/>
      </border>
    </odxf>
    <ndxf>
      <alignment horizontal="center" vertical="top" readingOrder="0"/>
      <border outline="0">
        <right style="dashed">
          <color auto="1"/>
        </right>
        <top style="thin">
          <color indexed="64"/>
        </top>
        <bottom style="thin">
          <color indexed="64"/>
        </bottom>
      </border>
    </ndxf>
  </rcc>
  <rfmt sheetId="2" sqref="EN10" start="0" length="0">
    <dxf>
      <alignment horizontal="center" vertical="top" readingOrder="0"/>
      <border outline="0">
        <right style="thin">
          <color indexed="64"/>
        </right>
        <top style="thin">
          <color indexed="64"/>
        </top>
        <bottom style="thin">
          <color indexed="64"/>
        </bottom>
      </border>
    </dxf>
  </rfmt>
  <rfmt sheetId="2" sqref="EO10" start="0" length="0">
    <dxf>
      <alignment horizontal="center" vertical="top" readingOrder="0"/>
      <border outline="0">
        <left style="thin">
          <color indexed="64"/>
        </left>
        <right style="thin">
          <color indexed="64"/>
        </right>
        <top style="thin">
          <color indexed="64"/>
        </top>
        <bottom style="thin">
          <color indexed="64"/>
        </bottom>
      </border>
    </dxf>
  </rfmt>
  <rfmt sheetId="2" sqref="EP10" start="0" length="0">
    <dxf>
      <alignment horizontal="center" vertical="top" readingOrder="0"/>
      <border outline="0">
        <left style="thin">
          <color indexed="64"/>
        </left>
        <right style="thin">
          <color indexed="64"/>
        </right>
        <top style="thin">
          <color indexed="64"/>
        </top>
        <bottom style="thin">
          <color indexed="64"/>
        </bottom>
      </border>
    </dxf>
  </rfmt>
  <rfmt sheetId="2" sqref="EQ10" start="0" length="0">
    <dxf>
      <alignment horizontal="center" vertical="top" readingOrder="0"/>
      <border outline="0">
        <left style="thin">
          <color indexed="64"/>
        </left>
        <right style="thin">
          <color indexed="64"/>
        </right>
        <top style="thin">
          <color indexed="64"/>
        </top>
        <bottom style="thin">
          <color indexed="64"/>
        </bottom>
      </border>
    </dxf>
  </rfmt>
  <rfmt sheetId="2" sqref="ER10" start="0" length="0">
    <dxf>
      <alignment horizontal="center" vertical="top" readingOrder="0"/>
      <border outline="0">
        <left style="thin">
          <color indexed="64"/>
        </left>
        <right style="thin">
          <color indexed="64"/>
        </right>
        <top style="thin">
          <color indexed="64"/>
        </top>
        <bottom style="thin">
          <color indexed="64"/>
        </bottom>
      </border>
    </dxf>
  </rfmt>
  <rfmt sheetId="2" sqref="ES10" start="0" length="0">
    <dxf>
      <alignment horizontal="center" vertical="top" readingOrder="0"/>
      <border outline="0">
        <left style="thin">
          <color indexed="64"/>
        </left>
        <right style="thin">
          <color indexed="64"/>
        </right>
        <top style="thin">
          <color indexed="64"/>
        </top>
        <bottom style="thin">
          <color indexed="64"/>
        </bottom>
      </border>
    </dxf>
  </rfmt>
  <rfmt sheetId="2" sqref="ET10" start="0" length="0">
    <dxf>
      <alignment horizontal="center" vertical="top" readingOrder="0"/>
      <border outline="0">
        <left style="thin">
          <color indexed="64"/>
        </left>
        <right style="thin">
          <color indexed="64"/>
        </right>
        <top style="thin">
          <color indexed="64"/>
        </top>
        <bottom style="thin">
          <color indexed="64"/>
        </bottom>
      </border>
    </dxf>
  </rfmt>
  <rfmt sheetId="2" sqref="EU10" start="0" length="0">
    <dxf>
      <alignment horizontal="center" vertical="top" readingOrder="0"/>
      <border outline="0">
        <left style="thin">
          <color indexed="64"/>
        </left>
        <right style="thin">
          <color indexed="64"/>
        </right>
        <top style="thin">
          <color indexed="64"/>
        </top>
        <bottom style="thin">
          <color indexed="64"/>
        </bottom>
      </border>
    </dxf>
  </rfmt>
  <rfmt sheetId="2" sqref="EV10" start="0" length="0">
    <dxf>
      <alignment horizontal="center" vertical="top" readingOrder="0"/>
      <border outline="0">
        <left style="thin">
          <color indexed="64"/>
        </left>
        <right style="thin">
          <color indexed="64"/>
        </right>
        <top style="thin">
          <color indexed="64"/>
        </top>
        <bottom style="thin">
          <color indexed="64"/>
        </bottom>
      </border>
    </dxf>
  </rfmt>
  <rfmt sheetId="2" sqref="EW10" start="0" length="0">
    <dxf>
      <alignment horizontal="center" vertical="top" readingOrder="0"/>
      <border outline="0">
        <left style="thin">
          <color indexed="64"/>
        </left>
        <right style="thin">
          <color indexed="64"/>
        </right>
        <top style="thin">
          <color indexed="64"/>
        </top>
        <bottom style="thin">
          <color indexed="64"/>
        </bottom>
      </border>
    </dxf>
  </rfmt>
  <rfmt sheetId="2" sqref="EX10" start="0" length="0">
    <dxf>
      <alignment horizontal="center" vertical="top" readingOrder="0"/>
      <border outline="0">
        <left style="thin">
          <color indexed="64"/>
        </left>
        <right style="thin">
          <color indexed="64"/>
        </right>
        <top style="thin">
          <color indexed="64"/>
        </top>
        <bottom style="thin">
          <color indexed="64"/>
        </bottom>
      </border>
    </dxf>
  </rfmt>
  <rfmt sheetId="2" sqref="EY10" start="0" length="0">
    <dxf>
      <alignment horizontal="center" vertical="top" readingOrder="0"/>
      <border outline="0">
        <left style="thin">
          <color indexed="64"/>
        </left>
        <right style="thin">
          <color indexed="64"/>
        </right>
        <top style="thin">
          <color indexed="64"/>
        </top>
        <bottom style="thin">
          <color indexed="64"/>
        </bottom>
      </border>
    </dxf>
  </rfmt>
  <rfmt sheetId="2" sqref="EZ10" start="0" length="0">
    <dxf>
      <alignment horizontal="center" vertical="top" readingOrder="0"/>
      <border outline="0">
        <left style="thin">
          <color indexed="64"/>
        </left>
        <right style="thin">
          <color indexed="64"/>
        </right>
        <top style="thin">
          <color indexed="64"/>
        </top>
        <bottom style="thin">
          <color indexed="64"/>
        </bottom>
      </border>
    </dxf>
  </rfmt>
  <rfmt sheetId="2" sqref="FA10" start="0" length="0">
    <dxf>
      <alignment horizontal="center" vertical="top" readingOrder="0"/>
      <border outline="0">
        <left style="thin">
          <color indexed="64"/>
        </left>
        <right style="thin">
          <color indexed="64"/>
        </right>
        <top style="thin">
          <color indexed="64"/>
        </top>
        <bottom style="thin">
          <color indexed="64"/>
        </bottom>
      </border>
    </dxf>
  </rfmt>
  <rfmt sheetId="2" sqref="FB10" start="0" length="0">
    <dxf>
      <alignment horizontal="center" vertical="top" readingOrder="0"/>
      <border outline="0">
        <left style="thin">
          <color indexed="64"/>
        </left>
        <right style="thin">
          <color indexed="64"/>
        </right>
        <top style="thin">
          <color indexed="64"/>
        </top>
        <bottom style="thin">
          <color indexed="64"/>
        </bottom>
      </border>
    </dxf>
  </rfmt>
  <rfmt sheetId="2" sqref="FC10" start="0" length="0">
    <dxf>
      <alignment horizontal="center" vertical="top" readingOrder="0"/>
      <border outline="0">
        <left style="thin">
          <color indexed="64"/>
        </left>
        <right style="thin">
          <color indexed="64"/>
        </right>
        <top style="thin">
          <color indexed="64"/>
        </top>
        <bottom style="thin">
          <color indexed="64"/>
        </bottom>
      </border>
    </dxf>
  </rfmt>
  <rfmt sheetId="2" sqref="FD10" start="0" length="0">
    <dxf>
      <alignment horizontal="center" vertical="top" readingOrder="0"/>
      <border outline="0">
        <left style="thin">
          <color indexed="64"/>
        </left>
        <right style="thin">
          <color indexed="64"/>
        </right>
        <top style="thin">
          <color indexed="64"/>
        </top>
        <bottom style="thin">
          <color indexed="64"/>
        </bottom>
      </border>
    </dxf>
  </rfmt>
  <rfmt sheetId="2" sqref="FE10" start="0" length="0">
    <dxf>
      <alignment horizontal="center" vertical="top" readingOrder="0"/>
      <border outline="0">
        <left style="thin">
          <color indexed="64"/>
        </left>
        <right style="thin">
          <color indexed="64"/>
        </right>
        <top style="thin">
          <color indexed="64"/>
        </top>
        <bottom style="thin">
          <color indexed="64"/>
        </bottom>
      </border>
    </dxf>
  </rfmt>
  <rfmt sheetId="2" sqref="FF10" start="0" length="0">
    <dxf>
      <alignment horizontal="center" vertical="top" readingOrder="0"/>
      <border outline="0">
        <left style="thin">
          <color indexed="64"/>
        </left>
        <right style="thin">
          <color indexed="64"/>
        </right>
        <top style="thin">
          <color indexed="64"/>
        </top>
        <bottom style="thin">
          <color indexed="64"/>
        </bottom>
      </border>
    </dxf>
  </rfmt>
  <rfmt sheetId="2" sqref="FG10" start="0" length="0">
    <dxf>
      <alignment horizontal="center" vertical="top" readingOrder="0"/>
      <border outline="0">
        <left style="thin">
          <color indexed="64"/>
        </left>
        <right style="thin">
          <color indexed="64"/>
        </right>
        <top style="thin">
          <color indexed="64"/>
        </top>
        <bottom style="thin">
          <color indexed="64"/>
        </bottom>
      </border>
    </dxf>
  </rfmt>
  <rfmt sheetId="2" sqref="FH10" start="0" length="0">
    <dxf>
      <alignment horizontal="center" vertical="top" readingOrder="0"/>
      <border outline="0">
        <left style="thin">
          <color indexed="64"/>
        </left>
        <right style="thin">
          <color indexed="64"/>
        </right>
        <top style="thin">
          <color indexed="64"/>
        </top>
        <bottom style="thin">
          <color indexed="64"/>
        </bottom>
      </border>
    </dxf>
  </rfmt>
  <rfmt sheetId="2" sqref="FI10" start="0" length="0">
    <dxf>
      <alignment horizontal="center" vertical="top" readingOrder="0"/>
      <border outline="0">
        <left style="thin">
          <color indexed="64"/>
        </left>
        <right style="thin">
          <color indexed="64"/>
        </right>
        <top style="thin">
          <color indexed="64"/>
        </top>
        <bottom style="thin">
          <color indexed="64"/>
        </bottom>
      </border>
    </dxf>
  </rfmt>
  <rfmt sheetId="2" sqref="FJ10" start="0" length="0">
    <dxf>
      <alignment horizontal="center" vertical="top" readingOrder="0"/>
      <border outline="0">
        <left style="thin">
          <color indexed="64"/>
        </left>
        <right style="thin">
          <color indexed="64"/>
        </right>
        <top style="thin">
          <color indexed="64"/>
        </top>
        <bottom style="thin">
          <color indexed="64"/>
        </bottom>
      </border>
    </dxf>
  </rfmt>
  <rfmt sheetId="2" sqref="FK10" start="0" length="0">
    <dxf>
      <alignment horizontal="center" vertical="top" readingOrder="0"/>
      <border outline="0">
        <left style="thin">
          <color indexed="64"/>
        </left>
        <right style="thin">
          <color indexed="64"/>
        </right>
        <top style="thin">
          <color indexed="64"/>
        </top>
        <bottom style="thin">
          <color indexed="64"/>
        </bottom>
      </border>
    </dxf>
  </rfmt>
  <rfmt sheetId="2" sqref="FL10" start="0" length="0">
    <dxf>
      <alignment horizontal="center" vertical="top" readingOrder="0"/>
      <border outline="0">
        <left style="thin">
          <color indexed="64"/>
        </left>
        <right style="thin">
          <color indexed="64"/>
        </right>
        <top style="thin">
          <color indexed="64"/>
        </top>
        <bottom style="thin">
          <color indexed="64"/>
        </bottom>
      </border>
    </dxf>
  </rfmt>
  <rfmt sheetId="2" sqref="FM10" start="0" length="0">
    <dxf>
      <alignment horizontal="center" vertical="top" readingOrder="0"/>
      <border outline="0">
        <left style="thin">
          <color indexed="64"/>
        </left>
        <right style="thin">
          <color indexed="64"/>
        </right>
        <top style="thin">
          <color indexed="64"/>
        </top>
        <bottom style="thin">
          <color indexed="64"/>
        </bottom>
      </border>
    </dxf>
  </rfmt>
  <rfmt sheetId="2" sqref="FN10" start="0" length="0">
    <dxf>
      <alignment horizontal="center" vertical="top" readingOrder="0"/>
      <border outline="0">
        <left style="thin">
          <color indexed="64"/>
        </left>
        <right style="thin">
          <color indexed="64"/>
        </right>
        <top style="thin">
          <color indexed="64"/>
        </top>
        <bottom style="thin">
          <color indexed="64"/>
        </bottom>
      </border>
    </dxf>
  </rfmt>
  <rfmt sheetId="2" sqref="FO10" start="0" length="0">
    <dxf>
      <alignment horizontal="center" vertical="top" readingOrder="0"/>
      <border outline="0">
        <left style="thin">
          <color indexed="64"/>
        </left>
        <right style="thin">
          <color indexed="64"/>
        </right>
        <top style="thin">
          <color indexed="64"/>
        </top>
        <bottom style="thin">
          <color indexed="64"/>
        </bottom>
      </border>
    </dxf>
  </rfmt>
  <rfmt sheetId="2" sqref="FP10" start="0" length="0">
    <dxf>
      <alignment horizontal="center" vertical="top" readingOrder="0"/>
      <border outline="0">
        <left style="thin">
          <color indexed="64"/>
        </left>
        <right style="thin">
          <color indexed="64"/>
        </right>
        <top style="thin">
          <color indexed="64"/>
        </top>
        <bottom style="thin">
          <color indexed="64"/>
        </bottom>
      </border>
    </dxf>
  </rfmt>
  <rfmt sheetId="2" sqref="FQ10" start="0" length="0">
    <dxf>
      <alignment horizontal="center" vertical="top" readingOrder="0"/>
      <border outline="0">
        <left style="thin">
          <color indexed="64"/>
        </left>
        <right style="thin">
          <color indexed="64"/>
        </right>
        <top style="thin">
          <color indexed="64"/>
        </top>
        <bottom style="thin">
          <color indexed="64"/>
        </bottom>
      </border>
    </dxf>
  </rfmt>
  <rfmt sheetId="2" sqref="FR10" start="0" length="0">
    <dxf>
      <alignment horizontal="center" vertical="top" readingOrder="0"/>
      <border outline="0">
        <left style="thin">
          <color indexed="64"/>
        </left>
        <right style="thin">
          <color indexed="64"/>
        </right>
        <top style="thin">
          <color indexed="64"/>
        </top>
        <bottom style="thin">
          <color indexed="64"/>
        </bottom>
      </border>
    </dxf>
  </rfmt>
  <rfmt sheetId="2" sqref="FS10" start="0" length="0">
    <dxf>
      <alignment horizontal="center" vertical="top" readingOrder="0"/>
      <border outline="0">
        <left style="thin">
          <color indexed="64"/>
        </left>
        <right style="thin">
          <color indexed="64"/>
        </right>
        <top style="thin">
          <color indexed="64"/>
        </top>
        <bottom style="thin">
          <color indexed="64"/>
        </bottom>
      </border>
    </dxf>
  </rfmt>
  <rfmt sheetId="2" sqref="FT10" start="0" length="0">
    <dxf>
      <alignment horizontal="center" vertical="top" readingOrder="0"/>
      <border outline="0">
        <left style="thin">
          <color indexed="64"/>
        </left>
        <right style="mediumDashed">
          <color indexed="64"/>
        </right>
        <top style="thin">
          <color indexed="64"/>
        </top>
        <bottom style="thin">
          <color indexed="64"/>
        </bottom>
      </border>
    </dxf>
  </rfmt>
  <rfmt sheetId="2" sqref="FU10" start="0" length="0">
    <dxf>
      <alignment horizontal="center" vertical="top" readingOrder="0"/>
      <border outline="0">
        <top style="thin">
          <color indexed="64"/>
        </top>
        <bottom style="thin">
          <color indexed="64"/>
        </bottom>
      </border>
    </dxf>
  </rfmt>
  <rfmt sheetId="2" sqref="FV10" start="0" length="0">
    <dxf>
      <alignment horizontal="center" vertical="top" readingOrder="0"/>
      <border outline="0">
        <top style="thin">
          <color indexed="64"/>
        </top>
        <bottom style="thin">
          <color indexed="64"/>
        </bottom>
      </border>
    </dxf>
  </rfmt>
  <rfmt sheetId="2" sqref="FW10" start="0" length="0">
    <dxf>
      <alignment horizontal="center" vertical="top" readingOrder="0"/>
      <border outline="0">
        <top style="thin">
          <color indexed="64"/>
        </top>
        <bottom style="thin">
          <color indexed="64"/>
        </bottom>
      </border>
    </dxf>
  </rfmt>
  <rfmt sheetId="2" sqref="FX10" start="0" length="0">
    <dxf>
      <alignment horizontal="center" vertical="top" readingOrder="0"/>
      <border outline="0">
        <top style="thin">
          <color indexed="64"/>
        </top>
        <bottom style="thin">
          <color indexed="64"/>
        </bottom>
      </border>
    </dxf>
  </rfmt>
  <rfmt sheetId="2" sqref="FY10" start="0" length="0">
    <dxf>
      <alignment horizontal="center" vertical="top" readingOrder="0"/>
      <border outline="0">
        <top style="thin">
          <color indexed="64"/>
        </top>
        <bottom style="thin">
          <color indexed="64"/>
        </bottom>
      </border>
    </dxf>
  </rfmt>
  <rfmt sheetId="2" sqref="FZ10" start="0" length="0">
    <dxf>
      <alignment horizontal="center" vertical="top" readingOrder="0"/>
      <border outline="0">
        <top style="thin">
          <color indexed="64"/>
        </top>
        <bottom style="thin">
          <color indexed="64"/>
        </bottom>
      </border>
    </dxf>
  </rfmt>
  <rfmt sheetId="2" sqref="GA10" start="0" length="0">
    <dxf>
      <alignment horizontal="center" vertical="top" readingOrder="0"/>
      <border outline="0">
        <top style="thin">
          <color indexed="64"/>
        </top>
        <bottom style="thin">
          <color indexed="64"/>
        </bottom>
      </border>
    </dxf>
  </rfmt>
  <rfmt sheetId="2" sqref="GB10" start="0" length="0">
    <dxf>
      <alignment horizontal="center" vertical="top" readingOrder="0"/>
      <border outline="0">
        <top style="thin">
          <color indexed="64"/>
        </top>
        <bottom style="thin">
          <color indexed="64"/>
        </bottom>
      </border>
    </dxf>
  </rfmt>
  <rfmt sheetId="2" sqref="GC10" start="0" length="0">
    <dxf>
      <alignment horizontal="center" vertical="top" readingOrder="0"/>
      <border outline="0">
        <top style="thin">
          <color indexed="64"/>
        </top>
        <bottom style="thin">
          <color indexed="64"/>
        </bottom>
      </border>
    </dxf>
  </rfmt>
  <rfmt sheetId="2" sqref="GD10" start="0" length="0">
    <dxf>
      <alignment horizontal="center" vertical="top" readingOrder="0"/>
      <border outline="0">
        <top style="thin">
          <color indexed="64"/>
        </top>
        <bottom style="thin">
          <color indexed="64"/>
        </bottom>
      </border>
    </dxf>
  </rfmt>
  <rfmt sheetId="2" sqref="GE10" start="0" length="0">
    <dxf>
      <alignment horizontal="center" vertical="top" readingOrder="0"/>
      <border outline="0">
        <top style="thin">
          <color indexed="64"/>
        </top>
        <bottom style="thin">
          <color indexed="64"/>
        </bottom>
      </border>
    </dxf>
  </rfmt>
  <rfmt sheetId="2" sqref="GF10" start="0" length="0">
    <dxf>
      <alignment horizontal="center" vertical="top" readingOrder="0"/>
      <border outline="0">
        <top style="thin">
          <color indexed="64"/>
        </top>
        <bottom style="thin">
          <color indexed="64"/>
        </bottom>
      </border>
    </dxf>
  </rfmt>
  <rfmt sheetId="2" sqref="GG10" start="0" length="0">
    <dxf>
      <alignment horizontal="center" vertical="top" readingOrder="0"/>
      <border outline="0">
        <top style="thin">
          <color indexed="64"/>
        </top>
        <bottom style="thin">
          <color indexed="64"/>
        </bottom>
      </border>
    </dxf>
  </rfmt>
  <rfmt sheetId="2" sqref="GH10" start="0" length="0">
    <dxf>
      <alignment horizontal="center" vertical="top" readingOrder="0"/>
      <border outline="0">
        <top style="thin">
          <color indexed="64"/>
        </top>
        <bottom style="thin">
          <color indexed="64"/>
        </bottom>
      </border>
    </dxf>
  </rfmt>
  <rfmt sheetId="2" sqref="GI10" start="0" length="0">
    <dxf>
      <alignment horizontal="center" vertical="top" readingOrder="0"/>
      <border outline="0">
        <right style="medium">
          <color auto="1"/>
        </right>
        <top style="thin">
          <color indexed="64"/>
        </top>
        <bottom style="thin">
          <color indexed="64"/>
        </bottom>
      </border>
    </dxf>
  </rfmt>
  <rfmt sheetId="2" sqref="GJ10" start="0" length="0">
    <dxf>
      <alignment horizontal="center" vertical="top" readingOrder="0"/>
      <border outline="0">
        <right style="thin">
          <color indexed="64"/>
        </right>
        <top style="thin">
          <color indexed="64"/>
        </top>
        <bottom style="thin">
          <color indexed="64"/>
        </bottom>
      </border>
    </dxf>
  </rfmt>
  <rfmt sheetId="2" sqref="GK10" start="0" length="0">
    <dxf>
      <alignment horizontal="center" vertical="top" readingOrder="0"/>
      <border outline="0">
        <left style="thin">
          <color indexed="64"/>
        </left>
        <right style="thin">
          <color indexed="64"/>
        </right>
        <top style="thin">
          <color indexed="64"/>
        </top>
        <bottom style="thin">
          <color indexed="64"/>
        </bottom>
      </border>
    </dxf>
  </rfmt>
  <rfmt sheetId="2" sqref="GL10" start="0" length="0">
    <dxf>
      <alignment horizontal="center" vertical="top" readingOrder="0"/>
      <border outline="0">
        <left style="thin">
          <color indexed="64"/>
        </left>
        <right style="thin">
          <color indexed="64"/>
        </right>
        <top style="thin">
          <color indexed="64"/>
        </top>
        <bottom style="thin">
          <color indexed="64"/>
        </bottom>
      </border>
    </dxf>
  </rfmt>
  <rfmt sheetId="2" sqref="GM10" start="0" length="0">
    <dxf>
      <alignment horizontal="center" vertical="top" readingOrder="0"/>
      <border outline="0">
        <left style="thin">
          <color indexed="64"/>
        </left>
        <right style="thin">
          <color indexed="64"/>
        </right>
        <top style="thin">
          <color indexed="64"/>
        </top>
        <bottom style="thin">
          <color indexed="64"/>
        </bottom>
      </border>
    </dxf>
  </rfmt>
  <rfmt sheetId="2" sqref="GN10" start="0" length="0">
    <dxf>
      <alignment horizontal="center" vertical="top" readingOrder="0"/>
      <border outline="0">
        <left style="thin">
          <color indexed="64"/>
        </left>
        <right style="thin">
          <color indexed="64"/>
        </right>
        <top style="thin">
          <color indexed="64"/>
        </top>
        <bottom style="thin">
          <color indexed="64"/>
        </bottom>
      </border>
    </dxf>
  </rfmt>
  <rfmt sheetId="2" sqref="GO10" start="0" length="0">
    <dxf>
      <alignment horizontal="center" vertical="top" readingOrder="0"/>
      <border outline="0">
        <left style="thin">
          <color indexed="64"/>
        </left>
        <right style="thin">
          <color indexed="64"/>
        </right>
        <top style="thin">
          <color indexed="64"/>
        </top>
        <bottom style="thin">
          <color indexed="64"/>
        </bottom>
      </border>
    </dxf>
  </rfmt>
  <rfmt sheetId="2" sqref="GP10" start="0" length="0">
    <dxf>
      <alignment horizontal="center" vertical="top" readingOrder="0"/>
      <border outline="0">
        <left style="thin">
          <color indexed="64"/>
        </left>
        <right style="thin">
          <color indexed="64"/>
        </right>
        <top style="thin">
          <color indexed="64"/>
        </top>
        <bottom style="thin">
          <color indexed="64"/>
        </bottom>
      </border>
    </dxf>
  </rfmt>
  <rfmt sheetId="2" sqref="GQ10" start="0" length="0">
    <dxf>
      <alignment horizontal="center" vertical="top" readingOrder="0"/>
      <border outline="0">
        <left style="thin">
          <color indexed="64"/>
        </left>
        <right style="thin">
          <color indexed="64"/>
        </right>
        <top style="thin">
          <color indexed="64"/>
        </top>
        <bottom style="thin">
          <color indexed="64"/>
        </bottom>
      </border>
    </dxf>
  </rfmt>
  <rfmt sheetId="2" sqref="GR10" start="0" length="0">
    <dxf>
      <alignment horizontal="center" vertical="top" readingOrder="0"/>
      <border outline="0">
        <left style="thin">
          <color indexed="64"/>
        </left>
        <right style="thin">
          <color indexed="64"/>
        </right>
        <top style="thin">
          <color indexed="64"/>
        </top>
        <bottom style="thin">
          <color indexed="64"/>
        </bottom>
      </border>
    </dxf>
  </rfmt>
  <rfmt sheetId="2" sqref="GS10" start="0" length="0">
    <dxf>
      <alignment horizontal="center" vertical="top" readingOrder="0"/>
      <border outline="0">
        <left style="thin">
          <color indexed="64"/>
        </left>
        <right style="thin">
          <color indexed="64"/>
        </right>
        <top style="thin">
          <color indexed="64"/>
        </top>
        <bottom style="thin">
          <color indexed="64"/>
        </bottom>
      </border>
    </dxf>
  </rfmt>
  <rfmt sheetId="2" sqref="GT10" start="0" length="0">
    <dxf>
      <alignment horizontal="center" vertical="top" readingOrder="0"/>
      <border outline="0">
        <left style="thin">
          <color indexed="64"/>
        </left>
        <right style="thin">
          <color indexed="64"/>
        </right>
        <top style="thin">
          <color indexed="64"/>
        </top>
        <bottom style="thin">
          <color indexed="64"/>
        </bottom>
      </border>
    </dxf>
  </rfmt>
  <rfmt sheetId="2" sqref="GU10" start="0" length="0">
    <dxf>
      <alignment horizontal="center" vertical="top" readingOrder="0"/>
      <border outline="0">
        <left style="thin">
          <color indexed="64"/>
        </left>
        <right style="thin">
          <color indexed="64"/>
        </right>
        <top style="thin">
          <color indexed="64"/>
        </top>
        <bottom style="thin">
          <color indexed="64"/>
        </bottom>
      </border>
    </dxf>
  </rfmt>
  <rfmt sheetId="2" sqref="GV10" start="0" length="0">
    <dxf>
      <alignment horizontal="center" vertical="top" readingOrder="0"/>
      <border outline="0">
        <left style="thin">
          <color indexed="64"/>
        </left>
        <right style="thin">
          <color indexed="64"/>
        </right>
        <top style="thin">
          <color indexed="64"/>
        </top>
        <bottom style="thin">
          <color indexed="64"/>
        </bottom>
      </border>
    </dxf>
  </rfmt>
  <rfmt sheetId="2" sqref="GW10" start="0" length="0">
    <dxf>
      <alignment horizontal="center" vertical="top" readingOrder="0"/>
      <border outline="0">
        <left style="thin">
          <color indexed="64"/>
        </left>
        <right style="thin">
          <color indexed="64"/>
        </right>
        <top style="thin">
          <color indexed="64"/>
        </top>
        <bottom style="thin">
          <color indexed="64"/>
        </bottom>
      </border>
    </dxf>
  </rfmt>
  <rfmt sheetId="2" sqref="GX10" start="0" length="0">
    <dxf>
      <alignment horizontal="center" vertical="top" readingOrder="0"/>
      <border outline="0">
        <left style="thin">
          <color indexed="64"/>
        </left>
        <right style="thin">
          <color indexed="64"/>
        </right>
        <top style="thin">
          <color indexed="64"/>
        </top>
        <bottom style="thin">
          <color indexed="64"/>
        </bottom>
      </border>
    </dxf>
  </rfmt>
  <rfmt sheetId="2" sqref="GY10" start="0" length="0">
    <dxf>
      <alignment horizontal="center" vertical="top" readingOrder="0"/>
      <border outline="0">
        <left style="thin">
          <color indexed="64"/>
        </left>
        <right style="thin">
          <color indexed="64"/>
        </right>
        <top style="thin">
          <color indexed="64"/>
        </top>
        <bottom style="thin">
          <color indexed="64"/>
        </bottom>
      </border>
    </dxf>
  </rfmt>
  <rfmt sheetId="2" sqref="GZ10" start="0" length="0">
    <dxf>
      <alignment horizontal="center" vertical="top" readingOrder="0"/>
      <border outline="0">
        <left style="thin">
          <color indexed="64"/>
        </left>
        <right style="thin">
          <color indexed="64"/>
        </right>
        <top style="thin">
          <color indexed="64"/>
        </top>
        <bottom style="thin">
          <color indexed="64"/>
        </bottom>
      </border>
    </dxf>
  </rfmt>
  <rfmt sheetId="2" sqref="HA10" start="0" length="0">
    <dxf>
      <alignment horizontal="center" vertical="top" readingOrder="0"/>
      <border outline="0">
        <left style="thin">
          <color indexed="64"/>
        </left>
        <right style="thin">
          <color indexed="64"/>
        </right>
        <top style="thin">
          <color indexed="64"/>
        </top>
        <bottom style="thin">
          <color indexed="64"/>
        </bottom>
      </border>
    </dxf>
  </rfmt>
  <rfmt sheetId="2" sqref="HB10" start="0" length="0">
    <dxf>
      <alignment horizontal="center" vertical="top" readingOrder="0"/>
      <border outline="0">
        <left style="thin">
          <color indexed="64"/>
        </left>
        <right style="thin">
          <color indexed="64"/>
        </right>
        <top style="thin">
          <color indexed="64"/>
        </top>
        <bottom style="thin">
          <color indexed="64"/>
        </bottom>
      </border>
    </dxf>
  </rfmt>
  <rfmt sheetId="2" sqref="HC10" start="0" length="0">
    <dxf>
      <alignment horizontal="center" vertical="top" readingOrder="0"/>
      <border outline="0">
        <left style="thin">
          <color indexed="64"/>
        </left>
        <right style="thin">
          <color indexed="64"/>
        </right>
        <top style="thin">
          <color indexed="64"/>
        </top>
        <bottom style="thin">
          <color indexed="64"/>
        </bottom>
      </border>
    </dxf>
  </rfmt>
  <rfmt sheetId="2" sqref="HD10" start="0" length="0">
    <dxf>
      <alignment horizontal="center" vertical="top" readingOrder="0"/>
      <border outline="0">
        <left style="thin">
          <color indexed="64"/>
        </left>
        <right style="thin">
          <color indexed="64"/>
        </right>
        <top style="thin">
          <color indexed="64"/>
        </top>
        <bottom style="thin">
          <color indexed="64"/>
        </bottom>
      </border>
    </dxf>
  </rfmt>
  <rfmt sheetId="2" sqref="HE10" start="0" length="0">
    <dxf>
      <alignment horizontal="center" vertical="top" readingOrder="0"/>
      <border outline="0">
        <left style="thin">
          <color indexed="64"/>
        </left>
        <right style="thin">
          <color indexed="64"/>
        </right>
        <top style="thin">
          <color indexed="64"/>
        </top>
        <bottom style="thin">
          <color indexed="64"/>
        </bottom>
      </border>
    </dxf>
  </rfmt>
  <rfmt sheetId="2" sqref="HF10" start="0" length="0">
    <dxf>
      <alignment horizontal="center" vertical="top" readingOrder="0"/>
      <border outline="0">
        <left style="thin">
          <color indexed="64"/>
        </left>
        <right style="thin">
          <color indexed="64"/>
        </right>
        <top style="thin">
          <color indexed="64"/>
        </top>
        <bottom style="thin">
          <color indexed="64"/>
        </bottom>
      </border>
    </dxf>
  </rfmt>
  <rfmt sheetId="2" sqref="HG10" start="0" length="0">
    <dxf>
      <alignment horizontal="center" vertical="top" readingOrder="0"/>
      <border outline="0">
        <left style="thin">
          <color indexed="64"/>
        </left>
        <right style="thin">
          <color indexed="64"/>
        </right>
        <top style="thin">
          <color indexed="64"/>
        </top>
        <bottom style="thin">
          <color indexed="64"/>
        </bottom>
      </border>
    </dxf>
  </rfmt>
  <rfmt sheetId="2" sqref="HH10" start="0" length="0">
    <dxf>
      <alignment horizontal="center" vertical="top" readingOrder="0"/>
      <border outline="0">
        <left style="thin">
          <color indexed="64"/>
        </left>
        <right style="thin">
          <color indexed="64"/>
        </right>
        <top style="thin">
          <color indexed="64"/>
        </top>
        <bottom style="thin">
          <color indexed="64"/>
        </bottom>
      </border>
    </dxf>
  </rfmt>
  <rfmt sheetId="2" sqref="HI10" start="0" length="0">
    <dxf>
      <alignment horizontal="center" vertical="top" readingOrder="0"/>
      <border outline="0">
        <left style="thin">
          <color indexed="64"/>
        </left>
        <right style="thin">
          <color indexed="64"/>
        </right>
        <top style="thin">
          <color indexed="64"/>
        </top>
        <bottom style="thin">
          <color indexed="64"/>
        </bottom>
      </border>
    </dxf>
  </rfmt>
  <rfmt sheetId="2" sqref="HJ10" start="0" length="0">
    <dxf>
      <alignment horizontal="center" vertical="top" readingOrder="0"/>
      <border outline="0">
        <left style="thin">
          <color indexed="64"/>
        </left>
        <right style="thin">
          <color indexed="64"/>
        </right>
        <top style="thin">
          <color indexed="64"/>
        </top>
        <bottom style="thin">
          <color indexed="64"/>
        </bottom>
      </border>
    </dxf>
  </rfmt>
  <rfmt sheetId="2" sqref="HK10" start="0" length="0">
    <dxf>
      <alignment horizontal="center" vertical="top" readingOrder="0"/>
      <border outline="0">
        <left style="thin">
          <color indexed="64"/>
        </left>
        <right style="thin">
          <color indexed="64"/>
        </right>
        <top style="thin">
          <color indexed="64"/>
        </top>
        <bottom style="thin">
          <color indexed="64"/>
        </bottom>
      </border>
    </dxf>
  </rfmt>
  <rfmt sheetId="2" sqref="HL10" start="0" length="0">
    <dxf>
      <alignment horizontal="center" vertical="top" readingOrder="0"/>
      <border outline="0">
        <left style="thin">
          <color indexed="64"/>
        </left>
        <right style="thin">
          <color indexed="64"/>
        </right>
        <top style="thin">
          <color indexed="64"/>
        </top>
        <bottom style="thin">
          <color indexed="64"/>
        </bottom>
      </border>
    </dxf>
  </rfmt>
  <rfmt sheetId="2" sqref="HM10" start="0" length="0">
    <dxf>
      <alignment horizontal="center" vertical="top" readingOrder="0"/>
      <border outline="0">
        <left style="thin">
          <color indexed="64"/>
        </left>
        <right style="thin">
          <color indexed="64"/>
        </right>
        <top style="thin">
          <color indexed="64"/>
        </top>
        <bottom style="thin">
          <color indexed="64"/>
        </bottom>
      </border>
    </dxf>
  </rfmt>
  <rfmt sheetId="2" sqref="HN10" start="0" length="0">
    <dxf>
      <alignment horizontal="center" vertical="top" readingOrder="0"/>
      <border outline="0">
        <left style="thin">
          <color indexed="64"/>
        </left>
        <right style="thin">
          <color indexed="64"/>
        </right>
        <top style="thin">
          <color indexed="64"/>
        </top>
        <bottom style="thin">
          <color indexed="64"/>
        </bottom>
      </border>
    </dxf>
  </rfmt>
  <rfmt sheetId="2" sqref="HO10" start="0" length="0">
    <dxf>
      <alignment horizontal="center" vertical="top" readingOrder="0"/>
      <border outline="0">
        <left style="thin">
          <color indexed="64"/>
        </left>
        <right style="thin">
          <color indexed="64"/>
        </right>
        <top style="thin">
          <color indexed="64"/>
        </top>
        <bottom style="thin">
          <color indexed="64"/>
        </bottom>
      </border>
    </dxf>
  </rfmt>
  <rfmt sheetId="2" sqref="HP10" start="0" length="0">
    <dxf>
      <alignment horizontal="center" vertical="top" readingOrder="0"/>
      <border outline="0">
        <left style="thin">
          <color indexed="64"/>
        </left>
        <right style="double">
          <color indexed="64"/>
        </right>
        <top style="thin">
          <color indexed="64"/>
        </top>
        <bottom style="thin">
          <color indexed="64"/>
        </bottom>
      </border>
    </dxf>
  </rfmt>
  <rfmt sheetId="2" sqref="HQ10" start="0" length="0">
    <dxf>
      <alignment horizontal="center" vertical="top" readingOrder="0"/>
      <border outline="0">
        <top style="thin">
          <color indexed="64"/>
        </top>
        <bottom style="thin">
          <color indexed="64"/>
        </bottom>
      </border>
    </dxf>
  </rfmt>
  <rfmt sheetId="2" sqref="HR10" start="0" length="0">
    <dxf>
      <alignment horizontal="center" vertical="top" readingOrder="0"/>
      <border outline="0">
        <top style="thin">
          <color indexed="64"/>
        </top>
        <bottom style="thin">
          <color indexed="64"/>
        </bottom>
      </border>
    </dxf>
  </rfmt>
  <rfmt sheetId="2" sqref="HS10" start="0" length="0">
    <dxf>
      <alignment horizontal="center" vertical="top" readingOrder="0"/>
      <border outline="0">
        <top style="thin">
          <color indexed="64"/>
        </top>
        <bottom style="thin">
          <color indexed="64"/>
        </bottom>
      </border>
    </dxf>
  </rfmt>
  <rfmt sheetId="2" sqref="HT10" start="0" length="0">
    <dxf>
      <alignment horizontal="center" vertical="top" readingOrder="0"/>
      <border outline="0">
        <top style="thin">
          <color indexed="64"/>
        </top>
        <bottom style="thin">
          <color indexed="64"/>
        </bottom>
      </border>
    </dxf>
  </rfmt>
  <rfmt sheetId="2" sqref="HU10" start="0" length="0">
    <dxf>
      <alignment horizontal="center" vertical="top" readingOrder="0"/>
      <border outline="0">
        <top style="thin">
          <color indexed="64"/>
        </top>
        <bottom style="thin">
          <color indexed="64"/>
        </bottom>
      </border>
    </dxf>
  </rfmt>
  <rfmt sheetId="2" sqref="HV10" start="0" length="0">
    <dxf>
      <alignment horizontal="center" vertical="top" readingOrder="0"/>
      <border outline="0">
        <top style="thin">
          <color indexed="64"/>
        </top>
        <bottom style="thin">
          <color indexed="64"/>
        </bottom>
      </border>
    </dxf>
  </rfmt>
  <rfmt sheetId="2" sqref="HW10" start="0" length="0">
    <dxf>
      <alignment horizontal="center" vertical="top" readingOrder="0"/>
      <border outline="0">
        <top style="thin">
          <color indexed="64"/>
        </top>
        <bottom style="thin">
          <color indexed="64"/>
        </bottom>
      </border>
    </dxf>
  </rfmt>
  <rfmt sheetId="2" sqref="HX10" start="0" length="0">
    <dxf>
      <alignment horizontal="center" vertical="top" readingOrder="0"/>
      <border outline="0">
        <top style="thin">
          <color indexed="64"/>
        </top>
        <bottom style="thin">
          <color indexed="64"/>
        </bottom>
      </border>
    </dxf>
  </rfmt>
  <rfmt sheetId="2" sqref="HY10" start="0" length="0">
    <dxf>
      <alignment horizontal="center" vertical="top" readingOrder="0"/>
      <border outline="0">
        <top style="thin">
          <color indexed="64"/>
        </top>
        <bottom style="thin">
          <color indexed="64"/>
        </bottom>
      </border>
    </dxf>
  </rfmt>
  <rfmt sheetId="2" sqref="HZ10" start="0" length="0">
    <dxf>
      <alignment horizontal="center" vertical="top" readingOrder="0"/>
      <border outline="0">
        <top style="thin">
          <color indexed="64"/>
        </top>
        <bottom style="thin">
          <color indexed="64"/>
        </bottom>
      </border>
    </dxf>
  </rfmt>
  <rfmt sheetId="2" sqref="IA10" start="0" length="0">
    <dxf>
      <alignment horizontal="center" vertical="top" readingOrder="0"/>
      <border outline="0">
        <top style="thin">
          <color indexed="64"/>
        </top>
        <bottom style="thin">
          <color indexed="64"/>
        </bottom>
      </border>
    </dxf>
  </rfmt>
  <rfmt sheetId="2" sqref="IB10" start="0" length="0">
    <dxf>
      <alignment horizontal="center" vertical="top" readingOrder="0"/>
      <border outline="0">
        <top style="thin">
          <color indexed="64"/>
        </top>
        <bottom style="thin">
          <color indexed="64"/>
        </bottom>
      </border>
    </dxf>
  </rfmt>
  <rfmt sheetId="2" sqref="IC10" start="0" length="0">
    <dxf>
      <alignment horizontal="center" vertical="top" readingOrder="0"/>
      <border outline="0">
        <top style="thin">
          <color indexed="64"/>
        </top>
        <bottom style="thin">
          <color indexed="64"/>
        </bottom>
      </border>
    </dxf>
  </rfmt>
  <rfmt sheetId="2" sqref="ID10" start="0" length="0">
    <dxf>
      <alignment horizontal="center" vertical="top" readingOrder="0"/>
      <border outline="0">
        <top style="thin">
          <color indexed="64"/>
        </top>
        <bottom style="thin">
          <color indexed="64"/>
        </bottom>
      </border>
    </dxf>
  </rfmt>
  <rfmt sheetId="2" sqref="IE10" start="0" length="0">
    <dxf>
      <alignment horizontal="center" vertical="top" readingOrder="0"/>
      <border outline="0">
        <right style="mediumDashed">
          <color auto="1"/>
        </right>
        <top style="thin">
          <color indexed="64"/>
        </top>
        <bottom style="thin">
          <color indexed="64"/>
        </bottom>
      </border>
    </dxf>
  </rfmt>
  <rcc rId="1453" sId="2" odxf="1" dxf="1">
    <nc r="IF10">
      <f>IF(ISNUMBER(GJ10),GJ10,IF(ISNUMBER(EN10),EN10,""))</f>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1454" sId="2" odxf="1" dxf="1">
    <nc r="IG10">
      <f>IF(ISNUMBER(GK10),GK10,IF(ISNUMBER(EO10),EO10,""))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55" sId="2" odxf="1" dxf="1">
    <nc r="IH10">
      <f>IF(ISNUMBER(GL10),GL10,IF(ISNUMBER(EP10),EP10,""))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56" sId="2" odxf="1" dxf="1">
    <nc r="II10">
      <f>IF(ISNUMBER(GM10),GM10,IF(ISNUMBER(EQ10),EQ10,""))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57" sId="2" odxf="1" dxf="1">
    <nc r="IJ10">
      <f>IF(ISNUMBER(GN10),GN10,IF(ISNUMBER(ER10),ER10,""))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58" sId="2" odxf="1" dxf="1">
    <nc r="IK10">
      <f>IF(ISNUMBER(GO10),GO10,IF(ISNUMBER(ES10),ES10,""))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59" sId="2" odxf="1" dxf="1">
    <nc r="IL10">
      <f>IF(ISNUMBER(GP10),GP10,IF(ISNUMBER(ET10),ET10,""))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60" sId="2" odxf="1" dxf="1">
    <nc r="IM10">
      <f>IF(ISNUMBER(GQ10),GQ10,IF(ISNUMBER(EU10),EU10,""))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61" sId="2" odxf="1" dxf="1">
    <nc r="IN10">
      <f>IF(ISNUMBER(GR10),GR10,IF(ISNUMBER(EV10),EV10,""))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62" sId="2" odxf="1" dxf="1">
    <nc r="IO10">
      <f>IF(ISNUMBER(GS10),GS10,IF(ISNUMBER(EW10),EW10,""))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63" sId="2" odxf="1" dxf="1">
    <nc r="IP10">
      <f>IF(ISNUMBER(GT10),GT10,IF(ISNUMBER(EX10),EX10,""))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64" sId="2" odxf="1" dxf="1">
    <nc r="IQ10">
      <f>IF(ISNUMBER(GU10),GU10,IF(ISNUMBER(EY10),EY10,""))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65" sId="2" odxf="1" dxf="1">
    <nc r="IR10">
      <f>IF(ISNUMBER(GV10),GV10,IF(ISNUMBER(EZ10),EZ10,""))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66" sId="2" odxf="1" dxf="1">
    <nc r="IS10">
      <f>IF(ISNUMBER(GW10),GW10,IF(ISNUMBER(FA10),FA10,""))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67" sId="2" odxf="1" dxf="1">
    <nc r="IT10">
      <f>IF(ISNUMBER(GX10),GX10,IF(ISNUMBER(FB10),FB10,""))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68" sId="2" odxf="1" dxf="1">
    <nc r="IU10">
      <f>IF(ISNUMBER(GY10),GY10,IF(ISNUMBER(FC10),FC10,""))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69" sId="2" odxf="1" dxf="1">
    <nc r="IV10">
      <f>IF(ISNUMBER(GZ10),GZ10,IF(ISNUMBER(FD10),FD10,""))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70" sId="2" odxf="1" dxf="1">
    <nc r="IW10">
      <f>IF(ISNUMBER(HA10),HA10,IF(ISNUMBER(FE10),FE10,""))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71" sId="2" odxf="1" dxf="1">
    <nc r="IX10">
      <f>IF(ISNUMBER(HB10),HB10,IF(ISNUMBER(FF10),FF10,""))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72" sId="2" odxf="1" dxf="1">
    <nc r="IY10">
      <f>IF(ISNUMBER(HC10),HC10,IF(ISNUMBER(FG10),FG10,""))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73" sId="2" odxf="1" dxf="1">
    <nc r="IZ10">
      <f>IF(ISNUMBER(HD10),HD10,IF(ISNUMBER(FH10),FH10,""))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74" sId="2" odxf="1" dxf="1">
    <nc r="JA10">
      <f>IF(ISNUMBER(HE10),HE10,IF(ISNUMBER(FI10),FI10,""))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75" sId="2" odxf="1" dxf="1">
    <nc r="JB10">
      <f>IF(ISNUMBER(HF10),HF10,IF(ISNUMBER(FJ10),FJ10,""))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76" sId="2" odxf="1" dxf="1">
    <nc r="JC10">
      <f>IF(ISNUMBER(HG10),HG10,IF(ISNUMBER(FK10),FK10,""))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77" sId="2" odxf="1" dxf="1">
    <nc r="JD10">
      <f>IF(ISNUMBER(HH10),HH10,IF(ISNUMBER(FL10),FL10,""))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78" sId="2" odxf="1" dxf="1">
    <nc r="JE10">
      <f>IF(ISNUMBER(HI10),HI10,IF(ISNUMBER(FM10),FM10,""))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79" sId="2" odxf="1" dxf="1">
    <nc r="JF10">
      <f>IF(ISNUMBER(HJ10),HJ10,IF(ISNUMBER(FN10),FN10,""))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80" sId="2" odxf="1" dxf="1">
    <nc r="JG10">
      <f>IF(ISNUMBER(HK10),HK10,IF(ISNUMBER(FO10),FO10,""))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81" sId="2" odxf="1" dxf="1">
    <nc r="JH10">
      <f>IF(ISNUMBER(HL10),HL10,IF(ISNUMBER(FP10),FP10,""))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82" sId="2" odxf="1" dxf="1">
    <nc r="JI10">
      <f>IF(ISNUMBER(HM10),HM10,IF(ISNUMBER(FQ10),FQ10,""))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83" sId="2" odxf="1" dxf="1">
    <nc r="JJ10">
      <f>IF(ISNUMBER(HN10),HN10,IF(ISNUMBER(FR10),FR10,""))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484" sId="2" odxf="1" dxf="1">
    <nc r="JK10">
      <f>IF(ISNUMBER(HO10),HO10,IF(ISNUMBER(FS10),FS10,""))</f>
    </nc>
    <odxf>
      <alignment horizontal="general" vertical="bottom" readingOrder="0"/>
      <border outline="0">
        <left/>
        <top/>
        <bottom/>
      </border>
    </odxf>
    <ndxf>
      <alignment horizontal="center" vertical="top" readingOrder="0"/>
      <border outline="0">
        <left style="thin">
          <color indexed="64"/>
        </left>
        <top style="thin">
          <color indexed="64"/>
        </top>
        <bottom style="thin">
          <color indexed="64"/>
        </bottom>
      </border>
    </ndxf>
  </rcc>
  <rcc rId="1485" sId="2" odxf="1" dxf="1">
    <nc r="JL10">
      <f>IF(ISNUMBER(HP10),HP10,IF(ISNUMBER(FT10),FT10,""))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86" sId="2" odxf="1" dxf="1">
    <nc r="JM10">
      <f>IF(ISNUMBER(HQ10),HQ10,IF(ISNUMBER(FU10),FU10,""))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87" sId="2" odxf="1" dxf="1">
    <nc r="JN10">
      <f>IF(ISNUMBER(HR10),HR10,IF(ISNUMBER(FV10),FV10,""))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88" sId="2" odxf="1" dxf="1">
    <nc r="JO10">
      <f>IF(ISNUMBER(HS10),HS10,IF(ISNUMBER(FW10),FW10,""))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89" sId="2" odxf="1" dxf="1">
    <nc r="JP10">
      <f>IF(ISNUMBER(HT10),HT10,IF(ISNUMBER(FX10),FX10,""))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90" sId="2" odxf="1" dxf="1">
    <nc r="JQ10">
      <f>IF(ISNUMBER(HU10),HU10,IF(ISNUMBER(FY10),FY10,""))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91" sId="2" odxf="1" dxf="1">
    <nc r="JR10">
      <f>IF(ISNUMBER(HV10),HV10,IF(ISNUMBER(FZ10),FZ10,""))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92" sId="2" odxf="1" dxf="1">
    <nc r="JS10">
      <f>IF(ISNUMBER(HW10),HW10,IF(ISNUMBER(GA10),GA10,""))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93" sId="2" odxf="1" dxf="1">
    <nc r="JT10">
      <f>IF(ISNUMBER(HX10),HX10,IF(ISNUMBER(GB10),GB10,""))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94" sId="2" odxf="1" dxf="1">
    <nc r="JU10">
      <f>IF(ISNUMBER(HY10),HY10,IF(ISNUMBER(GC10),GC10,""))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95" sId="2" odxf="1" dxf="1">
    <nc r="JV10">
      <f>IF(ISNUMBER(HZ10),HZ10,IF(ISNUMBER(GD10),GD10,""))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96" sId="2" odxf="1" dxf="1">
    <nc r="JW10">
      <f>IF(ISNUMBER(IA10),IA10,IF(ISNUMBER(GE10),GE10,""))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97" sId="2" odxf="1" dxf="1">
    <nc r="JX10">
      <f>IF(ISNUMBER(IB10),IB10,IF(ISNUMBER(GF10),GF10,""))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98" sId="2" odxf="1" dxf="1">
    <nc r="JY10">
      <f>IF(ISNUMBER(IC10),IC10,IF(ISNUMBER(GG10),GG10,""))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499" sId="2" odxf="1" dxf="1">
    <nc r="JZ10">
      <f>IF(ISNUMBER(ID10),ID10,IF(ISNUMBER(GH10),GH10,""))</f>
    </nc>
    <odxf>
      <alignment horizontal="general" vertical="bottom" readingOrder="0"/>
      <border outline="0">
        <top/>
        <bottom/>
      </border>
    </odxf>
    <ndxf>
      <alignment horizontal="center" vertical="top" readingOrder="0"/>
      <border outline="0">
        <top style="thin">
          <color indexed="64"/>
        </top>
        <bottom style="thin">
          <color indexed="64"/>
        </bottom>
      </border>
    </ndxf>
  </rcc>
  <rcc rId="1500" sId="2" odxf="1" dxf="1">
    <nc r="KA10">
      <f>IF(ISNUMBER(IE10),IE10,IF(ISNUMBER(GI10),GI10,""))</f>
    </nc>
    <odxf>
      <alignment horizontal="general" vertical="bottom" readingOrder="0"/>
      <border outline="0">
        <right/>
        <top/>
        <bottom/>
      </border>
    </odxf>
    <ndxf>
      <alignment horizontal="center" vertical="top" readingOrder="0"/>
      <border outline="0">
        <right style="mediumDashed">
          <color auto="1"/>
        </right>
        <top style="thin">
          <color indexed="64"/>
        </top>
        <bottom style="thin">
          <color indexed="64"/>
        </bottom>
      </border>
    </ndxf>
  </rcc>
  <rcc rId="1501" sId="2" odxf="1" dxf="1">
    <nc r="KB10">
      <f>IF(AND(ISNUMBER(IF10),ISNUMBER(CR10)),IF10-CR10,"")</f>
    </nc>
    <odxf>
      <alignment horizontal="general" vertical="bottom" readingOrder="0"/>
      <border outline="0">
        <right/>
        <top/>
        <bottom/>
      </border>
    </odxf>
    <ndxf>
      <alignment horizontal="center" vertical="top" readingOrder="0"/>
      <border outline="0">
        <right style="thin">
          <color indexed="64"/>
        </right>
        <top style="thin">
          <color indexed="64"/>
        </top>
        <bottom style="thin">
          <color indexed="64"/>
        </bottom>
      </border>
    </ndxf>
  </rcc>
  <rcc rId="1502" sId="2" odxf="1" dxf="1">
    <nc r="KC10">
      <f>IF(AND(ISNUMBER(IG10),ISNUMBER(CS10)),IG10-CS10,"")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03" sId="2" odxf="1" dxf="1">
    <nc r="KD10">
      <f>IF(AND(ISNUMBER(IH10),ISNUMBER(CT10)),IH10-CT10,"")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04" sId="2" odxf="1" dxf="1">
    <nc r="KE10">
      <f>IF(AND(ISNUMBER(II10),ISNUMBER(CU10)),II10-CU10,"")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05" sId="2" odxf="1" dxf="1">
    <nc r="KF10">
      <f>IF(AND(ISNUMBER(IJ10),ISNUMBER(CV10)),IJ10-CV10,"")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06" sId="2" odxf="1" dxf="1">
    <nc r="KG10">
      <f>IF(AND(ISNUMBER(IK10),ISNUMBER(CW10)),IK10-CW10,"")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07" sId="2" odxf="1" dxf="1">
    <nc r="KH10">
      <f>IF(AND(ISNUMBER(IL10),ISNUMBER(CX10)),IL10-CX10,"")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08" sId="2" odxf="1" dxf="1">
    <nc r="KI10">
      <f>IF(AND(ISNUMBER(IM10),ISNUMBER(CY10)),IM10-CY10,"")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09" sId="2" odxf="1" dxf="1">
    <nc r="KJ10">
      <f>IF(AND(ISNUMBER(IN10),ISNUMBER(CZ10)),IN10-CZ10,"")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10" sId="2" odxf="1" dxf="1">
    <nc r="KK10">
      <f>IF(AND(ISNUMBER(IO10),ISNUMBER(DA10)),IO10-DA10,"")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11" sId="2" odxf="1" dxf="1">
    <nc r="KL10">
      <f>IF(AND(ISNUMBER(IP10),ISNUMBER(DB10)),IP10-DB10,"")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12" sId="2" odxf="1" dxf="1">
    <nc r="KM10">
      <f>IF(AND(ISNUMBER(IQ10),ISNUMBER(DC10)),IQ10-DC10,"")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13" sId="2" odxf="1" dxf="1">
    <nc r="KN10">
      <f>IF(AND(ISNUMBER(IR10),ISNUMBER(DD10)),IR10-DD10,"")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14" sId="2" odxf="1" dxf="1">
    <nc r="KO10">
      <f>IF(AND(ISNUMBER(IS10),ISNUMBER(DE10)),IS10-DE10,"")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15" sId="2" odxf="1" dxf="1">
    <nc r="KP10">
      <f>IF(AND(ISNUMBER(IT10),ISNUMBER(DF10)),IT10-DF10,"")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16" sId="2" odxf="1" dxf="1">
    <nc r="KQ10">
      <f>IF(AND(ISNUMBER(IU10),ISNUMBER(DG10)),IU10-DG10,"")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17" sId="2" odxf="1" dxf="1">
    <nc r="KR10">
      <f>IF(AND(ISNUMBER(IV10),ISNUMBER(DH10)),IV10-DH10,"")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18" sId="2" odxf="1" dxf="1">
    <nc r="KS10">
      <f>IF(AND(ISNUMBER(IW10),ISNUMBER(DI10)),IW10-DI10,"")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19" sId="2" odxf="1" dxf="1">
    <nc r="KT10">
      <f>IF(AND(ISNUMBER(IX10),ISNUMBER(DJ10)),IX10-DJ10,"")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20" sId="2" odxf="1" dxf="1">
    <nc r="KU10">
      <f>IF(AND(ISNUMBER(IY10),ISNUMBER(DK10)),IY10-DK10,"")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21" sId="2" odxf="1" dxf="1">
    <nc r="KV10">
      <f>IF(AND(ISNUMBER(IZ10),ISNUMBER(DL10)),IZ10-DL10,"")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22" sId="2" odxf="1" dxf="1">
    <nc r="KW10">
      <f>IF(AND(ISNUMBER(JA10),ISNUMBER(DM10)),JA10-DM10,"")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23" sId="2" odxf="1" dxf="1">
    <nc r="KX10">
      <f>IF(AND(ISNUMBER(JB10),ISNUMBER(DN10)),JB10-DN10,"")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24" sId="2" odxf="1" dxf="1">
    <nc r="KY10">
      <f>IF(AND(ISNUMBER(JC10),ISNUMBER(DO10)),JC10-DO10,"")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25" sId="2" odxf="1" dxf="1">
    <nc r="KZ10">
      <f>IF(AND(ISNUMBER(JD10),ISNUMBER(DP10)),JD10-DP10,"")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26" sId="2" odxf="1" dxf="1">
    <nc r="LA10">
      <f>IF(AND(ISNUMBER(JE10),ISNUMBER(DQ10)),JE10-DQ10,"")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27" sId="2" odxf="1" dxf="1">
    <nc r="LB10">
      <f>IF(AND(ISNUMBER(JF10),ISNUMBER(DR10)),JF10-DR10,"")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28" sId="2" odxf="1" dxf="1">
    <nc r="LC10">
      <f>IF(AND(ISNUMBER(JG10),ISNUMBER(DS10)),JG10-DS10,"")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29" sId="2" odxf="1" dxf="1">
    <nc r="LD10">
      <f>IF(AND(ISNUMBER(JH10),ISNUMBER(DT10)),JH10-DT10,"")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30" sId="2" odxf="1" dxf="1">
    <nc r="LE10">
      <f>IF(AND(ISNUMBER(JI10),ISNUMBER(DU10)),JI10-DU10,"")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31" sId="2" odxf="1" dxf="1">
    <nc r="LF10">
      <f>IF(AND(ISNUMBER(JJ10),ISNUMBER(DV10)),JJ10-DV10,"")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32" sId="2" odxf="1" dxf="1">
    <nc r="LG10">
      <f>IF(AND(ISNUMBER(JK10),ISNUMBER(DW10)),JK10-DW10,"")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33" sId="2" odxf="1" dxf="1">
    <nc r="LH10">
      <f>IF(AND(ISNUMBER(JL10),ISNUMBER(DX10)),JL10-DX10,"")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34" sId="2" odxf="1" dxf="1">
    <nc r="LI10">
      <f>IF(AND(ISNUMBER(JM10),ISNUMBER(DY10)),JM10-DY10,"")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35" sId="2" odxf="1" dxf="1">
    <nc r="LJ10">
      <f>IF(AND(ISNUMBER(JN10),ISNUMBER(DZ10)),JN10-DZ10,"")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36" sId="2" odxf="1" dxf="1">
    <nc r="LK10">
      <f>IF(AND(ISNUMBER(JO10),ISNUMBER(EA10)),JO10-EA10,"")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37" sId="2" odxf="1" dxf="1">
    <nc r="LL10">
      <f>IF(AND(ISNUMBER(JP10),ISNUMBER(EB10)),JP10-EB10,"")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38" sId="2" odxf="1" dxf="1">
    <nc r="LM10">
      <f>IF(AND(ISNUMBER(JQ10),ISNUMBER(EC10)),JQ10-EC10,"")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39" sId="2" odxf="1" dxf="1">
    <nc r="LN10">
      <f>IF(AND(ISNUMBER(JR10),ISNUMBER(ED10)),JR10-ED10,"")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40" sId="2" odxf="1" dxf="1">
    <nc r="LO10">
      <f>IF(AND(ISNUMBER(JS10),ISNUMBER(EE10)),JS10-EE10,"")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41" sId="2" odxf="1" dxf="1">
    <nc r="LP10">
      <f>IF(AND(ISNUMBER(JT10),ISNUMBER(EF10)),JT10-EF10,"")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42" sId="2" odxf="1" dxf="1">
    <nc r="LQ10">
      <f>IF(AND(ISNUMBER(JU10),ISNUMBER(EG10)),JU10-EG10,"")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43" sId="2" odxf="1" dxf="1">
    <nc r="LR10">
      <f>IF(AND(ISNUMBER(JV10),ISNUMBER(EH10)),JV10-EH10,"")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44" sId="2" odxf="1" dxf="1">
    <nc r="LS10">
      <f>IF(AND(ISNUMBER(JW10),ISNUMBER(EI10)),JW10-EI10,"")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45" sId="2" odxf="1" dxf="1">
    <nc r="LT10">
      <f>IF(AND(ISNUMBER(JX10),ISNUMBER(EJ10)),JX10-EJ10,"")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46" sId="2" odxf="1" dxf="1">
    <nc r="LU10">
      <f>IF(AND(ISNUMBER(JY10),ISNUMBER(EK10)),JY10-EK10,"")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47" sId="2" odxf="1" dxf="1">
    <nc r="LV10">
      <f>IF(AND(ISNUMBER(JZ10),ISNUMBER(EL10)),JZ10-EL10,"")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48" sId="2" odxf="1" dxf="1">
    <nc r="LW10">
      <f>IF(AND(ISNUMBER(KA10),ISNUMBER(EM10)),KA10-EM10,"")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49" sId="2" odxf="1" dxf="1">
    <nc r="LX10">
      <f>IF(AND(ISNUMBER(HQ10),ISNUMBER(FU10)),HQ10-FU10,"")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50" sId="2" odxf="1" dxf="1">
    <nc r="LY10">
      <f>IF(AND(ISNUMBER(HR10),ISNUMBER(FV10)),HR10-FV10,"")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51" sId="2" odxf="1" dxf="1">
    <nc r="LZ10">
      <f>IF(AND(ISNUMBER(HV10),ISNUMBER(FZ10)),HV10-FZ10,"")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cc rId="1552" sId="2" odxf="1" dxf="1">
    <nc r="MA10">
      <f>HW10-GA10</f>
    </nc>
    <odxf>
      <alignment horizontal="general" vertical="bottom" readingOrder="0"/>
      <border outline="0">
        <left/>
        <right/>
        <top/>
        <bottom/>
      </border>
    </odxf>
    <ndxf>
      <alignment horizontal="center" vertical="top" readingOrder="0"/>
      <border outline="0">
        <left style="thin">
          <color indexed="64"/>
        </left>
        <right style="thin">
          <color indexed="64"/>
        </right>
        <top style="thin">
          <color indexed="64"/>
        </top>
        <bottom style="thin">
          <color indexed="64"/>
        </bottom>
      </border>
    </ndxf>
  </rcc>
  <rfmt sheetId="2" sqref="A10:XFD10" start="0" length="0">
    <dxf>
      <alignment horizontal="center" vertical="top" readingOrder="0"/>
      <border outline="0">
        <left style="thin">
          <color indexed="64"/>
        </left>
        <right style="thin">
          <color indexed="64"/>
        </right>
        <top style="thin">
          <color indexed="64"/>
        </top>
        <bottom style="thin">
          <color indexed="64"/>
        </bottom>
      </border>
    </dxf>
  </rfmt>
  <rrc rId="1553" sId="1" ref="A106:XFD106" action="deleteRow">
    <undo index="2" exp="area" ref3D="1" dr="$EN$1:$HP$1048576" dn="Z_9D4EC4DC_E305_42C0_86D3_802895C39393_.wvu.Cols" sId="1"/>
    <undo index="1" exp="area" ref3D="1" dr="$CH$1:$CI$1048576" dn="Z_9D4EC4DC_E305_42C0_86D3_802895C39393_.wvu.Cols" sId="1"/>
    <undo index="0" exp="area" ref3D="1" dr="$AK$1:$AK$1048576" dn="UDVA_6"/>
    <undo index="0" exp="area" ref3D="1" dr="$BC$1:$BC$1048576" dn="UDVA_12"/>
    <undo index="0" exp="area" ref3D="1" dr="$T$1:$T$1048576" dn="SPH_PREOP"/>
    <undo index="0" exp="area" ref3D="1" dr="$BV$1:$BV$1048576" dn="SE_preop_IF_6_12"/>
    <undo index="0" exp="area" ref3D="1" dr="$CE$1:$CE$1048576" dn="SE_PREOP"/>
    <undo index="0" exp="area" ref3D="1" dr="$CF$1:$CF$1048576" dn="SE_LAST_"/>
    <undo index="0" exp="area" ref3D="1" dr="$BR$1:$BR$1048576" dn="SE_ERROR_12"/>
    <undo index="0" exp="area" ref3D="1" dr="$BW$1:$BW$1048576" dn="SE_6_IF_6_12"/>
    <undo index="0" exp="area" ref3D="1" dr="$AY$1:$AY$1048576" dn="SE_6"/>
    <undo index="0" exp="area" ref3D="1" dr="$BX$1:$BX$1048576" dn="SE_12_IF_6_12"/>
    <undo index="0" exp="area" ref3D="1" dr="$BQ$1:$BQ$1048576" dn="SE_12"/>
    <undo index="0" exp="area" ref3D="1" dr="$CJ$1:$CJ$1048576" dn="REF_TARGET_IF_SE_KNOWN"/>
    <undo index="0" exp="area" ref3D="1" dr="$Q$1:$Q$1048576" dn="REF_TARGET"/>
    <undo index="0" exp="area" ref3D="1" dr="$W$1:$W$1048576" dn="PREOP_BCVA"/>
    <undo index="0" exp="area" ref3D="1" dr="$S$1:$S$1048576" dn="PREOP"/>
    <undo index="0" exp="area" ref3D="1" dr="$CO$1:$CO$1048576" dn="LAST_UDVA_DIST"/>
    <undo index="0" exp="area" ref3D="1" dr="$CG$1:$CG$1048576" dn="LAST_SE_ERROR"/>
    <undo index="0" exp="area" ref3D="1" dr="$CK$1:$CK$1048576" dn="LAST_CHANGE_CDVA"/>
    <undo index="0" exp="area" ref3D="1" dr="$CN$1:$CN$1048576" dn="LAST_CDVA"/>
    <undo index="0" exp="area" ref3D="1" dr="$BM$1:$BM$1048576" dn="K1_12"/>
    <undo index="0" exp="area" ref3D="1" dr="$BU$1:$BU$1048576" dn="FU_6_AND_12"/>
    <undo index="0" exp="area" ref3D="1" dr="$U$1:$U$1048576" dn="CYL_PREOP"/>
    <undo index="0" exp="area" ref3D="1" dr="$CL$1:$CL$1048576" dn="CYL_LAST"/>
    <undo index="0" exp="area" ref3D="1" dr="$W$1:$W$1048576" dn="BCVA_PREOP"/>
    <undo index="0" exp="area" ref3D="1" dr="$AO$1:$AO$1048576" dn="BCVA_6"/>
    <undo index="0" exp="area" ref3D="1" dr="$BG$1:$BG$1048576" dn="BCVA_12"/>
    <rfmt sheetId="1" xfDxf="1" sqref="A106:XFD106" start="0" length="0">
      <dxf>
        <alignment horizontal="center" readingOrder="0"/>
        <border outline="0">
          <left style="thin">
            <color indexed="64"/>
          </left>
          <right style="thin">
            <color indexed="64"/>
          </right>
          <top style="thin">
            <color indexed="64"/>
          </top>
          <bottom style="thin">
            <color indexed="64"/>
          </bottom>
        </border>
      </dxf>
    </rfmt>
    <rcc rId="0" sId="1" dxf="1" numFmtId="19">
      <nc r="A106">
        <v>41374</v>
      </nc>
      <ndxf>
        <numFmt numFmtId="19" formatCode="mm/dd/yyyy"/>
      </ndxf>
    </rcc>
    <rcc rId="0" sId="1" dxf="1">
      <nc r="B106" t="inlineStr">
        <is>
          <t>Antoinette</t>
        </is>
      </nc>
      <ndxf/>
    </rcc>
    <rcc rId="0" sId="1" dxf="1">
      <nc r="C106" t="inlineStr">
        <is>
          <t xml:space="preserve">Alexander </t>
        </is>
      </nc>
      <ndxf/>
    </rcc>
    <rcc rId="0" sId="1" dxf="1">
      <nc r="D106" t="inlineStr">
        <is>
          <t>OD</t>
        </is>
      </nc>
      <ndxf>
        <font>
          <b/>
          <sz val="10"/>
          <color indexed="63"/>
          <name val="Arial"/>
          <scheme val="none"/>
        </font>
        <fill>
          <patternFill patternType="solid">
            <bgColor indexed="9"/>
          </patternFill>
        </fill>
      </ndxf>
    </rcc>
    <rcc rId="0" sId="1">
      <nc r="E106">
        <v>58</v>
      </nc>
    </rcc>
    <rcc rId="0" sId="1" dxf="1" numFmtId="19">
      <nc r="F106">
        <v>20151</v>
      </nc>
      <ndxf>
        <numFmt numFmtId="19" formatCode="mm/dd/yyyy"/>
      </ndxf>
    </rcc>
    <rcc rId="0" sId="1">
      <nc r="G106" t="inlineStr">
        <is>
          <t>W</t>
        </is>
      </nc>
    </rcc>
    <rcc rId="0" sId="1">
      <nc r="H106" t="inlineStr">
        <is>
          <t>F</t>
        </is>
      </nc>
    </rcc>
    <rcc rId="0" sId="1">
      <nc r="I106">
        <v>1835949</v>
      </nc>
    </rcc>
    <rfmt sheetId="1" sqref="K106" start="0" length="0">
      <dxf>
        <font>
          <sz val="6"/>
          <color auto="1"/>
          <name val="Arial"/>
          <scheme val="none"/>
        </font>
        <border outline="0">
          <left style="medium">
            <color indexed="22"/>
          </left>
          <right style="medium">
            <color indexed="22"/>
          </right>
          <top style="medium">
            <color indexed="22"/>
          </top>
          <bottom style="medium">
            <color indexed="22"/>
          </bottom>
        </border>
      </dxf>
    </rfmt>
    <rfmt sheetId="1" sqref="L106" start="0" length="0">
      <dxf>
        <font>
          <sz val="6"/>
          <color auto="1"/>
          <name val="Arial"/>
          <scheme val="none"/>
        </font>
        <border outline="0">
          <left/>
          <right style="medium">
            <color indexed="22"/>
          </right>
          <top style="medium">
            <color indexed="22"/>
          </top>
          <bottom style="medium">
            <color indexed="22"/>
          </bottom>
        </border>
      </dxf>
    </rfmt>
    <rfmt sheetId="1" sqref="M106" start="0" length="0">
      <dxf>
        <font>
          <sz val="6"/>
          <color auto="1"/>
          <name val="Arial"/>
          <scheme val="none"/>
        </font>
        <border outline="0">
          <left/>
          <right style="medium">
            <color indexed="22"/>
          </right>
          <top style="medium">
            <color indexed="22"/>
          </top>
          <bottom style="medium">
            <color indexed="22"/>
          </bottom>
        </border>
      </dxf>
    </rfmt>
    <rfmt sheetId="1" sqref="N106" start="0" length="0">
      <dxf>
        <font>
          <sz val="6"/>
          <color auto="1"/>
          <name val="Arial"/>
          <scheme val="none"/>
        </font>
        <border outline="0">
          <left/>
          <right style="medium">
            <color indexed="22"/>
          </right>
          <top style="medium">
            <color indexed="22"/>
          </top>
          <bottom style="medium">
            <color indexed="22"/>
          </bottom>
        </border>
      </dxf>
    </rfmt>
    <rfmt sheetId="1" sqref="O106" start="0" length="0">
      <dxf>
        <font>
          <sz val="6"/>
          <color auto="1"/>
          <name val="Arial"/>
          <scheme val="none"/>
        </font>
        <border outline="0">
          <left/>
          <right style="medium">
            <color indexed="22"/>
          </right>
          <top style="medium">
            <color indexed="22"/>
          </top>
          <bottom style="medium">
            <color indexed="22"/>
          </bottom>
        </border>
      </dxf>
    </rfmt>
    <rcc rId="0" sId="1" dxf="1">
      <nc r="P106">
        <v>-0.5</v>
      </nc>
      <ndxf/>
    </rcc>
    <rcc rId="0" sId="1" dxf="1">
      <nc r="Q106">
        <v>-0.54</v>
      </nc>
      <ndxf/>
    </rcc>
    <rfmt sheetId="1" sqref="R106" start="0" length="0">
      <dxf/>
    </rfmt>
    <rcc rId="0" sId="1" dxf="1" numFmtId="19">
      <nc r="S106">
        <v>41372</v>
      </nc>
      <ndxf>
        <numFmt numFmtId="19" formatCode="mm/dd/yyyy"/>
        <fill>
          <patternFill patternType="solid">
            <bgColor theme="5" tint="0.39994506668294322"/>
          </patternFill>
        </fill>
      </ndxf>
    </rcc>
    <rcc rId="0" sId="1" dxf="1">
      <nc r="T106" t="inlineStr">
        <is>
          <t>not taken</t>
        </is>
      </nc>
      <ndxf>
        <numFmt numFmtId="166" formatCode="\+#0.00;\-#0.00;0;@"/>
      </ndxf>
    </rcc>
    <rfmt sheetId="1" sqref="U106" start="0" length="0">
      <dxf>
        <numFmt numFmtId="166" formatCode="\+#0.00;\-#0.00;0;@"/>
      </dxf>
    </rfmt>
    <rcc rId="0" sId="1">
      <nc r="X106">
        <v>12</v>
      </nc>
    </rcc>
    <rcc rId="0" sId="1" dxf="1">
      <nc r="AI106" t="inlineStr">
        <is>
          <t>last pachy prior to sx 5 months earlier</t>
        </is>
      </nc>
      <ndxf>
        <font>
          <sz val="10"/>
          <color auto="1"/>
          <name val="Arial"/>
          <scheme val="none"/>
        </font>
        <alignment wrapText="1" readingOrder="0"/>
      </ndxf>
    </rcc>
    <rcc rId="0" sId="1" dxf="1" numFmtId="19">
      <nc r="AJ106">
        <v>41619</v>
      </nc>
      <ndxf>
        <font>
          <sz val="10"/>
          <color indexed="20"/>
          <name val="Arial"/>
          <scheme val="none"/>
        </font>
        <numFmt numFmtId="19" formatCode="mm/dd/yyyy"/>
      </ndxf>
    </rcc>
    <rfmt sheetId="1" sqref="AK106" start="0" length="0">
      <dxf>
        <font>
          <sz val="10"/>
          <color indexed="20"/>
          <name val="Arial"/>
          <scheme val="none"/>
        </font>
        <numFmt numFmtId="1" formatCode="0"/>
      </dxf>
    </rfmt>
    <rfmt sheetId="1" sqref="AL106" start="0" length="0">
      <dxf>
        <numFmt numFmtId="166" formatCode="\+#0.00;\-#0.00;0;@"/>
      </dxf>
    </rfmt>
    <rfmt sheetId="1" sqref="AM106" start="0" length="0">
      <dxf>
        <numFmt numFmtId="166" formatCode="\+#0.00;\-#0.00;0;@"/>
      </dxf>
    </rfmt>
    <rcc rId="0" sId="1">
      <nc r="AY106">
        <f>IF(ISNUMBER(AL106),AL106+0.5*AM106,"")</f>
      </nc>
    </rcc>
    <rcc rId="0" sId="1">
      <nc r="AZ106">
        <f>IF(ISNUMBER(AY106),IF(ISNUMBER(Q106),AY106-Q106,"MISSING"),"")</f>
      </nc>
    </rcc>
    <rcc rId="0" sId="1">
      <nc r="BA106">
        <f>IF(AND(ISNUMBER(AQ106),ISNUMBER(Y106)),AQ106-Y106,IF(ISNUMBER(AQ106),"MISSING",""))</f>
      </nc>
    </rcc>
    <rfmt sheetId="1" sqref="BC106" start="0" length="0">
      <dxf>
        <numFmt numFmtId="1" formatCode="0"/>
      </dxf>
    </rfmt>
    <rfmt sheetId="1" sqref="BD106" start="0" length="0">
      <dxf>
        <numFmt numFmtId="166" formatCode="\+#0.00;\-#0.00;0;@"/>
      </dxf>
    </rfmt>
    <rfmt sheetId="1" sqref="BE106" start="0" length="0">
      <dxf>
        <numFmt numFmtId="166" formatCode="\+#0.00;\-#0.00;0;@"/>
      </dxf>
    </rfmt>
    <rcc rId="0" sId="1">
      <nc r="BQ106">
        <f>IF(ISNUMBER(BD106),BD106+0.5*BE106,"")</f>
      </nc>
    </rcc>
    <rcc rId="0" sId="1">
      <nc r="BR106">
        <f>IF(ISNUMBER(BQ106),IF(ISNUMBER($Q106),BQ106-$Q106,"MISSING"),"")</f>
      </nc>
    </rcc>
    <rcc rId="0" sId="1">
      <nc r="BS106">
        <f>IF(AND(ISNUMBER(BI106),ISNUMBER($Y106)),BI106-$Y106,IF(ISNUMBER(BI106),"MISSING",""))</f>
      </nc>
    </rcc>
    <rcc rId="0" sId="1">
      <nc r="BT106">
        <f>IF(AND(ISBLANK($AL106),ISBLANK($BD106)),0,1)</f>
      </nc>
    </rcc>
    <rcc rId="0" sId="1">
      <nc r="BU106">
        <f>IF(AND(ISNUMBER($AL106),ISNUMBER($BD106)),1,0)</f>
      </nc>
    </rcc>
    <rcc rId="0" sId="1">
      <nc r="BV106">
        <f>IF(BU106,SE_PREOP,"")</f>
      </nc>
    </rcc>
    <rcc rId="0" sId="1">
      <nc r="BW106">
        <f>IF(FU_6_AND_12,SE_6,"")</f>
      </nc>
    </rcc>
    <rcc rId="0" sId="1">
      <nc r="BX106">
        <f>IF(FU_6_AND_12,SE_12,"")</f>
      </nc>
    </rcc>
    <rcc rId="0" sId="1" dxf="1">
      <nc r="BY106">
        <f>IF(AND(ISNUMBER(BB106),ISNUMBER(BD106)),BB106-A106,IF(ISNUMBER(AJ106),AJ106-A106,0))</f>
      </nc>
      <ndxf>
        <numFmt numFmtId="2" formatCode="0.00"/>
      </ndxf>
    </rcc>
    <rcc rId="0" sId="1" dxf="1">
      <nc r="BZ106">
        <f>IF(BY106&gt;0,BY106/30,"")</f>
      </nc>
      <ndxf>
        <numFmt numFmtId="165" formatCode="0.0"/>
      </ndxf>
    </rcc>
    <rcc rId="0" sId="1">
      <nc r="CA106">
        <f>IF(AND(ISNUMBER(AY106),ISNUMBER(BQ106)),(BQ106-AY106),"")</f>
      </nc>
    </rcc>
    <rcc rId="0" sId="1">
      <nc r="CB106">
        <f>IF(AND(ISNUMBER(AW106), ISNUMBER(AD106)), AVERAGE(AW106,AU106)-AVERAGE(AD106,AF106),"")</f>
      </nc>
    </rcc>
    <rcc rId="0" sId="1">
      <nc r="CC106">
        <f>IF(AND(ISNUMBER(BM106), ISNUMBER(AD106)), AVERAGE(BM106,BO106)-AVERAGE(AD106,AF106),"")</f>
      </nc>
    </rcc>
    <rcc rId="0" sId="1">
      <nc r="CD106">
        <f>IF(ISNUMBER(CC106),CC106,IF(ISNUMBER(CB106),CB106,""))</f>
      </nc>
    </rcc>
    <rcc rId="0" sId="1">
      <nc r="CE106">
        <f>IF(AND(ISNUMBER(SPH_PREOP),ISNUMBER(SE_LAST_)),SPH_PREOP+CYL_PREOP/2,"")</f>
      </nc>
    </rcc>
    <rcc rId="0" sId="1">
      <nc r="CF106">
        <f>IF(ISNUMBER(SE_12),SE_12,IF(ISNUMBER(SE_6),SE_6,""))</f>
      </nc>
    </rcc>
    <rcc rId="0" sId="1" dxf="1">
      <nc r="CG106">
        <f>IF(AND(ISNUMBER(SE_LAST_),ISNUMBER(REF_TARGET)),SE_LAST_-REF_TARGET,"")</f>
      </nc>
      <ndxf>
        <border outline="0">
          <right style="double">
            <color indexed="64"/>
          </right>
        </border>
      </ndxf>
    </rcc>
    <rcc rId="0" sId="1" dxf="1">
      <nc r="CH106">
        <f>IF(ISNUMBER(Y106),IF(ISNUMBER(BI106),BI106-Y106,IF(ISNUMBER(AQ106),AQ106-Y106,"")),"")</f>
      </nc>
      <ndxf>
        <border outline="0">
          <left/>
        </border>
      </ndxf>
    </rcc>
    <rcc rId="0" sId="1">
      <nc r="CI106">
        <f>IF(ISNUMBER(Z106),IF(ISNUMBER(AS106),AS106-Z106,IF(ISNUMBER(BK106),BK106-Z106,"")),"")</f>
      </nc>
    </rcc>
    <rcc rId="0" sId="1" dxf="1">
      <nc r="CJ106">
        <f>IF(ISNUMBER(LAST_SE_ERROR),REF_TARGET,"")</f>
      </nc>
      <ndxf>
        <border outline="0">
          <left/>
          <right/>
          <top/>
          <bottom/>
        </border>
      </ndxf>
    </rcc>
    <rcc rId="0" sId="1" dxf="1">
      <nc r="CK106">
        <f>IF(AND(OR(ISNUMBER(BG106),ISNUMBER(AO106)),ISNUMBER(W106)),-LOG(20/W106)--LOG(20/IF(ISNUMBER(BG106),BG106,AO106)),"")</f>
      </nc>
      <ndxf>
        <border outline="0">
          <left/>
          <right/>
          <top/>
          <bottom/>
        </border>
      </ndxf>
    </rcc>
    <rcc rId="0" sId="1" dxf="1">
      <nc r="CL106">
        <f>IF(ISNUMBER(BE106),BE106,IF(ISNUMBER(AM106),AM106,""))</f>
      </nc>
      <ndxf>
        <numFmt numFmtId="166" formatCode="\+#0.00;\-#0.00;0;@"/>
        <border outline="0">
          <left/>
          <right/>
          <top/>
          <bottom/>
        </border>
      </ndxf>
    </rcc>
    <rcc rId="0" sId="1" dxf="1">
      <nc r="CM106">
        <f>IF(AND(ISNUMBER(CL106),ISNUMBER(U106)),CL106-U106,"")</f>
      </nc>
      <ndxf>
        <numFmt numFmtId="166" formatCode="\+#0.00;\-#0.00;0;@"/>
        <border outline="0">
          <left/>
          <right/>
          <top/>
          <bottom/>
        </border>
      </ndxf>
    </rcc>
    <rcc rId="0" sId="1" dxf="1">
      <nc r="CN106">
        <f>IF(ISNUMBER(BCVA_12),BCVA_12,IF(ISNUMBER(BCVA_6),BCVA_6,""))</f>
      </nc>
      <ndxf>
        <numFmt numFmtId="1" formatCode="0"/>
        <border outline="0">
          <left/>
          <right/>
          <top/>
          <bottom/>
        </border>
      </ndxf>
    </rcc>
    <rcc rId="0" sId="1" dxf="1">
      <nc r="CO106">
        <f>IF(AND(REF_TARGET&lt;=0,REF_TARGET&gt;-1),IF(ISNUMBER(UDVA_12),UDVA_12,IF(ISNUMBER(UDVA_6),UDVA_6,"")),"")</f>
      </nc>
      <ndxf>
        <font>
          <sz val="10"/>
          <color auto="1"/>
          <name val="Arial"/>
          <scheme val="none"/>
        </font>
        <numFmt numFmtId="1" formatCode="0"/>
        <border outline="0">
          <left/>
          <right/>
          <top/>
          <bottom/>
        </border>
      </ndxf>
    </rcc>
    <rcc rId="0" sId="1" dxf="1">
      <nc r="CP106">
        <f>IF(ISNUMBER($CS106),IF(ISNUMBER($AL106),IF(ISNUMBER($EN106),0,1),""),"")</f>
      </nc>
      <ndxf>
        <border outline="0">
          <left/>
          <right/>
          <top/>
          <bottom/>
        </border>
      </ndxf>
    </rcc>
    <rcc rId="0" sId="1" dxf="1">
      <nc r="CQ106">
        <f>IF(ISNUMBER($CS106),IF(ISNUMBER($BD106),IF(ISNUMBER($GJ106),0,1),""),"")</f>
      </nc>
      <ndxf>
        <border outline="0">
          <left/>
          <right/>
          <top/>
          <bottom/>
        </border>
      </ndxf>
    </rcc>
    <rcc rId="0" sId="1" dxf="1">
      <nc r="CR106">
        <v>7.92</v>
      </nc>
      <ndxf>
        <alignment horizontal="general" vertical="bottom" readingOrder="0"/>
        <border outline="0">
          <left/>
          <right/>
          <top/>
          <bottom/>
        </border>
      </ndxf>
    </rcc>
    <rcc rId="0" sId="1">
      <nc r="CS106">
        <v>7.69</v>
      </nc>
    </rcc>
    <rcc rId="0" sId="1">
      <nc r="CT106">
        <v>17</v>
      </nc>
    </rcc>
    <rcc rId="0" sId="1">
      <nc r="CU106">
        <v>-1.3</v>
      </nc>
    </rcc>
    <rcc rId="0" sId="1">
      <nc r="CV106">
        <v>0.8</v>
      </nc>
    </rcc>
    <rcc rId="0" sId="1">
      <nc r="CW106">
        <v>0.77</v>
      </nc>
    </rcc>
    <rcc rId="0" sId="1">
      <nc r="CX106">
        <v>4.7300000000000004</v>
      </nc>
    </rcc>
    <rcc rId="0" sId="1">
      <nc r="CY106">
        <v>5.27</v>
      </nc>
    </rcc>
    <rcc rId="0" sId="1">
      <nc r="CZ106">
        <v>537</v>
      </nc>
    </rcc>
    <rcc rId="0" sId="1">
      <nc r="DA106">
        <v>536</v>
      </nc>
    </rcc>
    <rcc rId="0" sId="1">
      <nc r="DB106">
        <v>633</v>
      </nc>
    </rcc>
    <rcc rId="0" sId="1">
      <nc r="DC106">
        <v>615</v>
      </nc>
    </rcc>
    <rcc rId="0" sId="1">
      <nc r="DD106">
        <v>642</v>
      </nc>
    </rcc>
    <rcc rId="0" sId="1">
      <nc r="DE106">
        <v>579</v>
      </nc>
    </rcc>
    <rcc rId="0" sId="1">
      <nc r="DF106">
        <v>524</v>
      </nc>
    </rcc>
    <rcc rId="0" sId="1">
      <nc r="DG106">
        <v>1.28</v>
      </nc>
    </rcc>
    <rcc rId="0" sId="1">
      <nc r="DH106">
        <v>-0.06</v>
      </nc>
    </rcc>
    <rcc rId="0" sId="1">
      <nc r="DI106">
        <v>7.86</v>
      </nc>
    </rcc>
    <rcc rId="0" sId="1">
      <nc r="DJ106">
        <v>7.77</v>
      </nc>
    </rcc>
    <rcc rId="0" sId="1">
      <nc r="DK106">
        <v>7.97</v>
      </nc>
    </rcc>
    <rcc rId="0" sId="1">
      <nc r="DL106">
        <v>8.2899999999999991</v>
      </nc>
    </rcc>
    <rcc rId="0" sId="1">
      <nc r="DM106">
        <v>8.51</v>
      </nc>
    </rcc>
    <rcc rId="0" sId="1">
      <nc r="DN106">
        <v>8.27</v>
      </nc>
    </rcc>
    <rcc rId="0" sId="1">
      <nc r="DO106">
        <v>0</v>
      </nc>
    </rcc>
    <rcc rId="0" sId="1">
      <nc r="DP106">
        <v>1</v>
      </nc>
    </rcc>
    <rcc rId="0" sId="1">
      <nc r="DQ106">
        <v>6.68</v>
      </nc>
    </rcc>
    <rcc rId="0" sId="1">
      <nc r="DR106">
        <v>6.47</v>
      </nc>
    </rcc>
    <rcc rId="0" sId="1">
      <nc r="DS106">
        <v>6.47</v>
      </nc>
    </rcc>
    <rcc rId="0" sId="1">
      <nc r="DT106">
        <v>6.7</v>
      </nc>
    </rcc>
    <rcc rId="0" sId="1">
      <nc r="DU106">
        <v>6.7</v>
      </nc>
    </rcc>
    <rcc rId="0" sId="1">
      <nc r="DV106">
        <v>0</v>
      </nc>
    </rcc>
    <rcc rId="0" sId="1">
      <nc r="DW106">
        <v>0</v>
      </nc>
    </rcc>
    <rcc rId="0" sId="1" dxf="1">
      <nc r="DX106">
        <v>1</v>
      </nc>
      <ndxf>
        <border outline="0">
          <right style="mediumDashDot">
            <color indexed="64"/>
          </right>
        </border>
      </ndxf>
    </rcc>
    <rcc rId="0" sId="1" dxf="1">
      <nc r="DY106">
        <v>42.1</v>
      </nc>
      <ndxf>
        <border outline="0">
          <left/>
          <right/>
        </border>
      </ndxf>
    </rcc>
    <rcc rId="0" sId="1" dxf="1">
      <nc r="DZ106">
        <v>42.2</v>
      </nc>
      <ndxf>
        <border outline="0">
          <left/>
          <right/>
        </border>
      </ndxf>
    </rcc>
    <rcc rId="0" sId="1" dxf="1">
      <nc r="EA106">
        <v>42.2</v>
      </nc>
      <ndxf>
        <border outline="0">
          <left/>
          <right/>
        </border>
      </ndxf>
    </rcc>
    <rcc rId="0" sId="1" dxf="1">
      <nc r="EB106">
        <v>41.6</v>
      </nc>
      <ndxf>
        <border outline="0">
          <left/>
          <right/>
        </border>
      </ndxf>
    </rcc>
    <rcc rId="0" sId="1" dxf="1">
      <nc r="EC106">
        <v>0</v>
      </nc>
      <ndxf>
        <border outline="0">
          <left/>
          <right/>
        </border>
      </ndxf>
    </rcc>
    <rcc rId="0" sId="1" dxf="1">
      <nc r="ED106">
        <v>-5.7</v>
      </nc>
      <ndxf>
        <border outline="0">
          <left/>
          <right/>
        </border>
      </ndxf>
    </rcc>
    <rcc rId="0" sId="1" dxf="1">
      <nc r="EE106">
        <v>-5.8</v>
      </nc>
      <ndxf>
        <border outline="0">
          <left/>
          <right/>
        </border>
      </ndxf>
    </rcc>
    <rcc rId="0" sId="1" dxf="1">
      <nc r="EF106">
        <v>-5.7</v>
      </nc>
      <ndxf>
        <border outline="0">
          <left/>
          <right/>
        </border>
      </ndxf>
    </rcc>
    <rcc rId="0" sId="1" dxf="1">
      <nc r="EG106">
        <v>38.4</v>
      </nc>
      <ndxf>
        <border outline="0">
          <left/>
          <right/>
        </border>
      </ndxf>
    </rcc>
    <rcc rId="0" sId="1" dxf="1">
      <nc r="EH106">
        <v>0.1</v>
      </nc>
      <ndxf>
        <border outline="0">
          <left/>
          <right/>
        </border>
      </ndxf>
    </rcc>
    <rcc rId="0" sId="1" dxf="1">
      <nc r="EI106">
        <v>4.0999999999999996</v>
      </nc>
      <ndxf>
        <border outline="0">
          <left/>
          <right/>
        </border>
      </ndxf>
    </rcc>
    <rcc rId="0" sId="1" dxf="1">
      <nc r="EJ106">
        <v>11.8</v>
      </nc>
      <ndxf>
        <border outline="0">
          <left/>
          <right/>
        </border>
      </ndxf>
    </rcc>
    <rcc rId="0" sId="1" dxf="1">
      <nc r="EK106">
        <v>25.1</v>
      </nc>
      <ndxf>
        <border outline="0">
          <left/>
          <right/>
        </border>
      </ndxf>
    </rcc>
    <rcc rId="0" sId="1" dxf="1">
      <nc r="EL106">
        <v>60.7</v>
      </nc>
      <ndxf>
        <border outline="0">
          <left/>
          <right/>
        </border>
      </ndxf>
    </rcc>
    <rcc rId="0" sId="1" dxf="1">
      <nc r="EM106">
        <v>9</v>
      </nc>
      <ndxf>
        <border outline="0">
          <left/>
          <right style="dashed">
            <color auto="1"/>
          </right>
        </border>
      </ndxf>
    </rcc>
    <rfmt sheetId="1" sqref="EN106" start="0" length="0">
      <dxf>
        <border outline="0">
          <left/>
        </border>
      </dxf>
    </rfmt>
    <rfmt sheetId="1" sqref="FT106" start="0" length="0">
      <dxf>
        <border outline="0">
          <right style="mediumDashed">
            <color indexed="64"/>
          </right>
        </border>
      </dxf>
    </rfmt>
    <rfmt sheetId="1" sqref="FU106" start="0" length="0">
      <dxf>
        <border outline="0">
          <left/>
          <right/>
        </border>
      </dxf>
    </rfmt>
    <rfmt sheetId="1" sqref="FV106" start="0" length="0">
      <dxf>
        <border outline="0">
          <left/>
          <right/>
        </border>
      </dxf>
    </rfmt>
    <rfmt sheetId="1" sqref="FW106" start="0" length="0">
      <dxf>
        <border outline="0">
          <left/>
          <right/>
        </border>
      </dxf>
    </rfmt>
    <rfmt sheetId="1" sqref="FX106" start="0" length="0">
      <dxf>
        <border outline="0">
          <left/>
          <right/>
        </border>
      </dxf>
    </rfmt>
    <rfmt sheetId="1" sqref="FY106" start="0" length="0">
      <dxf>
        <border outline="0">
          <left/>
          <right/>
        </border>
      </dxf>
    </rfmt>
    <rfmt sheetId="1" sqref="FZ106" start="0" length="0">
      <dxf>
        <border outline="0">
          <left/>
          <right/>
        </border>
      </dxf>
    </rfmt>
    <rfmt sheetId="1" sqref="GA106" start="0" length="0">
      <dxf>
        <border outline="0">
          <left/>
          <right/>
        </border>
      </dxf>
    </rfmt>
    <rfmt sheetId="1" sqref="GB106" start="0" length="0">
      <dxf>
        <border outline="0">
          <left/>
          <right/>
        </border>
      </dxf>
    </rfmt>
    <rfmt sheetId="1" sqref="GC106" start="0" length="0">
      <dxf>
        <border outline="0">
          <left/>
          <right/>
        </border>
      </dxf>
    </rfmt>
    <rfmt sheetId="1" sqref="GD106" start="0" length="0">
      <dxf>
        <border outline="0">
          <left/>
          <right/>
        </border>
      </dxf>
    </rfmt>
    <rfmt sheetId="1" sqref="GE106" start="0" length="0">
      <dxf>
        <border outline="0">
          <left/>
          <right/>
        </border>
      </dxf>
    </rfmt>
    <rfmt sheetId="1" sqref="GF106" start="0" length="0">
      <dxf>
        <border outline="0">
          <left/>
          <right/>
        </border>
      </dxf>
    </rfmt>
    <rfmt sheetId="1" sqref="GG106" start="0" length="0">
      <dxf>
        <border outline="0">
          <left/>
          <right/>
        </border>
      </dxf>
    </rfmt>
    <rfmt sheetId="1" sqref="GH106" start="0" length="0">
      <dxf>
        <border outline="0">
          <left/>
          <right/>
        </border>
      </dxf>
    </rfmt>
    <rfmt sheetId="1" sqref="GI106" start="0" length="0">
      <dxf>
        <border outline="0">
          <left/>
          <right style="medium">
            <color auto="1"/>
          </right>
        </border>
      </dxf>
    </rfmt>
    <rfmt sheetId="1" sqref="GJ106" start="0" length="0">
      <dxf>
        <border outline="0">
          <left/>
        </border>
      </dxf>
    </rfmt>
    <rfmt sheetId="1" sqref="HP106" start="0" length="0">
      <dxf>
        <border outline="0">
          <right style="double">
            <color indexed="64"/>
          </right>
        </border>
      </dxf>
    </rfmt>
    <rfmt sheetId="1" sqref="HQ106" start="0" length="0">
      <dxf>
        <border outline="0">
          <left/>
          <right/>
        </border>
      </dxf>
    </rfmt>
    <rfmt sheetId="1" sqref="HR106" start="0" length="0">
      <dxf>
        <border outline="0">
          <left/>
          <right/>
        </border>
      </dxf>
    </rfmt>
    <rfmt sheetId="1" sqref="HS106" start="0" length="0">
      <dxf>
        <border outline="0">
          <left/>
          <right/>
        </border>
      </dxf>
    </rfmt>
    <rfmt sheetId="1" sqref="HT106" start="0" length="0">
      <dxf>
        <border outline="0">
          <left/>
          <right/>
        </border>
      </dxf>
    </rfmt>
    <rfmt sheetId="1" sqref="HU106" start="0" length="0">
      <dxf>
        <border outline="0">
          <left/>
          <right/>
        </border>
      </dxf>
    </rfmt>
    <rfmt sheetId="1" sqref="HV106" start="0" length="0">
      <dxf>
        <border outline="0">
          <left/>
          <right/>
        </border>
      </dxf>
    </rfmt>
    <rfmt sheetId="1" sqref="HW106" start="0" length="0">
      <dxf>
        <border outline="0">
          <left/>
          <right/>
        </border>
      </dxf>
    </rfmt>
    <rfmt sheetId="1" sqref="HX106" start="0" length="0">
      <dxf>
        <border outline="0">
          <left/>
          <right/>
        </border>
      </dxf>
    </rfmt>
    <rfmt sheetId="1" sqref="HY106" start="0" length="0">
      <dxf>
        <border outline="0">
          <left/>
          <right/>
        </border>
      </dxf>
    </rfmt>
    <rfmt sheetId="1" sqref="HZ106" start="0" length="0">
      <dxf>
        <border outline="0">
          <left/>
          <right/>
        </border>
      </dxf>
    </rfmt>
    <rfmt sheetId="1" sqref="IA106" start="0" length="0">
      <dxf>
        <border outline="0">
          <left/>
          <right/>
        </border>
      </dxf>
    </rfmt>
    <rfmt sheetId="1" sqref="IB106" start="0" length="0">
      <dxf>
        <border outline="0">
          <left/>
          <right/>
        </border>
      </dxf>
    </rfmt>
    <rfmt sheetId="1" sqref="IC106" start="0" length="0">
      <dxf>
        <border outline="0">
          <left/>
          <right/>
        </border>
      </dxf>
    </rfmt>
    <rfmt sheetId="1" sqref="ID106" start="0" length="0">
      <dxf>
        <border outline="0">
          <left/>
          <right/>
        </border>
      </dxf>
    </rfmt>
    <rfmt sheetId="1" sqref="IE106" start="0" length="0">
      <dxf>
        <border outline="0">
          <left/>
          <right style="mediumDashed">
            <color auto="1"/>
          </right>
        </border>
      </dxf>
    </rfmt>
    <rcc rId="0" sId="1" dxf="1">
      <nc r="IF106">
        <f>IF(ISNUMBER(GJ106),GJ106,IF(ISNUMBER(EN106),EN106,""))</f>
      </nc>
      <ndxf>
        <border outline="0">
          <left/>
        </border>
      </ndxf>
    </rcc>
    <rcc rId="0" sId="1">
      <nc r="IG106">
        <f>IF(ISNUMBER(GK106),GK106,IF(ISNUMBER(EO106),EO106,""))</f>
      </nc>
    </rcc>
    <rcc rId="0" sId="1">
      <nc r="IH106">
        <f>IF(ISNUMBER(GL106),GL106,IF(ISNUMBER(EP106),EP106,""))</f>
      </nc>
    </rcc>
    <rcc rId="0" sId="1">
      <nc r="II106">
        <f>IF(ISNUMBER(GM106),GM106,IF(ISNUMBER(EQ106),EQ106,""))</f>
      </nc>
    </rcc>
    <rcc rId="0" sId="1">
      <nc r="IJ106">
        <f>IF(ISNUMBER(GN106),GN106,IF(ISNUMBER(ER106),ER106,""))</f>
      </nc>
    </rcc>
    <rcc rId="0" sId="1">
      <nc r="IK106">
        <f>IF(ISNUMBER(GO106),GO106,IF(ISNUMBER(ES106),ES106,""))</f>
      </nc>
    </rcc>
    <rcc rId="0" sId="1">
      <nc r="IL106">
        <f>IF(ISNUMBER(GP106),GP106,IF(ISNUMBER(ET106),ET106,""))</f>
      </nc>
    </rcc>
    <rcc rId="0" sId="1">
      <nc r="IM106">
        <f>IF(ISNUMBER(GQ106),GQ106,IF(ISNUMBER(EU106),EU106,""))</f>
      </nc>
    </rcc>
    <rcc rId="0" sId="1">
      <nc r="IN106">
        <f>IF(ISNUMBER(GR106),GR106,IF(ISNUMBER(EV106),EV106,""))</f>
      </nc>
    </rcc>
    <rcc rId="0" sId="1">
      <nc r="IO106">
        <f>IF(ISNUMBER(GS106),GS106,IF(ISNUMBER(EW106),EW106,""))</f>
      </nc>
    </rcc>
    <rcc rId="0" sId="1">
      <nc r="IP106">
        <f>IF(ISNUMBER(GT106),GT106,IF(ISNUMBER(EX106),EX106,""))</f>
      </nc>
    </rcc>
    <rcc rId="0" sId="1">
      <nc r="IQ106">
        <f>IF(ISNUMBER(GU106),GU106,IF(ISNUMBER(EY106),EY106,""))</f>
      </nc>
    </rcc>
    <rcc rId="0" sId="1">
      <nc r="IR106">
        <f>IF(ISNUMBER(GV106),GV106,IF(ISNUMBER(EZ106),EZ106,""))</f>
      </nc>
    </rcc>
    <rcc rId="0" sId="1">
      <nc r="IS106">
        <f>IF(ISNUMBER(GW106),GW106,IF(ISNUMBER(FA106),FA106,""))</f>
      </nc>
    </rcc>
    <rcc rId="0" sId="1">
      <nc r="IT106">
        <f>IF(ISNUMBER(GX106),GX106,IF(ISNUMBER(FB106),FB106,""))</f>
      </nc>
    </rcc>
    <rcc rId="0" sId="1">
      <nc r="IU106">
        <f>IF(ISNUMBER(GY106),GY106,IF(ISNUMBER(FC106),FC106,""))</f>
      </nc>
    </rcc>
    <rcc rId="0" sId="1">
      <nc r="IV106">
        <f>IF(ISNUMBER(GZ106),GZ106,IF(ISNUMBER(FD106),FD106,""))</f>
      </nc>
    </rcc>
    <rcc rId="0" sId="1">
      <nc r="IW106">
        <f>IF(ISNUMBER(HA106),HA106,IF(ISNUMBER(FE106),FE106,""))</f>
      </nc>
    </rcc>
    <rcc rId="0" sId="1">
      <nc r="IX106">
        <f>IF(ISNUMBER(HB106),HB106,IF(ISNUMBER(FF106),FF106,""))</f>
      </nc>
    </rcc>
    <rcc rId="0" sId="1">
      <nc r="IY106">
        <f>IF(ISNUMBER(HC106),HC106,IF(ISNUMBER(FG106),FG106,""))</f>
      </nc>
    </rcc>
    <rcc rId="0" sId="1">
      <nc r="IZ106">
        <f>IF(ISNUMBER(HD106),HD106,IF(ISNUMBER(FH106),FH106,""))</f>
      </nc>
    </rcc>
    <rcc rId="0" sId="1">
      <nc r="JA106">
        <f>IF(ISNUMBER(HE106),HE106,IF(ISNUMBER(FI106),FI106,""))</f>
      </nc>
    </rcc>
    <rcc rId="0" sId="1">
      <nc r="JB106">
        <f>IF(ISNUMBER(HF106),HF106,IF(ISNUMBER(FJ106),FJ106,""))</f>
      </nc>
    </rcc>
    <rcc rId="0" sId="1">
      <nc r="JC106">
        <f>IF(ISNUMBER(HG106),HG106,IF(ISNUMBER(FK106),FK106,""))</f>
      </nc>
    </rcc>
    <rcc rId="0" sId="1">
      <nc r="JD106">
        <f>IF(ISNUMBER(HH106),HH106,IF(ISNUMBER(FL106),FL106,""))</f>
      </nc>
    </rcc>
    <rcc rId="0" sId="1">
      <nc r="JE106">
        <f>IF(ISNUMBER(HI106),HI106,IF(ISNUMBER(FM106),FM106,""))</f>
      </nc>
    </rcc>
    <rcc rId="0" sId="1">
      <nc r="JF106">
        <f>IF(ISNUMBER(HJ106),HJ106,IF(ISNUMBER(FN106),FN106,""))</f>
      </nc>
    </rcc>
    <rcc rId="0" sId="1">
      <nc r="JG106">
        <f>IF(ISNUMBER(HK106),HK106,IF(ISNUMBER(FO106),FO106,""))</f>
      </nc>
    </rcc>
    <rcc rId="0" sId="1">
      <nc r="JH106">
        <f>IF(ISNUMBER(HL106),HL106,IF(ISNUMBER(FP106),FP106,""))</f>
      </nc>
    </rcc>
    <rcc rId="0" sId="1">
      <nc r="JI106">
        <f>IF(ISNUMBER(HM106),HM106,IF(ISNUMBER(FQ106),FQ106,""))</f>
      </nc>
    </rcc>
    <rcc rId="0" sId="1">
      <nc r="JJ106">
        <f>IF(ISNUMBER(HN106),HN106,IF(ISNUMBER(FR106),FR106,""))</f>
      </nc>
    </rcc>
    <rcc rId="0" sId="1" dxf="1">
      <nc r="JK106">
        <f>IF(ISNUMBER(HO106),HO106,IF(ISNUMBER(FS106),FS106,""))</f>
      </nc>
      <ndxf>
        <border outline="0">
          <right/>
        </border>
      </ndxf>
    </rcc>
    <rcc rId="0" sId="1" dxf="1">
      <nc r="JL106">
        <f>IF(ISNUMBER(HP106),HP106,IF(ISNUMBER(FT106),FT106,""))</f>
      </nc>
      <ndxf>
        <border outline="0">
          <left/>
          <right/>
        </border>
      </ndxf>
    </rcc>
    <rcc rId="0" sId="1" dxf="1">
      <nc r="JM106">
        <f>IF(ISNUMBER(HQ106),HQ106,IF(ISNUMBER(FU106),FU106,""))</f>
      </nc>
      <ndxf>
        <border outline="0">
          <left/>
          <right/>
        </border>
      </ndxf>
    </rcc>
    <rcc rId="0" sId="1" dxf="1">
      <nc r="JN106">
        <f>IF(ISNUMBER(HR106),HR106,IF(ISNUMBER(FV106),FV106,""))</f>
      </nc>
      <ndxf>
        <border outline="0">
          <left/>
          <right/>
        </border>
      </ndxf>
    </rcc>
    <rcc rId="0" sId="1" dxf="1">
      <nc r="JO106">
        <f>IF(ISNUMBER(HS106),HS106,IF(ISNUMBER(FW106),FW106,""))</f>
      </nc>
      <ndxf>
        <border outline="0">
          <left/>
          <right/>
        </border>
      </ndxf>
    </rcc>
    <rcc rId="0" sId="1" dxf="1">
      <nc r="JP106">
        <f>IF(ISNUMBER(HT106),HT106,IF(ISNUMBER(FX106),FX106,""))</f>
      </nc>
      <ndxf>
        <border outline="0">
          <left/>
          <right/>
        </border>
      </ndxf>
    </rcc>
    <rcc rId="0" sId="1" dxf="1">
      <nc r="JQ106">
        <f>IF(ISNUMBER(HU106),HU106,IF(ISNUMBER(FY106),FY106,""))</f>
      </nc>
      <ndxf>
        <border outline="0">
          <left/>
          <right/>
        </border>
      </ndxf>
    </rcc>
    <rcc rId="0" sId="1" dxf="1">
      <nc r="JR106">
        <f>IF(ISNUMBER(HV106),HV106,IF(ISNUMBER(FZ106),FZ106,""))</f>
      </nc>
      <ndxf>
        <border outline="0">
          <left/>
          <right/>
        </border>
      </ndxf>
    </rcc>
    <rcc rId="0" sId="1" dxf="1">
      <nc r="JS106">
        <f>IF(ISNUMBER(HW106),HW106,IF(ISNUMBER(GA106),GA106,""))</f>
      </nc>
      <ndxf>
        <border outline="0">
          <left/>
          <right/>
        </border>
      </ndxf>
    </rcc>
    <rcc rId="0" sId="1" dxf="1">
      <nc r="JT106">
        <f>IF(ISNUMBER(HX106),HX106,IF(ISNUMBER(GB106),GB106,""))</f>
      </nc>
      <ndxf>
        <border outline="0">
          <left/>
          <right/>
        </border>
      </ndxf>
    </rcc>
    <rcc rId="0" sId="1" dxf="1">
      <nc r="JU106">
        <f>IF(ISNUMBER(HY106),HY106,IF(ISNUMBER(GC106),GC106,""))</f>
      </nc>
      <ndxf>
        <border outline="0">
          <left/>
          <right/>
        </border>
      </ndxf>
    </rcc>
    <rcc rId="0" sId="1" dxf="1">
      <nc r="JV106">
        <f>IF(ISNUMBER(HZ106),HZ106,IF(ISNUMBER(GD106),GD106,""))</f>
      </nc>
      <ndxf>
        <border outline="0">
          <left/>
          <right/>
        </border>
      </ndxf>
    </rcc>
    <rcc rId="0" sId="1" dxf="1">
      <nc r="JW106">
        <f>IF(ISNUMBER(IA106),IA106,IF(ISNUMBER(GE106),GE106,""))</f>
      </nc>
      <ndxf>
        <border outline="0">
          <left/>
          <right/>
        </border>
      </ndxf>
    </rcc>
    <rcc rId="0" sId="1" dxf="1">
      <nc r="JX106">
        <f>IF(ISNUMBER(IB106),IB106,IF(ISNUMBER(GF106),GF106,""))</f>
      </nc>
      <ndxf>
        <border outline="0">
          <left/>
          <right/>
        </border>
      </ndxf>
    </rcc>
    <rcc rId="0" sId="1" dxf="1">
      <nc r="JY106">
        <f>IF(ISNUMBER(IC106),IC106,IF(ISNUMBER(GG106),GG106,""))</f>
      </nc>
      <ndxf>
        <border outline="0">
          <left/>
          <right/>
        </border>
      </ndxf>
    </rcc>
    <rcc rId="0" sId="1" dxf="1">
      <nc r="JZ106">
        <f>IF(ISNUMBER(ID106),ID106,IF(ISNUMBER(GH106),GH106,""))</f>
      </nc>
      <ndxf>
        <border outline="0">
          <left/>
          <right/>
        </border>
      </ndxf>
    </rcc>
    <rcc rId="0" sId="1" dxf="1">
      <nc r="KA106">
        <f>IF(ISNUMBER(IE106),IE106,IF(ISNUMBER(GI106),GI106,""))</f>
      </nc>
      <ndxf>
        <border outline="0">
          <left/>
          <right style="mediumDashed">
            <color auto="1"/>
          </right>
        </border>
      </ndxf>
    </rcc>
    <rcc rId="0" sId="1" dxf="1">
      <nc r="KB106">
        <f>IF(AND(ISNUMBER(IF106),ISNUMBER(CR106)),IF106-CR106,"")</f>
      </nc>
      <ndxf>
        <border outline="0">
          <left/>
        </border>
      </ndxf>
    </rcc>
    <rcc rId="0" sId="1">
      <nc r="KC106">
        <f>IF(AND(ISNUMBER(IG106),ISNUMBER(CS106)),IG106-CS106,"")</f>
      </nc>
    </rcc>
    <rcc rId="0" sId="1">
      <nc r="KD106">
        <f>IF(AND(ISNUMBER(IH106),ISNUMBER(CT106)),IH106-CT106,"")</f>
      </nc>
    </rcc>
    <rcc rId="0" sId="1">
      <nc r="KE106">
        <f>IF(AND(ISNUMBER(II106),ISNUMBER(CU106)),II106-CU106,"")</f>
      </nc>
    </rcc>
    <rcc rId="0" sId="1">
      <nc r="KF106">
        <f>IF(AND(ISNUMBER(IJ106),ISNUMBER(CV106)),IJ106-CV106,"")</f>
      </nc>
    </rcc>
    <rcc rId="0" sId="1">
      <nc r="KG106">
        <f>IF(AND(ISNUMBER(IK106),ISNUMBER(CW106)),IK106-CW106,"")</f>
      </nc>
    </rcc>
    <rcc rId="0" sId="1">
      <nc r="KH106">
        <f>IF(AND(ISNUMBER(IL106),ISNUMBER(CX106)),IL106-CX106,"")</f>
      </nc>
    </rcc>
    <rcc rId="0" sId="1">
      <nc r="KI106">
        <f>IF(AND(ISNUMBER(IM106),ISNUMBER(CY106)),IM106-CY106,"")</f>
      </nc>
    </rcc>
    <rcc rId="0" sId="1">
      <nc r="KJ106">
        <f>IF(AND(ISNUMBER(IN106),ISNUMBER(CZ106)),IN106-CZ106,"")</f>
      </nc>
    </rcc>
    <rcc rId="0" sId="1">
      <nc r="KK106">
        <f>IF(AND(ISNUMBER(IO106),ISNUMBER(DA106)),IO106-DA106,"")</f>
      </nc>
    </rcc>
    <rcc rId="0" sId="1">
      <nc r="KL106">
        <f>IF(AND(ISNUMBER(IP106),ISNUMBER(DB106)),IP106-DB106,"")</f>
      </nc>
    </rcc>
    <rcc rId="0" sId="1">
      <nc r="KM106">
        <f>IF(AND(ISNUMBER(IQ106),ISNUMBER(DC106)),IQ106-DC106,"")</f>
      </nc>
    </rcc>
    <rcc rId="0" sId="1">
      <nc r="KN106">
        <f>IF(AND(ISNUMBER(IR106),ISNUMBER(DD106)),IR106-DD106,"")</f>
      </nc>
    </rcc>
    <rcc rId="0" sId="1">
      <nc r="KO106">
        <f>IF(AND(ISNUMBER(IS106),ISNUMBER(DE106)),IS106-DE106,"")</f>
      </nc>
    </rcc>
    <rcc rId="0" sId="1">
      <nc r="KP106">
        <f>IF(AND(ISNUMBER(IT106),ISNUMBER(DF106)),IT106-DF106,"")</f>
      </nc>
    </rcc>
    <rcc rId="0" sId="1">
      <nc r="KQ106">
        <f>IF(AND(ISNUMBER(IU106),ISNUMBER(DG106)),IU106-DG106,"")</f>
      </nc>
    </rcc>
    <rcc rId="0" sId="1">
      <nc r="KR106">
        <f>IF(AND(ISNUMBER(IV106),ISNUMBER(DH106)),IV106-DH106,"")</f>
      </nc>
    </rcc>
    <rcc rId="0" sId="1">
      <nc r="KS106">
        <f>IF(AND(ISNUMBER(IW106),ISNUMBER(DI106)),IW106-DI106,"")</f>
      </nc>
    </rcc>
    <rcc rId="0" sId="1">
      <nc r="KT106">
        <f>IF(AND(ISNUMBER(IX106),ISNUMBER(DJ106)),IX106-DJ106,"")</f>
      </nc>
    </rcc>
    <rcc rId="0" sId="1">
      <nc r="KU106">
        <f>IF(AND(ISNUMBER(IY106),ISNUMBER(DK106)),IY106-DK106,"")</f>
      </nc>
    </rcc>
    <rcc rId="0" sId="1">
      <nc r="KV106">
        <f>IF(AND(ISNUMBER(IZ106),ISNUMBER(DL106)),IZ106-DL106,"")</f>
      </nc>
    </rcc>
    <rcc rId="0" sId="1">
      <nc r="KW106">
        <f>IF(AND(ISNUMBER(JA106),ISNUMBER(DM106)),JA106-DM106,"")</f>
      </nc>
    </rcc>
    <rcc rId="0" sId="1">
      <nc r="KX106">
        <f>IF(AND(ISNUMBER(JB106),ISNUMBER(DN106)),JB106-DN106,"")</f>
      </nc>
    </rcc>
    <rcc rId="0" sId="1">
      <nc r="KY106">
        <f>IF(AND(ISNUMBER(JC106),ISNUMBER(DO106)),JC106-DO106,"")</f>
      </nc>
    </rcc>
    <rcc rId="0" sId="1">
      <nc r="KZ106">
        <f>IF(AND(ISNUMBER(JD106),ISNUMBER(DP106)),JD106-DP106,"")</f>
      </nc>
    </rcc>
    <rcc rId="0" sId="1">
      <nc r="LA106">
        <f>IF(AND(ISNUMBER(JE106),ISNUMBER(DQ106)),JE106-DQ106,"")</f>
      </nc>
    </rcc>
    <rcc rId="0" sId="1">
      <nc r="LB106">
        <f>IF(AND(ISNUMBER(JF106),ISNUMBER(DR106)),JF106-DR106,"")</f>
      </nc>
    </rcc>
    <rcc rId="0" sId="1">
      <nc r="LC106">
        <f>IF(AND(ISNUMBER(JG106),ISNUMBER(DS106)),JG106-DS106,"")</f>
      </nc>
    </rcc>
    <rcc rId="0" sId="1">
      <nc r="LD106">
        <f>IF(AND(ISNUMBER(JH106),ISNUMBER(DT106)),JH106-DT106,"")</f>
      </nc>
    </rcc>
    <rcc rId="0" sId="1">
      <nc r="LE106">
        <f>IF(AND(ISNUMBER(JI106),ISNUMBER(DU106)),JI106-DU106,"")</f>
      </nc>
    </rcc>
    <rcc rId="0" sId="1">
      <nc r="LF106">
        <f>IF(AND(ISNUMBER(JJ106),ISNUMBER(DV106)),JJ106-DV106,"")</f>
      </nc>
    </rcc>
    <rcc rId="0" sId="1">
      <nc r="LG106">
        <f>IF(AND(ISNUMBER(JK106),ISNUMBER(DW106)),JK106-DW106,"")</f>
      </nc>
    </rcc>
    <rcc rId="0" sId="1">
      <nc r="LH106">
        <f>IF(AND(ISNUMBER(JL106),ISNUMBER(DX106)),JL106-DX106,"")</f>
      </nc>
    </rcc>
    <rcc rId="0" sId="1">
      <nc r="LI106">
        <f>IF(AND(ISNUMBER(JM106),ISNUMBER(DY106)),JM106-DY106,"")</f>
      </nc>
    </rcc>
    <rcc rId="0" sId="1">
      <nc r="LJ106">
        <f>IF(AND(ISNUMBER(JN106),ISNUMBER(DZ106)),JN106-DZ106,"")</f>
      </nc>
    </rcc>
    <rcc rId="0" sId="1">
      <nc r="LK106">
        <f>IF(AND(ISNUMBER(JO106),ISNUMBER(EA106)),JO106-EA106,"")</f>
      </nc>
    </rcc>
    <rcc rId="0" sId="1">
      <nc r="LL106">
        <f>IF(AND(ISNUMBER(JP106),ISNUMBER(EB106)),JP106-EB106,"")</f>
      </nc>
    </rcc>
    <rcc rId="0" sId="1">
      <nc r="LM106">
        <f>IF(AND(ISNUMBER(JQ106),ISNUMBER(EC106)),JQ106-EC106,"")</f>
      </nc>
    </rcc>
    <rcc rId="0" sId="1">
      <nc r="LN106">
        <f>IF(AND(ISNUMBER(JR106),ISNUMBER(ED106)),JR106-ED106,"")</f>
      </nc>
    </rcc>
    <rcc rId="0" sId="1">
      <nc r="LO106">
        <f>IF(AND(ISNUMBER(JS106),ISNUMBER(EE106)),JS106-EE106,"")</f>
      </nc>
    </rcc>
    <rcc rId="0" sId="1">
      <nc r="LP106">
        <f>IF(AND(ISNUMBER(JT106),ISNUMBER(EF106)),JT106-EF106,"")</f>
      </nc>
    </rcc>
    <rcc rId="0" sId="1">
      <nc r="LQ106">
        <f>IF(AND(ISNUMBER(JU106),ISNUMBER(EG106)),JU106-EG106,"")</f>
      </nc>
    </rcc>
    <rcc rId="0" sId="1">
      <nc r="LR106">
        <f>IF(AND(ISNUMBER(JV106),ISNUMBER(EH106)),JV106-EH106,"")</f>
      </nc>
    </rcc>
    <rcc rId="0" sId="1">
      <nc r="LS106">
        <f>IF(AND(ISNUMBER(JW106),ISNUMBER(EI106)),JW106-EI106,"")</f>
      </nc>
    </rcc>
    <rcc rId="0" sId="1">
      <nc r="LT106">
        <f>IF(AND(ISNUMBER(JX106),ISNUMBER(EJ106)),JX106-EJ106,"")</f>
      </nc>
    </rcc>
    <rcc rId="0" sId="1">
      <nc r="LU106">
        <f>IF(AND(ISNUMBER(JY106),ISNUMBER(EK106)),JY106-EK106,"")</f>
      </nc>
    </rcc>
    <rcc rId="0" sId="1">
      <nc r="LV106">
        <f>IF(AND(ISNUMBER(JZ106),ISNUMBER(EL106)),JZ106-EL106,"")</f>
      </nc>
    </rcc>
    <rcc rId="0" sId="1">
      <nc r="LW106">
        <f>IF(AND(ISNUMBER(KA106),ISNUMBER(EM106)),KA106-EM106,"")</f>
      </nc>
    </rcc>
    <rcc rId="0" sId="1">
      <nc r="LX106">
        <f>IF(AND(ISNUMBER(HQ106),ISNUMBER(FU106)),HQ106-FU106,"")</f>
      </nc>
    </rcc>
    <rcc rId="0" sId="1">
      <nc r="LY106">
        <f>IF(AND(ISNUMBER(HR106),ISNUMBER(FV106)),HR106-FV106,"")</f>
      </nc>
    </rcc>
    <rcc rId="0" sId="1">
      <nc r="LZ106">
        <f>IF(AND(ISNUMBER(HV106),ISNUMBER(FZ106)),HV106-FZ106,"")</f>
      </nc>
    </rcc>
    <rcc rId="0" sId="1">
      <nc r="MA106">
        <f>HW106-GA106</f>
      </nc>
    </rcc>
  </rrc>
  <rcc rId="1554" sId="1">
    <nc r="AH107">
      <v>1</v>
    </nc>
  </rcc>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5" sId="1">
    <nc r="AH116">
      <v>1</v>
    </nc>
  </rcc>
  <rcc rId="1556" sId="1">
    <oc r="AI116" t="inlineStr">
      <is>
        <t>y</t>
      </is>
    </oc>
    <nc r="AI116"/>
  </rcc>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7" sId="1">
    <nc r="AH118">
      <v>1</v>
    </nc>
  </rcc>
  <rcc rId="1558" sId="1">
    <oc r="AI118" t="inlineStr">
      <is>
        <t>y</t>
      </is>
    </oc>
    <nc r="AI118"/>
  </rcc>
  <rcc rId="1559" sId="1">
    <nc r="AH120">
      <v>2</v>
    </nc>
  </rcc>
  <rcc rId="1560" sId="1">
    <oc r="AI120" t="inlineStr">
      <is>
        <t>y</t>
      </is>
    </oc>
    <nc r="AI120"/>
  </rcc>
  <rcc rId="1561" sId="1">
    <nc r="AH121">
      <v>1</v>
    </nc>
  </rcc>
  <rcc rId="1562" sId="1">
    <oc r="AI121" t="inlineStr">
      <is>
        <t>y</t>
      </is>
    </oc>
    <nc r="AI121"/>
  </rcc>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563" sId="1" ref="CR1:CR1048576" action="insertCol">
    <undo index="2" exp="area" ref3D="1" dr="$EN$1:$HP$1048576" dn="Z_9D4EC4DC_E305_42C0_86D3_802895C39393_.wvu.Cols" sId="1"/>
  </rrc>
  <rdn rId="1564" name="MISSING_PENT_6">
    <formula>Data!$CP:$CP</formula>
  </rdn>
  <rdn rId="1565" name="MISSING_PENT_12">
    <formula>Data!$CQ:$CQ</formula>
  </rdn>
  <rcc rId="1566" sId="1">
    <nc r="CR1" t="inlineStr">
      <is>
        <t>Missing all pentacam</t>
      </is>
    </nc>
  </rcc>
  <rcc rId="1567" sId="1">
    <nc r="CR2">
      <f>IF(OR(ISNUMBER(MISSING_PENT_6),ISNUMBER(MISSING_PENT_12)),AND(MISSING_PENT_6,MISSING_PENT_12),"")</f>
    </nc>
  </rcc>
  <rcc rId="1568" sId="1">
    <nc r="CR3">
      <f>IF(OR(ISNUMBER(MISSING_PENT_6),ISNUMBER(MISSING_PENT_12)),AND(MISSING_PENT_6,MISSING_PENT_12),"")</f>
    </nc>
  </rcc>
  <rcc rId="1569" sId="1">
    <nc r="CR4">
      <f>IF(OR(ISNUMBER(MISSING_PENT_6),ISNUMBER(MISSING_PENT_12)),AND(MISSING_PENT_6,MISSING_PENT_12),"")</f>
    </nc>
  </rcc>
  <rcc rId="1570" sId="1">
    <nc r="CR5">
      <f>IF(OR(ISNUMBER(MISSING_PENT_6),ISNUMBER(MISSING_PENT_12)),AND(MISSING_PENT_6,MISSING_PENT_12),"")</f>
    </nc>
  </rcc>
  <rcc rId="1571" sId="1">
    <nc r="CR6">
      <f>IF(OR(ISNUMBER(MISSING_PENT_6),ISNUMBER(MISSING_PENT_12)),AND(MISSING_PENT_6,MISSING_PENT_12),"")</f>
    </nc>
  </rcc>
  <rcc rId="1572" sId="1">
    <nc r="CR7">
      <f>IF(OR(ISNUMBER(MISSING_PENT_6),ISNUMBER(MISSING_PENT_12)),AND(MISSING_PENT_6,MISSING_PENT_12),"")</f>
    </nc>
  </rcc>
  <rcc rId="1573" sId="1">
    <nc r="CR8">
      <f>IF(OR(ISNUMBER(MISSING_PENT_6),ISNUMBER(MISSING_PENT_12)),AND(MISSING_PENT_6,MISSING_PENT_12),"")</f>
    </nc>
  </rcc>
  <rcc rId="1574" sId="1">
    <nc r="CR9">
      <f>IF(OR(ISNUMBER(MISSING_PENT_6),ISNUMBER(MISSING_PENT_12)),AND(MISSING_PENT_6,MISSING_PENT_12),"")</f>
    </nc>
  </rcc>
  <rcc rId="1575" sId="1">
    <nc r="CR10">
      <f>IF(OR(ISNUMBER(MISSING_PENT_6),ISNUMBER(MISSING_PENT_12)),AND(MISSING_PENT_6,MISSING_PENT_12),"")</f>
    </nc>
  </rcc>
  <rcc rId="1576" sId="1">
    <nc r="CR11">
      <f>IF(OR(ISNUMBER(MISSING_PENT_6),ISNUMBER(MISSING_PENT_12)),AND(MISSING_PENT_6,MISSING_PENT_12),"")</f>
    </nc>
  </rcc>
  <rcc rId="1577" sId="1">
    <nc r="CR12">
      <f>IF(OR(ISNUMBER(MISSING_PENT_6),ISNUMBER(MISSING_PENT_12)),AND(MISSING_PENT_6,MISSING_PENT_12),"")</f>
    </nc>
  </rcc>
  <rcc rId="1578" sId="1">
    <nc r="CR13">
      <f>IF(OR(ISNUMBER(MISSING_PENT_6),ISNUMBER(MISSING_PENT_12)),AND(MISSING_PENT_6,MISSING_PENT_12),"")</f>
    </nc>
  </rcc>
  <rcc rId="1579" sId="1">
    <nc r="CR14">
      <f>IF(OR(ISNUMBER(MISSING_PENT_6),ISNUMBER(MISSING_PENT_12)),AND(MISSING_PENT_6,MISSING_PENT_12),"")</f>
    </nc>
  </rcc>
  <rcc rId="1580" sId="1">
    <nc r="CR15">
      <f>IF(OR(ISNUMBER(MISSING_PENT_6),ISNUMBER(MISSING_PENT_12)),AND(MISSING_PENT_6,MISSING_PENT_12),"")</f>
    </nc>
  </rcc>
  <rcc rId="1581" sId="1">
    <nc r="CR16">
      <f>IF(OR(ISNUMBER(MISSING_PENT_6),ISNUMBER(MISSING_PENT_12)),AND(MISSING_PENT_6,MISSING_PENT_12),"")</f>
    </nc>
  </rcc>
  <rcc rId="1582" sId="1">
    <nc r="CR17">
      <f>IF(OR(ISNUMBER(MISSING_PENT_6),ISNUMBER(MISSING_PENT_12)),AND(MISSING_PENT_6,MISSING_PENT_12),"")</f>
    </nc>
  </rcc>
  <rcc rId="1583" sId="1">
    <nc r="CR18">
      <f>IF(OR(ISNUMBER(MISSING_PENT_6),ISNUMBER(MISSING_PENT_12)),AND(MISSING_PENT_6,MISSING_PENT_12),"")</f>
    </nc>
  </rcc>
  <rcc rId="1584" sId="1">
    <nc r="CR19">
      <f>IF(OR(ISNUMBER(MISSING_PENT_6),ISNUMBER(MISSING_PENT_12)),AND(MISSING_PENT_6,MISSING_PENT_12),"")</f>
    </nc>
  </rcc>
  <rcc rId="1585" sId="1">
    <nc r="CR20">
      <f>IF(OR(ISNUMBER(MISSING_PENT_6),ISNUMBER(MISSING_PENT_12)),AND(MISSING_PENT_6,MISSING_PENT_12),"")</f>
    </nc>
  </rcc>
  <rcc rId="1586" sId="1">
    <nc r="CR21">
      <f>IF(OR(ISNUMBER(MISSING_PENT_6),ISNUMBER(MISSING_PENT_12)),AND(MISSING_PENT_6,MISSING_PENT_12),"")</f>
    </nc>
  </rcc>
  <rcc rId="1587" sId="1">
    <nc r="CR22">
      <f>IF(OR(ISNUMBER(MISSING_PENT_6),ISNUMBER(MISSING_PENT_12)),AND(MISSING_PENT_6,MISSING_PENT_12),"")</f>
    </nc>
  </rcc>
  <rcc rId="1588" sId="1">
    <nc r="CR23">
      <f>IF(OR(ISNUMBER(MISSING_PENT_6),ISNUMBER(MISSING_PENT_12)),AND(MISSING_PENT_6,MISSING_PENT_12),"")</f>
    </nc>
  </rcc>
  <rcc rId="1589" sId="1">
    <nc r="CR24">
      <f>IF(OR(ISNUMBER(MISSING_PENT_6),ISNUMBER(MISSING_PENT_12)),AND(MISSING_PENT_6,MISSING_PENT_12),"")</f>
    </nc>
  </rcc>
  <rcc rId="1590" sId="1">
    <nc r="CR25">
      <f>IF(OR(ISNUMBER(MISSING_PENT_6),ISNUMBER(MISSING_PENT_12)),AND(MISSING_PENT_6,MISSING_PENT_12),"")</f>
    </nc>
  </rcc>
  <rcc rId="1591" sId="1">
    <nc r="CR26">
      <f>IF(OR(ISNUMBER(MISSING_PENT_6),ISNUMBER(MISSING_PENT_12)),AND(MISSING_PENT_6,MISSING_PENT_12),"")</f>
    </nc>
  </rcc>
  <rcc rId="1592" sId="1">
    <nc r="CR27">
      <f>IF(OR(ISNUMBER(MISSING_PENT_6),ISNUMBER(MISSING_PENT_12)),AND(MISSING_PENT_6,MISSING_PENT_12),"")</f>
    </nc>
  </rcc>
  <rcc rId="1593" sId="1">
    <nc r="CR28">
      <f>IF(OR(ISNUMBER(MISSING_PENT_6),ISNUMBER(MISSING_PENT_12)),AND(MISSING_PENT_6,MISSING_PENT_12),"")</f>
    </nc>
  </rcc>
  <rcc rId="1594" sId="1">
    <nc r="CR29">
      <f>IF(OR(ISNUMBER(MISSING_PENT_6),ISNUMBER(MISSING_PENT_12)),AND(MISSING_PENT_6,MISSING_PENT_12),"")</f>
    </nc>
  </rcc>
  <rcc rId="1595" sId="1">
    <nc r="CR30">
      <f>IF(OR(ISNUMBER(MISSING_PENT_6),ISNUMBER(MISSING_PENT_12)),AND(MISSING_PENT_6,MISSING_PENT_12),"")</f>
    </nc>
  </rcc>
  <rcc rId="1596" sId="1">
    <nc r="CR31">
      <f>IF(OR(ISNUMBER(MISSING_PENT_6),ISNUMBER(MISSING_PENT_12)),AND(MISSING_PENT_6,MISSING_PENT_12),"")</f>
    </nc>
  </rcc>
  <rcc rId="1597" sId="1">
    <nc r="CR32">
      <f>IF(OR(ISNUMBER(MISSING_PENT_6),ISNUMBER(MISSING_PENT_12)),AND(MISSING_PENT_6,MISSING_PENT_12),"")</f>
    </nc>
  </rcc>
  <rcc rId="1598" sId="1">
    <nc r="CR33">
      <f>IF(OR(ISNUMBER(MISSING_PENT_6),ISNUMBER(MISSING_PENT_12)),AND(MISSING_PENT_6,MISSING_PENT_12),"")</f>
    </nc>
  </rcc>
  <rcc rId="1599" sId="1">
    <nc r="CR34">
      <f>IF(OR(ISNUMBER(MISSING_PENT_6),ISNUMBER(MISSING_PENT_12)),AND(MISSING_PENT_6,MISSING_PENT_12),"")</f>
    </nc>
  </rcc>
  <rcc rId="1600" sId="1">
    <nc r="CR35">
      <f>IF(OR(ISNUMBER(MISSING_PENT_6),ISNUMBER(MISSING_PENT_12)),AND(MISSING_PENT_6,MISSING_PENT_12),"")</f>
    </nc>
  </rcc>
  <rcc rId="1601" sId="1">
    <nc r="CR36">
      <f>IF(OR(ISNUMBER(MISSING_PENT_6),ISNUMBER(MISSING_PENT_12)),AND(MISSING_PENT_6,MISSING_PENT_12),"")</f>
    </nc>
  </rcc>
  <rcc rId="1602" sId="1">
    <nc r="CR37">
      <f>IF(OR(ISNUMBER(MISSING_PENT_6),ISNUMBER(MISSING_PENT_12)),AND(MISSING_PENT_6,MISSING_PENT_12),"")</f>
    </nc>
  </rcc>
  <rcc rId="1603" sId="1">
    <nc r="CR38">
      <f>IF(OR(ISNUMBER(MISSING_PENT_6),ISNUMBER(MISSING_PENT_12)),AND(MISSING_PENT_6,MISSING_PENT_12),"")</f>
    </nc>
  </rcc>
  <rcc rId="1604" sId="1">
    <nc r="CR39">
      <f>IF(OR(ISNUMBER(MISSING_PENT_6),ISNUMBER(MISSING_PENT_12)),AND(MISSING_PENT_6,MISSING_PENT_12),"")</f>
    </nc>
  </rcc>
  <rcc rId="1605" sId="1">
    <nc r="CR40">
      <f>IF(OR(ISNUMBER(MISSING_PENT_6),ISNUMBER(MISSING_PENT_12)),AND(MISSING_PENT_6,MISSING_PENT_12),"")</f>
    </nc>
  </rcc>
  <rcc rId="1606" sId="1">
    <nc r="CR41">
      <f>IF(OR(ISNUMBER(MISSING_PENT_6),ISNUMBER(MISSING_PENT_12)),AND(MISSING_PENT_6,MISSING_PENT_12),"")</f>
    </nc>
  </rcc>
  <rcc rId="1607" sId="1">
    <nc r="CR42">
      <f>IF(OR(ISNUMBER(MISSING_PENT_6),ISNUMBER(MISSING_PENT_12)),AND(MISSING_PENT_6,MISSING_PENT_12),"")</f>
    </nc>
  </rcc>
  <rcc rId="1608" sId="1">
    <nc r="CR43">
      <f>IF(OR(ISNUMBER(MISSING_PENT_6),ISNUMBER(MISSING_PENT_12)),AND(MISSING_PENT_6,MISSING_PENT_12),"")</f>
    </nc>
  </rcc>
  <rcc rId="1609" sId="1">
    <nc r="CR44">
      <f>IF(OR(ISNUMBER(MISSING_PENT_6),ISNUMBER(MISSING_PENT_12)),AND(MISSING_PENT_6,MISSING_PENT_12),"")</f>
    </nc>
  </rcc>
  <rcc rId="1610" sId="1">
    <nc r="CR45">
      <f>IF(OR(ISNUMBER(MISSING_PENT_6),ISNUMBER(MISSING_PENT_12)),AND(MISSING_PENT_6,MISSING_PENT_12),"")</f>
    </nc>
  </rcc>
  <rcc rId="1611" sId="1">
    <nc r="CR46">
      <f>IF(OR(ISNUMBER(MISSING_PENT_6),ISNUMBER(MISSING_PENT_12)),AND(MISSING_PENT_6,MISSING_PENT_12),"")</f>
    </nc>
  </rcc>
  <rcc rId="1612" sId="1">
    <nc r="CR47">
      <f>IF(OR(ISNUMBER(MISSING_PENT_6),ISNUMBER(MISSING_PENT_12)),AND(MISSING_PENT_6,MISSING_PENT_12),"")</f>
    </nc>
  </rcc>
  <rcc rId="1613" sId="1">
    <nc r="CR48">
      <f>IF(OR(ISNUMBER(MISSING_PENT_6),ISNUMBER(MISSING_PENT_12)),AND(MISSING_PENT_6,MISSING_PENT_12),"")</f>
    </nc>
  </rcc>
  <rcc rId="1614" sId="1">
    <nc r="CR49">
      <f>IF(OR(ISNUMBER(MISSING_PENT_6),ISNUMBER(MISSING_PENT_12)),AND(MISSING_PENT_6,MISSING_PENT_12),"")</f>
    </nc>
  </rcc>
  <rcc rId="1615" sId="1">
    <nc r="CR50">
      <f>IF(OR(ISNUMBER(MISSING_PENT_6),ISNUMBER(MISSING_PENT_12)),AND(MISSING_PENT_6,MISSING_PENT_12),"")</f>
    </nc>
  </rcc>
  <rcc rId="1616" sId="1">
    <nc r="CR51">
      <f>IF(OR(ISNUMBER(MISSING_PENT_6),ISNUMBER(MISSING_PENT_12)),AND(MISSING_PENT_6,MISSING_PENT_12),"")</f>
    </nc>
  </rcc>
  <rcc rId="1617" sId="1">
    <nc r="CR52">
      <f>IF(OR(ISNUMBER(MISSING_PENT_6),ISNUMBER(MISSING_PENT_12)),AND(MISSING_PENT_6,MISSING_PENT_12),"")</f>
    </nc>
  </rcc>
  <rcc rId="1618" sId="1">
    <nc r="CR53">
      <f>IF(OR(ISNUMBER(MISSING_PENT_6),ISNUMBER(MISSING_PENT_12)),AND(MISSING_PENT_6,MISSING_PENT_12),"")</f>
    </nc>
  </rcc>
  <rcc rId="1619" sId="1">
    <nc r="CR54">
      <f>IF(OR(ISNUMBER(MISSING_PENT_6),ISNUMBER(MISSING_PENT_12)),AND(MISSING_PENT_6,MISSING_PENT_12),"")</f>
    </nc>
  </rcc>
  <rcc rId="1620" sId="1">
    <nc r="CR55">
      <f>IF(OR(ISNUMBER(MISSING_PENT_6),ISNUMBER(MISSING_PENT_12)),AND(MISSING_PENT_6,MISSING_PENT_12),"")</f>
    </nc>
  </rcc>
  <rcc rId="1621" sId="1">
    <nc r="CR56">
      <f>IF(OR(ISNUMBER(MISSING_PENT_6),ISNUMBER(MISSING_PENT_12)),AND(MISSING_PENT_6,MISSING_PENT_12),"")</f>
    </nc>
  </rcc>
  <rcc rId="1622" sId="1">
    <nc r="CR57">
      <f>IF(OR(ISNUMBER(MISSING_PENT_6),ISNUMBER(MISSING_PENT_12)),AND(MISSING_PENT_6,MISSING_PENT_12),"")</f>
    </nc>
  </rcc>
  <rcc rId="1623" sId="1">
    <nc r="CR58">
      <f>IF(OR(ISNUMBER(MISSING_PENT_6),ISNUMBER(MISSING_PENT_12)),AND(MISSING_PENT_6,MISSING_PENT_12),"")</f>
    </nc>
  </rcc>
  <rcc rId="1624" sId="1">
    <nc r="CR59">
      <f>IF(OR(ISNUMBER(MISSING_PENT_6),ISNUMBER(MISSING_PENT_12)),AND(MISSING_PENT_6,MISSING_PENT_12),"")</f>
    </nc>
  </rcc>
  <rcc rId="1625" sId="1">
    <nc r="CR60">
      <f>IF(OR(ISNUMBER(MISSING_PENT_6),ISNUMBER(MISSING_PENT_12)),AND(MISSING_PENT_6,MISSING_PENT_12),"")</f>
    </nc>
  </rcc>
  <rcc rId="1626" sId="1">
    <nc r="CR61">
      <f>IF(OR(ISNUMBER(MISSING_PENT_6),ISNUMBER(MISSING_PENT_12)),AND(MISSING_PENT_6,MISSING_PENT_12),"")</f>
    </nc>
  </rcc>
  <rcc rId="1627" sId="1">
    <nc r="CR62">
      <f>IF(OR(ISNUMBER(MISSING_PENT_6),ISNUMBER(MISSING_PENT_12)),AND(MISSING_PENT_6,MISSING_PENT_12),"")</f>
    </nc>
  </rcc>
  <rcc rId="1628" sId="1">
    <nc r="CR63">
      <f>IF(OR(ISNUMBER(MISSING_PENT_6),ISNUMBER(MISSING_PENT_12)),AND(MISSING_PENT_6,MISSING_PENT_12),"")</f>
    </nc>
  </rcc>
  <rcc rId="1629" sId="1">
    <nc r="CR64">
      <f>IF(OR(ISNUMBER(MISSING_PENT_6),ISNUMBER(MISSING_PENT_12)),AND(MISSING_PENT_6,MISSING_PENT_12),"")</f>
    </nc>
  </rcc>
  <rcc rId="1630" sId="1">
    <nc r="CR65">
      <f>IF(OR(ISNUMBER(MISSING_PENT_6),ISNUMBER(MISSING_PENT_12)),AND(MISSING_PENT_6,MISSING_PENT_12),"")</f>
    </nc>
  </rcc>
  <rcc rId="1631" sId="1">
    <nc r="CR66">
      <f>IF(OR(ISNUMBER(MISSING_PENT_6),ISNUMBER(MISSING_PENT_12)),AND(MISSING_PENT_6,MISSING_PENT_12),"")</f>
    </nc>
  </rcc>
  <rcc rId="1632" sId="1">
    <nc r="CR67">
      <f>IF(OR(ISNUMBER(MISSING_PENT_6),ISNUMBER(MISSING_PENT_12)),AND(MISSING_PENT_6,MISSING_PENT_12),"")</f>
    </nc>
  </rcc>
  <rcc rId="1633" sId="1">
    <nc r="CR68">
      <f>IF(OR(ISNUMBER(MISSING_PENT_6),ISNUMBER(MISSING_PENT_12)),AND(MISSING_PENT_6,MISSING_PENT_12),"")</f>
    </nc>
  </rcc>
  <rcc rId="1634" sId="1">
    <nc r="CR69">
      <f>IF(OR(ISNUMBER(MISSING_PENT_6),ISNUMBER(MISSING_PENT_12)),AND(MISSING_PENT_6,MISSING_PENT_12),"")</f>
    </nc>
  </rcc>
  <rcc rId="1635" sId="1">
    <nc r="CR70">
      <f>IF(OR(ISNUMBER(MISSING_PENT_6),ISNUMBER(MISSING_PENT_12)),AND(MISSING_PENT_6,MISSING_PENT_12),"")</f>
    </nc>
  </rcc>
  <rcc rId="1636" sId="1">
    <nc r="CR71">
      <f>IF(OR(ISNUMBER(MISSING_PENT_6),ISNUMBER(MISSING_PENT_12)),AND(MISSING_PENT_6,MISSING_PENT_12),"")</f>
    </nc>
  </rcc>
  <rcc rId="1637" sId="1">
    <nc r="CR72">
      <f>IF(OR(ISNUMBER(MISSING_PENT_6),ISNUMBER(MISSING_PENT_12)),AND(MISSING_PENT_6,MISSING_PENT_12),"")</f>
    </nc>
  </rcc>
  <rcc rId="1638" sId="1">
    <nc r="CR73">
      <f>IF(OR(ISNUMBER(MISSING_PENT_6),ISNUMBER(MISSING_PENT_12)),AND(MISSING_PENT_6,MISSING_PENT_12),"")</f>
    </nc>
  </rcc>
  <rcc rId="1639" sId="1">
    <nc r="CR74">
      <f>IF(OR(ISNUMBER(MISSING_PENT_6),ISNUMBER(MISSING_PENT_12)),AND(MISSING_PENT_6,MISSING_PENT_12),"")</f>
    </nc>
  </rcc>
  <rcc rId="1640" sId="1">
    <nc r="CR75">
      <f>IF(OR(ISNUMBER(MISSING_PENT_6),ISNUMBER(MISSING_PENT_12)),AND(MISSING_PENT_6,MISSING_PENT_12),"")</f>
    </nc>
  </rcc>
  <rcc rId="1641" sId="1">
    <nc r="CR76">
      <f>IF(OR(ISNUMBER(MISSING_PENT_6),ISNUMBER(MISSING_PENT_12)),AND(MISSING_PENT_6,MISSING_PENT_12),"")</f>
    </nc>
  </rcc>
  <rcc rId="1642" sId="1">
    <nc r="CR77">
      <f>IF(OR(ISNUMBER(MISSING_PENT_6),ISNUMBER(MISSING_PENT_12)),AND(MISSING_PENT_6,MISSING_PENT_12),"")</f>
    </nc>
  </rcc>
  <rcc rId="1643" sId="1">
    <nc r="CR78">
      <f>IF(OR(ISNUMBER(MISSING_PENT_6),ISNUMBER(MISSING_PENT_12)),AND(MISSING_PENT_6,MISSING_PENT_12),"")</f>
    </nc>
  </rcc>
  <rcc rId="1644" sId="1">
    <nc r="CR79">
      <f>IF(OR(ISNUMBER(MISSING_PENT_6),ISNUMBER(MISSING_PENT_12)),AND(MISSING_PENT_6,MISSING_PENT_12),"")</f>
    </nc>
  </rcc>
  <rcc rId="1645" sId="1">
    <nc r="CR80">
      <f>IF(OR(ISNUMBER(MISSING_PENT_6),ISNUMBER(MISSING_PENT_12)),AND(MISSING_PENT_6,MISSING_PENT_12),"")</f>
    </nc>
  </rcc>
  <rcc rId="1646" sId="1">
    <nc r="CR81">
      <f>IF(OR(ISNUMBER(MISSING_PENT_6),ISNUMBER(MISSING_PENT_12)),AND(MISSING_PENT_6,MISSING_PENT_12),"")</f>
    </nc>
  </rcc>
  <rcc rId="1647" sId="1">
    <nc r="CR82">
      <f>IF(OR(ISNUMBER(MISSING_PENT_6),ISNUMBER(MISSING_PENT_12)),AND(MISSING_PENT_6,MISSING_PENT_12),"")</f>
    </nc>
  </rcc>
  <rcc rId="1648" sId="1">
    <nc r="CR83">
      <f>IF(OR(ISNUMBER(MISSING_PENT_6),ISNUMBER(MISSING_PENT_12)),AND(MISSING_PENT_6,MISSING_PENT_12),"")</f>
    </nc>
  </rcc>
  <rcc rId="1649" sId="1">
    <nc r="CR84">
      <f>IF(OR(ISNUMBER(MISSING_PENT_6),ISNUMBER(MISSING_PENT_12)),AND(MISSING_PENT_6,MISSING_PENT_12),"")</f>
    </nc>
  </rcc>
  <rcc rId="1650" sId="1">
    <nc r="CR85">
      <f>IF(OR(ISNUMBER(MISSING_PENT_6),ISNUMBER(MISSING_PENT_12)),AND(MISSING_PENT_6,MISSING_PENT_12),"")</f>
    </nc>
  </rcc>
  <rcc rId="1651" sId="1">
    <nc r="CR86">
      <f>IF(OR(ISNUMBER(MISSING_PENT_6),ISNUMBER(MISSING_PENT_12)),AND(MISSING_PENT_6,MISSING_PENT_12),"")</f>
    </nc>
  </rcc>
  <rcc rId="1652" sId="1">
    <nc r="CR87">
      <f>IF(OR(ISNUMBER(MISSING_PENT_6),ISNUMBER(MISSING_PENT_12)),AND(MISSING_PENT_6,MISSING_PENT_12),"")</f>
    </nc>
  </rcc>
  <rcc rId="1653" sId="1">
    <nc r="CR88">
      <f>IF(OR(ISNUMBER(MISSING_PENT_6),ISNUMBER(MISSING_PENT_12)),AND(MISSING_PENT_6,MISSING_PENT_12),"")</f>
    </nc>
  </rcc>
  <rcc rId="1654" sId="1">
    <nc r="CR89">
      <f>IF(OR(ISNUMBER(MISSING_PENT_6),ISNUMBER(MISSING_PENT_12)),AND(MISSING_PENT_6,MISSING_PENT_12),"")</f>
    </nc>
  </rcc>
  <rcc rId="1655" sId="1">
    <nc r="CR90">
      <f>IF(OR(ISNUMBER(MISSING_PENT_6),ISNUMBER(MISSING_PENT_12)),AND(MISSING_PENT_6,MISSING_PENT_12),"")</f>
    </nc>
  </rcc>
  <rcc rId="1656" sId="1">
    <nc r="CR91">
      <f>IF(OR(ISNUMBER(MISSING_PENT_6),ISNUMBER(MISSING_PENT_12)),AND(MISSING_PENT_6,MISSING_PENT_12),"")</f>
    </nc>
  </rcc>
  <rcc rId="1657" sId="1">
    <nc r="CR92">
      <f>IF(OR(ISNUMBER(MISSING_PENT_6),ISNUMBER(MISSING_PENT_12)),AND(MISSING_PENT_6,MISSING_PENT_12),"")</f>
    </nc>
  </rcc>
  <rcc rId="1658" sId="1">
    <nc r="CR93">
      <f>IF(OR(ISNUMBER(MISSING_PENT_6),ISNUMBER(MISSING_PENT_12)),AND(MISSING_PENT_6,MISSING_PENT_12),"")</f>
    </nc>
  </rcc>
  <rcc rId="1659" sId="1">
    <nc r="CR94">
      <f>IF(OR(ISNUMBER(MISSING_PENT_6),ISNUMBER(MISSING_PENT_12)),AND(MISSING_PENT_6,MISSING_PENT_12),"")</f>
    </nc>
  </rcc>
  <rcc rId="1660" sId="1">
    <nc r="CR95">
      <f>IF(OR(ISNUMBER(MISSING_PENT_6),ISNUMBER(MISSING_PENT_12)),AND(MISSING_PENT_6,MISSING_PENT_12),"")</f>
    </nc>
  </rcc>
  <rcc rId="1661" sId="1">
    <nc r="CR96">
      <f>IF(OR(ISNUMBER(MISSING_PENT_6),ISNUMBER(MISSING_PENT_12)),AND(MISSING_PENT_6,MISSING_PENT_12),"")</f>
    </nc>
  </rcc>
  <rcc rId="1662" sId="1">
    <nc r="CR97">
      <f>IF(OR(ISNUMBER(MISSING_PENT_6),ISNUMBER(MISSING_PENT_12)),AND(MISSING_PENT_6,MISSING_PENT_12),"")</f>
    </nc>
  </rcc>
  <rcc rId="1663" sId="1">
    <nc r="CR98">
      <f>IF(OR(ISNUMBER(MISSING_PENT_6),ISNUMBER(MISSING_PENT_12)),AND(MISSING_PENT_6,MISSING_PENT_12),"")</f>
    </nc>
  </rcc>
  <rcc rId="1664" sId="1">
    <nc r="CR99">
      <f>IF(OR(ISNUMBER(MISSING_PENT_6),ISNUMBER(MISSING_PENT_12)),AND(MISSING_PENT_6,MISSING_PENT_12),"")</f>
    </nc>
  </rcc>
  <rcc rId="1665" sId="1">
    <nc r="CR100">
      <f>IF(OR(ISNUMBER(MISSING_PENT_6),ISNUMBER(MISSING_PENT_12)),AND(MISSING_PENT_6,MISSING_PENT_12),"")</f>
    </nc>
  </rcc>
  <rcc rId="1666" sId="1">
    <nc r="CR101">
      <f>IF(OR(ISNUMBER(MISSING_PENT_6),ISNUMBER(MISSING_PENT_12)),AND(MISSING_PENT_6,MISSING_PENT_12),"")</f>
    </nc>
  </rcc>
  <rcc rId="1667" sId="1">
    <nc r="CR102">
      <f>IF(OR(ISNUMBER(MISSING_PENT_6),ISNUMBER(MISSING_PENT_12)),AND(MISSING_PENT_6,MISSING_PENT_12),"")</f>
    </nc>
  </rcc>
  <rcc rId="1668" sId="1">
    <nc r="CR103">
      <f>IF(OR(ISNUMBER(MISSING_PENT_6),ISNUMBER(MISSING_PENT_12)),AND(MISSING_PENT_6,MISSING_PENT_12),"")</f>
    </nc>
  </rcc>
  <rcc rId="1669" sId="1">
    <nc r="CR104">
      <f>IF(OR(ISNUMBER(MISSING_PENT_6),ISNUMBER(MISSING_PENT_12)),AND(MISSING_PENT_6,MISSING_PENT_12),"")</f>
    </nc>
  </rcc>
  <rcc rId="1670" sId="1">
    <nc r="CR105">
      <f>IF(OR(ISNUMBER(MISSING_PENT_6),ISNUMBER(MISSING_PENT_12)),AND(MISSING_PENT_6,MISSING_PENT_12),"")</f>
    </nc>
  </rcc>
  <rcc rId="1671" sId="1">
    <nc r="CR106">
      <f>IF(OR(ISNUMBER(MISSING_PENT_6),ISNUMBER(MISSING_PENT_12)),AND(MISSING_PENT_6,MISSING_PENT_12),"")</f>
    </nc>
  </rcc>
  <rcc rId="1672" sId="1">
    <nc r="CR107">
      <f>IF(OR(ISNUMBER(MISSING_PENT_6),ISNUMBER(MISSING_PENT_12)),AND(MISSING_PENT_6,MISSING_PENT_12),"")</f>
    </nc>
  </rcc>
  <rcc rId="1673" sId="1">
    <nc r="CR108">
      <f>IF(OR(ISNUMBER(MISSING_PENT_6),ISNUMBER(MISSING_PENT_12)),AND(MISSING_PENT_6,MISSING_PENT_12),"")</f>
    </nc>
  </rcc>
  <rcc rId="1674" sId="1">
    <nc r="CR109">
      <f>IF(OR(ISNUMBER(MISSING_PENT_6),ISNUMBER(MISSING_PENT_12)),AND(MISSING_PENT_6,MISSING_PENT_12),"")</f>
    </nc>
  </rcc>
  <rcc rId="1675" sId="1">
    <nc r="CR110">
      <f>IF(OR(ISNUMBER(MISSING_PENT_6),ISNUMBER(MISSING_PENT_12)),AND(MISSING_PENT_6,MISSING_PENT_12),"")</f>
    </nc>
  </rcc>
  <rcc rId="1676" sId="1">
    <nc r="CR111">
      <f>IF(OR(ISNUMBER(MISSING_PENT_6),ISNUMBER(MISSING_PENT_12)),AND(MISSING_PENT_6,MISSING_PENT_12),"")</f>
    </nc>
  </rcc>
  <rcc rId="1677" sId="1">
    <nc r="CR112">
      <f>IF(OR(ISNUMBER(MISSING_PENT_6),ISNUMBER(MISSING_PENT_12)),AND(MISSING_PENT_6,MISSING_PENT_12),"")</f>
    </nc>
  </rcc>
  <rcc rId="1678" sId="1">
    <nc r="CR113">
      <f>IF(OR(ISNUMBER(MISSING_PENT_6),ISNUMBER(MISSING_PENT_12)),AND(MISSING_PENT_6,MISSING_PENT_12),"")</f>
    </nc>
  </rcc>
  <rcc rId="1679" sId="1">
    <nc r="CR114">
      <f>IF(OR(ISNUMBER(MISSING_PENT_6),ISNUMBER(MISSING_PENT_12)),AND(MISSING_PENT_6,MISSING_PENT_12),"")</f>
    </nc>
  </rcc>
  <rcc rId="1680" sId="1">
    <nc r="CR115">
      <f>IF(OR(ISNUMBER(MISSING_PENT_6),ISNUMBER(MISSING_PENT_12)),AND(MISSING_PENT_6,MISSING_PENT_12),"")</f>
    </nc>
  </rcc>
  <rcc rId="1681" sId="1">
    <nc r="CR116">
      <f>IF(OR(ISNUMBER(MISSING_PENT_6),ISNUMBER(MISSING_PENT_12)),AND(MISSING_PENT_6,MISSING_PENT_12),"")</f>
    </nc>
  </rcc>
  <rcc rId="1682" sId="1">
    <nc r="CR117">
      <f>IF(OR(ISNUMBER(MISSING_PENT_6),ISNUMBER(MISSING_PENT_12)),AND(MISSING_PENT_6,MISSING_PENT_12),"")</f>
    </nc>
  </rcc>
  <rcc rId="1683" sId="1">
    <nc r="CR118">
      <f>IF(OR(ISNUMBER(MISSING_PENT_6),ISNUMBER(MISSING_PENT_12)),AND(MISSING_PENT_6,MISSING_PENT_12),"")</f>
    </nc>
  </rcc>
  <rcc rId="1684" sId="1">
    <nc r="CR119">
      <f>IF(OR(ISNUMBER(MISSING_PENT_6),ISNUMBER(MISSING_PENT_12)),AND(MISSING_PENT_6,MISSING_PENT_12),"")</f>
    </nc>
  </rcc>
  <rcc rId="1685" sId="1">
    <nc r="CR120">
      <f>IF(OR(ISNUMBER(MISSING_PENT_6),ISNUMBER(MISSING_PENT_12)),AND(MISSING_PENT_6,MISSING_PENT_12),"")</f>
    </nc>
  </rcc>
  <rcc rId="1686" sId="1">
    <nc r="CR121">
      <f>IF(OR(ISNUMBER(MISSING_PENT_6),ISNUMBER(MISSING_PENT_12)),AND(MISSING_PENT_6,MISSING_PENT_12),"")</f>
    </nc>
  </rcc>
  <rcc rId="1687" sId="1">
    <nc r="CR122">
      <f>IF(OR(ISNUMBER(MISSING_PENT_6),ISNUMBER(MISSING_PENT_12)),AND(MISSING_PENT_6,MISSING_PENT_12),"")</f>
    </nc>
  </rcc>
  <rcc rId="1688" sId="1">
    <nc r="CR123">
      <f>IF(OR(ISNUMBER(MISSING_PENT_6),ISNUMBER(MISSING_PENT_12)),AND(MISSING_PENT_6,MISSING_PENT_12),"")</f>
    </nc>
  </rcc>
  <rcc rId="1689" sId="1">
    <nc r="CR124">
      <f>IF(OR(ISNUMBER(MISSING_PENT_6),ISNUMBER(MISSING_PENT_12)),AND(MISSING_PENT_6,MISSING_PENT_12),"")</f>
    </nc>
  </rcc>
  <rcc rId="1690" sId="1">
    <nc r="CR125">
      <f>IF(OR(ISNUMBER(MISSING_PENT_6),ISNUMBER(MISSING_PENT_12)),AND(MISSING_PENT_6,MISSING_PENT_12),"")</f>
    </nc>
  </rcc>
  <rcc rId="1691" sId="1">
    <nc r="CR126">
      <f>IF(OR(ISNUMBER(MISSING_PENT_6),ISNUMBER(MISSING_PENT_12)),AND(MISSING_PENT_6,MISSING_PENT_12),"")</f>
    </nc>
  </rcc>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692" sId="1" ref="AI1:AI1048576" action="insertCol">
    <undo index="0" exp="area" ref3D="1" dr="$CE$1:$CE$1048576" dn="SE_PREOP"/>
    <undo index="0" exp="area" ref3D="1" dr="$CK$1:$CK$1048576" dn="LAST_CHANGE_CDVA"/>
    <undo index="0" exp="area" ref3D="1" dr="$CG$1:$CG$1048576" dn="LAST_SE_ERROR"/>
    <undo index="0" exp="area" ref3D="1" dr="$AK$1:$AK$1048576" dn="UDVA_6"/>
    <undo index="0" exp="area" ref3D="1" dr="$BG$1:$BG$1048576" dn="BCVA_12"/>
    <undo index="0" exp="area" ref3D="1" dr="$BV$1:$BV$1048576" dn="SE_preop_IF_6_12"/>
    <undo index="0" exp="area" ref3D="1" dr="$BX$1:$BX$1048576" dn="SE_12_IF_6_12"/>
    <undo index="0" exp="area" ref3D="1" dr="$BW$1:$BW$1048576" dn="SE_6_IF_6_12"/>
    <undo index="0" exp="area" ref3D="1" dr="$BU$1:$BU$1048576" dn="FU_6_AND_12"/>
    <undo index="0" exp="area" ref3D="1" dr="$CN$1:$CN$1048576" dn="LAST_CDVA"/>
    <undo index="0" exp="area" ref3D="1" dr="$CQ$1:$CQ$1048576" dn="MISSING_PENT_12"/>
    <undo index="0" exp="area" ref3D="1" dr="$CP$1:$CP$1048576" dn="MISSING_PENT_6"/>
    <undo index="0" exp="area" ref3D="1" dr="$CL$1:$CL$1048576" dn="CYL_LAST"/>
    <undo index="0" exp="area" ref3D="1" dr="$BR$1:$BR$1048576" dn="SE_ERROR_12"/>
    <undo index="0" exp="area" ref3D="1" dr="$BC$1:$BC$1048576" dn="UDVA_12"/>
    <undo index="0" exp="area" ref3D="1" dr="$CF$1:$CF$1048576" dn="SE_LAST_"/>
    <undo index="0" exp="area" ref3D="1" dr="$BQ$1:$BQ$1048576" dn="SE_12"/>
    <undo index="0" exp="area" ref3D="1" dr="$CO$1:$CO$1048576" dn="LAST_UDVA_DIST"/>
    <undo index="2" exp="area" ref3D="1" dr="$EO$1:$HQ$1048576" dn="Z_9D4EC4DC_E305_42C0_86D3_802895C39393_.wvu.Cols" sId="1"/>
    <undo index="1" exp="area" ref3D="1" dr="$CH$1:$CI$1048576" dn="Z_9D4EC4DC_E305_42C0_86D3_802895C39393_.wvu.Cols" sId="1"/>
    <undo index="0" exp="area" ref3D="1" dr="$AY$1:$AY$1048576" dn="SE_6"/>
    <undo index="0" exp="area" ref3D="1" dr="$AO$1:$AO$1048576" dn="BCVA_6"/>
    <undo index="0" exp="area" ref3D="1" dr="$CJ$1:$CJ$1048576" dn="REF_TARGET_IF_SE_KNOWN"/>
    <undo index="0" exp="area" ref3D="1" dr="$BM$1:$BM$1048576" dn="K1_12"/>
  </rrc>
  <rcc rId="1693" sId="1">
    <nc r="AI1" t="inlineStr">
      <is>
        <t>[Calc] Any SK</t>
      </is>
    </nc>
  </rcc>
  <rdn rId="1694" name="SK">
    <formula>Data!$AH:$AH</formula>
  </rdn>
  <rcc rId="1695" sId="1">
    <nc r="AI2">
      <f>IF(AND(ISNUMBER(SK),SK&gt;0),TRUE,FALSE)</f>
    </nc>
  </rcc>
  <rcc rId="1696" sId="1">
    <nc r="AI3">
      <f>IF(AND(ISNUMBER(SK),SK&gt;0),TRUE,FALSE)</f>
    </nc>
  </rcc>
  <rcc rId="1697" sId="1">
    <nc r="AI4">
      <f>IF(AND(ISNUMBER(SK),SK&gt;0),TRUE,FALSE)</f>
    </nc>
  </rcc>
  <rcc rId="1698" sId="1">
    <nc r="AI5">
      <f>IF(AND(ISNUMBER(SK),SK&gt;0),TRUE,FALSE)</f>
    </nc>
  </rcc>
  <rcc rId="1699" sId="1">
    <nc r="AI6">
      <f>IF(AND(ISNUMBER(SK),SK&gt;0),TRUE,FALSE)</f>
    </nc>
  </rcc>
  <rcc rId="1700" sId="1">
    <nc r="AI7">
      <f>IF(AND(ISNUMBER(SK),SK&gt;0),TRUE,FALSE)</f>
    </nc>
  </rcc>
  <rcc rId="1701" sId="1">
    <nc r="AI8">
      <f>IF(AND(ISNUMBER(SK),SK&gt;0),TRUE,FALSE)</f>
    </nc>
  </rcc>
  <rcc rId="1702" sId="1">
    <nc r="AI9">
      <f>IF(AND(ISNUMBER(SK),SK&gt;0),TRUE,FALSE)</f>
    </nc>
  </rcc>
  <rcc rId="1703" sId="1">
    <nc r="AI10">
      <f>IF(AND(ISNUMBER(SK),SK&gt;0),TRUE,FALSE)</f>
    </nc>
  </rcc>
  <rcc rId="1704" sId="1">
    <nc r="AI11">
      <f>IF(AND(ISNUMBER(SK),SK&gt;0),TRUE,FALSE)</f>
    </nc>
  </rcc>
  <rcc rId="1705" sId="1">
    <nc r="AI12">
      <f>IF(AND(ISNUMBER(SK),SK&gt;0),TRUE,FALSE)</f>
    </nc>
  </rcc>
  <rcc rId="1706" sId="1">
    <nc r="AI13">
      <f>IF(AND(ISNUMBER(SK),SK&gt;0),TRUE,FALSE)</f>
    </nc>
  </rcc>
  <rcc rId="1707" sId="1">
    <nc r="AI14">
      <f>IF(AND(ISNUMBER(SK),SK&gt;0),TRUE,FALSE)</f>
    </nc>
  </rcc>
  <rcc rId="1708" sId="1">
    <nc r="AI15">
      <f>IF(AND(ISNUMBER(SK),SK&gt;0),TRUE,FALSE)</f>
    </nc>
  </rcc>
  <rcc rId="1709" sId="1">
    <nc r="AI16">
      <f>IF(AND(ISNUMBER(SK),SK&gt;0),TRUE,FALSE)</f>
    </nc>
  </rcc>
  <rcc rId="1710" sId="1">
    <nc r="AI17">
      <f>IF(AND(ISNUMBER(SK),SK&gt;0),TRUE,FALSE)</f>
    </nc>
  </rcc>
  <rcc rId="1711" sId="1">
    <nc r="AI18">
      <f>IF(AND(ISNUMBER(SK),SK&gt;0),TRUE,FALSE)</f>
    </nc>
  </rcc>
  <rcc rId="1712" sId="1">
    <nc r="AI19">
      <f>IF(AND(ISNUMBER(SK),SK&gt;0),TRUE,FALSE)</f>
    </nc>
  </rcc>
  <rcc rId="1713" sId="1">
    <nc r="AI20">
      <f>IF(AND(ISNUMBER(SK),SK&gt;0),TRUE,FALSE)</f>
    </nc>
  </rcc>
  <rcc rId="1714" sId="1">
    <nc r="AI21">
      <f>IF(AND(ISNUMBER(SK),SK&gt;0),TRUE,FALSE)</f>
    </nc>
  </rcc>
  <rcc rId="1715" sId="1">
    <nc r="AI22">
      <f>IF(AND(ISNUMBER(SK),SK&gt;0),TRUE,FALSE)</f>
    </nc>
  </rcc>
  <rcc rId="1716" sId="1">
    <nc r="AI23">
      <f>IF(AND(ISNUMBER(SK),SK&gt;0),TRUE,FALSE)</f>
    </nc>
  </rcc>
  <rcc rId="1717" sId="1">
    <nc r="AI24">
      <f>IF(AND(ISNUMBER(SK),SK&gt;0),TRUE,FALSE)</f>
    </nc>
  </rcc>
  <rcc rId="1718" sId="1">
    <nc r="AI25">
      <f>IF(AND(ISNUMBER(SK),SK&gt;0),TRUE,FALSE)</f>
    </nc>
  </rcc>
  <rcc rId="1719" sId="1">
    <nc r="AI26">
      <f>IF(AND(ISNUMBER(SK),SK&gt;0),TRUE,FALSE)</f>
    </nc>
  </rcc>
  <rcc rId="1720" sId="1">
    <nc r="AI27">
      <f>IF(AND(ISNUMBER(SK),SK&gt;0),TRUE,FALSE)</f>
    </nc>
  </rcc>
  <rcc rId="1721" sId="1">
    <nc r="AI28">
      <f>IF(AND(ISNUMBER(SK),SK&gt;0),TRUE,FALSE)</f>
    </nc>
  </rcc>
  <rcc rId="1722" sId="1">
    <nc r="AI29">
      <f>IF(AND(ISNUMBER(SK),SK&gt;0),TRUE,FALSE)</f>
    </nc>
  </rcc>
  <rcc rId="1723" sId="1">
    <nc r="AI30">
      <f>IF(AND(ISNUMBER(SK),SK&gt;0),TRUE,FALSE)</f>
    </nc>
  </rcc>
  <rcc rId="1724" sId="1">
    <nc r="AI31">
      <f>IF(AND(ISNUMBER(SK),SK&gt;0),TRUE,FALSE)</f>
    </nc>
  </rcc>
  <rcc rId="1725" sId="1">
    <nc r="AI32">
      <f>IF(AND(ISNUMBER(SK),SK&gt;0),TRUE,FALSE)</f>
    </nc>
  </rcc>
  <rcc rId="1726" sId="1">
    <nc r="AI33">
      <f>IF(AND(ISNUMBER(SK),SK&gt;0),TRUE,FALSE)</f>
    </nc>
  </rcc>
  <rcc rId="1727" sId="1">
    <nc r="AI34">
      <f>IF(AND(ISNUMBER(SK),SK&gt;0),TRUE,FALSE)</f>
    </nc>
  </rcc>
  <rcc rId="1728" sId="1">
    <nc r="AI35">
      <f>IF(AND(ISNUMBER(SK),SK&gt;0),TRUE,FALSE)</f>
    </nc>
  </rcc>
  <rcc rId="1729" sId="1">
    <nc r="AI36">
      <f>IF(AND(ISNUMBER(SK),SK&gt;0),TRUE,FALSE)</f>
    </nc>
  </rcc>
  <rcc rId="1730" sId="1">
    <nc r="AI37">
      <f>IF(AND(ISNUMBER(SK),SK&gt;0),TRUE,FALSE)</f>
    </nc>
  </rcc>
  <rcc rId="1731" sId="1">
    <nc r="AI38">
      <f>IF(AND(ISNUMBER(SK),SK&gt;0),TRUE,FALSE)</f>
    </nc>
  </rcc>
  <rcc rId="1732" sId="1">
    <nc r="AI39">
      <f>IF(AND(ISNUMBER(SK),SK&gt;0),TRUE,FALSE)</f>
    </nc>
  </rcc>
  <rcc rId="1733" sId="1">
    <nc r="AI40">
      <f>IF(AND(ISNUMBER(SK),SK&gt;0),TRUE,FALSE)</f>
    </nc>
  </rcc>
  <rcc rId="1734" sId="1">
    <nc r="AI41">
      <f>IF(AND(ISNUMBER(SK),SK&gt;0),TRUE,FALSE)</f>
    </nc>
  </rcc>
  <rcc rId="1735" sId="1">
    <nc r="AI42">
      <f>IF(AND(ISNUMBER(SK),SK&gt;0),TRUE,FALSE)</f>
    </nc>
  </rcc>
  <rcc rId="1736" sId="1">
    <nc r="AI43">
      <f>IF(AND(ISNUMBER(SK),SK&gt;0),TRUE,FALSE)</f>
    </nc>
  </rcc>
  <rcc rId="1737" sId="1">
    <nc r="AI44">
      <f>IF(AND(ISNUMBER(SK),SK&gt;0),TRUE,FALSE)</f>
    </nc>
  </rcc>
  <rcc rId="1738" sId="1">
    <nc r="AI45">
      <f>IF(AND(ISNUMBER(SK),SK&gt;0),TRUE,FALSE)</f>
    </nc>
  </rcc>
  <rcc rId="1739" sId="1">
    <nc r="AI46">
      <f>IF(AND(ISNUMBER(SK),SK&gt;0),TRUE,FALSE)</f>
    </nc>
  </rcc>
  <rcc rId="1740" sId="1">
    <nc r="AI47">
      <f>IF(AND(ISNUMBER(SK),SK&gt;0),TRUE,FALSE)</f>
    </nc>
  </rcc>
  <rcc rId="1741" sId="1">
    <nc r="AI48">
      <f>IF(AND(ISNUMBER(SK),SK&gt;0),TRUE,FALSE)</f>
    </nc>
  </rcc>
  <rcc rId="1742" sId="1">
    <nc r="AI49">
      <f>IF(AND(ISNUMBER(SK),SK&gt;0),TRUE,FALSE)</f>
    </nc>
  </rcc>
  <rcc rId="1743" sId="1">
    <nc r="AI50">
      <f>IF(AND(ISNUMBER(SK),SK&gt;0),TRUE,FALSE)</f>
    </nc>
  </rcc>
  <rcc rId="1744" sId="1">
    <nc r="AI51">
      <f>IF(AND(ISNUMBER(SK),SK&gt;0),TRUE,FALSE)</f>
    </nc>
  </rcc>
  <rcc rId="1745" sId="1">
    <nc r="AI52">
      <f>IF(AND(ISNUMBER(SK),SK&gt;0),TRUE,FALSE)</f>
    </nc>
  </rcc>
  <rcc rId="1746" sId="1">
    <nc r="AI53">
      <f>IF(AND(ISNUMBER(SK),SK&gt;0),TRUE,FALSE)</f>
    </nc>
  </rcc>
  <rcc rId="1747" sId="1">
    <nc r="AI54">
      <f>IF(AND(ISNUMBER(SK),SK&gt;0),TRUE,FALSE)</f>
    </nc>
  </rcc>
  <rcc rId="1748" sId="1">
    <nc r="AI55">
      <f>IF(AND(ISNUMBER(SK),SK&gt;0),TRUE,FALSE)</f>
    </nc>
  </rcc>
  <rcc rId="1749" sId="1">
    <nc r="AI56">
      <f>IF(AND(ISNUMBER(SK),SK&gt;0),TRUE,FALSE)</f>
    </nc>
  </rcc>
  <rcc rId="1750" sId="1">
    <nc r="AI57">
      <f>IF(AND(ISNUMBER(SK),SK&gt;0),TRUE,FALSE)</f>
    </nc>
  </rcc>
  <rcc rId="1751" sId="1">
    <nc r="AI58">
      <f>IF(AND(ISNUMBER(SK),SK&gt;0),TRUE,FALSE)</f>
    </nc>
  </rcc>
  <rcc rId="1752" sId="1">
    <nc r="AI59">
      <f>IF(AND(ISNUMBER(SK),SK&gt;0),TRUE,FALSE)</f>
    </nc>
  </rcc>
  <rcc rId="1753" sId="1">
    <nc r="AI60">
      <f>IF(AND(ISNUMBER(SK),SK&gt;0),TRUE,FALSE)</f>
    </nc>
  </rcc>
  <rcc rId="1754" sId="1">
    <nc r="AI61">
      <f>IF(AND(ISNUMBER(SK),SK&gt;0),TRUE,FALSE)</f>
    </nc>
  </rcc>
  <rcc rId="1755" sId="1">
    <nc r="AI62">
      <f>IF(AND(ISNUMBER(SK),SK&gt;0),TRUE,FALSE)</f>
    </nc>
  </rcc>
  <rcc rId="1756" sId="1">
    <nc r="AI63">
      <f>IF(AND(ISNUMBER(SK),SK&gt;0),TRUE,FALSE)</f>
    </nc>
  </rcc>
  <rcc rId="1757" sId="1">
    <nc r="AI64">
      <f>IF(AND(ISNUMBER(SK),SK&gt;0),TRUE,FALSE)</f>
    </nc>
  </rcc>
  <rcc rId="1758" sId="1">
    <nc r="AI65">
      <f>IF(AND(ISNUMBER(SK),SK&gt;0),TRUE,FALSE)</f>
    </nc>
  </rcc>
  <rcc rId="1759" sId="1">
    <nc r="AI66">
      <f>IF(AND(ISNUMBER(SK),SK&gt;0),TRUE,FALSE)</f>
    </nc>
  </rcc>
  <rcc rId="1760" sId="1">
    <nc r="AI67">
      <f>IF(AND(ISNUMBER(SK),SK&gt;0),TRUE,FALSE)</f>
    </nc>
  </rcc>
  <rcc rId="1761" sId="1">
    <nc r="AI68">
      <f>IF(AND(ISNUMBER(SK),SK&gt;0),TRUE,FALSE)</f>
    </nc>
  </rcc>
  <rcc rId="1762" sId="1">
    <nc r="AI69">
      <f>IF(AND(ISNUMBER(SK),SK&gt;0),TRUE,FALSE)</f>
    </nc>
  </rcc>
  <rcc rId="1763" sId="1">
    <nc r="AI70">
      <f>IF(AND(ISNUMBER(SK),SK&gt;0),TRUE,FALSE)</f>
    </nc>
  </rcc>
  <rcc rId="1764" sId="1">
    <nc r="AI71">
      <f>IF(AND(ISNUMBER(SK),SK&gt;0),TRUE,FALSE)</f>
    </nc>
  </rcc>
  <rcc rId="1765" sId="1">
    <nc r="AI72">
      <f>IF(AND(ISNUMBER(SK),SK&gt;0),TRUE,FALSE)</f>
    </nc>
  </rcc>
  <rcc rId="1766" sId="1">
    <nc r="AI73">
      <f>IF(AND(ISNUMBER(SK),SK&gt;0),TRUE,FALSE)</f>
    </nc>
  </rcc>
  <rcc rId="1767" sId="1">
    <nc r="AI74">
      <f>IF(AND(ISNUMBER(SK),SK&gt;0),TRUE,FALSE)</f>
    </nc>
  </rcc>
  <rcc rId="1768" sId="1">
    <nc r="AI75">
      <f>IF(AND(ISNUMBER(SK),SK&gt;0),TRUE,FALSE)</f>
    </nc>
  </rcc>
  <rcc rId="1769" sId="1">
    <nc r="AI76">
      <f>IF(AND(ISNUMBER(SK),SK&gt;0),TRUE,FALSE)</f>
    </nc>
  </rcc>
  <rcc rId="1770" sId="1">
    <nc r="AI77">
      <f>IF(AND(ISNUMBER(SK),SK&gt;0),TRUE,FALSE)</f>
    </nc>
  </rcc>
  <rcc rId="1771" sId="1">
    <nc r="AI78">
      <f>IF(AND(ISNUMBER(SK),SK&gt;0),TRUE,FALSE)</f>
    </nc>
  </rcc>
  <rcc rId="1772" sId="1">
    <nc r="AI79">
      <f>IF(AND(ISNUMBER(SK),SK&gt;0),TRUE,FALSE)</f>
    </nc>
  </rcc>
  <rcc rId="1773" sId="1">
    <nc r="AI80">
      <f>IF(AND(ISNUMBER(SK),SK&gt;0),TRUE,FALSE)</f>
    </nc>
  </rcc>
  <rcc rId="1774" sId="1">
    <nc r="AI81">
      <f>IF(AND(ISNUMBER(SK),SK&gt;0),TRUE,FALSE)</f>
    </nc>
  </rcc>
  <rcc rId="1775" sId="1">
    <nc r="AI82">
      <f>IF(AND(ISNUMBER(SK),SK&gt;0),TRUE,FALSE)</f>
    </nc>
  </rcc>
  <rcc rId="1776" sId="1">
    <nc r="AI83">
      <f>IF(AND(ISNUMBER(SK),SK&gt;0),TRUE,FALSE)</f>
    </nc>
  </rcc>
  <rcc rId="1777" sId="1">
    <nc r="AI84">
      <f>IF(AND(ISNUMBER(SK),SK&gt;0),TRUE,FALSE)</f>
    </nc>
  </rcc>
  <rcc rId="1778" sId="1">
    <nc r="AI85">
      <f>IF(AND(ISNUMBER(SK),SK&gt;0),TRUE,FALSE)</f>
    </nc>
  </rcc>
  <rcc rId="1779" sId="1">
    <nc r="AI86">
      <f>IF(AND(ISNUMBER(SK),SK&gt;0),TRUE,FALSE)</f>
    </nc>
  </rcc>
  <rcc rId="1780" sId="1">
    <nc r="AI87">
      <f>IF(AND(ISNUMBER(SK),SK&gt;0),TRUE,FALSE)</f>
    </nc>
  </rcc>
  <rcc rId="1781" sId="1">
    <nc r="AI88">
      <f>IF(AND(ISNUMBER(SK),SK&gt;0),TRUE,FALSE)</f>
    </nc>
  </rcc>
  <rcc rId="1782" sId="1">
    <nc r="AI89">
      <f>IF(AND(ISNUMBER(SK),SK&gt;0),TRUE,FALSE)</f>
    </nc>
  </rcc>
  <rcc rId="1783" sId="1">
    <nc r="AI90">
      <f>IF(AND(ISNUMBER(SK),SK&gt;0),TRUE,FALSE)</f>
    </nc>
  </rcc>
  <rcc rId="1784" sId="1">
    <nc r="AI91">
      <f>IF(AND(ISNUMBER(SK),SK&gt;0),TRUE,FALSE)</f>
    </nc>
  </rcc>
  <rcc rId="1785" sId="1">
    <nc r="AI92">
      <f>IF(AND(ISNUMBER(SK),SK&gt;0),TRUE,FALSE)</f>
    </nc>
  </rcc>
  <rcc rId="1786" sId="1">
    <nc r="AI93">
      <f>IF(AND(ISNUMBER(SK),SK&gt;0),TRUE,FALSE)</f>
    </nc>
  </rcc>
  <rcc rId="1787" sId="1">
    <nc r="AI94">
      <f>IF(AND(ISNUMBER(SK),SK&gt;0),TRUE,FALSE)</f>
    </nc>
  </rcc>
  <rcc rId="1788" sId="1">
    <nc r="AI95">
      <f>IF(AND(ISNUMBER(SK),SK&gt;0),TRUE,FALSE)</f>
    </nc>
  </rcc>
  <rcc rId="1789" sId="1">
    <nc r="AI96">
      <f>IF(AND(ISNUMBER(SK),SK&gt;0),TRUE,FALSE)</f>
    </nc>
  </rcc>
  <rcc rId="1790" sId="1">
    <nc r="AI97">
      <f>IF(AND(ISNUMBER(SK),SK&gt;0),TRUE,FALSE)</f>
    </nc>
  </rcc>
  <rcc rId="1791" sId="1">
    <nc r="AI98">
      <f>IF(AND(ISNUMBER(SK),SK&gt;0),TRUE,FALSE)</f>
    </nc>
  </rcc>
  <rcc rId="1792" sId="1">
    <nc r="AI99">
      <f>IF(AND(ISNUMBER(SK),SK&gt;0),TRUE,FALSE)</f>
    </nc>
  </rcc>
  <rcc rId="1793" sId="1">
    <nc r="AI100">
      <f>IF(AND(ISNUMBER(SK),SK&gt;0),TRUE,FALSE)</f>
    </nc>
  </rcc>
  <rcc rId="1794" sId="1">
    <nc r="AI101">
      <f>IF(AND(ISNUMBER(SK),SK&gt;0),TRUE,FALSE)</f>
    </nc>
  </rcc>
  <rcc rId="1795" sId="1">
    <nc r="AI102">
      <f>IF(AND(ISNUMBER(SK),SK&gt;0),TRUE,FALSE)</f>
    </nc>
  </rcc>
  <rcc rId="1796" sId="1">
    <nc r="AI103">
      <f>IF(AND(ISNUMBER(SK),SK&gt;0),TRUE,FALSE)</f>
    </nc>
  </rcc>
  <rcc rId="1797" sId="1">
    <nc r="AI104">
      <f>IF(AND(ISNUMBER(SK),SK&gt;0),TRUE,FALSE)</f>
    </nc>
  </rcc>
  <rcc rId="1798" sId="1">
    <nc r="AI105">
      <f>IF(AND(ISNUMBER(SK),SK&gt;0),TRUE,FALSE)</f>
    </nc>
  </rcc>
  <rcc rId="1799" sId="1">
    <nc r="AI106">
      <f>IF(AND(ISNUMBER(SK),SK&gt;0),TRUE,FALSE)</f>
    </nc>
  </rcc>
  <rcc rId="1800" sId="1">
    <nc r="AI107">
      <f>IF(AND(ISNUMBER(SK),SK&gt;0),TRUE,FALSE)</f>
    </nc>
  </rcc>
  <rcc rId="1801" sId="1">
    <nc r="AI108">
      <f>IF(AND(ISNUMBER(SK),SK&gt;0),TRUE,FALSE)</f>
    </nc>
  </rcc>
  <rcc rId="1802" sId="1">
    <nc r="AI109">
      <f>IF(AND(ISNUMBER(SK),SK&gt;0),TRUE,FALSE)</f>
    </nc>
  </rcc>
  <rcc rId="1803" sId="1">
    <nc r="AI110">
      <f>IF(AND(ISNUMBER(SK),SK&gt;0),TRUE,FALSE)</f>
    </nc>
  </rcc>
  <rcc rId="1804" sId="1">
    <nc r="AI111">
      <f>IF(AND(ISNUMBER(SK),SK&gt;0),TRUE,FALSE)</f>
    </nc>
  </rcc>
  <rcc rId="1805" sId="1">
    <nc r="AI112">
      <f>IF(AND(ISNUMBER(SK),SK&gt;0),TRUE,FALSE)</f>
    </nc>
  </rcc>
  <rcc rId="1806" sId="1">
    <nc r="AI113">
      <f>IF(AND(ISNUMBER(SK),SK&gt;0),TRUE,FALSE)</f>
    </nc>
  </rcc>
  <rcc rId="1807" sId="1">
    <nc r="AI114">
      <f>IF(AND(ISNUMBER(SK),SK&gt;0),TRUE,FALSE)</f>
    </nc>
  </rcc>
  <rcc rId="1808" sId="1">
    <nc r="AI115">
      <f>IF(AND(ISNUMBER(SK),SK&gt;0),TRUE,FALSE)</f>
    </nc>
  </rcc>
  <rcc rId="1809" sId="1">
    <nc r="AI116">
      <f>IF(AND(ISNUMBER(SK),SK&gt;0),TRUE,FALSE)</f>
    </nc>
  </rcc>
  <rcc rId="1810" sId="1">
    <nc r="AI117">
      <f>IF(AND(ISNUMBER(SK),SK&gt;0),TRUE,FALSE)</f>
    </nc>
  </rcc>
  <rcc rId="1811" sId="1">
    <nc r="AI118">
      <f>IF(AND(ISNUMBER(SK),SK&gt;0),TRUE,FALSE)</f>
    </nc>
  </rcc>
  <rcc rId="1812" sId="1">
    <nc r="AI119">
      <f>IF(AND(ISNUMBER(SK),SK&gt;0),TRUE,FALSE)</f>
    </nc>
  </rcc>
  <rcc rId="1813" sId="1">
    <nc r="AI120">
      <f>IF(AND(ISNUMBER(SK),SK&gt;0),TRUE,FALSE)</f>
    </nc>
  </rcc>
  <rcc rId="1814" sId="1">
    <nc r="AI121">
      <f>IF(AND(ISNUMBER(SK),SK&gt;0),TRUE,FALSE)</f>
    </nc>
  </rcc>
  <rcc rId="1815" sId="1">
    <nc r="AI122">
      <f>IF(AND(ISNUMBER(SK),SK&gt;0),TRUE,FALSE)</f>
    </nc>
  </rcc>
  <rcc rId="1816" sId="1">
    <nc r="AI123">
      <f>IF(AND(ISNUMBER(SK),SK&gt;0),TRUE,FALSE)</f>
    </nc>
  </rcc>
  <rcc rId="1817" sId="1">
    <nc r="AI124">
      <f>IF(AND(ISNUMBER(SK),SK&gt;0),TRUE,FALSE)</f>
    </nc>
  </rcc>
  <rcc rId="1818" sId="1">
    <nc r="AI125">
      <f>IF(AND(ISNUMBER(SK),SK&gt;0),TRUE,FALSE)</f>
    </nc>
  </rcc>
  <rcc rId="1819" sId="1">
    <nc r="AI126">
      <f>IF(AND(ISNUMBER(SK),SK&gt;0),TRUE,FALSE)</f>
    </nc>
  </rcc>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20" sId="1" odxf="1" dxf="1" numFmtId="19">
    <nc r="AK126">
      <v>41648</v>
    </nc>
    <odxf>
      <numFmt numFmtId="0" formatCode="General"/>
    </odxf>
    <ndxf>
      <numFmt numFmtId="19" formatCode="mm/dd/yyyy"/>
    </ndxf>
  </rcc>
  <rcc rId="1821" sId="1">
    <nc r="AQ126">
      <v>11</v>
    </nc>
  </rcc>
  <rcc rId="1822" sId="1">
    <nc r="AP126">
      <v>20</v>
    </nc>
  </rcc>
  <rcc rId="1823" sId="1">
    <nc r="AO126">
      <v>165</v>
    </nc>
  </rcc>
  <rcc rId="1824" sId="1" numFmtId="4">
    <nc r="AN126">
      <v>-1.25</v>
    </nc>
  </rcc>
  <rcc rId="1825" sId="1" numFmtId="4">
    <nc r="AM126">
      <v>-0.25</v>
    </nc>
  </rcc>
  <rcc rId="1826" sId="1" numFmtId="4">
    <nc r="AL126">
      <v>50</v>
    </nc>
  </rcc>
  <rcc rId="1827" sId="1">
    <nc r="AR126">
      <v>564</v>
    </nc>
  </rcc>
  <rfmt sheetId="1" sqref="AK125" start="0" length="0">
    <dxf>
      <font>
        <sz val="10"/>
        <color auto="1"/>
        <name val="Arial"/>
        <scheme val="none"/>
      </font>
    </dxf>
  </rfmt>
  <rcc rId="1828" sId="1">
    <nc r="AK125" t="inlineStr">
      <is>
        <t>missed</t>
      </is>
    </nc>
  </rcc>
  <rcc rId="1829" sId="1" odxf="1" dxf="1">
    <oc r="AK124" t="inlineStr">
      <is>
        <t>no appt</t>
      </is>
    </oc>
    <nc r="AK124" t="inlineStr">
      <is>
        <t>missed</t>
      </is>
    </nc>
    <odxf>
      <font>
        <sz val="10"/>
        <color auto="1"/>
        <name val="Arial"/>
        <scheme val="none"/>
      </font>
    </odxf>
    <ndxf>
      <font>
        <sz val="10"/>
        <color auto="1"/>
        <name val="Arial"/>
        <scheme val="none"/>
      </font>
    </ndxf>
  </rcc>
  <rcc rId="1830" sId="1" odxf="1" dxf="1">
    <nc r="AK123" t="inlineStr">
      <is>
        <t>missed</t>
      </is>
    </nc>
    <odxf>
      <font>
        <sz val="10"/>
        <color auto="1"/>
        <name val="Arial"/>
        <scheme val="none"/>
      </font>
    </odxf>
    <ndxf>
      <font>
        <sz val="10"/>
        <color auto="1"/>
        <name val="Arial"/>
        <scheme val="none"/>
      </font>
    </ndxf>
  </rcc>
  <rcc rId="1831" sId="1" odxf="1" dxf="1">
    <oc r="AK122" t="inlineStr">
      <is>
        <t>no appt</t>
      </is>
    </oc>
    <nc r="AK122" t="inlineStr">
      <is>
        <t>missed</t>
      </is>
    </nc>
    <odxf>
      <font>
        <sz val="10"/>
        <color auto="1"/>
        <name val="Arial"/>
        <scheme val="none"/>
      </font>
    </odxf>
    <ndxf>
      <font>
        <sz val="10"/>
        <color auto="1"/>
        <name val="Arial"/>
        <scheme val="none"/>
      </font>
    </ndxf>
  </rcc>
  <rcc rId="1832" sId="1">
    <oc r="AK121" t="inlineStr">
      <is>
        <t>no appt</t>
      </is>
    </oc>
    <nc r="AK121" t="inlineStr">
      <is>
        <t>missed</t>
      </is>
    </nc>
  </rcc>
  <rcc rId="1833" sId="1" odxf="1" dxf="1">
    <nc r="AK120" t="inlineStr">
      <is>
        <t>missed</t>
      </is>
    </nc>
    <odxf>
      <font>
        <sz val="10"/>
        <color auto="1"/>
        <name val="Arial"/>
        <scheme val="none"/>
      </font>
    </odxf>
    <ndxf>
      <font>
        <sz val="10"/>
        <color auto="1"/>
        <name val="Arial"/>
        <scheme val="none"/>
      </font>
    </ndxf>
  </rcc>
  <rfmt sheetId="1" sqref="AK119" start="0" length="2147483647">
    <dxf>
      <font>
        <b val="0"/>
      </font>
    </dxf>
  </rfmt>
  <rcc rId="1834" sId="1" numFmtId="19">
    <oc r="AK119">
      <v>41610</v>
    </oc>
    <nc r="AK119">
      <v>41655</v>
    </nc>
  </rcc>
  <rcc rId="1835" sId="1" numFmtId="4">
    <nc r="AM119">
      <v>0.5</v>
    </nc>
  </rcc>
  <rcc rId="1836" sId="1" numFmtId="4">
    <nc r="AL119">
      <v>30</v>
    </nc>
  </rcc>
  <rcc rId="1837" sId="1" numFmtId="4">
    <nc r="AN119">
      <v>0.5</v>
    </nc>
  </rcc>
  <rcc rId="1838" sId="1">
    <nc r="AO119">
      <v>73</v>
    </nc>
  </rcc>
  <rcc rId="1839" sId="1">
    <nc r="AP119">
      <v>20</v>
    </nc>
  </rcc>
  <rcc rId="1840" sId="1">
    <nc r="AQ119">
      <v>13</v>
    </nc>
  </rcc>
  <rcc rId="1841" sId="1">
    <nc r="AS119">
      <v>2188</v>
    </nc>
  </rcc>
  <rcc rId="1842" sId="1">
    <nc r="AR119">
      <v>531</v>
    </nc>
  </rcc>
  <rcc rId="1843" sId="1" numFmtId="19">
    <oc r="AK118">
      <v>41569</v>
    </oc>
    <nc r="AK118" t="inlineStr">
      <is>
        <t>missed</t>
      </is>
    </nc>
  </rcc>
  <rfmt sheetId="1" sqref="AK118" start="0" length="2147483647">
    <dxf>
      <font>
        <color auto="1"/>
      </font>
    </dxf>
  </rfmt>
  <rfmt sheetId="1" sqref="AK121" start="0" length="2147483647">
    <dxf>
      <font>
        <color auto="1"/>
      </font>
    </dxf>
  </rfmt>
  <rfmt sheetId="1" sqref="AK117" start="0" length="2147483647">
    <dxf>
      <font>
        <b val="0"/>
      </font>
    </dxf>
  </rfmt>
  <rcc rId="1844" sId="1">
    <oc r="AK1" t="inlineStr">
      <is>
        <t>6mo-8 (?=no scheduled)</t>
      </is>
    </oc>
    <nc r="AK1" t="inlineStr">
      <is>
        <t>5mo-8 (?=no scheduled)</t>
      </is>
    </nc>
  </rcc>
  <rcc rId="1845" sId="1" numFmtId="4">
    <nc r="AM117">
      <v>-1.75</v>
    </nc>
  </rcc>
  <rcc rId="1846" sId="1" numFmtId="4">
    <nc r="AN117">
      <v>2</v>
    </nc>
  </rcc>
  <rcc rId="1847" sId="1">
    <nc r="AO117">
      <v>17</v>
    </nc>
  </rcc>
  <rcc rId="1848" sId="1">
    <nc r="AP117">
      <v>20</v>
    </nc>
  </rcc>
  <rcc rId="1849" sId="1">
    <nc r="AQ117">
      <v>14</v>
    </nc>
  </rcc>
  <rcc rId="1850" sId="1">
    <nc r="AS117">
      <v>2427</v>
    </nc>
  </rcc>
  <rcc rId="1851" sId="1">
    <nc r="AR117">
      <v>499</v>
    </nc>
  </rcc>
  <rcc rId="1852" sId="1" odxf="1" dxf="1">
    <oc r="AK116" t="inlineStr">
      <is>
        <t>no appt</t>
      </is>
    </oc>
    <nc r="AK116" t="inlineStr">
      <is>
        <t>missed</t>
      </is>
    </nc>
    <odxf>
      <font>
        <sz val="10"/>
        <color auto="1"/>
        <name val="Arial"/>
        <scheme val="none"/>
      </font>
    </odxf>
    <ndxf>
      <font>
        <sz val="10"/>
        <color auto="1"/>
        <name val="Arial"/>
        <scheme val="none"/>
      </font>
    </ndxf>
  </rcc>
  <rcc rId="1853" sId="1" odxf="1" dxf="1">
    <oc r="AK115" t="inlineStr">
      <is>
        <t>no appt</t>
      </is>
    </oc>
    <nc r="AK115" t="inlineStr">
      <is>
        <t>missed</t>
      </is>
    </nc>
    <odxf>
      <font/>
    </odxf>
    <ndxf>
      <font/>
    </ndxf>
  </rcc>
  <rcc rId="1854" sId="1" odxf="1" dxf="1">
    <oc r="AK112" t="inlineStr">
      <is>
        <t>no appt</t>
      </is>
    </oc>
    <nc r="AK112" t="inlineStr">
      <is>
        <t>missed</t>
      </is>
    </nc>
    <odxf>
      <font>
        <sz val="10"/>
        <color auto="1"/>
        <name val="Arial"/>
        <scheme val="none"/>
      </font>
    </odxf>
    <ndxf>
      <font>
        <sz val="10"/>
        <color auto="1"/>
        <name val="Arial"/>
        <scheme val="none"/>
      </font>
    </ndxf>
  </rcc>
  <rcc rId="1855" sId="1">
    <oc r="AK108" t="inlineStr">
      <is>
        <t>no appt</t>
      </is>
    </oc>
    <nc r="AK108" t="inlineStr">
      <is>
        <t>missed</t>
      </is>
    </nc>
  </rcc>
  <rfmt sheetId="1" sqref="AK108" start="0" length="2147483647">
    <dxf>
      <font>
        <color auto="1"/>
      </font>
    </dxf>
  </rfmt>
  <rcc rId="1856" sId="1">
    <oc r="AK96" t="inlineStr">
      <is>
        <t>? (FL  6 month;here @ 1 yr)</t>
      </is>
    </oc>
    <nc r="AK96" t="inlineStr">
      <is>
        <t>missed</t>
      </is>
    </nc>
  </rcc>
  <rcc rId="1857" sId="1" odxf="1" dxf="1" numFmtId="19">
    <oc r="AK41">
      <v>41361</v>
    </oc>
    <nc r="AK41" t="inlineStr">
      <is>
        <t>missed</t>
      </is>
    </nc>
    <odxf>
      <font>
        <sz val="10"/>
        <color auto="1"/>
        <name val="Arial"/>
        <scheme val="none"/>
      </font>
    </odxf>
    <ndxf>
      <font>
        <sz val="10"/>
        <color auto="1"/>
        <name val="Arial"/>
        <scheme val="none"/>
      </font>
    </ndxf>
  </rcc>
  <rcc rId="1858" sId="1">
    <oc r="AM41" t="inlineStr">
      <is>
        <t>Ref Doc</t>
      </is>
    </oc>
    <nc r="AM41"/>
  </rcc>
  <rcc rId="1859" sId="1">
    <oc r="AQ41">
      <v>17</v>
    </oc>
    <nc r="AQ41"/>
  </rcc>
  <rcc rId="1860" sId="1">
    <oc r="AR41">
      <v>520</v>
    </oc>
    <nc r="AR41"/>
  </rcc>
  <rcc rId="1861" sId="1">
    <oc r="AS41">
      <v>1883</v>
    </oc>
    <nc r="AS41"/>
  </rcc>
  <rcc rId="1862" sId="1" odxf="1" dxf="1" numFmtId="19">
    <oc r="AK93">
      <v>41317</v>
    </oc>
    <nc r="AK93" t="inlineStr">
      <is>
        <t>missed</t>
      </is>
    </nc>
    <odxf>
      <font>
        <sz val="10"/>
        <color auto="1"/>
        <name val="Arial"/>
        <scheme val="none"/>
      </font>
    </odxf>
    <ndxf>
      <font>
        <sz val="10"/>
        <color auto="1"/>
        <name val="Arial"/>
        <scheme val="none"/>
      </font>
    </ndxf>
  </rcc>
  <rcc rId="1863" sId="1" odxf="1" dxf="1" numFmtId="19">
    <oc r="AK95">
      <v>41390</v>
    </oc>
    <nc r="AK95" t="inlineStr">
      <is>
        <t>missed</t>
      </is>
    </nc>
    <odxf>
      <font>
        <sz val="10"/>
        <color auto="1"/>
        <name val="Arial"/>
        <scheme val="none"/>
      </font>
    </odxf>
    <ndxf>
      <font>
        <sz val="10"/>
        <color auto="1"/>
        <name val="Arial"/>
        <scheme val="none"/>
      </font>
    </ndxf>
  </rcc>
  <rcc rId="1864" sId="1">
    <oc r="AM93" t="inlineStr">
      <is>
        <t>Ref Doc</t>
      </is>
    </oc>
    <nc r="AM93"/>
  </rcc>
  <rcc rId="1865" sId="1">
    <oc r="AM95" t="inlineStr">
      <is>
        <t>Ref Doc</t>
      </is>
    </oc>
    <nc r="AM95"/>
  </rcc>
  <rcc rId="1866" sId="1">
    <oc r="AQ93">
      <v>15</v>
    </oc>
    <nc r="AQ93"/>
  </rcc>
  <rcc rId="1867" sId="1">
    <oc r="AK90" t="inlineStr">
      <is>
        <t>?</t>
      </is>
    </oc>
    <nc r="AK90" t="inlineStr">
      <is>
        <t>missed</t>
      </is>
    </nc>
  </rcc>
  <rcc rId="1868" sId="1">
    <oc r="AL85" t="inlineStr">
      <is>
        <t>?</t>
      </is>
    </oc>
    <nc r="AL85"/>
  </rcc>
  <rcc rId="1869" sId="1">
    <oc r="AL86" t="inlineStr">
      <is>
        <t>?</t>
      </is>
    </oc>
    <nc r="AL86"/>
  </rcc>
  <rcc rId="1870" sId="1">
    <oc r="AM34" t="inlineStr">
      <is>
        <t>Ref Doc</t>
      </is>
    </oc>
    <nc r="AM34"/>
  </rcc>
  <rcc rId="1871" sId="1" odxf="1" dxf="1" numFmtId="19">
    <oc r="AK34">
      <v>41361</v>
    </oc>
    <nc r="AK34" t="inlineStr">
      <is>
        <t>missed</t>
      </is>
    </nc>
    <odxf>
      <font/>
    </odxf>
    <ndxf>
      <font/>
    </ndxf>
  </rcc>
  <rfmt sheetId="1" sqref="AK82" start="0" length="2147483647">
    <dxf>
      <font>
        <color auto="1"/>
      </font>
    </dxf>
  </rfmt>
  <rfmt sheetId="1" sqref="AL82" start="0" length="2147483647">
    <dxf>
      <font>
        <color auto="1"/>
      </font>
    </dxf>
  </rfmt>
  <rcc rId="1872" sId="1" numFmtId="4">
    <nc r="AM82">
      <v>-0.75</v>
    </nc>
  </rcc>
  <rcc rId="1873" sId="1" numFmtId="4">
    <nc r="AN82">
      <v>-2</v>
    </nc>
  </rcc>
  <rcc rId="1874" sId="1">
    <nc r="AO82">
      <v>120</v>
    </nc>
  </rcc>
  <rcc rId="1875" sId="1">
    <nc r="AP82">
      <v>25</v>
    </nc>
  </rcc>
  <rcc rId="1876" sId="1">
    <nc r="AQ82">
      <v>17</v>
    </nc>
  </rcc>
  <rcc rId="1877" sId="1">
    <nc r="AS82">
      <v>2179</v>
    </nc>
  </rcc>
  <rcc rId="1878" sId="1">
    <nc r="AR82">
      <v>465</v>
    </nc>
  </rcc>
  <rcc rId="1879" sId="1">
    <nc r="AT82">
      <v>21.95</v>
    </nc>
  </rcc>
  <rcc rId="1880" sId="1">
    <nc r="AU82">
      <v>3.7</v>
    </nc>
  </rcc>
  <rcc rId="1881" sId="1">
    <nc r="AV82">
      <v>46.11</v>
    </nc>
  </rcc>
  <rcc rId="1882" sId="1">
    <nc r="AW82">
      <v>157</v>
    </nc>
  </rcc>
  <rcc rId="1883" sId="1">
    <nc r="AX82">
      <v>47.94</v>
    </nc>
  </rcc>
  <rcc rId="1884" sId="1">
    <nc r="AY82">
      <v>67</v>
    </nc>
  </rcc>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85" sId="1">
    <oc r="AK94" t="inlineStr">
      <is>
        <t>no appt</t>
      </is>
    </oc>
    <nc r="AK94" t="inlineStr">
      <is>
        <t>missed</t>
      </is>
    </nc>
  </rcc>
  <rfmt sheetId="1" sqref="AK94" start="0" length="2147483647">
    <dxf>
      <font>
        <color auto="1"/>
      </font>
    </dxf>
  </rfmt>
  <rcc rId="1886" sId="1" odxf="1" dxf="1" numFmtId="19">
    <nc r="BC31">
      <v>41771</v>
    </nc>
    <odxf>
      <numFmt numFmtId="0" formatCode="General"/>
    </odxf>
    <ndxf>
      <numFmt numFmtId="19" formatCode="mm/dd/yyyy"/>
    </ndxf>
  </rcc>
  <rfmt sheetId="1" sqref="BC31" start="0" length="2147483647">
    <dxf>
      <font>
        <color rgb="FF7030A0"/>
      </font>
    </dxf>
  </rfmt>
  <rcc rId="1887" sId="1" odxf="1" dxf="1" numFmtId="19">
    <oc r="BC32">
      <v>41668</v>
    </oc>
    <nc r="BC32" t="inlineStr">
      <is>
        <t>missed</t>
      </is>
    </nc>
    <odxf>
      <font>
        <sz val="10"/>
        <color auto="1"/>
        <name val="Arial"/>
        <scheme val="none"/>
      </font>
    </odxf>
    <ndxf>
      <font>
        <sz val="10"/>
        <color auto="1"/>
        <name val="Arial"/>
        <scheme val="none"/>
      </font>
    </ndxf>
  </rcc>
  <rcc rId="1888" sId="1" numFmtId="4">
    <nc r="BD35">
      <v>80</v>
    </nc>
  </rcc>
  <rcc rId="1889" sId="1" numFmtId="4">
    <nc r="BE35">
      <v>-2</v>
    </nc>
  </rcc>
  <rcc rId="1890" sId="1" numFmtId="4">
    <nc r="BF35">
      <v>1.25</v>
    </nc>
  </rcc>
  <rcc rId="1891" sId="1">
    <nc r="BG35">
      <v>135</v>
    </nc>
  </rcc>
  <rcc rId="1892" sId="1">
    <nc r="BH35">
      <v>25</v>
    </nc>
  </rcc>
  <rcc rId="1893" sId="1">
    <nc r="BI35">
      <v>12</v>
    </nc>
  </rcc>
  <rcc rId="1894" sId="1">
    <nc r="BK35">
      <v>2088</v>
    </nc>
  </rcc>
  <rcc rId="1895" sId="1">
    <nc r="BJ35">
      <v>562</v>
    </nc>
  </rcc>
  <rcc rId="1896" sId="1">
    <nc r="BL35">
      <v>24.14</v>
    </nc>
  </rcc>
  <rcc rId="1897" sId="1">
    <nc r="BM35">
      <v>3.03</v>
    </nc>
  </rcc>
  <rcc rId="1898" sId="1">
    <nc r="BN35">
      <v>41.62</v>
    </nc>
  </rcc>
  <rcc rId="1899" sId="1">
    <nc r="BO35">
      <v>41</v>
    </nc>
  </rcc>
  <rcc rId="1900" sId="1">
    <nc r="BP35">
      <v>42.13</v>
    </nc>
  </rcc>
  <rcc rId="1901" sId="1">
    <nc r="BQ35">
      <v>131</v>
    </nc>
  </rcc>
  <rcc rId="1902" sId="1" numFmtId="4">
    <nc r="BD40">
      <v>70</v>
    </nc>
  </rcc>
  <rcc rId="1903" sId="1" numFmtId="4">
    <nc r="BE40">
      <v>-1.5</v>
    </nc>
  </rcc>
  <rcc rId="1904" sId="1" numFmtId="4">
    <nc r="BF40">
      <v>1</v>
    </nc>
  </rcc>
  <rcc rId="1905" sId="1">
    <nc r="BG40">
      <v>167</v>
    </nc>
  </rcc>
  <rcc rId="1906" sId="1">
    <nc r="BH40">
      <v>30</v>
    </nc>
  </rcc>
  <rcc rId="1907" sId="1">
    <nc r="BI40">
      <v>12</v>
    </nc>
  </rcc>
  <rcc rId="1908" sId="1">
    <nc r="BK40">
      <v>2088</v>
    </nc>
  </rcc>
  <rcc rId="1909" sId="1">
    <nc r="BJ40">
      <v>561</v>
    </nc>
  </rcc>
  <rcc rId="1910" sId="1">
    <nc r="BL40">
      <v>21.24</v>
    </nc>
  </rcc>
  <rcc rId="1911" sId="1">
    <nc r="BM40">
      <v>2.8</v>
    </nc>
  </rcc>
  <rcc rId="1912" sId="1">
    <nc r="BN40">
      <v>41.98</v>
    </nc>
  </rcc>
  <rcc rId="1913" sId="1">
    <nc r="BO40">
      <v>123</v>
    </nc>
  </rcc>
  <rcc rId="1914" sId="1">
    <nc r="BP40">
      <v>42.51</v>
    </nc>
  </rcc>
  <rcc rId="1915" sId="1">
    <nc r="BQ40">
      <v>33</v>
    </nc>
  </rcc>
  <rcc rId="1916" sId="1" odxf="1" dxf="1" numFmtId="19">
    <nc r="BC44">
      <v>41796</v>
    </nc>
    <odxf>
      <numFmt numFmtId="0" formatCode="General"/>
    </odxf>
    <ndxf>
      <numFmt numFmtId="19" formatCode="mm/dd/yyyy"/>
    </ndxf>
  </rcc>
  <rcc rId="1917" sId="1" odxf="1" dxf="1">
    <oc r="BC45" t="inlineStr">
      <is>
        <t>? As of 1/2/14</t>
      </is>
    </oc>
    <nc r="BC45" t="inlineStr">
      <is>
        <t>? As of 2/6/14</t>
      </is>
    </nc>
    <odxf>
      <font>
        <sz val="10"/>
        <color auto="1"/>
        <name val="Arial"/>
        <scheme val="none"/>
      </font>
    </odxf>
    <ndxf>
      <font>
        <sz val="10"/>
        <color auto="1"/>
        <name val="Arial"/>
        <scheme val="none"/>
      </font>
    </ndxf>
  </rcc>
  <rcc rId="1918" sId="1" odxf="1" dxf="1" numFmtId="19">
    <nc r="BC46">
      <v>41779</v>
    </nc>
    <odxf>
      <numFmt numFmtId="0" formatCode="General"/>
    </odxf>
    <ndxf>
      <numFmt numFmtId="19" formatCode="mm/dd/yyyy"/>
    </ndxf>
  </rcc>
  <rfmt sheetId="1" sqref="BC46" start="0" length="2147483647">
    <dxf>
      <font>
        <color rgb="FF7030A0"/>
      </font>
    </dxf>
  </rfmt>
  <rcc rId="1919" sId="1" odxf="1" dxf="1" numFmtId="19">
    <nc r="BC48">
      <v>41773</v>
    </nc>
    <odxf>
      <numFmt numFmtId="0" formatCode="General"/>
    </odxf>
    <ndxf>
      <numFmt numFmtId="19" formatCode="mm/dd/yyyy"/>
    </ndxf>
  </rcc>
  <rcc rId="1920" sId="1">
    <oc r="BD48" t="inlineStr">
      <is>
        <t>?</t>
      </is>
    </oc>
    <nc r="BD48"/>
  </rcc>
  <rcc rId="1921" sId="1" numFmtId="4">
    <nc r="BE50">
      <v>0</v>
    </nc>
  </rcc>
  <rcc rId="1922" sId="1" numFmtId="4">
    <nc r="BF50">
      <v>2</v>
    </nc>
  </rcc>
  <rcc rId="1923" sId="1">
    <nc r="BG50">
      <v>172</v>
    </nc>
  </rcc>
  <rcc rId="1924" sId="1">
    <nc r="BH50">
      <v>20</v>
    </nc>
  </rcc>
  <rcc rId="1925" sId="1">
    <nc r="BI50">
      <v>13</v>
    </nc>
  </rcc>
  <rcc rId="1926" sId="1">
    <nc r="BK50">
      <v>2370</v>
    </nc>
  </rcc>
  <rcc rId="1927" sId="1">
    <nc r="BJ50">
      <v>567</v>
    </nc>
  </rcc>
  <rfmt sheetId="1" sqref="BC52" start="0" length="2147483647">
    <dxf>
      <font>
        <color rgb="FF7030A0"/>
      </font>
    </dxf>
  </rfmt>
  <rcc rId="1928" sId="1" odxf="1" dxf="1" numFmtId="19">
    <nc r="BC53">
      <v>41704</v>
    </nc>
    <odxf>
      <numFmt numFmtId="0" formatCode="General"/>
    </odxf>
    <ndxf>
      <numFmt numFmtId="19" formatCode="mm/dd/yyyy"/>
    </ndxf>
  </rcc>
  <rfmt sheetId="1" sqref="BC53" start="0" length="2147483647">
    <dxf>
      <font>
        <color rgb="FF7030A0"/>
      </font>
    </dxf>
  </rfmt>
  <rfmt sheetId="1" sqref="BC55:BC56" start="0" length="2147483647">
    <dxf>
      <font>
        <color rgb="FF7030A0"/>
      </font>
    </dxf>
  </rfmt>
  <rfmt sheetId="1" sqref="BC58" start="0" length="2147483647">
    <dxf>
      <font>
        <color rgb="FF7030A0"/>
      </font>
    </dxf>
  </rfmt>
  <rfmt sheetId="1" sqref="BC62:BC63" start="0" length="2147483647">
    <dxf>
      <font>
        <color rgb="FF7030A0"/>
      </font>
    </dxf>
  </rfmt>
  <rfmt sheetId="1" sqref="BC74:BC75" start="0" length="2147483647">
    <dxf>
      <font>
        <color rgb="FF7030A0"/>
      </font>
    </dxf>
  </rfmt>
  <rfmt sheetId="1" sqref="BC77:BC78" start="0" length="2147483647">
    <dxf>
      <font>
        <color rgb="FF7030A0"/>
      </font>
    </dxf>
  </rfmt>
  <rfmt sheetId="1" sqref="BC54" start="0" length="0">
    <dxf>
      <numFmt numFmtId="22" formatCode="mmm\-yy"/>
    </dxf>
  </rfmt>
  <rcc rId="1929" sId="1" numFmtId="22">
    <nc r="BC54">
      <v>41809</v>
    </nc>
  </rcc>
  <rfmt sheetId="1" sqref="BC54">
    <dxf>
      <numFmt numFmtId="19" formatCode="mm/dd/yyyy"/>
    </dxf>
  </rfmt>
  <rfmt sheetId="1" sqref="BC54" start="0" length="2147483647">
    <dxf>
      <font>
        <color rgb="FF7030A0"/>
      </font>
    </dxf>
  </rfmt>
  <rcc rId="1930" sId="1">
    <oc r="BD54" t="inlineStr">
      <is>
        <t>?</t>
      </is>
    </oc>
    <nc r="BD54"/>
  </rcc>
  <rcc rId="1931" sId="1" odxf="1" dxf="1" numFmtId="19">
    <nc r="BC57">
      <v>41773</v>
    </nc>
    <odxf>
      <numFmt numFmtId="0" formatCode="General"/>
    </odxf>
    <ndxf>
      <numFmt numFmtId="19" formatCode="mm/dd/yyyy"/>
    </ndxf>
  </rcc>
  <rfmt sheetId="1" sqref="BC57" start="0" length="2147483647">
    <dxf>
      <font>
        <color rgb="FF7030A0"/>
      </font>
    </dxf>
  </rfmt>
  <rcc rId="1932" sId="1" odxf="1" dxf="1" numFmtId="19">
    <nc r="BC59">
      <v>41745</v>
    </nc>
    <odxf>
      <numFmt numFmtId="0" formatCode="General"/>
    </odxf>
    <ndxf>
      <numFmt numFmtId="19" formatCode="mm/dd/yyyy"/>
    </ndxf>
  </rcc>
  <rfmt sheetId="1" sqref="BC59" start="0" length="2147483647">
    <dxf>
      <font>
        <color rgb="FF7030A0"/>
      </font>
    </dxf>
  </rfmt>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33" sId="1" odxf="1" dxf="1" numFmtId="19">
    <nc r="BC64">
      <v>41794</v>
    </nc>
    <odxf>
      <numFmt numFmtId="0" formatCode="General"/>
    </odxf>
    <ndxf>
      <numFmt numFmtId="19" formatCode="mm/dd/yyyy"/>
    </ndxf>
  </rcc>
  <rfmt sheetId="1" sqref="BC64" start="0" length="2147483647">
    <dxf>
      <font>
        <color rgb="FF7030A0"/>
      </font>
    </dxf>
  </rfmt>
  <rcc rId="1934" sId="1" odxf="1" dxf="1" numFmtId="19">
    <nc r="BC65">
      <v>41717</v>
    </nc>
    <odxf>
      <numFmt numFmtId="0" formatCode="General"/>
    </odxf>
    <ndxf>
      <numFmt numFmtId="19" formatCode="mm/dd/yyyy"/>
    </ndxf>
  </rcc>
  <rfmt sheetId="1" sqref="BC65" start="0" length="2147483647">
    <dxf>
      <font>
        <color rgb="FF7030A0"/>
      </font>
    </dxf>
  </rfmt>
  <rcc rId="1935" sId="1" odxf="1" dxf="1" numFmtId="19">
    <nc r="BC67">
      <v>41829</v>
    </nc>
    <odxf>
      <numFmt numFmtId="0" formatCode="General"/>
    </odxf>
    <ndxf>
      <numFmt numFmtId="19" formatCode="mm/dd/yyyy"/>
    </ndxf>
  </rcc>
  <rfmt sheetId="1" sqref="BC67" start="0" length="2147483647">
    <dxf>
      <font>
        <color rgb="FF7030A0"/>
      </font>
    </dxf>
  </rfmt>
  <rcc rId="1936" sId="1" odxf="1" dxf="1">
    <oc r="BC68" t="inlineStr">
      <is>
        <t>? As of 1/2/14</t>
      </is>
    </oc>
    <nc r="BC68" t="inlineStr">
      <is>
        <t>? As of 2/6/14</t>
      </is>
    </nc>
    <odxf>
      <font>
        <sz val="10"/>
        <color auto="1"/>
        <name val="Arial"/>
        <scheme val="none"/>
      </font>
    </odxf>
    <ndxf>
      <font>
        <sz val="10"/>
        <color auto="1"/>
        <name val="Arial"/>
        <scheme val="none"/>
      </font>
    </ndxf>
  </rcc>
  <rcc rId="1937" sId="1" odxf="1" dxf="1" numFmtId="19">
    <nc r="BC69">
      <v>41773</v>
    </nc>
    <odxf>
      <numFmt numFmtId="0" formatCode="General"/>
    </odxf>
    <ndxf>
      <numFmt numFmtId="19" formatCode="mm/dd/yyyy"/>
    </ndxf>
  </rcc>
  <rfmt sheetId="1" sqref="BC69" start="0" length="2147483647">
    <dxf>
      <font>
        <color rgb="FF7030A0"/>
      </font>
    </dxf>
  </rfmt>
  <rcc rId="1938" sId="1">
    <oc r="BD69" t="inlineStr">
      <is>
        <t>?</t>
      </is>
    </oc>
    <nc r="BD69"/>
  </rcc>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39" sId="1" odxf="1" dxf="1" numFmtId="19">
    <nc r="BC70">
      <v>41773</v>
    </nc>
    <odxf>
      <numFmt numFmtId="0" formatCode="General"/>
    </odxf>
    <ndxf>
      <numFmt numFmtId="19" formatCode="mm/dd/yyyy"/>
    </ndxf>
  </rcc>
  <rfmt sheetId="1" sqref="BC70" start="0" length="2147483647">
    <dxf>
      <font>
        <color rgb="FF7030A0"/>
      </font>
    </dxf>
  </rfmt>
  <rcc rId="1940" sId="1" odxf="1" dxf="1">
    <nc r="BC71" t="inlineStr">
      <is>
        <t>? As of 2/6/14</t>
      </is>
    </nc>
    <odxf>
      <font>
        <sz val="10"/>
        <color auto="1"/>
        <name val="Arial"/>
        <scheme val="none"/>
      </font>
    </odxf>
    <ndxf>
      <font>
        <sz val="10"/>
        <color auto="1"/>
        <name val="Arial"/>
        <scheme val="none"/>
      </font>
    </ndxf>
  </rcc>
  <rcc rId="1941" sId="1" numFmtId="4">
    <nc r="BE72">
      <v>-1</v>
    </nc>
  </rcc>
  <rcc rId="1942" sId="1" numFmtId="4">
    <nc r="BF72">
      <v>2.5</v>
    </nc>
  </rcc>
  <rcc rId="1943" sId="1">
    <nc r="BG72">
      <v>15</v>
    </nc>
  </rcc>
  <rcc rId="1944" sId="1">
    <nc r="BH72">
      <v>25</v>
    </nc>
  </rcc>
  <rcc rId="1945" sId="1">
    <nc r="BI72">
      <v>15</v>
    </nc>
  </rcc>
  <rcc rId="1946" sId="1">
    <nc r="BK72">
      <v>2000</v>
    </nc>
  </rcc>
  <rcc rId="1947" sId="1">
    <nc r="BJ72">
      <v>552</v>
    </nc>
  </rcc>
  <rcc rId="1948" sId="1" odxf="1" dxf="1">
    <oc r="BC73" t="inlineStr">
      <is>
        <t>? As of 1/2/14</t>
      </is>
    </oc>
    <nc r="BC73" t="inlineStr">
      <is>
        <t>? As of 2/6/14</t>
      </is>
    </nc>
    <odxf>
      <font>
        <sz val="10"/>
        <color auto="1"/>
        <name val="Arial"/>
        <scheme val="none"/>
      </font>
    </odxf>
    <ndxf>
      <font>
        <sz val="10"/>
        <color auto="1"/>
        <name val="Arial"/>
        <scheme val="none"/>
      </font>
    </ndxf>
  </rcc>
  <rcc rId="1949" sId="1" odxf="1" dxf="1">
    <oc r="BC76" t="inlineStr">
      <is>
        <t>? As of 1/2/14</t>
      </is>
    </oc>
    <nc r="BC76" t="inlineStr">
      <is>
        <t>? As of 2/6/14</t>
      </is>
    </nc>
    <odxf>
      <font>
        <sz val="10"/>
        <color auto="1"/>
        <name val="Arial"/>
        <scheme val="none"/>
      </font>
    </odxf>
    <ndxf>
      <font>
        <sz val="10"/>
        <color auto="1"/>
        <name val="Arial"/>
        <scheme val="none"/>
      </font>
    </ndxf>
  </rcc>
  <rcc rId="1950" sId="1" odxf="1" dxf="1" numFmtId="19">
    <nc r="BC82">
      <v>41688</v>
    </nc>
    <odxf>
      <numFmt numFmtId="0" formatCode="General"/>
    </odxf>
    <ndxf>
      <numFmt numFmtId="19" formatCode="mm/dd/yyyy"/>
    </ndxf>
  </rcc>
  <rfmt sheetId="1" sqref="BC82" start="0" length="2147483647">
    <dxf>
      <font>
        <color rgb="FF7030A0"/>
      </font>
    </dxf>
  </rfmt>
  <rcc rId="1951" sId="1" odxf="1" dxf="1">
    <oc r="BC79" t="inlineStr">
      <is>
        <t>? As of 1/2/14</t>
      </is>
    </oc>
    <nc r="BC79" t="inlineStr">
      <is>
        <t>? As of 2/6/14</t>
      </is>
    </nc>
    <odxf>
      <font>
        <sz val="10"/>
        <color auto="1"/>
        <name val="Arial"/>
        <scheme val="none"/>
      </font>
    </odxf>
    <ndxf>
      <font>
        <sz val="10"/>
        <color auto="1"/>
        <name val="Arial"/>
        <scheme val="none"/>
      </font>
    </ndxf>
  </rcc>
  <rcc rId="1952" sId="1" odxf="1" dxf="1">
    <oc r="BC80" t="inlineStr">
      <is>
        <t>? As of 1/2/14</t>
      </is>
    </oc>
    <nc r="BC80" t="inlineStr">
      <is>
        <t>? As of 2/6/14</t>
      </is>
    </nc>
    <odxf>
      <font>
        <sz val="10"/>
        <color auto="1"/>
        <name val="Arial"/>
        <scheme val="none"/>
      </font>
    </odxf>
    <ndxf>
      <font>
        <sz val="10"/>
        <color auto="1"/>
        <name val="Arial"/>
        <scheme val="none"/>
      </font>
    </ndxf>
  </rcc>
  <rcc rId="1953" sId="1" odxf="1" dxf="1">
    <oc r="BC81" t="inlineStr">
      <is>
        <t>? As of 1/2/14</t>
      </is>
    </oc>
    <nc r="BC81" t="inlineStr">
      <is>
        <t>? As of 2/6/14</t>
      </is>
    </nc>
    <odxf>
      <font>
        <sz val="10"/>
        <color auto="1"/>
        <name val="Arial"/>
        <scheme val="none"/>
      </font>
    </odxf>
    <ndxf>
      <font>
        <sz val="10"/>
        <color auto="1"/>
        <name val="Arial"/>
        <scheme val="none"/>
      </font>
    </ndxf>
  </rcc>
  <rcc rId="1954" sId="1" odxf="1" dxf="1">
    <oc r="BC83" t="inlineStr">
      <is>
        <t>? As of 1/2/14</t>
      </is>
    </oc>
    <nc r="BC83" t="inlineStr">
      <is>
        <t>? As of 2/6/14</t>
      </is>
    </nc>
    <odxf>
      <font>
        <sz val="10"/>
        <color auto="1"/>
        <name val="Arial"/>
        <scheme val="none"/>
      </font>
    </odxf>
    <ndxf>
      <font>
        <sz val="10"/>
        <color auto="1"/>
        <name val="Arial"/>
        <scheme val="none"/>
      </font>
    </ndxf>
  </rcc>
  <rcc rId="1955" sId="1" odxf="1" dxf="1">
    <oc r="BC85" t="inlineStr">
      <is>
        <t>? As of 1/2/14</t>
      </is>
    </oc>
    <nc r="BC85" t="inlineStr">
      <is>
        <t>? As of 2/6/14</t>
      </is>
    </nc>
    <odxf>
      <font>
        <sz val="10"/>
        <color auto="1"/>
        <name val="Arial"/>
        <scheme val="none"/>
      </font>
    </odxf>
    <ndxf>
      <font>
        <sz val="10"/>
        <color auto="1"/>
        <name val="Arial"/>
        <scheme val="none"/>
      </font>
    </ndxf>
  </rcc>
  <rcc rId="1956" sId="1" odxf="1" dxf="1">
    <oc r="BC86" t="inlineStr">
      <is>
        <t>? As of 1/2/14</t>
      </is>
    </oc>
    <nc r="BC86" t="inlineStr">
      <is>
        <t>? As of 2/6/14</t>
      </is>
    </nc>
    <odxf>
      <font>
        <sz val="10"/>
        <color auto="1"/>
        <name val="Arial"/>
        <scheme val="none"/>
      </font>
    </odxf>
    <ndxf>
      <font>
        <sz val="10"/>
        <color auto="1"/>
        <name val="Arial"/>
        <scheme val="none"/>
      </font>
    </ndxf>
  </rcc>
  <rcc rId="1957" sId="1" odxf="1" dxf="1">
    <oc r="BC87" t="inlineStr">
      <is>
        <t>? As of 1/2/14</t>
      </is>
    </oc>
    <nc r="BC87" t="inlineStr">
      <is>
        <t>? As of 2/6/14</t>
      </is>
    </nc>
    <odxf>
      <font>
        <sz val="10"/>
        <color auto="1"/>
        <name val="Arial"/>
        <scheme val="none"/>
      </font>
    </odxf>
    <ndxf>
      <font>
        <sz val="10"/>
        <color auto="1"/>
        <name val="Arial"/>
        <scheme val="none"/>
      </font>
    </ndxf>
  </rcc>
  <rcc rId="1958" sId="1" odxf="1" dxf="1">
    <oc r="BC88" t="inlineStr">
      <is>
        <t>? As of 1/2/14</t>
      </is>
    </oc>
    <nc r="BC88" t="inlineStr">
      <is>
        <t>? As of 2/6/14</t>
      </is>
    </nc>
    <odxf>
      <font>
        <sz val="10"/>
        <color auto="1"/>
        <name val="Arial"/>
        <scheme val="none"/>
      </font>
    </odxf>
    <ndxf>
      <font>
        <sz val="10"/>
        <color auto="1"/>
        <name val="Arial"/>
        <scheme val="none"/>
      </font>
    </ndxf>
  </rcc>
  <rcc rId="1959" sId="1" odxf="1" dxf="1">
    <nc r="BC89" t="inlineStr">
      <is>
        <t>? As of 2/6/14</t>
      </is>
    </nc>
    <odxf>
      <font>
        <sz val="10"/>
        <color auto="1"/>
        <name val="Arial"/>
        <scheme val="none"/>
      </font>
    </odxf>
    <ndxf>
      <font>
        <sz val="10"/>
        <color auto="1"/>
        <name val="Arial"/>
        <scheme val="none"/>
      </font>
    </ndxf>
  </rcc>
  <rcc rId="1960" sId="1" odxf="1" dxf="1">
    <nc r="BC90" t="inlineStr">
      <is>
        <t>? As of 2/6/14</t>
      </is>
    </nc>
    <ndxf>
      <font>
        <sz val="10"/>
        <color auto="1"/>
        <name val="Arial"/>
        <scheme val="none"/>
      </font>
    </ndxf>
  </rcc>
  <rcc rId="1961" sId="1" odxf="1" dxf="1">
    <oc r="BC91" t="inlineStr">
      <is>
        <t>? As of 1/2/14</t>
      </is>
    </oc>
    <nc r="BC91" t="inlineStr">
      <is>
        <t>? As of 2/6/14</t>
      </is>
    </nc>
    <odxf>
      <font>
        <sz val="10"/>
        <color auto="1"/>
        <name val="Arial"/>
        <scheme val="none"/>
      </font>
    </odxf>
    <ndxf>
      <font>
        <sz val="10"/>
        <color auto="1"/>
        <name val="Arial"/>
        <scheme val="none"/>
      </font>
    </ndxf>
  </rcc>
  <rcc rId="1962" sId="1" odxf="1" dxf="1">
    <oc r="BC92" t="inlineStr">
      <is>
        <t>? As of 1/2/14</t>
      </is>
    </oc>
    <nc r="BC92" t="inlineStr">
      <is>
        <t>? As of 2/6/14</t>
      </is>
    </nc>
    <odxf>
      <font>
        <sz val="10"/>
        <color auto="1"/>
        <name val="Arial"/>
        <scheme val="none"/>
      </font>
    </odxf>
    <ndxf>
      <font>
        <sz val="10"/>
        <color auto="1"/>
        <name val="Arial"/>
        <scheme val="none"/>
      </font>
    </ndxf>
  </rcc>
  <rcc rId="1963" sId="1" odxf="1" dxf="1">
    <oc r="BC93" t="inlineStr">
      <is>
        <t>? As of 1/2/14</t>
      </is>
    </oc>
    <nc r="BC93" t="inlineStr">
      <is>
        <t>? As of 2/6/14</t>
      </is>
    </nc>
    <odxf>
      <font>
        <sz val="10"/>
        <color auto="1"/>
        <name val="Arial"/>
        <scheme val="none"/>
      </font>
    </odxf>
    <ndxf>
      <font>
        <sz val="10"/>
        <color auto="1"/>
        <name val="Arial"/>
        <scheme val="none"/>
      </font>
    </ndxf>
  </rcc>
  <rcc rId="1964" sId="1" odxf="1" dxf="1">
    <oc r="BC94" t="inlineStr">
      <is>
        <t>? As of 1/2/14</t>
      </is>
    </oc>
    <nc r="BC94" t="inlineStr">
      <is>
        <t>? As of 2/6/14</t>
      </is>
    </nc>
    <odxf>
      <font>
        <sz val="10"/>
        <color auto="1"/>
        <name val="Arial"/>
        <scheme val="none"/>
      </font>
    </odxf>
    <ndxf>
      <font>
        <sz val="10"/>
        <color auto="1"/>
        <name val="Arial"/>
        <scheme val="none"/>
      </font>
    </ndxf>
  </rcc>
  <rcc rId="1965" sId="1" odxf="1" dxf="1">
    <oc r="BC95" t="inlineStr">
      <is>
        <t>? As of 1/2/14</t>
      </is>
    </oc>
    <nc r="BC95" t="inlineStr">
      <is>
        <t>? As of 2/6/14</t>
      </is>
    </nc>
    <odxf>
      <font>
        <sz val="10"/>
        <color auto="1"/>
        <name val="Arial"/>
        <scheme val="none"/>
      </font>
    </odxf>
    <ndxf>
      <font>
        <sz val="10"/>
        <color auto="1"/>
        <name val="Arial"/>
        <scheme val="none"/>
      </font>
    </ndxf>
  </rcc>
  <rcc rId="1966" sId="1" odxf="1" dxf="1">
    <nc r="BC96" t="inlineStr">
      <is>
        <t>? As of 2/6/14</t>
      </is>
    </nc>
    <ndxf>
      <font>
        <sz val="10"/>
        <color auto="1"/>
        <name val="Arial"/>
        <scheme val="none"/>
      </font>
    </ndxf>
  </rcc>
  <rcc rId="1967" sId="1" odxf="1" dxf="1">
    <oc r="BC97" t="inlineStr">
      <is>
        <t>? As of 1/2/14</t>
      </is>
    </oc>
    <nc r="BC97" t="inlineStr">
      <is>
        <t>? As of 2/6/14</t>
      </is>
    </nc>
    <odxf>
      <font>
        <sz val="10"/>
        <color auto="1"/>
        <name val="Arial"/>
        <scheme val="none"/>
      </font>
    </odxf>
    <ndxf>
      <font>
        <sz val="10"/>
        <color auto="1"/>
        <name val="Arial"/>
        <scheme val="none"/>
      </font>
    </ndxf>
  </rcc>
  <rcc rId="1968" sId="1" odxf="1" dxf="1">
    <oc r="BC98" t="inlineStr">
      <is>
        <t>? As of 1/2/14</t>
      </is>
    </oc>
    <nc r="BC98" t="inlineStr">
      <is>
        <t>? As of 2/6/14</t>
      </is>
    </nc>
    <odxf>
      <font>
        <sz val="10"/>
        <color auto="1"/>
        <name val="Arial"/>
        <scheme val="none"/>
      </font>
    </odxf>
    <ndxf>
      <font>
        <sz val="10"/>
        <color auto="1"/>
        <name val="Arial"/>
        <scheme val="none"/>
      </font>
    </ndxf>
  </rcc>
  <rcc rId="1969" sId="1" odxf="1" dxf="1">
    <oc r="BC99" t="inlineStr">
      <is>
        <t>? As of 1/2/14</t>
      </is>
    </oc>
    <nc r="BC99" t="inlineStr">
      <is>
        <t>? As of 2/6/14</t>
      </is>
    </nc>
    <odxf>
      <font>
        <sz val="10"/>
        <color auto="1"/>
        <name val="Arial"/>
        <scheme val="none"/>
      </font>
    </odxf>
    <ndxf>
      <font>
        <sz val="10"/>
        <color auto="1"/>
        <name val="Arial"/>
        <scheme val="none"/>
      </font>
    </ndxf>
  </rcc>
  <rcc rId="1970" sId="1" odxf="1" dxf="1">
    <oc r="BC100" t="inlineStr">
      <is>
        <t>? As of 1/2/14</t>
      </is>
    </oc>
    <nc r="BC100" t="inlineStr">
      <is>
        <t>? As of 2/6/14</t>
      </is>
    </nc>
    <odxf>
      <font>
        <sz val="10"/>
        <color auto="1"/>
        <name val="Arial"/>
        <scheme val="none"/>
      </font>
    </odxf>
    <ndxf>
      <font>
        <sz val="10"/>
        <color auto="1"/>
        <name val="Arial"/>
        <scheme val="none"/>
      </font>
    </ndxf>
  </rcc>
  <rcc rId="1971" sId="1" odxf="1" dxf="1">
    <oc r="BC101" t="inlineStr">
      <is>
        <t>? As of 1/2/14</t>
      </is>
    </oc>
    <nc r="BC101" t="inlineStr">
      <is>
        <t>? As of 2/6/14</t>
      </is>
    </nc>
    <odxf>
      <font>
        <sz val="10"/>
        <color auto="1"/>
        <name val="Arial"/>
        <scheme val="none"/>
      </font>
    </odxf>
    <ndxf>
      <font>
        <sz val="10"/>
        <color auto="1"/>
        <name val="Arial"/>
        <scheme val="none"/>
      </font>
    </ndxf>
  </rcc>
  <rcc rId="1972" sId="1" odxf="1" dxf="1">
    <oc r="BC102" t="inlineStr">
      <is>
        <t>? As of 1/2/14</t>
      </is>
    </oc>
    <nc r="BC102" t="inlineStr">
      <is>
        <t>? As of 2/6/14</t>
      </is>
    </nc>
    <odxf>
      <font>
        <sz val="10"/>
        <color auto="1"/>
        <name val="Arial"/>
        <scheme val="none"/>
      </font>
    </odxf>
    <ndxf>
      <font>
        <sz val="10"/>
        <color auto="1"/>
        <name val="Arial"/>
        <scheme val="none"/>
      </font>
    </ndxf>
  </rcc>
  <rcc rId="1973" sId="1" odxf="1" dxf="1">
    <oc r="BC103" t="inlineStr">
      <is>
        <t>? As of 1/2/14</t>
      </is>
    </oc>
    <nc r="BC103" t="inlineStr">
      <is>
        <t>? As of 2/6/14</t>
      </is>
    </nc>
    <odxf>
      <font>
        <sz val="10"/>
        <color auto="1"/>
        <name val="Arial"/>
        <scheme val="none"/>
      </font>
    </odxf>
    <ndxf>
      <font>
        <sz val="10"/>
        <color auto="1"/>
        <name val="Arial"/>
        <scheme val="none"/>
      </font>
    </ndxf>
  </rcc>
  <rcc rId="1974" sId="1" odxf="1" dxf="1">
    <oc r="BC104" t="inlineStr">
      <is>
        <t>? As of 1/2/14</t>
      </is>
    </oc>
    <nc r="BC104" t="inlineStr">
      <is>
        <t>? As of 2/6/14</t>
      </is>
    </nc>
    <odxf>
      <font>
        <sz val="10"/>
        <color auto="1"/>
        <name val="Arial"/>
        <scheme val="none"/>
      </font>
    </odxf>
    <ndxf>
      <font>
        <sz val="10"/>
        <color auto="1"/>
        <name val="Arial"/>
        <scheme val="none"/>
      </font>
    </ndxf>
  </rcc>
  <rfmt sheetId="1" sqref="BC105" start="0" length="0">
    <dxf>
      <font>
        <sz val="10"/>
        <color auto="1"/>
        <name val="Arial"/>
        <scheme val="none"/>
      </font>
    </dxf>
  </rfmt>
  <rfmt sheetId="1" sqref="BC106" start="0" length="0">
    <dxf>
      <font>
        <sz val="10"/>
        <color auto="1"/>
        <name val="Arial"/>
        <scheme val="none"/>
      </font>
    </dxf>
  </rfmt>
  <rcc rId="1975" sId="1">
    <oc r="BC105" t="inlineStr">
      <is>
        <t>? As of 1/2/14</t>
      </is>
    </oc>
    <nc r="BC105" t="inlineStr">
      <is>
        <t>? As of 2/6/14</t>
      </is>
    </nc>
  </rcc>
  <rcc rId="1976" sId="1">
    <oc r="BC106" t="inlineStr">
      <is>
        <t>? As of 1/2/14</t>
      </is>
    </oc>
    <nc r="BC106" t="inlineStr">
      <is>
        <t>? As of 2/6/14</t>
      </is>
    </nc>
  </rcc>
  <rcc rId="1977" sId="1" odxf="1" dxf="1">
    <nc r="BC107" t="inlineStr">
      <is>
        <t>? As of 2/6/14</t>
      </is>
    </nc>
    <odxf>
      <font>
        <sz val="10"/>
        <color auto="1"/>
        <name val="Arial"/>
        <scheme val="none"/>
      </font>
    </odxf>
    <ndxf>
      <font>
        <sz val="10"/>
        <color auto="1"/>
        <name val="Arial"/>
        <scheme val="none"/>
      </font>
    </ndxf>
  </rcc>
  <rcc rId="1978" sId="1" odxf="1" dxf="1">
    <oc r="BC108" t="inlineStr">
      <is>
        <t>? As of 1/2/14</t>
      </is>
    </oc>
    <nc r="BC108" t="inlineStr">
      <is>
        <t>? As of 2/6/14</t>
      </is>
    </nc>
    <odxf>
      <font>
        <sz val="10"/>
        <color auto="1"/>
        <name val="Arial"/>
        <scheme val="none"/>
      </font>
    </odxf>
    <ndxf>
      <font>
        <sz val="10"/>
        <color auto="1"/>
        <name val="Arial"/>
        <scheme val="none"/>
      </font>
    </ndxf>
  </rcc>
  <rcc rId="1979" sId="1" odxf="1" dxf="1">
    <oc r="BC109" t="inlineStr">
      <is>
        <t>? As of 1/2/14</t>
      </is>
    </oc>
    <nc r="BC109" t="inlineStr">
      <is>
        <t>? As of 2/6/14</t>
      </is>
    </nc>
    <odxf>
      <font>
        <sz val="10"/>
        <color auto="1"/>
        <name val="Arial"/>
        <scheme val="none"/>
      </font>
    </odxf>
    <ndxf>
      <font>
        <sz val="10"/>
        <color auto="1"/>
        <name val="Arial"/>
        <scheme val="none"/>
      </font>
    </ndxf>
  </rcc>
  <rcc rId="1980" sId="1" odxf="1" dxf="1">
    <oc r="BC110" t="inlineStr">
      <is>
        <t>? As of 1/2/14</t>
      </is>
    </oc>
    <nc r="BC110" t="inlineStr">
      <is>
        <t>? As of 2/6/14</t>
      </is>
    </nc>
    <odxf>
      <font>
        <sz val="10"/>
        <color auto="1"/>
        <name val="Arial"/>
        <scheme val="none"/>
      </font>
    </odxf>
    <ndxf>
      <font>
        <sz val="10"/>
        <color auto="1"/>
        <name val="Arial"/>
        <scheme val="none"/>
      </font>
    </ndxf>
  </rcc>
  <rcc rId="1981" sId="1" odxf="1" dxf="1" numFmtId="19">
    <nc r="BC114">
      <v>41779</v>
    </nc>
    <odxf>
      <numFmt numFmtId="0" formatCode="General"/>
    </odxf>
    <ndxf>
      <numFmt numFmtId="19" formatCode="mm/dd/yyyy"/>
    </ndxf>
  </rcc>
  <rfmt sheetId="1" sqref="BC114" start="0" length="2147483647">
    <dxf>
      <font>
        <color rgb="FF7030A0"/>
      </font>
    </dxf>
  </rfmt>
  <rfmt sheetId="1" sqref="BC117" start="0" length="2147483647">
    <dxf>
      <font>
        <color rgb="FF7030A0"/>
      </font>
    </dxf>
  </rfmt>
  <rcc rId="1982" sId="1" odxf="1" dxf="1">
    <oc r="BC111" t="inlineStr">
      <is>
        <t>? As of 1/2/14</t>
      </is>
    </oc>
    <nc r="BC111" t="inlineStr">
      <is>
        <t>? As of 2/6/14</t>
      </is>
    </nc>
    <odxf>
      <font>
        <sz val="10"/>
        <color auto="1"/>
        <name val="Arial"/>
        <scheme val="none"/>
      </font>
    </odxf>
    <ndxf>
      <font>
        <sz val="10"/>
        <color auto="1"/>
        <name val="Arial"/>
        <scheme val="none"/>
      </font>
    </ndxf>
  </rcc>
  <rcc rId="1983" sId="1" odxf="1" dxf="1">
    <nc r="BC112" t="inlineStr">
      <is>
        <t>? As of 2/6/14</t>
      </is>
    </nc>
    <odxf>
      <font>
        <sz val="10"/>
        <color auto="1"/>
        <name val="Arial"/>
        <scheme val="none"/>
      </font>
    </odxf>
    <ndxf>
      <font>
        <sz val="10"/>
        <color auto="1"/>
        <name val="Arial"/>
        <scheme val="none"/>
      </font>
    </ndxf>
  </rcc>
  <rcc rId="1984" sId="1" odxf="1" dxf="1">
    <oc r="BC113" t="inlineStr">
      <is>
        <t>? As of 1/2/14</t>
      </is>
    </oc>
    <nc r="BC113" t="inlineStr">
      <is>
        <t>? As of 2/6/14</t>
      </is>
    </nc>
    <odxf>
      <font>
        <sz val="10"/>
        <color auto="1"/>
        <name val="Arial"/>
        <scheme val="none"/>
      </font>
    </odxf>
    <ndxf>
      <font>
        <sz val="10"/>
        <color auto="1"/>
        <name val="Arial"/>
        <scheme val="none"/>
      </font>
    </ndxf>
  </rcc>
  <rcc rId="1985" sId="1" odxf="1" dxf="1">
    <nc r="BC115" t="inlineStr">
      <is>
        <t>? As of 2/6/14</t>
      </is>
    </nc>
    <odxf>
      <font>
        <sz val="10"/>
        <color auto="1"/>
        <name val="Arial"/>
        <scheme val="none"/>
      </font>
    </odxf>
    <ndxf>
      <font>
        <sz val="10"/>
        <color auto="1"/>
        <name val="Arial"/>
        <scheme val="none"/>
      </font>
    </ndxf>
  </rcc>
  <rcc rId="1986" sId="1" odxf="1" dxf="1">
    <oc r="BC116" t="inlineStr">
      <is>
        <t>? As of 1/2/14</t>
      </is>
    </oc>
    <nc r="BC116" t="inlineStr">
      <is>
        <t>? As of 2/6/14</t>
      </is>
    </nc>
    <odxf>
      <font>
        <sz val="10"/>
        <color auto="1"/>
        <name val="Arial"/>
        <scheme val="none"/>
      </font>
    </odxf>
    <ndxf>
      <font>
        <sz val="10"/>
        <color auto="1"/>
        <name val="Arial"/>
        <scheme val="none"/>
      </font>
    </ndxf>
  </rcc>
  <rcc rId="1987" sId="1" odxf="1" dxf="1">
    <oc r="BC118" t="inlineStr">
      <is>
        <t>? As of 1/2/14</t>
      </is>
    </oc>
    <nc r="BC118" t="inlineStr">
      <is>
        <t>? As of 2/6/14</t>
      </is>
    </nc>
    <odxf>
      <font>
        <sz val="10"/>
        <color auto="1"/>
        <name val="Arial"/>
        <scheme val="none"/>
      </font>
    </odxf>
    <ndxf>
      <font>
        <sz val="10"/>
        <color auto="1"/>
        <name val="Arial"/>
        <scheme val="none"/>
      </font>
    </ndxf>
  </rcc>
  <rcc rId="1988" sId="1" odxf="1" dxf="1" numFmtId="19">
    <nc r="BC120">
      <v>41821</v>
    </nc>
    <odxf>
      <numFmt numFmtId="0" formatCode="General"/>
    </odxf>
    <ndxf>
      <numFmt numFmtId="19" formatCode="mm/dd/yyyy"/>
    </ndxf>
  </rcc>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89" sId="1" odxf="1" dxf="1" numFmtId="19">
    <nc r="BC125">
      <v>41701</v>
    </nc>
    <odxf>
      <numFmt numFmtId="0" formatCode="General"/>
    </odxf>
    <ndxf>
      <numFmt numFmtId="19" formatCode="mm/dd/yyyy"/>
    </ndxf>
  </rcc>
  <rfmt sheetId="1" sqref="BC120" start="0" length="2147483647">
    <dxf>
      <font>
        <color rgb="FF7030A0"/>
      </font>
    </dxf>
  </rfmt>
  <rfmt sheetId="1" sqref="BC125" start="0" length="2147483647">
    <dxf>
      <font>
        <color rgb="FF7030A0"/>
      </font>
    </dxf>
  </rfmt>
  <rcc rId="1990" sId="1" odxf="1" dxf="1" numFmtId="19">
    <nc r="BC126">
      <v>41709</v>
    </nc>
    <odxf>
      <numFmt numFmtId="0" formatCode="General"/>
    </odxf>
    <ndxf>
      <numFmt numFmtId="19" formatCode="mm/dd/yyyy"/>
    </ndxf>
  </rcc>
  <rfmt sheetId="1" sqref="BC126" start="0" length="2147483647">
    <dxf>
      <font>
        <color rgb="FF7030A0"/>
      </font>
    </dxf>
  </rfmt>
  <rcc rId="1991" sId="1" odxf="1" dxf="1">
    <nc r="BC119" t="inlineStr">
      <is>
        <t>? As of 2/6/14</t>
      </is>
    </nc>
    <odxf>
      <font>
        <sz val="10"/>
        <color auto="1"/>
        <name val="Arial"/>
        <scheme val="none"/>
      </font>
    </odxf>
    <ndxf>
      <font>
        <sz val="10"/>
        <color auto="1"/>
        <name val="Arial"/>
        <scheme val="none"/>
      </font>
    </ndxf>
  </rcc>
  <rcc rId="1992" sId="1" odxf="1" dxf="1">
    <nc r="BC121" t="inlineStr">
      <is>
        <t>? As of 2/6/14</t>
      </is>
    </nc>
    <odxf>
      <font>
        <sz val="10"/>
        <color auto="1"/>
        <name val="Arial"/>
        <scheme val="none"/>
      </font>
    </odxf>
    <ndxf>
      <font>
        <sz val="10"/>
        <color auto="1"/>
        <name val="Arial"/>
        <scheme val="none"/>
      </font>
    </ndxf>
  </rcc>
  <rcc rId="1993" sId="1" odxf="1" dxf="1">
    <nc r="BC122" t="inlineStr">
      <is>
        <t>? As of 2/6/14</t>
      </is>
    </nc>
    <odxf>
      <font>
        <sz val="10"/>
        <color auto="1"/>
        <name val="Arial"/>
        <scheme val="none"/>
      </font>
    </odxf>
    <ndxf>
      <font>
        <sz val="10"/>
        <color auto="1"/>
        <name val="Arial"/>
        <scheme val="none"/>
      </font>
    </ndxf>
  </rcc>
  <rcc rId="1994" sId="1" odxf="1" dxf="1">
    <nc r="BC123" t="inlineStr">
      <is>
        <t>? As of 2/6/14</t>
      </is>
    </nc>
    <odxf>
      <font>
        <sz val="10"/>
        <color auto="1"/>
        <name val="Arial"/>
        <scheme val="none"/>
      </font>
    </odxf>
    <ndxf>
      <font>
        <sz val="10"/>
        <color auto="1"/>
        <name val="Arial"/>
        <scheme val="none"/>
      </font>
    </ndxf>
  </rcc>
  <rcc rId="1995" sId="1" odxf="1" dxf="1">
    <nc r="BC124" t="inlineStr">
      <is>
        <t>? As of 2/6/14</t>
      </is>
    </nc>
    <odxf>
      <font>
        <sz val="10"/>
        <color auto="1"/>
        <name val="Arial"/>
        <scheme val="none"/>
      </font>
    </odxf>
    <ndxf>
      <font>
        <sz val="10"/>
        <color auto="1"/>
        <name val="Arial"/>
        <scheme val="none"/>
      </font>
    </ndxf>
  </rcc>
  <rcc rId="1996" sId="1">
    <oc r="BD83" t="inlineStr">
      <is>
        <t>?</t>
      </is>
    </oc>
    <nc r="BD83"/>
  </rcc>
  <rcc rId="1997" sId="1">
    <oc r="BD84" t="inlineStr">
      <is>
        <t>?</t>
      </is>
    </oc>
    <nc r="BD84"/>
  </rcc>
  <rcc rId="1998" sId="1">
    <oc r="BD85" t="inlineStr">
      <is>
        <t>?</t>
      </is>
    </oc>
    <nc r="BD85"/>
  </rcc>
  <rcc rId="1999" sId="1">
    <oc r="BD86" t="inlineStr">
      <is>
        <t>?</t>
      </is>
    </oc>
    <nc r="BD86"/>
  </rcc>
  <rcc rId="2000" sId="1">
    <oc r="BD87" t="inlineStr">
      <is>
        <t>?</t>
      </is>
    </oc>
    <nc r="BD87"/>
  </rcc>
  <rcc rId="2001" sId="1">
    <oc r="BD88" t="inlineStr">
      <is>
        <t>?</t>
      </is>
    </oc>
    <nc r="BD88"/>
  </rcc>
  <rcc rId="2002" sId="1">
    <oc r="BD89" t="inlineStr">
      <is>
        <t>?</t>
      </is>
    </oc>
    <nc r="BD89"/>
  </rcc>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2003" name="FOLLOWUP_MONTHS">
    <formula>Data!$CA:$CA</formula>
  </rdn>
  <rrc rId="2004" sId="1" ref="CP1:CP1048576" action="insertCol">
    <undo index="0" exp="area" ref3D="1" dr="$CR$1:$CR$1048576" dn="MISSING_PENT_12"/>
    <undo index="0" exp="area" ref3D="1" dr="$CP$1:$CP$1048576" dn="LAST_UDVA_DIST"/>
    <undo index="0" exp="area" ref3D="1" dr="$CQ$1:$CQ$1048576" dn="MISSING_PENT_6"/>
    <undo index="2" exp="area" ref3D="1" dr="$EP$1:$HR$1048576" dn="Z_9D4EC4DC_E305_42C0_86D3_802895C39393_.wvu.Cols" sId="1"/>
  </rrc>
  <rcc rId="2005" sId="1">
    <nc r="CP1" t="inlineStr">
      <is>
        <t>[Calc] Preop CDVA if Last CDVA Known</t>
      </is>
    </nc>
  </rcc>
  <rcc rId="2006" sId="1">
    <nc r="CP2">
      <f>IF(ISNUMBER(CO2),PREOP_BCVA,"")</f>
    </nc>
  </rcc>
  <rcc rId="2007" sId="1">
    <nc r="CP3">
      <f>IF(ISNUMBER(CO3),PREOP_BCVA,"")</f>
    </nc>
  </rcc>
  <rcc rId="2008" sId="1">
    <nc r="CP4">
      <f>IF(ISNUMBER(CO4),PREOP_BCVA,"")</f>
    </nc>
  </rcc>
  <rcc rId="2009" sId="1">
    <nc r="CP5">
      <f>IF(ISNUMBER(CO5),PREOP_BCVA,"")</f>
    </nc>
  </rcc>
  <rcc rId="2010" sId="1">
    <nc r="CP6">
      <f>IF(ISNUMBER(CO6),PREOP_BCVA,"")</f>
    </nc>
  </rcc>
  <rcc rId="2011" sId="1">
    <nc r="CP7">
      <f>IF(ISNUMBER(CO7),PREOP_BCVA,"")</f>
    </nc>
  </rcc>
  <rcc rId="2012" sId="1">
    <nc r="CP8">
      <f>IF(ISNUMBER(CO8),PREOP_BCVA,"")</f>
    </nc>
  </rcc>
  <rcc rId="2013" sId="1">
    <nc r="CP9">
      <f>IF(ISNUMBER(CO9),PREOP_BCVA,"")</f>
    </nc>
  </rcc>
  <rcc rId="2014" sId="1">
    <nc r="CP10">
      <f>IF(ISNUMBER(CO10),PREOP_BCVA,"")</f>
    </nc>
  </rcc>
  <rcc rId="2015" sId="1">
    <nc r="CP11">
      <f>IF(ISNUMBER(CO11),PREOP_BCVA,"")</f>
    </nc>
  </rcc>
  <rcc rId="2016" sId="1">
    <nc r="CP12">
      <f>IF(ISNUMBER(CO12),PREOP_BCVA,"")</f>
    </nc>
  </rcc>
  <rcc rId="2017" sId="1">
    <nc r="CP13">
      <f>IF(ISNUMBER(CO13),PREOP_BCVA,"")</f>
    </nc>
  </rcc>
  <rcc rId="2018" sId="1">
    <nc r="CP14">
      <f>IF(ISNUMBER(CO14),PREOP_BCVA,"")</f>
    </nc>
  </rcc>
  <rcc rId="2019" sId="1">
    <nc r="CP15">
      <f>IF(ISNUMBER(CO15),PREOP_BCVA,"")</f>
    </nc>
  </rcc>
  <rcc rId="2020" sId="1">
    <nc r="CP16">
      <f>IF(ISNUMBER(CO16),PREOP_BCVA,"")</f>
    </nc>
  </rcc>
  <rcc rId="2021" sId="1">
    <nc r="CP17">
      <f>IF(ISNUMBER(CO17),PREOP_BCVA,"")</f>
    </nc>
  </rcc>
  <rcc rId="2022" sId="1">
    <nc r="CP18">
      <f>IF(ISNUMBER(CO18),PREOP_BCVA,"")</f>
    </nc>
  </rcc>
  <rcc rId="2023" sId="1">
    <nc r="CP19">
      <f>IF(ISNUMBER(CO19),PREOP_BCVA,"")</f>
    </nc>
  </rcc>
  <rcc rId="2024" sId="1">
    <nc r="CP20">
      <f>IF(ISNUMBER(CO20),PREOP_BCVA,"")</f>
    </nc>
  </rcc>
  <rcc rId="2025" sId="1">
    <nc r="CP21">
      <f>IF(ISNUMBER(CO21),PREOP_BCVA,"")</f>
    </nc>
  </rcc>
  <rcc rId="2026" sId="1">
    <nc r="CP22">
      <f>IF(ISNUMBER(CO22),PREOP_BCVA,"")</f>
    </nc>
  </rcc>
  <rcc rId="2027" sId="1">
    <nc r="CP23">
      <f>IF(ISNUMBER(CO23),PREOP_BCVA,"")</f>
    </nc>
  </rcc>
  <rcc rId="2028" sId="1">
    <nc r="CP24">
      <f>IF(ISNUMBER(CO24),PREOP_BCVA,"")</f>
    </nc>
  </rcc>
  <rcc rId="2029" sId="1">
    <nc r="CP25">
      <f>IF(ISNUMBER(CO25),PREOP_BCVA,"")</f>
    </nc>
  </rcc>
  <rcc rId="2030" sId="1">
    <nc r="CP26">
      <f>IF(ISNUMBER(CO26),PREOP_BCVA,"")</f>
    </nc>
  </rcc>
  <rcc rId="2031" sId="1">
    <nc r="CP27">
      <f>IF(ISNUMBER(CO27),PREOP_BCVA,"")</f>
    </nc>
  </rcc>
  <rcc rId="2032" sId="1">
    <nc r="CP28">
      <f>IF(ISNUMBER(CO28),PREOP_BCVA,"")</f>
    </nc>
  </rcc>
  <rcc rId="2033" sId="1">
    <nc r="CP29">
      <f>IF(ISNUMBER(CO29),PREOP_BCVA,"")</f>
    </nc>
  </rcc>
  <rcc rId="2034" sId="1">
    <nc r="CP30">
      <f>IF(ISNUMBER(CO30),PREOP_BCVA,"")</f>
    </nc>
  </rcc>
  <rcc rId="2035" sId="1">
    <nc r="CP31">
      <f>IF(ISNUMBER(CO31),PREOP_BCVA,"")</f>
    </nc>
  </rcc>
  <rcc rId="2036" sId="1">
    <nc r="CP32">
      <f>IF(ISNUMBER(CO32),PREOP_BCVA,"")</f>
    </nc>
  </rcc>
  <rcc rId="2037" sId="1">
    <nc r="CP33">
      <f>IF(ISNUMBER(CO33),PREOP_BCVA,"")</f>
    </nc>
  </rcc>
  <rcc rId="2038" sId="1">
    <nc r="CP34">
      <f>IF(ISNUMBER(CO34),PREOP_BCVA,"")</f>
    </nc>
  </rcc>
  <rcc rId="2039" sId="1">
    <nc r="CP35">
      <f>IF(ISNUMBER(CO35),PREOP_BCVA,"")</f>
    </nc>
  </rcc>
  <rcc rId="2040" sId="1">
    <nc r="CP36">
      <f>IF(ISNUMBER(CO36),PREOP_BCVA,"")</f>
    </nc>
  </rcc>
  <rcc rId="2041" sId="1">
    <nc r="CP37">
      <f>IF(ISNUMBER(CO37),PREOP_BCVA,"")</f>
    </nc>
  </rcc>
  <rcc rId="2042" sId="1">
    <nc r="CP38">
      <f>IF(ISNUMBER(CO38),PREOP_BCVA,"")</f>
    </nc>
  </rcc>
  <rcc rId="2043" sId="1">
    <nc r="CP39">
      <f>IF(ISNUMBER(CO39),PREOP_BCVA,"")</f>
    </nc>
  </rcc>
  <rcc rId="2044" sId="1">
    <nc r="CP40">
      <f>IF(ISNUMBER(CO40),PREOP_BCVA,"")</f>
    </nc>
  </rcc>
  <rcc rId="2045" sId="1">
    <nc r="CP41">
      <f>IF(ISNUMBER(CO41),PREOP_BCVA,"")</f>
    </nc>
  </rcc>
  <rcc rId="2046" sId="1">
    <nc r="CP42">
      <f>IF(ISNUMBER(CO42),PREOP_BCVA,"")</f>
    </nc>
  </rcc>
  <rcc rId="2047" sId="1">
    <nc r="CP43">
      <f>IF(ISNUMBER(CO43),PREOP_BCVA,"")</f>
    </nc>
  </rcc>
  <rcc rId="2048" sId="1">
    <nc r="CP44">
      <f>IF(ISNUMBER(CO44),PREOP_BCVA,"")</f>
    </nc>
  </rcc>
  <rcc rId="2049" sId="1">
    <nc r="CP45">
      <f>IF(ISNUMBER(CO45),PREOP_BCVA,"")</f>
    </nc>
  </rcc>
  <rcc rId="2050" sId="1">
    <nc r="CP46">
      <f>IF(ISNUMBER(CO46),PREOP_BCVA,"")</f>
    </nc>
  </rcc>
  <rcc rId="2051" sId="1">
    <nc r="CP47">
      <f>IF(ISNUMBER(CO47),PREOP_BCVA,"")</f>
    </nc>
  </rcc>
  <rcc rId="2052" sId="1">
    <nc r="CP48">
      <f>IF(ISNUMBER(CO48),PREOP_BCVA,"")</f>
    </nc>
  </rcc>
  <rcc rId="2053" sId="1">
    <nc r="CP49">
      <f>IF(ISNUMBER(CO49),PREOP_BCVA,"")</f>
    </nc>
  </rcc>
  <rcc rId="2054" sId="1">
    <nc r="CP50">
      <f>IF(ISNUMBER(CO50),PREOP_BCVA,"")</f>
    </nc>
  </rcc>
  <rcc rId="2055" sId="1">
    <nc r="CP51">
      <f>IF(ISNUMBER(CO51),PREOP_BCVA,"")</f>
    </nc>
  </rcc>
  <rcc rId="2056" sId="1">
    <nc r="CP52">
      <f>IF(ISNUMBER(CO52),PREOP_BCVA,"")</f>
    </nc>
  </rcc>
  <rcc rId="2057" sId="1">
    <nc r="CP53">
      <f>IF(ISNUMBER(CO53),PREOP_BCVA,"")</f>
    </nc>
  </rcc>
  <rcc rId="2058" sId="1">
    <nc r="CP54">
      <f>IF(ISNUMBER(CO54),PREOP_BCVA,"")</f>
    </nc>
  </rcc>
  <rcc rId="2059" sId="1">
    <nc r="CP55">
      <f>IF(ISNUMBER(CO55),PREOP_BCVA,"")</f>
    </nc>
  </rcc>
  <rcc rId="2060" sId="1">
    <nc r="CP56">
      <f>IF(ISNUMBER(CO56),PREOP_BCVA,"")</f>
    </nc>
  </rcc>
  <rcc rId="2061" sId="1">
    <nc r="CP57">
      <f>IF(ISNUMBER(CO57),PREOP_BCVA,"")</f>
    </nc>
  </rcc>
  <rcc rId="2062" sId="1">
    <nc r="CP58">
      <f>IF(ISNUMBER(CO58),PREOP_BCVA,"")</f>
    </nc>
  </rcc>
  <rcc rId="2063" sId="1">
    <nc r="CP59">
      <f>IF(ISNUMBER(CO59),PREOP_BCVA,"")</f>
    </nc>
  </rcc>
  <rcc rId="2064" sId="1">
    <nc r="CP60">
      <f>IF(ISNUMBER(CO60),PREOP_BCVA,"")</f>
    </nc>
  </rcc>
  <rcc rId="2065" sId="1">
    <nc r="CP61">
      <f>IF(ISNUMBER(CO61),PREOP_BCVA,"")</f>
    </nc>
  </rcc>
  <rcc rId="2066" sId="1">
    <nc r="CP62">
      <f>IF(ISNUMBER(CO62),PREOP_BCVA,"")</f>
    </nc>
  </rcc>
  <rcc rId="2067" sId="1">
    <nc r="CP63">
      <f>IF(ISNUMBER(CO63),PREOP_BCVA,"")</f>
    </nc>
  </rcc>
  <rcc rId="2068" sId="1">
    <nc r="CP64">
      <f>IF(ISNUMBER(CO64),PREOP_BCVA,"")</f>
    </nc>
  </rcc>
  <rcc rId="2069" sId="1">
    <nc r="CP65">
      <f>IF(ISNUMBER(CO65),PREOP_BCVA,"")</f>
    </nc>
  </rcc>
  <rcc rId="2070" sId="1">
    <nc r="CP66">
      <f>IF(ISNUMBER(CO66),PREOP_BCVA,"")</f>
    </nc>
  </rcc>
  <rcc rId="2071" sId="1">
    <nc r="CP67">
      <f>IF(ISNUMBER(CO67),PREOP_BCVA,"")</f>
    </nc>
  </rcc>
  <rcc rId="2072" sId="1">
    <nc r="CP68">
      <f>IF(ISNUMBER(CO68),PREOP_BCVA,"")</f>
    </nc>
  </rcc>
  <rcc rId="2073" sId="1">
    <nc r="CP69">
      <f>IF(ISNUMBER(CO69),PREOP_BCVA,"")</f>
    </nc>
  </rcc>
  <rcc rId="2074" sId="1">
    <nc r="CP70">
      <f>IF(ISNUMBER(CO70),PREOP_BCVA,"")</f>
    </nc>
  </rcc>
  <rcc rId="2075" sId="1">
    <nc r="CP71">
      <f>IF(ISNUMBER(CO71),PREOP_BCVA,"")</f>
    </nc>
  </rcc>
  <rcc rId="2076" sId="1">
    <nc r="CP72">
      <f>IF(ISNUMBER(CO72),PREOP_BCVA,"")</f>
    </nc>
  </rcc>
  <rcc rId="2077" sId="1">
    <nc r="CP73">
      <f>IF(ISNUMBER(CO73),PREOP_BCVA,"")</f>
    </nc>
  </rcc>
  <rcc rId="2078" sId="1">
    <nc r="CP74">
      <f>IF(ISNUMBER(CO74),PREOP_BCVA,"")</f>
    </nc>
  </rcc>
  <rcc rId="2079" sId="1">
    <nc r="CP75">
      <f>IF(ISNUMBER(CO75),PREOP_BCVA,"")</f>
    </nc>
  </rcc>
  <rcc rId="2080" sId="1">
    <nc r="CP76">
      <f>IF(ISNUMBER(CO76),PREOP_BCVA,"")</f>
    </nc>
  </rcc>
  <rcc rId="2081" sId="1">
    <nc r="CP77">
      <f>IF(ISNUMBER(CO77),PREOP_BCVA,"")</f>
    </nc>
  </rcc>
  <rcc rId="2082" sId="1">
    <nc r="CP78">
      <f>IF(ISNUMBER(CO78),PREOP_BCVA,"")</f>
    </nc>
  </rcc>
  <rcc rId="2083" sId="1">
    <nc r="CP79">
      <f>IF(ISNUMBER(CO79),PREOP_BCVA,"")</f>
    </nc>
  </rcc>
  <rcc rId="2084" sId="1">
    <nc r="CP80">
      <f>IF(ISNUMBER(CO80),PREOP_BCVA,"")</f>
    </nc>
  </rcc>
  <rcc rId="2085" sId="1">
    <nc r="CP81">
      <f>IF(ISNUMBER(CO81),PREOP_BCVA,"")</f>
    </nc>
  </rcc>
  <rcc rId="2086" sId="1">
    <nc r="CP82">
      <f>IF(ISNUMBER(CO82),PREOP_BCVA,"")</f>
    </nc>
  </rcc>
  <rcc rId="2087" sId="1">
    <nc r="CP83">
      <f>IF(ISNUMBER(CO83),PREOP_BCVA,"")</f>
    </nc>
  </rcc>
  <rcc rId="2088" sId="1">
    <nc r="CP84">
      <f>IF(ISNUMBER(CO84),PREOP_BCVA,"")</f>
    </nc>
  </rcc>
  <rcc rId="2089" sId="1">
    <nc r="CP85">
      <f>IF(ISNUMBER(CO85),PREOP_BCVA,"")</f>
    </nc>
  </rcc>
  <rcc rId="2090" sId="1">
    <nc r="CP86">
      <f>IF(ISNUMBER(CO86),PREOP_BCVA,"")</f>
    </nc>
  </rcc>
  <rcc rId="2091" sId="1">
    <nc r="CP87">
      <f>IF(ISNUMBER(CO87),PREOP_BCVA,"")</f>
    </nc>
  </rcc>
  <rcc rId="2092" sId="1">
    <nc r="CP88">
      <f>IF(ISNUMBER(CO88),PREOP_BCVA,"")</f>
    </nc>
  </rcc>
  <rcc rId="2093" sId="1">
    <nc r="CP89">
      <f>IF(ISNUMBER(CO89),PREOP_BCVA,"")</f>
    </nc>
  </rcc>
  <rcc rId="2094" sId="1">
    <nc r="CP90">
      <f>IF(ISNUMBER(CO90),PREOP_BCVA,"")</f>
    </nc>
  </rcc>
  <rcc rId="2095" sId="1">
    <nc r="CP91">
      <f>IF(ISNUMBER(CO91),PREOP_BCVA,"")</f>
    </nc>
  </rcc>
  <rcc rId="2096" sId="1">
    <nc r="CP92">
      <f>IF(ISNUMBER(CO92),PREOP_BCVA,"")</f>
    </nc>
  </rcc>
  <rcc rId="2097" sId="1">
    <nc r="CP93">
      <f>IF(ISNUMBER(CO93),PREOP_BCVA,"")</f>
    </nc>
  </rcc>
  <rcc rId="2098" sId="1">
    <nc r="CP94">
      <f>IF(ISNUMBER(CO94),PREOP_BCVA,"")</f>
    </nc>
  </rcc>
  <rcc rId="2099" sId="1">
    <nc r="CP95">
      <f>IF(ISNUMBER(CO95),PREOP_BCVA,"")</f>
    </nc>
  </rcc>
  <rcc rId="2100" sId="1">
    <nc r="CP96">
      <f>IF(ISNUMBER(CO96),PREOP_BCVA,"")</f>
    </nc>
  </rcc>
  <rcc rId="2101" sId="1">
    <nc r="CP97">
      <f>IF(ISNUMBER(CO97),PREOP_BCVA,"")</f>
    </nc>
  </rcc>
  <rcc rId="2102" sId="1">
    <nc r="CP98">
      <f>IF(ISNUMBER(CO98),PREOP_BCVA,"")</f>
    </nc>
  </rcc>
  <rcc rId="2103" sId="1">
    <nc r="CP99">
      <f>IF(ISNUMBER(CO99),PREOP_BCVA,"")</f>
    </nc>
  </rcc>
  <rcc rId="2104" sId="1">
    <nc r="CP100">
      <f>IF(ISNUMBER(CO100),PREOP_BCVA,"")</f>
    </nc>
  </rcc>
  <rcc rId="2105" sId="1">
    <nc r="CP101">
      <f>IF(ISNUMBER(CO101),PREOP_BCVA,"")</f>
    </nc>
  </rcc>
  <rcc rId="2106" sId="1">
    <nc r="CP102">
      <f>IF(ISNUMBER(CO102),PREOP_BCVA,"")</f>
    </nc>
  </rcc>
  <rcc rId="2107" sId="1">
    <nc r="CP103">
      <f>IF(ISNUMBER(CO103),PREOP_BCVA,"")</f>
    </nc>
  </rcc>
  <rcc rId="2108" sId="1">
    <nc r="CP104">
      <f>IF(ISNUMBER(CO104),PREOP_BCVA,"")</f>
    </nc>
  </rcc>
  <rcc rId="2109" sId="1">
    <nc r="CP105">
      <f>IF(ISNUMBER(CO105),PREOP_BCVA,"")</f>
    </nc>
  </rcc>
  <rcc rId="2110" sId="1">
    <nc r="CP106">
      <f>IF(ISNUMBER(CO106),PREOP_BCVA,"")</f>
    </nc>
  </rcc>
  <rcc rId="2111" sId="1">
    <nc r="CP107">
      <f>IF(ISNUMBER(CO107),PREOP_BCVA,"")</f>
    </nc>
  </rcc>
  <rcc rId="2112" sId="1">
    <nc r="CP108">
      <f>IF(ISNUMBER(CO108),PREOP_BCVA,"")</f>
    </nc>
  </rcc>
  <rcc rId="2113" sId="1">
    <nc r="CP109">
      <f>IF(ISNUMBER(CO109),PREOP_BCVA,"")</f>
    </nc>
  </rcc>
  <rcc rId="2114" sId="1">
    <nc r="CP110">
      <f>IF(ISNUMBER(CO110),PREOP_BCVA,"")</f>
    </nc>
  </rcc>
  <rcc rId="2115" sId="1">
    <nc r="CP111">
      <f>IF(ISNUMBER(CO111),PREOP_BCVA,"")</f>
    </nc>
  </rcc>
  <rcc rId="2116" sId="1">
    <nc r="CP112">
      <f>IF(ISNUMBER(CO112),PREOP_BCVA,"")</f>
    </nc>
  </rcc>
  <rcc rId="2117" sId="1">
    <nc r="CP113">
      <f>IF(ISNUMBER(CO113),PREOP_BCVA,"")</f>
    </nc>
  </rcc>
  <rcc rId="2118" sId="1">
    <nc r="CP114">
      <f>IF(ISNUMBER(CO114),PREOP_BCVA,"")</f>
    </nc>
  </rcc>
  <rcc rId="2119" sId="1">
    <nc r="CP115">
      <f>IF(ISNUMBER(CO115),PREOP_BCVA,"")</f>
    </nc>
  </rcc>
  <rcc rId="2120" sId="1">
    <nc r="CP116">
      <f>IF(ISNUMBER(CO116),PREOP_BCVA,"")</f>
    </nc>
  </rcc>
  <rcc rId="2121" sId="1">
    <nc r="CP117">
      <f>IF(ISNUMBER(CO117),PREOP_BCVA,"")</f>
    </nc>
  </rcc>
  <rcc rId="2122" sId="1">
    <nc r="CP118">
      <f>IF(ISNUMBER(CO118),PREOP_BCVA,"")</f>
    </nc>
  </rcc>
  <rcc rId="2123" sId="1">
    <nc r="CP119">
      <f>IF(ISNUMBER(CO119),PREOP_BCVA,"")</f>
    </nc>
  </rcc>
  <rcc rId="2124" sId="1">
    <nc r="CP120">
      <f>IF(ISNUMBER(CO120),PREOP_BCVA,"")</f>
    </nc>
  </rcc>
  <rcc rId="2125" sId="1">
    <nc r="CP121">
      <f>IF(ISNUMBER(CO121),PREOP_BCVA,"")</f>
    </nc>
  </rcc>
  <rcc rId="2126" sId="1">
    <nc r="CP122">
      <f>IF(ISNUMBER(CO122),PREOP_BCVA,"")</f>
    </nc>
  </rcc>
  <rcc rId="2127" sId="1">
    <nc r="CP123">
      <f>IF(ISNUMBER(CO123),PREOP_BCVA,"")</f>
    </nc>
  </rcc>
  <rcc rId="2128" sId="1">
    <nc r="CP124">
      <f>IF(ISNUMBER(CO124),PREOP_BCVA,"")</f>
    </nc>
  </rcc>
  <rcc rId="2129" sId="1">
    <nc r="CP125">
      <f>IF(ISNUMBER(CO125),PREOP_BCVA,"")</f>
    </nc>
  </rcc>
  <rcc rId="2130" sId="1">
    <nc r="CP126">
      <f>IF(ISNUMBER(CO126),PREOP_BCVA,"")</f>
    </nc>
  </rcc>
  <rcc rId="2131" sId="1">
    <nc r="CP127">
      <f>IF(ISNUMBER(CO127),PREOP_BCVA,"")</f>
    </nc>
  </rcc>
  <rcc rId="2132" sId="1">
    <nc r="CP128">
      <f>IF(ISNUMBER(CO128),PREOP_BCVA,"")</f>
    </nc>
  </rcc>
  <rcc rId="2133" sId="1">
    <nc r="CP129">
      <f>IF(ISNUMBER(CO129),PREOP_BCVA,"")</f>
    </nc>
  </rcc>
  <rcc rId="2134" sId="1">
    <nc r="CP130">
      <f>IF(ISNUMBER(CO130),PREOP_BCVA,"")</f>
    </nc>
  </rcc>
  <rcc rId="2135" sId="1">
    <nc r="CP131">
      <f>IF(ISNUMBER(CO131),PREOP_BCVA,"")</f>
    </nc>
  </rcc>
  <rcc rId="2136" sId="1">
    <nc r="CP132">
      <f>IF(ISNUMBER(CO132),PREOP_BCVA,"")</f>
    </nc>
  </rcc>
  <rcc rId="2137" sId="1">
    <nc r="CP133">
      <f>IF(ISNUMBER(CO133),PREOP_BCVA,"")</f>
    </nc>
  </rcc>
  <rcc rId="2138" sId="1">
    <nc r="CP134">
      <f>IF(ISNUMBER(CO134),PREOP_BCVA,"")</f>
    </nc>
  </rcc>
  <rcc rId="2139" sId="1">
    <nc r="CP135">
      <f>IF(ISNUMBER(CO135),PREOP_BCVA,"")</f>
    </nc>
  </rcc>
  <rcc rId="2140" sId="1">
    <nc r="CP136">
      <f>IF(ISNUMBER(CO136),PREOP_BCVA,"")</f>
    </nc>
  </rcc>
  <rcc rId="2141" sId="1">
    <nc r="CP137">
      <f>IF(ISNUMBER(CO137),PREOP_BCVA,"")</f>
    </nc>
  </rcc>
  <rm rId="2142" sheetId="2" source="A107:XFD107" destination="A11:XFD11" sourceSheetId="1">
    <rfmt sheetId="2" xfDxf="1" sqref="A11:XFD11" start="0" length="0"/>
  </rm>
  <rm rId="2143" sheetId="2" source="P9:ME11" destination="J9:LY11" sourceSheetId="2">
    <rcc rId="0" sId="2" dxf="1">
      <nc r="J9" t="inlineStr">
        <is>
          <t>Fuch's</t>
        </is>
      </nc>
      <ndxf>
        <alignment horizontal="center" vertical="top" readingOrder="0"/>
        <border outline="0">
          <left style="thin">
            <color indexed="64"/>
          </left>
          <right style="thin">
            <color indexed="64"/>
          </right>
          <top style="thin">
            <color indexed="64"/>
          </top>
          <bottom style="thin">
            <color indexed="64"/>
          </bottom>
        </border>
      </ndxf>
    </rcc>
    <rfmt sheetId="2" sqref="K9"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L9"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M9"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N9"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O9"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J10" start="0" length="0">
      <dxf>
        <alignment horizontal="center" vertical="top" readingOrder="0"/>
        <border outline="0">
          <left style="thin">
            <color indexed="64"/>
          </left>
          <right style="thin">
            <color indexed="64"/>
          </right>
          <top style="thin">
            <color indexed="64"/>
          </top>
          <bottom style="thin">
            <color indexed="64"/>
          </bottom>
        </border>
      </dxf>
    </rfmt>
    <rfmt sheetId="2" sqref="K10" start="0" length="0">
      <dxf>
        <font>
          <sz val="6"/>
          <color auto="1"/>
          <name val="Arial"/>
          <scheme val="none"/>
        </font>
        <alignment horizontal="center" vertical="top" readingOrder="0"/>
        <border outline="0">
          <left style="medium">
            <color indexed="22"/>
          </left>
          <right style="medium">
            <color indexed="22"/>
          </right>
          <top style="medium">
            <color indexed="22"/>
          </top>
          <bottom style="medium">
            <color indexed="22"/>
          </bottom>
        </border>
      </dxf>
    </rfmt>
    <rfmt sheetId="2" sqref="L10" start="0" length="0">
      <dxf>
        <font>
          <sz val="6"/>
          <color auto="1"/>
          <name val="Arial"/>
          <scheme val="none"/>
        </font>
        <alignment horizontal="center" vertical="top" readingOrder="0"/>
        <border outline="0">
          <right style="medium">
            <color indexed="22"/>
          </right>
          <top style="medium">
            <color indexed="22"/>
          </top>
          <bottom style="medium">
            <color indexed="22"/>
          </bottom>
        </border>
      </dxf>
    </rfmt>
    <rfmt sheetId="2" sqref="M10" start="0" length="0">
      <dxf>
        <font>
          <sz val="6"/>
          <color auto="1"/>
          <name val="Arial"/>
          <scheme val="none"/>
        </font>
        <alignment horizontal="center" vertical="top" readingOrder="0"/>
        <border outline="0">
          <right style="medium">
            <color indexed="22"/>
          </right>
          <top style="medium">
            <color indexed="22"/>
          </top>
          <bottom style="medium">
            <color indexed="22"/>
          </bottom>
        </border>
      </dxf>
    </rfmt>
    <rfmt sheetId="2" sqref="N10" start="0" length="0">
      <dxf>
        <font>
          <sz val="6"/>
          <color auto="1"/>
          <name val="Arial"/>
          <scheme val="none"/>
        </font>
        <alignment horizontal="center" vertical="top" readingOrder="0"/>
        <border outline="0">
          <right style="medium">
            <color indexed="22"/>
          </right>
          <top style="medium">
            <color indexed="22"/>
          </top>
          <bottom style="medium">
            <color indexed="22"/>
          </bottom>
        </border>
      </dxf>
    </rfmt>
    <rfmt sheetId="2" sqref="O10" start="0" length="0">
      <dxf>
        <font>
          <sz val="6"/>
          <color auto="1"/>
          <name val="Arial"/>
          <scheme val="none"/>
        </font>
        <alignment horizontal="center" vertical="top" readingOrder="0"/>
        <border outline="0">
          <right style="medium">
            <color indexed="22"/>
          </right>
          <top style="medium">
            <color indexed="22"/>
          </top>
          <bottom style="medium">
            <color indexed="22"/>
          </bottom>
        </border>
      </dxf>
    </rfmt>
    <rfmt sheetId="2" sqref="J11" start="0" length="0">
      <dxf>
        <alignment horizontal="center" vertical="top" readingOrder="0"/>
        <border outline="0">
          <left style="thin">
            <color indexed="64"/>
          </left>
          <right style="thin">
            <color indexed="64"/>
          </right>
          <top style="thin">
            <color indexed="64"/>
          </top>
          <bottom style="thin">
            <color indexed="64"/>
          </bottom>
        </border>
      </dxf>
    </rfmt>
    <rfmt sheetId="2" sqref="K11"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L11"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M11"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N11"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fmt sheetId="2" sqref="O11" start="0" length="0">
      <dxf>
        <font>
          <sz val="6"/>
          <color auto="1"/>
          <name val="Arial"/>
          <scheme val="none"/>
        </font>
        <alignment horizontal="center" vertical="top" readingOrder="0"/>
        <border outline="0">
          <left style="thin">
            <color indexed="64"/>
          </left>
          <right style="thin">
            <color indexed="64"/>
          </right>
          <top style="thin">
            <color indexed="64"/>
          </top>
          <bottom style="thin">
            <color indexed="64"/>
          </bottom>
        </border>
      </dxf>
    </rfmt>
  </rm>
  <rm rId="2144" sheetId="2" source="K7:ME7" destination="J7:MD7" sourceSheetId="2">
    <rcc rId="0" sId="2" dxf="1">
      <nc r="J7" t="inlineStr">
        <is>
          <t>Fuch's</t>
        </is>
      </nc>
      <ndxf>
        <alignment horizontal="center" vertical="top" readingOrder="0"/>
        <border outline="0">
          <left style="thin">
            <color indexed="64"/>
          </left>
          <right style="thin">
            <color indexed="64"/>
          </right>
          <top style="thin">
            <color indexed="64"/>
          </top>
          <bottom style="thin">
            <color indexed="64"/>
          </bottom>
        </border>
      </ndxf>
    </rcc>
  </rm>
  <rfmt sheetId="1" sqref="CR1:CR1048576" start="0" length="0">
    <dxf>
      <border>
        <left style="double">
          <color auto="1"/>
        </left>
      </border>
    </dxf>
  </rfmt>
  <rdn rId="2145" name="PREOP_CDVA_IF_LAST_KNOWN">
    <formula>Data!$CP:$CP</formula>
  </rdn>
  <rcv guid="{54C114DD-C157-4E30-91DC-9B94C55E8054}" action="delete"/>
  <rcv guid="{54C114DD-C157-4E30-91DC-9B94C55E8054}"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46" sId="1">
    <nc r="CF119">
      <f>IF(AND(ISNUMBER(SPH_PREOP),ISNUMBER(SE_LAST_)),SPH_PREOP+CYL_PREOP/2,"")</f>
    </nc>
  </rcc>
  <rcc rId="2147" sId="1">
    <nc r="CF126">
      <f>IF(AND(ISNUMBER(SPH_PREOP),ISNUMBER(SE_LAST_)),SPH_PREOP+CYL_PREOP/2,"")</f>
    </nc>
  </rcc>
  <rcc rId="2148" sId="1">
    <oc r="CG119">
      <f>IF(ISNUMBER(SE_12),SE_12,IF(ISNUMBER(SE_6),SE_6,""))</f>
    </oc>
    <nc r="CG119">
      <f>IF(ISNUMBER(SE_12),SE_12,IF(ISNUMBER(SE_6),SE_6,""))</f>
    </nc>
  </rcc>
  <rcc rId="2149" sId="1">
    <oc r="CG126">
      <f>IF(ISNUMBER(SE_12),SE_12,IF(ISNUMBER(SE_6),SE_6,""))</f>
    </oc>
    <nc r="CG126">
      <f>IF(ISNUMBER(SE_12),SE_12,IF(ISNUMBER(SE_6),SE_6,""))</f>
    </nc>
  </rcc>
  <rcc rId="2150" sId="1">
    <oc r="CH119">
      <f>IF(AND(ISNUMBER(SE_LAST_),ISNUMBER(REF_TARGET)),SE_LAST_-REF_TARGET,"")</f>
    </oc>
    <nc r="CH119">
      <f>IF(AND(ISNUMBER(SE_LAST_),ISNUMBER(REF_TARGET)),SE_LAST_-REF_TARGET,"")</f>
    </nc>
  </rcc>
  <rcc rId="2151" sId="1">
    <oc r="CH126">
      <f>IF(AND(ISNUMBER(SE_LAST_),ISNUMBER(REF_TARGET)),SE_LAST_-REF_TARGET,"")</f>
    </oc>
    <nc r="CH126">
      <f>IF(AND(ISNUMBER(SE_LAST_),ISNUMBER(REF_TARGET)),SE_LAST_-REF_TARGET,"")</f>
    </nc>
  </rcc>
  <rcc rId="2152" sId="1">
    <oc r="AZ119">
      <f>IF(ISNUMBER(AM119),AM119+0.5*AN119,"")</f>
    </oc>
    <nc r="AZ119">
      <f>IF(ISNUMBER(AM119),AM119+0.5*AN119,"")</f>
    </nc>
  </rcc>
  <rcc rId="2153" sId="1">
    <nc r="AZ126">
      <f>IF(ISNUMBER(AM126),AM126+0.5*AN126,"")</f>
    </nc>
  </rcc>
  <rcc rId="2154" sId="1">
    <oc r="BA117">
      <f>IF(ISNUMBER(AZ117),IF(ISNUMBER(Q117),AZ117-Q117,"MISSING"),"")</f>
    </oc>
    <nc r="BA117">
      <f>IF(ISNUMBER(AZ117),IF(ISNUMBER(Q117),AZ117-Q117,"MISSING"),"")</f>
    </nc>
  </rcc>
  <rcc rId="2155" sId="1">
    <nc r="BA119">
      <f>IF(ISNUMBER(AZ119),IF(ISNUMBER(Q119),AZ119-Q119,"MISSING"),"")</f>
    </nc>
  </rcc>
  <rcc rId="2156" sId="1">
    <nc r="BA126">
      <f>IF(ISNUMBER(AZ126),IF(ISNUMBER(Q126),AZ126-Q126,"MISSING"),"")</f>
    </nc>
  </rcc>
  <rcc rId="2157" sId="1" numFmtId="4">
    <oc r="AM126">
      <v>-0.25</v>
    </oc>
    <nc r="AM126">
      <v>-1.5</v>
    </nc>
  </rcc>
  <rcc rId="2158" sId="1" numFmtId="4">
    <oc r="AN126">
      <v>-1.25</v>
    </oc>
    <nc r="AN126">
      <v>1.25</v>
    </nc>
  </rcc>
  <rcc rId="2159" sId="1">
    <oc r="AO126">
      <v>165</v>
    </oc>
    <nc r="AO126">
      <v>75</v>
    </nc>
  </rcc>
  <rcc rId="2160" sId="1">
    <oc r="W81" t="inlineStr">
      <is>
        <t>CF</t>
      </is>
    </oc>
    <nc r="W81">
      <v>2000</v>
    </nc>
  </rcc>
  <rcc rId="2161" sId="1">
    <nc r="W114">
      <v>300</v>
    </nc>
  </rcc>
  <rcc rId="2162" sId="1" numFmtId="4">
    <oc r="T114" t="inlineStr">
      <is>
        <t>not taken</t>
      </is>
    </oc>
    <nc r="T114">
      <v>0</v>
    </nc>
  </rcc>
  <rcc rId="2163" sId="1" numFmtId="4">
    <nc r="U114">
      <v>0</v>
    </nc>
  </rcc>
  <rcc rId="2164" sId="1">
    <nc r="V114">
      <v>0</v>
    </nc>
  </rcc>
  <rcc rId="2165" sId="1">
    <nc r="W85">
      <v>60</v>
    </nc>
  </rcc>
  <rcc rId="2166" sId="1" numFmtId="4">
    <oc r="T85" t="inlineStr">
      <is>
        <t>not taken</t>
      </is>
    </oc>
    <nc r="T85">
      <v>-4.5</v>
    </nc>
  </rcc>
  <rcc rId="2167" sId="1" numFmtId="4">
    <nc r="U85">
      <v>1.5</v>
    </nc>
  </rcc>
  <rcc rId="2168" sId="1">
    <nc r="V85">
      <v>150</v>
    </nc>
  </rcc>
  <rcc rId="2169" sId="1" numFmtId="4">
    <nc r="T61">
      <v>-1</v>
    </nc>
  </rcc>
  <rcc rId="2170" sId="1" numFmtId="4">
    <nc r="U61">
      <v>1.5</v>
    </nc>
  </rcc>
  <rcc rId="2171" sId="1">
    <nc r="V61">
      <v>23</v>
    </nc>
  </rcc>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72" sId="1">
    <oc r="II1" t="inlineStr">
      <is>
        <t>Last Rh:</t>
      </is>
    </oc>
    <nc r="II1" t="inlineStr">
      <is>
        <t>[Calc]  Last Rh:</t>
      </is>
    </nc>
  </rcc>
  <rcc rId="2173" sId="1">
    <oc r="IJ1" t="inlineStr">
      <is>
        <t>Last Rv:</t>
      </is>
    </oc>
    <nc r="IJ1" t="inlineStr">
      <is>
        <t>[Calc]  Last Rv:</t>
      </is>
    </nc>
  </rcc>
  <rcc rId="2174" sId="1">
    <oc r="IK1" t="inlineStr">
      <is>
        <t>Last Axis (flat):</t>
      </is>
    </oc>
    <nc r="IK1" t="inlineStr">
      <is>
        <t>[Calc]  Last Axis (flat):</t>
      </is>
    </nc>
  </rcc>
  <rcc rId="2175" sId="1">
    <oc r="IL1" t="inlineStr">
      <is>
        <t>Last Astig:</t>
      </is>
    </oc>
    <nc r="IL1" t="inlineStr">
      <is>
        <t>[Calc]  Last Astig:</t>
      </is>
    </nc>
  </rcc>
  <rcc rId="2176" sId="1">
    <oc r="IM1" t="inlineStr">
      <is>
        <t>Last Ecc:</t>
      </is>
    </oc>
    <nc r="IM1" t="inlineStr">
      <is>
        <t>[Calc]  Last Ecc:</t>
      </is>
    </nc>
  </rcc>
  <rcc rId="2177" sId="1">
    <oc r="IN1" t="inlineStr">
      <is>
        <t>Last EccSph:</t>
      </is>
    </oc>
    <nc r="IN1" t="inlineStr">
      <is>
        <t>[Calc]  Last EccSph:</t>
      </is>
    </nc>
  </rcc>
  <rcc rId="2178" sId="1">
    <oc r="IO1" t="inlineStr">
      <is>
        <t>Last C.Height(Endo):</t>
      </is>
    </oc>
    <nc r="IO1" t="inlineStr">
      <is>
        <t>[Calc]  Last C.Height(Endo):</t>
      </is>
    </nc>
  </rcc>
  <rcc rId="2179" sId="1">
    <oc r="IP1" t="inlineStr">
      <is>
        <t>Last C.Height(Epi):</t>
      </is>
    </oc>
    <nc r="IP1" t="inlineStr">
      <is>
        <t>[Calc]  Last C.Height(Epi):</t>
      </is>
    </nc>
  </rcc>
  <rcc rId="2180" sId="1">
    <oc r="IQ1" t="inlineStr">
      <is>
        <t>Last Pachy Apex:</t>
      </is>
    </oc>
    <nc r="IQ1" t="inlineStr">
      <is>
        <t>[Calc]  Last Pachy Apex:</t>
      </is>
    </nc>
  </rcc>
  <rcc rId="2181" sId="1">
    <oc r="IR1" t="inlineStr">
      <is>
        <t>Last Pachy Pupil:</t>
      </is>
    </oc>
    <nc r="IR1" t="inlineStr">
      <is>
        <t>[Calc]  Last Pachy Pupil:</t>
      </is>
    </nc>
  </rcc>
  <rcc rId="2182" sId="1">
    <oc r="IS1" t="inlineStr">
      <is>
        <t>Last Pachy Sup:</t>
      </is>
    </oc>
    <nc r="IS1" t="inlineStr">
      <is>
        <t>[Calc]  Last Pachy Sup:</t>
      </is>
    </nc>
  </rcc>
  <rcc rId="2183" sId="1">
    <oc r="IT1" t="inlineStr">
      <is>
        <t>Last Pachy Inf:</t>
      </is>
    </oc>
    <nc r="IT1" t="inlineStr">
      <is>
        <t>[Calc]  Last Pachy Inf:</t>
      </is>
    </nc>
  </rcc>
  <rcc rId="2184" sId="1">
    <oc r="IU1" t="inlineStr">
      <is>
        <t>Last Pachy Nas:</t>
      </is>
    </oc>
    <nc r="IU1" t="inlineStr">
      <is>
        <t>[Calc]  Last Pachy Nas:</t>
      </is>
    </nc>
  </rcc>
  <rcc rId="2185" sId="1">
    <oc r="IV1" t="inlineStr">
      <is>
        <t>Last Pachy Tem:</t>
      </is>
    </oc>
    <nc r="IV1" t="inlineStr">
      <is>
        <t>[Calc]  Last Pachy Tem:</t>
      </is>
    </nc>
  </rcc>
  <rcc rId="2186" sId="1">
    <oc r="IW1" t="inlineStr">
      <is>
        <t>Last Pachy Min:</t>
      </is>
    </oc>
    <nc r="IW1" t="inlineStr">
      <is>
        <t>[Calc]  Last Pachy Min:</t>
      </is>
    </nc>
  </rcc>
  <rcc rId="2187" sId="1">
    <oc r="IX1" t="inlineStr">
      <is>
        <t>Last PachyMinX:</t>
      </is>
    </oc>
    <nc r="IX1" t="inlineStr">
      <is>
        <t>[Calc]  Last PachyMinX:</t>
      </is>
    </nc>
  </rcc>
  <rcc rId="2188" sId="1">
    <oc r="IY1" t="inlineStr">
      <is>
        <t>Last PachyMinY:</t>
      </is>
    </oc>
    <nc r="IY1" t="inlineStr">
      <is>
        <t>[Calc]  Last PachyMinY:</t>
      </is>
    </nc>
  </rcc>
  <rcc rId="2189" sId="1">
    <oc r="IZ1" t="inlineStr">
      <is>
        <t>Last Sag3mm:</t>
      </is>
    </oc>
    <nc r="IZ1" t="inlineStr">
      <is>
        <t>[Calc]  Last Sag3mm:</t>
      </is>
    </nc>
  </rcc>
  <rcc rId="2190" sId="1">
    <oc r="JA1" t="inlineStr">
      <is>
        <t>Last Sag5mm:</t>
      </is>
    </oc>
    <nc r="JA1" t="inlineStr">
      <is>
        <t>[Calc]  Last Sag5mm:</t>
      </is>
    </nc>
  </rcc>
  <rcc rId="2191" sId="1">
    <oc r="JB1" t="inlineStr">
      <is>
        <t>Last Sag7mm:</t>
      </is>
    </oc>
    <nc r="JB1" t="inlineStr">
      <is>
        <t>[Calc]  Last Sag7mm:</t>
      </is>
    </nc>
  </rcc>
  <rcc rId="2192" sId="1">
    <oc r="JC1" t="inlineStr">
      <is>
        <t>Last Sag9mm:</t>
      </is>
    </oc>
    <nc r="JC1" t="inlineStr">
      <is>
        <t>[Calc]  Last Sag9mm:</t>
      </is>
    </nc>
  </rcc>
  <rcc rId="2193" sId="1">
    <oc r="JD1" t="inlineStr">
      <is>
        <t>Last Sag11mm:</t>
      </is>
    </oc>
    <nc r="JD1" t="inlineStr">
      <is>
        <t>[Calc]  Last Sag11mm:</t>
      </is>
    </nc>
  </rcc>
  <rcc rId="2194" sId="1">
    <oc r="JE1" t="inlineStr">
      <is>
        <t>Last Sag13mm:</t>
      </is>
    </oc>
    <nc r="JE1" t="inlineStr">
      <is>
        <t>[Calc]  Last Sag13mm:</t>
      </is>
    </nc>
  </rcc>
  <rcc rId="2195" sId="1">
    <oc r="JF1" t="inlineStr">
      <is>
        <t>Last Sag15mm:</t>
      </is>
    </oc>
    <nc r="JF1" t="inlineStr">
      <is>
        <t>[Calc]  Last Sag15mm:</t>
      </is>
    </nc>
  </rcc>
  <rcc rId="2196" sId="1">
    <oc r="JG1" t="inlineStr">
      <is>
        <t>Last KPD:</t>
      </is>
    </oc>
    <nc r="JG1" t="inlineStr">
      <is>
        <t>[Calc]  Last KPD:</t>
      </is>
    </nc>
  </rcc>
  <rcc rId="2197" sId="1">
    <oc r="JH1" t="inlineStr">
      <is>
        <t>Last Post Sag3mm:</t>
      </is>
    </oc>
    <nc r="JH1" t="inlineStr">
      <is>
        <t>[Calc]  Last Post Sag3mm:</t>
      </is>
    </nc>
  </rcc>
  <rcc rId="2198" sId="1">
    <oc r="JI1" t="inlineStr">
      <is>
        <t>Last Post Sag5mm:</t>
      </is>
    </oc>
    <nc r="JI1" t="inlineStr">
      <is>
        <t>[Calc]  Last Post Sag5mm:</t>
      </is>
    </nc>
  </rcc>
  <rcc rId="2199" sId="1">
    <oc r="JJ1" t="inlineStr">
      <is>
        <t>Last Post Sag7mm:</t>
      </is>
    </oc>
    <nc r="JJ1" t="inlineStr">
      <is>
        <t>[Calc]  Last Post Sag7mm:</t>
      </is>
    </nc>
  </rcc>
  <rcc rId="2200" sId="1">
    <oc r="JK1" t="inlineStr">
      <is>
        <t>Last Post Sag9mm:</t>
      </is>
    </oc>
    <nc r="JK1" t="inlineStr">
      <is>
        <t>[Calc]  Last Post Sag9mm:</t>
      </is>
    </nc>
  </rcc>
  <rcc rId="2201" sId="1">
    <oc r="JL1" t="inlineStr">
      <is>
        <t>Last Post Sag11mm:</t>
      </is>
    </oc>
    <nc r="JL1" t="inlineStr">
      <is>
        <t>[Calc]  Last Post Sag11mm:</t>
      </is>
    </nc>
  </rcc>
  <rcc rId="2202" sId="1">
    <oc r="JM1" t="inlineStr">
      <is>
        <t>Last Post Sag13mm:</t>
      </is>
    </oc>
    <nc r="JM1" t="inlineStr">
      <is>
        <t>[Calc]  Last Post Sag13mm:</t>
      </is>
    </nc>
  </rcc>
  <rcc rId="2203" sId="1">
    <oc r="JN1" t="inlineStr">
      <is>
        <t>Last Post Sag15mm:</t>
      </is>
    </oc>
    <nc r="JN1" t="inlineStr">
      <is>
        <t>[Calc]  Last Post Sag15mm:</t>
      </is>
    </nc>
  </rcc>
  <rcc rId="2204" sId="1">
    <oc r="JO1" t="inlineStr">
      <is>
        <t>Last Post KPD:</t>
      </is>
    </oc>
    <nc r="JO1" t="inlineStr">
      <is>
        <t>[Calc]  Last Post KPD:</t>
      </is>
    </nc>
  </rcc>
  <rcc rId="2205" sId="1">
    <oc r="JP1" t="inlineStr">
      <is>
        <t>Last K1 F (D):</t>
      </is>
    </oc>
    <nc r="JP1" t="inlineStr">
      <is>
        <t>[Calc]  Last K1 F (D):</t>
      </is>
    </nc>
  </rcc>
  <rcc rId="2206" sId="1">
    <oc r="JQ1" t="inlineStr">
      <is>
        <t>Last K2 F (D):</t>
      </is>
    </oc>
    <nc r="JQ1" t="inlineStr">
      <is>
        <t>[Calc]  Last K2 F (D):</t>
      </is>
    </nc>
  </rcc>
  <rcc rId="2207" sId="1">
    <oc r="JR1" t="inlineStr">
      <is>
        <t>Last Km F (mm):</t>
      </is>
    </oc>
    <nc r="JR1" t="inlineStr">
      <is>
        <t>[Calc]  Last Km F (mm):</t>
      </is>
    </nc>
  </rcc>
  <rcc rId="2208" sId="1">
    <oc r="JS1" t="inlineStr">
      <is>
        <t>Last Axis F (flat):</t>
      </is>
    </oc>
    <nc r="JS1" t="inlineStr">
      <is>
        <t>[Calc]  Last Axis F (flat):</t>
      </is>
    </nc>
  </rcc>
  <rcc rId="2209" sId="1">
    <oc r="JT1" t="inlineStr">
      <is>
        <t>Last Astig F (D):</t>
      </is>
    </oc>
    <nc r="JT1" t="inlineStr">
      <is>
        <t>[Calc]  Last Astig F (D):</t>
      </is>
    </nc>
  </rcc>
  <rcc rId="2210" sId="1">
    <oc r="JU1" t="inlineStr">
      <is>
        <t>Last K1 B (D):</t>
      </is>
    </oc>
    <nc r="JU1" t="inlineStr">
      <is>
        <t>[Calc]  Last K1 B (D):</t>
      </is>
    </nc>
  </rcc>
  <rcc rId="2211" sId="1">
    <oc r="JV1" t="inlineStr">
      <is>
        <t>Last K2 B (D):</t>
      </is>
    </oc>
    <nc r="JV1" t="inlineStr">
      <is>
        <t>[Calc]  Last K2 B (D):</t>
      </is>
    </nc>
  </rcc>
  <rcc rId="2212" sId="1">
    <oc r="JW1" t="inlineStr">
      <is>
        <t>Last Km B (mm):</t>
      </is>
    </oc>
    <nc r="JW1" t="inlineStr">
      <is>
        <t>[Calc]  Last Km B (mm):</t>
      </is>
    </nc>
  </rcc>
  <rcc rId="2213" sId="1">
    <oc r="JX1" t="inlineStr">
      <is>
        <t>Last Axis B (flat):</t>
      </is>
    </oc>
    <nc r="JX1" t="inlineStr">
      <is>
        <t>[Calc]  Last Axis B (flat):</t>
      </is>
    </nc>
  </rcc>
  <rcc rId="2214" sId="1">
    <oc r="JY1" t="inlineStr">
      <is>
        <t>Last Astig B (D):</t>
      </is>
    </oc>
    <nc r="JY1" t="inlineStr">
      <is>
        <t>[Calc]  Last Astig B (D):</t>
      </is>
    </nc>
  </rcc>
  <rcc rId="2215" sId="1">
    <oc r="JZ1" t="inlineStr">
      <is>
        <t>Last C.Vol D 3mm:</t>
      </is>
    </oc>
    <nc r="JZ1" t="inlineStr">
      <is>
        <t>[Calc]  Last C.Vol D 3mm:</t>
      </is>
    </nc>
  </rcc>
  <rcc rId="2216" sId="1">
    <oc r="KA1" t="inlineStr">
      <is>
        <t>Last C.Vol D 5mm:</t>
      </is>
    </oc>
    <nc r="KA1" t="inlineStr">
      <is>
        <t>[Calc]  Last C.Vol D 5mm:</t>
      </is>
    </nc>
  </rcc>
  <rcc rId="2217" sId="1">
    <oc r="KB1" t="inlineStr">
      <is>
        <t>Last C.Vol D 7mm:</t>
      </is>
    </oc>
    <nc r="KB1" t="inlineStr">
      <is>
        <t>[Calc]  Last C.Vol D 7mm:</t>
      </is>
    </nc>
  </rcc>
  <rcc rId="2218" sId="1">
    <oc r="KC1" t="inlineStr">
      <is>
        <t>Last C.Vol D 10mm:</t>
      </is>
    </oc>
    <nc r="KC1" t="inlineStr">
      <is>
        <t>[Calc]  Last C.Vol D 10mm:</t>
      </is>
    </nc>
  </rcc>
  <rcc rId="2219" sId="1">
    <oc r="KD1" t="inlineStr">
      <is>
        <t>Last ISV (Index Surface Variance)</t>
      </is>
    </oc>
    <nc r="KD1" t="inlineStr">
      <is>
        <t>[Calc]  Last ISV (Index Surface Variance)</t>
      </is>
    </nc>
  </rcc>
  <rcc rId="2220" sId="1">
    <oc r="KE1" t="inlineStr">
      <is>
        <t>Delta Last Rh:</t>
      </is>
    </oc>
    <nc r="KE1" t="inlineStr">
      <is>
        <t>[Calc]  Delta Last Rh:</t>
      </is>
    </nc>
  </rcc>
  <rcc rId="2221" sId="1">
    <oc r="KF1" t="inlineStr">
      <is>
        <t>Delta Last Rv:</t>
      </is>
    </oc>
    <nc r="KF1" t="inlineStr">
      <is>
        <t>[Calc]  Delta Last Rv:</t>
      </is>
    </nc>
  </rcc>
  <rcc rId="2222" sId="1">
    <oc r="KG1" t="inlineStr">
      <is>
        <t>Delta Last Axis (flat):</t>
      </is>
    </oc>
    <nc r="KG1" t="inlineStr">
      <is>
        <t>[Calc]  Delta Last Axis (flat):</t>
      </is>
    </nc>
  </rcc>
  <rcc rId="2223" sId="1">
    <oc r="KH1" t="inlineStr">
      <is>
        <t>Delta Last Astig:</t>
      </is>
    </oc>
    <nc r="KH1" t="inlineStr">
      <is>
        <t>[Calc]  Delta Last Astig:</t>
      </is>
    </nc>
  </rcc>
  <rcc rId="2224" sId="1">
    <oc r="KI1" t="inlineStr">
      <is>
        <t>Delta Last Ecc:</t>
      </is>
    </oc>
    <nc r="KI1" t="inlineStr">
      <is>
        <t>[Calc]  Delta Last Ecc:</t>
      </is>
    </nc>
  </rcc>
  <rcc rId="2225" sId="1">
    <oc r="KJ1" t="inlineStr">
      <is>
        <t>Delta Last EccSph:</t>
      </is>
    </oc>
    <nc r="KJ1" t="inlineStr">
      <is>
        <t>[Calc]  Delta Last EccSph:</t>
      </is>
    </nc>
  </rcc>
  <rcc rId="2226" sId="1">
    <oc r="KK1" t="inlineStr">
      <is>
        <t>Delta Last C.Height(Endo):</t>
      </is>
    </oc>
    <nc r="KK1" t="inlineStr">
      <is>
        <t>[Calc]  Delta Last C.Height(Endo):</t>
      </is>
    </nc>
  </rcc>
  <rcc rId="2227" sId="1">
    <oc r="KL1" t="inlineStr">
      <is>
        <t>Delta Last C.Height(Epi):</t>
      </is>
    </oc>
    <nc r="KL1" t="inlineStr">
      <is>
        <t>[Calc]  Delta Last C.Height(Epi):</t>
      </is>
    </nc>
  </rcc>
  <rcc rId="2228" sId="1">
    <oc r="KM1" t="inlineStr">
      <is>
        <t>Delta Last Pachy Apex:</t>
      </is>
    </oc>
    <nc r="KM1" t="inlineStr">
      <is>
        <t>[Calc]  Delta Last Pachy Apex:</t>
      </is>
    </nc>
  </rcc>
  <rcc rId="2229" sId="1">
    <oc r="KN1" t="inlineStr">
      <is>
        <t>Delta Last Pachy Pupil:</t>
      </is>
    </oc>
    <nc r="KN1" t="inlineStr">
      <is>
        <t>[Calc]  Delta Last Pachy Pupil:</t>
      </is>
    </nc>
  </rcc>
  <rcc rId="2230" sId="1">
    <oc r="KO1" t="inlineStr">
      <is>
        <t>Delta Last Pachy Sup:</t>
      </is>
    </oc>
    <nc r="KO1" t="inlineStr">
      <is>
        <t>[Calc]  Delta Last Pachy Sup:</t>
      </is>
    </nc>
  </rcc>
  <rcc rId="2231" sId="1">
    <oc r="KP1" t="inlineStr">
      <is>
        <t>Delta Last Pachy Inf:</t>
      </is>
    </oc>
    <nc r="KP1" t="inlineStr">
      <is>
        <t>[Calc]  Delta Last Pachy Inf:</t>
      </is>
    </nc>
  </rcc>
  <rcc rId="2232" sId="1">
    <oc r="KQ1" t="inlineStr">
      <is>
        <t>Delta Last Pachy Nas:</t>
      </is>
    </oc>
    <nc r="KQ1" t="inlineStr">
      <is>
        <t>[Calc]  Delta Last Pachy Nas:</t>
      </is>
    </nc>
  </rcc>
  <rcc rId="2233" sId="1">
    <oc r="KR1" t="inlineStr">
      <is>
        <t>Delta Last Pachy Tem:</t>
      </is>
    </oc>
    <nc r="KR1" t="inlineStr">
      <is>
        <t>[Calc]  Delta Last Pachy Tem:</t>
      </is>
    </nc>
  </rcc>
  <rcc rId="2234" sId="1">
    <oc r="KS1" t="inlineStr">
      <is>
        <t>Delta Last Pachy Min:</t>
      </is>
    </oc>
    <nc r="KS1" t="inlineStr">
      <is>
        <t>[Calc]  Delta Last Pachy Min:</t>
      </is>
    </nc>
  </rcc>
  <rcc rId="2235" sId="1">
    <oc r="KT1" t="inlineStr">
      <is>
        <t>Delta Last PachyMinX:</t>
      </is>
    </oc>
    <nc r="KT1" t="inlineStr">
      <is>
        <t>[Calc]  Delta Last PachyMinX:</t>
      </is>
    </nc>
  </rcc>
  <rcc rId="2236" sId="1">
    <oc r="KU1" t="inlineStr">
      <is>
        <t>Delta Last PachyMinY:</t>
      </is>
    </oc>
    <nc r="KU1" t="inlineStr">
      <is>
        <t>[Calc]  Delta Last PachyMinY:</t>
      </is>
    </nc>
  </rcc>
  <rcc rId="2237" sId="1">
    <oc r="KV1" t="inlineStr">
      <is>
        <t>Delta Last Sag3mm:</t>
      </is>
    </oc>
    <nc r="KV1" t="inlineStr">
      <is>
        <t>[Calc]  Delta Last Sag3mm:</t>
      </is>
    </nc>
  </rcc>
  <rcc rId="2238" sId="1">
    <oc r="KW1" t="inlineStr">
      <is>
        <t>Delta Last Sag5mm:</t>
      </is>
    </oc>
    <nc r="KW1" t="inlineStr">
      <is>
        <t>[Calc]  Delta Last Sag5mm:</t>
      </is>
    </nc>
  </rcc>
  <rcc rId="2239" sId="1">
    <oc r="KX1" t="inlineStr">
      <is>
        <t>Delta Last Sag7mm:</t>
      </is>
    </oc>
    <nc r="KX1" t="inlineStr">
      <is>
        <t>[Calc]  Delta Last Sag7mm:</t>
      </is>
    </nc>
  </rcc>
  <rcc rId="2240" sId="1">
    <oc r="KY1" t="inlineStr">
      <is>
        <t>Delta Last Sag9mm:</t>
      </is>
    </oc>
    <nc r="KY1" t="inlineStr">
      <is>
        <t>[Calc]  Delta Last Sag9mm:</t>
      </is>
    </nc>
  </rcc>
  <rcc rId="2241" sId="1">
    <oc r="KZ1" t="inlineStr">
      <is>
        <t>Delta Last Sag11mm:</t>
      </is>
    </oc>
    <nc r="KZ1" t="inlineStr">
      <is>
        <t>[Calc]  Delta Last Sag11mm:</t>
      </is>
    </nc>
  </rcc>
  <rcc rId="2242" sId="1">
    <oc r="LA1" t="inlineStr">
      <is>
        <t>Delta Last Sag13mm:</t>
      </is>
    </oc>
    <nc r="LA1" t="inlineStr">
      <is>
        <t>[Calc]  Delta Last Sag13mm:</t>
      </is>
    </nc>
  </rcc>
  <rcc rId="2243" sId="1">
    <oc r="LB1" t="inlineStr">
      <is>
        <t>Delta Last Sag15mm:</t>
      </is>
    </oc>
    <nc r="LB1" t="inlineStr">
      <is>
        <t>[Calc]  Delta Last Sag15mm:</t>
      </is>
    </nc>
  </rcc>
  <rcc rId="2244" sId="1">
    <oc r="LC1" t="inlineStr">
      <is>
        <t>Delta Last KPD:</t>
      </is>
    </oc>
    <nc r="LC1" t="inlineStr">
      <is>
        <t>[Calc]  Delta Last KPD:</t>
      </is>
    </nc>
  </rcc>
  <rcc rId="2245" sId="1">
    <oc r="LD1" t="inlineStr">
      <is>
        <t>Delta Last Post Sag3mm:</t>
      </is>
    </oc>
    <nc r="LD1" t="inlineStr">
      <is>
        <t>[Calc]  Delta Last Post Sag3mm:</t>
      </is>
    </nc>
  </rcc>
  <rcc rId="2246" sId="1">
    <oc r="LE1" t="inlineStr">
      <is>
        <t>Delta Last Post Sag5mm:</t>
      </is>
    </oc>
    <nc r="LE1" t="inlineStr">
      <is>
        <t>[Calc]  Delta Last Post Sag5mm:</t>
      </is>
    </nc>
  </rcc>
  <rcc rId="2247" sId="1">
    <oc r="LF1" t="inlineStr">
      <is>
        <t>Delta Last Post Sag7mm:</t>
      </is>
    </oc>
    <nc r="LF1" t="inlineStr">
      <is>
        <t>[Calc]  Delta Last Post Sag7mm:</t>
      </is>
    </nc>
  </rcc>
  <rcc rId="2248" sId="1">
    <oc r="LG1" t="inlineStr">
      <is>
        <t>Delta Last Post Sag9mm:</t>
      </is>
    </oc>
    <nc r="LG1" t="inlineStr">
      <is>
        <t>[Calc]  Delta Last Post Sag9mm:</t>
      </is>
    </nc>
  </rcc>
  <rcc rId="2249" sId="1">
    <oc r="LH1" t="inlineStr">
      <is>
        <t>Delta Last Post Sag11mm:</t>
      </is>
    </oc>
    <nc r="LH1" t="inlineStr">
      <is>
        <t>[Calc]  Delta Last Post Sag11mm:</t>
      </is>
    </nc>
  </rcc>
  <rcc rId="2250" sId="1">
    <oc r="LI1" t="inlineStr">
      <is>
        <t>Delta Last Post Sag13mm:</t>
      </is>
    </oc>
    <nc r="LI1" t="inlineStr">
      <is>
        <t>[Calc]  Delta Last Post Sag13mm:</t>
      </is>
    </nc>
  </rcc>
  <rcc rId="2251" sId="1">
    <oc r="LJ1" t="inlineStr">
      <is>
        <t>Delta Last Post Sag15mm:</t>
      </is>
    </oc>
    <nc r="LJ1" t="inlineStr">
      <is>
        <t>[Calc]  Delta Last Post Sag15mm:</t>
      </is>
    </nc>
  </rcc>
  <rcc rId="2252" sId="1">
    <oc r="LK1" t="inlineStr">
      <is>
        <t>Delta Last Post KPD:</t>
      </is>
    </oc>
    <nc r="LK1" t="inlineStr">
      <is>
        <t>[Calc]  Delta Last Post KPD:</t>
      </is>
    </nc>
  </rcc>
  <rcc rId="2253" sId="1">
    <oc r="LL1" t="inlineStr">
      <is>
        <t>Delta K1 F (D):</t>
      </is>
    </oc>
    <nc r="LL1" t="inlineStr">
      <is>
        <t>[Calc]  Delta K1 F (D):</t>
      </is>
    </nc>
  </rcc>
  <rcc rId="2254" sId="1">
    <oc r="LM1" t="inlineStr">
      <is>
        <t>Delta K2 F (D):</t>
      </is>
    </oc>
    <nc r="LM1" t="inlineStr">
      <is>
        <t>[Calc]  Delta K2 F (D):</t>
      </is>
    </nc>
  </rcc>
  <rcc rId="2255" sId="1">
    <oc r="LN1" t="inlineStr">
      <is>
        <t>Delta Km F (mm):</t>
      </is>
    </oc>
    <nc r="LN1" t="inlineStr">
      <is>
        <t>[Calc]  Delta Km F (mm):</t>
      </is>
    </nc>
  </rcc>
  <rcc rId="2256" sId="1">
    <oc r="LO1" t="inlineStr">
      <is>
        <t>Delta Axis F (flat):</t>
      </is>
    </oc>
    <nc r="LO1" t="inlineStr">
      <is>
        <t>[Calc]  Delta Axis F (flat):</t>
      </is>
    </nc>
  </rcc>
  <rcc rId="2257" sId="1">
    <oc r="LP1" t="inlineStr">
      <is>
        <t>Delta Astig F (D):</t>
      </is>
    </oc>
    <nc r="LP1" t="inlineStr">
      <is>
        <t>[Calc]  Delta Astig F (D):</t>
      </is>
    </nc>
  </rcc>
  <rcc rId="2258" sId="1">
    <oc r="LQ1" t="inlineStr">
      <is>
        <t>Delta K1 B (D):</t>
      </is>
    </oc>
    <nc r="LQ1" t="inlineStr">
      <is>
        <t>[Calc]  Delta K1 B (D):</t>
      </is>
    </nc>
  </rcc>
  <rcc rId="2259" sId="1">
    <oc r="LR1" t="inlineStr">
      <is>
        <t>Delta K2 B (D):</t>
      </is>
    </oc>
    <nc r="LR1" t="inlineStr">
      <is>
        <t>[Calc]  Delta K2 B (D):</t>
      </is>
    </nc>
  </rcc>
  <rcc rId="2260" sId="1">
    <oc r="LS1" t="inlineStr">
      <is>
        <t>Delta Km B (mm):</t>
      </is>
    </oc>
    <nc r="LS1" t="inlineStr">
      <is>
        <t>[Calc]  Delta Km B (mm):</t>
      </is>
    </nc>
  </rcc>
  <rcc rId="2261" sId="1">
    <oc r="LT1" t="inlineStr">
      <is>
        <t>Delta Axis B (flat):</t>
      </is>
    </oc>
    <nc r="LT1" t="inlineStr">
      <is>
        <t>[Calc]  Delta Axis B (flat):</t>
      </is>
    </nc>
  </rcc>
  <rcc rId="2262" sId="1">
    <oc r="LU1" t="inlineStr">
      <is>
        <t>Delta Astig B (D):</t>
      </is>
    </oc>
    <nc r="LU1" t="inlineStr">
      <is>
        <t>[Calc]  Delta Astig B (D):</t>
      </is>
    </nc>
  </rcc>
  <rcc rId="2263" sId="1">
    <oc r="LV1" t="inlineStr">
      <is>
        <t>Delta C.Vol D 3mm:</t>
      </is>
    </oc>
    <nc r="LV1" t="inlineStr">
      <is>
        <t>[Calc]  Delta C.Vol D 3mm:</t>
      </is>
    </nc>
  </rcc>
  <rcc rId="2264" sId="1">
    <oc r="LW1" t="inlineStr">
      <is>
        <t>Delta C.Vol D 5mm:</t>
      </is>
    </oc>
    <nc r="LW1" t="inlineStr">
      <is>
        <t>[Calc]  Delta C.Vol D 5mm:</t>
      </is>
    </nc>
  </rcc>
  <rcc rId="2265" sId="1">
    <oc r="LX1" t="inlineStr">
      <is>
        <t>Delta C.Vol D 7mm:</t>
      </is>
    </oc>
    <nc r="LX1" t="inlineStr">
      <is>
        <t>[Calc]  Delta C.Vol D 7mm:</t>
      </is>
    </nc>
  </rcc>
  <rcc rId="2266" sId="1">
    <oc r="LY1" t="inlineStr">
      <is>
        <t>Delta C.Vol D 10mm:</t>
      </is>
    </oc>
    <nc r="LY1" t="inlineStr">
      <is>
        <t>[Calc]  Delta C.Vol D 10mm:</t>
      </is>
    </nc>
  </rcc>
  <rcc rId="2267" sId="1">
    <oc r="LZ1" t="inlineStr">
      <is>
        <t>Delta ISV (Index Surface Variance)</t>
      </is>
    </oc>
    <nc r="LZ1" t="inlineStr">
      <is>
        <t>[Calc]  Delta ISV (Index Surface Variance)</t>
      </is>
    </nc>
  </rcc>
  <rcc rId="2268" sId="1">
    <oc r="MA1" t="inlineStr">
      <is>
        <t>6 vs 12 m K1 F</t>
      </is>
    </oc>
    <nc r="MA1" t="inlineStr">
      <is>
        <t>[Calc]  6 vs 12 m K1 F</t>
      </is>
    </nc>
  </rcc>
  <rcc rId="2269" sId="1">
    <oc r="MB1" t="inlineStr">
      <is>
        <t>6 vs 12 m K2 F</t>
      </is>
    </oc>
    <nc r="MB1" t="inlineStr">
      <is>
        <t>[Calc]  6 vs 12 m K2 F</t>
      </is>
    </nc>
  </rcc>
  <rcc rId="2270" sId="1">
    <oc r="MC1" t="inlineStr">
      <is>
        <t>6 vs 12 m K1 B</t>
      </is>
    </oc>
    <nc r="MC1" t="inlineStr">
      <is>
        <t>[Calc]  6 vs 12 m K1 B</t>
      </is>
    </nc>
  </rcc>
  <rcc rId="2271" sId="1">
    <oc r="MD1" t="inlineStr">
      <is>
        <t>6 vs 12 m K2 B</t>
      </is>
    </oc>
    <nc r="MD1" t="inlineStr">
      <is>
        <t>[Calc]  6 vs 12 m K2 B</t>
      </is>
    </nc>
  </rcc>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72" sId="1">
    <oc r="S1" t="inlineStr">
      <is>
        <t>Preop</t>
      </is>
    </oc>
    <nc r="S1" t="inlineStr">
      <is>
        <t>Preop Date</t>
      </is>
    </nc>
  </rcc>
  <rdn rId="2273" name="PREOP_PENTACAM_RV">
    <formula>Data!$CV:$CV</formula>
  </rdn>
  <rdn rId="2274" name="SPH_6">
    <formula>Data!$AM:$AM</formula>
  </rdn>
  <rdn rId="2275" name="SPH_12">
    <formula>Data!$BE:$BE</formula>
  </rdn>
  <rcc rId="2276" sId="1">
    <oc r="CR41">
      <f>IF(ISNUMBER($CV41),IF(ISNUMBER($AM41),IF(ISNUMBER($EQ41),0,1),""),"")</f>
    </oc>
    <nc r="CR41">
      <f>IF(ISNUMBER(PREOP_PENTACAM_RV),IF(ISNUMBER(SPH_6),IF(ISNUMBER($EQ41),0,1),""),"")</f>
    </nc>
  </rcc>
  <rcc rId="2277" sId="1">
    <oc r="CS41">
      <f>IF(ISNUMBER($CV41),IF(ISNUMBER($BE41),IF(ISNUMBER($GM41),0,1),""),"")</f>
    </oc>
    <nc r="CS41">
      <f>IF(ISNUMBER(PREOP_PENTACAM_RV),IF(ISNUMBER(SPH_12),IF(ISNUMBER($GM41),0,1),""),"")</f>
    </nc>
  </rcc>
  <rcc rId="2278" sId="1">
    <oc r="CR34">
      <f>IF(ISNUMBER($CV34),IF(ISNUMBER($AM34),IF(ISNUMBER($EQ34),0,1),""),"")</f>
    </oc>
    <nc r="CR34">
      <f>IF(ISNUMBER(PREOP_PENTACAM_RV),IF(ISNUMBER(SPH_6),IF(ISNUMBER($EQ34),0,1),""),"")</f>
    </nc>
  </rcc>
  <rcc rId="2279" sId="1">
    <oc r="CR80">
      <f>IF(ISNUMBER($CV80),IF(ISNUMBER($AM80),IF(ISNUMBER($EQ80),0,1),""),"")</f>
    </oc>
    <nc r="CR80">
      <f>IF(ISNUMBER(PREOP_PENTACAM_RV),IF(ISNUMBER(SPH_6),IF(ISNUMBER($EQ80),0,1),""),"")</f>
    </nc>
  </rcc>
  <rcc rId="2280" sId="1">
    <oc r="CR22">
      <f>IF(ISNUMBER($CV22),IF(ISNUMBER($AM22),IF(ISNUMBER($EQ22),0,1),""),"")</f>
    </oc>
    <nc r="CR22">
      <f>IF(ISNUMBER(PREOP_PENTACAM_RV),IF(ISNUMBER(SPH_6),IF(ISNUMBER($EQ22),0,1),""),"")</f>
    </nc>
  </rcc>
  <rcc rId="2281" sId="1">
    <oc r="CR47">
      <f>IF(ISNUMBER($CV47),IF(ISNUMBER($AM47),IF(ISNUMBER($EQ47),0,1),""),"")</f>
    </oc>
    <nc r="CR47">
      <f>IF(ISNUMBER(PREOP_PENTACAM_RV),IF(ISNUMBER(SPH_6),IF(ISNUMBER($EQ47),0,1),""),"")</f>
    </nc>
  </rcc>
  <rcc rId="2282" sId="1">
    <oc r="CR44">
      <f>IF(ISNUMBER($CV44),IF(ISNUMBER($AM44),IF(ISNUMBER($EQ44),0,1),""),"")</f>
    </oc>
    <nc r="CR44">
      <f>IF(ISNUMBER(PREOP_PENTACAM_RV),IF(ISNUMBER(SPH_6),IF(ISNUMBER($EQ44),0,1),""),"")</f>
    </nc>
  </rcc>
  <rcc rId="2283" sId="1">
    <oc r="CR46">
      <f>IF(ISNUMBER($CV46),IF(ISNUMBER($AM46),IF(ISNUMBER($EQ46),0,1),""),"")</f>
    </oc>
    <nc r="CR46">
      <f>IF(ISNUMBER(PREOP_PENTACAM_RV),IF(ISNUMBER(SPH_6),IF(ISNUMBER($EQ46),0,1),""),"")</f>
    </nc>
  </rcc>
  <rcc rId="2284" sId="1">
    <oc r="CR32">
      <f>IF(ISNUMBER($CV32),IF(ISNUMBER($AM32),IF(ISNUMBER($EQ32),0,1),""),"")</f>
    </oc>
    <nc r="CR32">
      <f>IF(ISNUMBER(PREOP_PENTACAM_RV),IF(ISNUMBER(SPH_6),IF(ISNUMBER($EQ32),0,1),""),"")</f>
    </nc>
  </rcc>
  <rcc rId="2285" sId="1">
    <oc r="CR15">
      <f>IF(ISNUMBER($CV15),IF(ISNUMBER($AM15),IF(ISNUMBER($EQ15),0,1),""),"")</f>
    </oc>
    <nc r="CR15">
      <f>IF(ISNUMBER(PREOP_PENTACAM_RV),IF(ISNUMBER(SPH_6),IF(ISNUMBER($EQ15),0,1),""),"")</f>
    </nc>
  </rcc>
  <rcc rId="2286" sId="1">
    <oc r="CR60">
      <f>IF(ISNUMBER($CV60),IF(ISNUMBER($AM60),IF(ISNUMBER($EQ60),0,1),""),"")</f>
    </oc>
    <nc r="CR60">
      <f>IF(ISNUMBER(PREOP_PENTACAM_RV),IF(ISNUMBER(SPH_6),IF(ISNUMBER($EQ60),0,1),""),"")</f>
    </nc>
  </rcc>
  <rcc rId="2287" sId="1">
    <oc r="CR35">
      <f>IF(ISNUMBER($CV35),IF(ISNUMBER($AM35),IF(ISNUMBER($EQ35),0,1),""),"")</f>
    </oc>
    <nc r="CR35">
      <f>IF(ISNUMBER(PREOP_PENTACAM_RV),IF(ISNUMBER(SPH_6),IF(ISNUMBER($EQ35),0,1),""),"")</f>
    </nc>
  </rcc>
  <rcc rId="2288" sId="1">
    <oc r="CR82">
      <f>IF(ISNUMBER($CV82),IF(ISNUMBER($AM82),IF(ISNUMBER($EQ82),0,1),""),"")</f>
    </oc>
    <nc r="CR82">
      <f>IF(ISNUMBER(PREOP_PENTACAM_RV),IF(ISNUMBER(SPH_6),IF(ISNUMBER($EQ82),0,1),""),"")</f>
    </nc>
  </rcc>
  <rcc rId="2289" sId="1">
    <oc r="CR45">
      <f>IF(ISNUMBER($CV45),IF(ISNUMBER($AM45),IF(ISNUMBER($EQ45),0,1),""),"")</f>
    </oc>
    <nc r="CR45">
      <f>IF(ISNUMBER(PREOP_PENTACAM_RV),IF(ISNUMBER(SPH_6),IF(ISNUMBER($EQ45),0,1),""),"")</f>
    </nc>
  </rcc>
  <rcc rId="2290" sId="1">
    <oc r="CR8">
      <f>IF(ISNUMBER($CV8),IF(ISNUMBER($AM8),IF(ISNUMBER($EQ8),0,1),""),"")</f>
    </oc>
    <nc r="CR8">
      <f>IF(ISNUMBER(PREOP_PENTACAM_RV),IF(ISNUMBER(SPH_6),IF(ISNUMBER($EQ8),0,1),""),"")</f>
    </nc>
  </rcc>
  <rcc rId="2291" sId="1">
    <oc r="CR75">
      <f>IF(ISNUMBER($CV75),IF(ISNUMBER($AM75),IF(ISNUMBER($EQ75),0,1),""),"")</f>
    </oc>
    <nc r="CR75">
      <f>IF(ISNUMBER(PREOP_PENTACAM_RV),IF(ISNUMBER(SPH_6),IF(ISNUMBER($EQ75),0,1),""),"")</f>
    </nc>
  </rcc>
  <rcc rId="2292" sId="1">
    <oc r="CR78">
      <f>IF(ISNUMBER($CV78),IF(ISNUMBER($AM78),IF(ISNUMBER($EQ78),0,1),""),"")</f>
    </oc>
    <nc r="CR78">
      <f>IF(ISNUMBER(PREOP_PENTACAM_RV),IF(ISNUMBER(SPH_6),IF(ISNUMBER($EQ78),0,1),""),"")</f>
    </nc>
  </rcc>
  <rcc rId="2293" sId="1">
    <oc r="CR28">
      <f>IF(ISNUMBER($CV28),IF(ISNUMBER($AM28),IF(ISNUMBER($EQ28),0,1),""),"")</f>
    </oc>
    <nc r="CR28">
      <f>IF(ISNUMBER(PREOP_PENTACAM_RV),IF(ISNUMBER(SPH_6),IF(ISNUMBER($EQ28),0,1),""),"")</f>
    </nc>
  </rcc>
  <rcc rId="2294" sId="1">
    <oc r="CR76">
      <f>IF(ISNUMBER($CV76),IF(ISNUMBER($AM76),IF(ISNUMBER($EQ76),0,1),""),"")</f>
    </oc>
    <nc r="CR76">
      <f>IF(ISNUMBER(PREOP_PENTACAM_RV),IF(ISNUMBER(SPH_6),IF(ISNUMBER($EQ76),0,1),""),"")</f>
    </nc>
  </rcc>
  <rcc rId="2295" sId="1">
    <oc r="CR63">
      <f>IF(ISNUMBER($CV63),IF(ISNUMBER($AM63),IF(ISNUMBER($EQ63),0,1),""),"")</f>
    </oc>
    <nc r="CR63">
      <f>IF(ISNUMBER(PREOP_PENTACAM_RV),IF(ISNUMBER(SPH_6),IF(ISNUMBER($EQ63),0,1),""),"")</f>
    </nc>
  </rcc>
  <rcc rId="2296" sId="1">
    <oc r="CR7">
      <f>IF(ISNUMBER($CV7),IF(ISNUMBER($AM7),IF(ISNUMBER($EQ7),0,1),""),"")</f>
    </oc>
    <nc r="CR7">
      <f>IF(ISNUMBER(PREOP_PENTACAM_RV),IF(ISNUMBER(SPH_6),IF(ISNUMBER($EQ7),0,1),""),"")</f>
    </nc>
  </rcc>
  <rcc rId="2297" sId="1">
    <oc r="CR48">
      <f>IF(ISNUMBER($CV48),IF(ISNUMBER($AM48),IF(ISNUMBER($EQ48),0,1),""),"")</f>
    </oc>
    <nc r="CR48">
      <f>IF(ISNUMBER(PREOP_PENTACAM_RV),IF(ISNUMBER(SPH_6),IF(ISNUMBER($EQ48),0,1),""),"")</f>
    </nc>
  </rcc>
  <rcc rId="2298" sId="1">
    <oc r="CR40">
      <f>IF(ISNUMBER($CV40),IF(ISNUMBER($AM40),IF(ISNUMBER($EQ40),0,1),""),"")</f>
    </oc>
    <nc r="CR40">
      <f>IF(ISNUMBER(PREOP_PENTACAM_RV),IF(ISNUMBER(SPH_6),IF(ISNUMBER($EQ40),0,1),""),"")</f>
    </nc>
  </rcc>
  <rcc rId="2299" sId="1">
    <oc r="CR42">
      <f>IF(ISNUMBER($CV42),IF(ISNUMBER($AM42),IF(ISNUMBER($EQ42),0,1),""),"")</f>
    </oc>
    <nc r="CR42">
      <f>IF(ISNUMBER(PREOP_PENTACAM_RV),IF(ISNUMBER(SPH_6),IF(ISNUMBER($EQ42),0,1),""),"")</f>
    </nc>
  </rcc>
  <rcc rId="2300" sId="1">
    <oc r="CR126">
      <f>IF(ISNUMBER($CV126),IF(ISNUMBER($AM126),IF(ISNUMBER($EQ126),0,1),""),"")</f>
    </oc>
    <nc r="CR126">
      <f>IF(ISNUMBER(PREOP_PENTACAM_RV),IF(ISNUMBER(SPH_6),IF(ISNUMBER($EQ126),0,1),""),"")</f>
    </nc>
  </rcc>
  <rcc rId="2301" sId="1">
    <oc r="CR5">
      <f>IF(ISNUMBER($CV5),IF(ISNUMBER($AM5),IF(ISNUMBER($EQ5),0,1),""),"")</f>
    </oc>
    <nc r="CR5">
      <f>IF(ISNUMBER(PREOP_PENTACAM_RV),IF(ISNUMBER(SPH_6),IF(ISNUMBER($EQ5),0,1),""),"")</f>
    </nc>
  </rcc>
  <rcc rId="2302" sId="1">
    <oc r="CR61">
      <f>IF(ISNUMBER($CV61),IF(ISNUMBER($AM61),IF(ISNUMBER($EQ61),0,1),""),"")</f>
    </oc>
    <nc r="CR61">
      <f>IF(ISNUMBER(PREOP_PENTACAM_RV),IF(ISNUMBER(SPH_6),IF(ISNUMBER($EQ61),0,1),""),"")</f>
    </nc>
  </rcc>
  <rcc rId="2303" sId="1">
    <oc r="CR49">
      <f>IF(ISNUMBER($CV49),IF(ISNUMBER($AM49),IF(ISNUMBER($EQ49),0,1),""),"")</f>
    </oc>
    <nc r="CR49">
      <f>IF(ISNUMBER(PREOP_PENTACAM_RV),IF(ISNUMBER(SPH_6),IF(ISNUMBER($EQ49),0,1),""),"")</f>
    </nc>
  </rcc>
  <rcc rId="2304" sId="1">
    <oc r="CR29">
      <f>IF(ISNUMBER($CV29),IF(ISNUMBER($AM29),IF(ISNUMBER($EQ29),0,1),""),"")</f>
    </oc>
    <nc r="CR29">
      <f>IF(ISNUMBER(PREOP_PENTACAM_RV),IF(ISNUMBER(SPH_6),IF(ISNUMBER($EQ29),0,1),""),"")</f>
    </nc>
  </rcc>
  <rcc rId="2305" sId="1">
    <oc r="CR70">
      <f>IF(ISNUMBER($CV70),IF(ISNUMBER($AM70),IF(ISNUMBER($EQ70),0,1),""),"")</f>
    </oc>
    <nc r="CR70">
      <f>IF(ISNUMBER(PREOP_PENTACAM_RV),IF(ISNUMBER(SPH_6),IF(ISNUMBER($EQ70),0,1),""),"")</f>
    </nc>
  </rcc>
  <rcc rId="2306" sId="1">
    <oc r="CR13">
      <f>IF(ISNUMBER($CV13),IF(ISNUMBER($AM13),IF(ISNUMBER($EQ13),0,1),""),"")</f>
    </oc>
    <nc r="CR13">
      <f>IF(ISNUMBER(PREOP_PENTACAM_RV),IF(ISNUMBER(SPH_6),IF(ISNUMBER($EQ13),0,1),""),"")</f>
    </nc>
  </rcc>
  <rcc rId="2307" sId="1">
    <oc r="CR9">
      <f>IF(ISNUMBER($CV9),IF(ISNUMBER($AM9),IF(ISNUMBER($EQ9),0,1),""),"")</f>
    </oc>
    <nc r="CR9">
      <f>IF(ISNUMBER(PREOP_PENTACAM_RV),IF(ISNUMBER(SPH_6),IF(ISNUMBER($EQ9),0,1),""),"")</f>
    </nc>
  </rcc>
  <rcc rId="2308" sId="1">
    <oc r="CR16">
      <f>IF(ISNUMBER($CV16),IF(ISNUMBER($AM16),IF(ISNUMBER($EQ16),0,1),""),"")</f>
    </oc>
    <nc r="CR16">
      <f>IF(ISNUMBER(PREOP_PENTACAM_RV),IF(ISNUMBER(SPH_6),IF(ISNUMBER($EQ16),0,1),""),"")</f>
    </nc>
  </rcc>
  <rcc rId="2309" sId="1">
    <oc r="CR117">
      <f>IF(ISNUMBER($CV117),IF(ISNUMBER($AM117),IF(ISNUMBER($EQ117),0,1),""),"")</f>
    </oc>
    <nc r="CR117">
      <f>IF(ISNUMBER(PREOP_PENTACAM_RV),IF(ISNUMBER(SPH_6),IF(ISNUMBER($EQ117),0,1),""),"")</f>
    </nc>
  </rcc>
  <rcc rId="2310" sId="1">
    <oc r="CR53">
      <f>IF(ISNUMBER($CV53),IF(ISNUMBER($AM53),IF(ISNUMBER($EQ53),0,1),""),"")</f>
    </oc>
    <nc r="CR53">
      <f>IF(ISNUMBER(PREOP_PENTACAM_RV),IF(ISNUMBER(SPH_6),IF(ISNUMBER($EQ53),0,1),""),"")</f>
    </nc>
  </rcc>
  <rcc rId="2311" sId="1">
    <oc r="CR77">
      <f>IF(ISNUMBER($CV77),IF(ISNUMBER($AM77),IF(ISNUMBER($EQ77),0,1),""),"")</f>
    </oc>
    <nc r="CR77">
      <f>IF(ISNUMBER(PREOP_PENTACAM_RV),IF(ISNUMBER(SPH_6),IF(ISNUMBER($EQ77),0,1),""),"")</f>
    </nc>
  </rcc>
  <rcc rId="2312" sId="1">
    <oc r="CR14">
      <f>IF(ISNUMBER($CV14),IF(ISNUMBER($AM14),IF(ISNUMBER($EQ14),0,1),""),"")</f>
    </oc>
    <nc r="CR14">
      <f>IF(ISNUMBER(PREOP_PENTACAM_RV),IF(ISNUMBER(SPH_6),IF(ISNUMBER($EQ14),0,1),""),"")</f>
    </nc>
  </rcc>
  <rcc rId="2313" sId="1">
    <oc r="CR59">
      <f>IF(ISNUMBER($CV59),IF(ISNUMBER($AM59),IF(ISNUMBER($EQ59),0,1),""),"")</f>
    </oc>
    <nc r="CR59">
      <f>IF(ISNUMBER(PREOP_PENTACAM_RV),IF(ISNUMBER(SPH_6),IF(ISNUMBER($EQ59),0,1),""),"")</f>
    </nc>
  </rcc>
  <rcc rId="2314" sId="1">
    <oc r="CR33">
      <f>IF(ISNUMBER($CV33),IF(ISNUMBER($AM33),IF(ISNUMBER($EQ33),0,1),""),"")</f>
    </oc>
    <nc r="CR33">
      <f>IF(ISNUMBER(PREOP_PENTACAM_RV),IF(ISNUMBER(SPH_6),IF(ISNUMBER($EQ33),0,1),""),"")</f>
    </nc>
  </rcc>
  <rcc rId="2315" sId="1">
    <oc r="CR24">
      <f>IF(ISNUMBER($CV24),IF(ISNUMBER($AM24),IF(ISNUMBER($EQ24),0,1),""),"")</f>
    </oc>
    <nc r="CR24">
      <f>IF(ISNUMBER(PREOP_PENTACAM_RV),IF(ISNUMBER(SPH_6),IF(ISNUMBER($EQ24),0,1),""),"")</f>
    </nc>
  </rcc>
  <rcc rId="2316" sId="1">
    <oc r="CR12">
      <f>IF(ISNUMBER($CV12),IF(ISNUMBER($AM12),IF(ISNUMBER($EQ12),0,1),""),"")</f>
    </oc>
    <nc r="CR12">
      <f>IF(ISNUMBER(PREOP_PENTACAM_RV),IF(ISNUMBER(SPH_6),IF(ISNUMBER($EQ12),0,1),""),"")</f>
    </nc>
  </rcc>
  <rcc rId="2317" sId="1">
    <oc r="CR18">
      <f>IF(ISNUMBER($CV18),IF(ISNUMBER($AM18),IF(ISNUMBER($EQ18),0,1),""),"")</f>
    </oc>
    <nc r="CR18">
      <f>IF(ISNUMBER(PREOP_PENTACAM_RV),IF(ISNUMBER(SPH_6),IF(ISNUMBER($EQ18),0,1),""),"")</f>
    </nc>
  </rcc>
  <rcc rId="2318" sId="1">
    <oc r="CR65">
      <f>IF(ISNUMBER($CV65),IF(ISNUMBER($AM65),IF(ISNUMBER($EQ65),0,1),""),"")</f>
    </oc>
    <nc r="CR65">
      <f>IF(ISNUMBER(PREOP_PENTACAM_RV),IF(ISNUMBER(SPH_6),IF(ISNUMBER($EQ65),0,1),""),"")</f>
    </nc>
  </rcc>
  <rcc rId="2319" sId="1">
    <oc r="CR39">
      <f>IF(ISNUMBER($CV39),IF(ISNUMBER($AM39),IF(ISNUMBER($EQ39),0,1),""),"")</f>
    </oc>
    <nc r="CR39">
      <f>IF(ISNUMBER(PREOP_PENTACAM_RV),IF(ISNUMBER(SPH_6),IF(ISNUMBER($EQ39),0,1),""),"")</f>
    </nc>
  </rcc>
  <rcc rId="2320" sId="1">
    <oc r="CR73">
      <f>IF(ISNUMBER($CV73),IF(ISNUMBER($AM73),IF(ISNUMBER($EQ73),0,1),""),"")</f>
    </oc>
    <nc r="CR73">
      <f>IF(ISNUMBER(PREOP_PENTACAM_RV),IF(ISNUMBER(SPH_6),IF(ISNUMBER($EQ73),0,1),""),"")</f>
    </nc>
  </rcc>
  <rcc rId="2321" sId="1">
    <oc r="CR36">
      <f>IF(ISNUMBER($CV36),IF(ISNUMBER($AM36),IF(ISNUMBER($EQ36),0,1),""),"")</f>
    </oc>
    <nc r="CR36">
      <f>IF(ISNUMBER(PREOP_PENTACAM_RV),IF(ISNUMBER(SPH_6),IF(ISNUMBER($EQ36),0,1),""),"")</f>
    </nc>
  </rcc>
  <rcc rId="2322" sId="1">
    <oc r="CR4">
      <f>IF(ISNUMBER($CV4),IF(ISNUMBER($AM4),IF(ISNUMBER($EQ4),0,1),""),"")</f>
    </oc>
    <nc r="CR4">
      <f>IF(ISNUMBER(PREOP_PENTACAM_RV),IF(ISNUMBER(SPH_6),IF(ISNUMBER($EQ4),0,1),""),"")</f>
    </nc>
  </rcc>
  <rcc rId="2323" sId="1">
    <oc r="CR71">
      <f>IF(ISNUMBER($CV71),IF(ISNUMBER($AM71),IF(ISNUMBER($EQ71),0,1),""),"")</f>
    </oc>
    <nc r="CR71">
      <f>IF(ISNUMBER(PREOP_PENTACAM_RV),IF(ISNUMBER(SPH_6),IF(ISNUMBER($EQ71),0,1),""),"")</f>
    </nc>
  </rcc>
  <rcc rId="2324" sId="1">
    <oc r="CR38">
      <f>IF(ISNUMBER($CV38),IF(ISNUMBER($AM38),IF(ISNUMBER($EQ38),0,1),""),"")</f>
    </oc>
    <nc r="CR38">
      <f>IF(ISNUMBER(PREOP_PENTACAM_RV),IF(ISNUMBER(SPH_6),IF(ISNUMBER($EQ38),0,1),""),"")</f>
    </nc>
  </rcc>
  <rcc rId="2325" sId="1">
    <oc r="CR72">
      <f>IF(ISNUMBER($CV72),IF(ISNUMBER($AM72),IF(ISNUMBER($EQ72),0,1),""),"")</f>
    </oc>
    <nc r="CR72">
      <f>IF(ISNUMBER(PREOP_PENTACAM_RV),IF(ISNUMBER(SPH_6),IF(ISNUMBER($EQ72),0,1),""),"")</f>
    </nc>
  </rcc>
  <rcc rId="2326" sId="1">
    <oc r="CR54">
      <f>IF(ISNUMBER($CV54),IF(ISNUMBER($AM54),IF(ISNUMBER($EQ54),0,1),""),"")</f>
    </oc>
    <nc r="CR54">
      <f>IF(ISNUMBER(PREOP_PENTACAM_RV),IF(ISNUMBER(SPH_6),IF(ISNUMBER($EQ54),0,1),""),"")</f>
    </nc>
  </rcc>
  <rcc rId="2327" sId="1">
    <oc r="CR69">
      <f>IF(ISNUMBER($CV69),IF(ISNUMBER($AM69),IF(ISNUMBER($EQ69),0,1),""),"")</f>
    </oc>
    <nc r="CR69">
      <f>IF(ISNUMBER(PREOP_PENTACAM_RV),IF(ISNUMBER(SPH_6),IF(ISNUMBER($EQ69),0,1),""),"")</f>
    </nc>
  </rcc>
  <rcc rId="2328" sId="1">
    <oc r="CR79">
      <f>IF(ISNUMBER($CV79),IF(ISNUMBER($AM79),IF(ISNUMBER($EQ79),0,1),""),"")</f>
    </oc>
    <nc r="CR79">
      <f>IF(ISNUMBER(PREOP_PENTACAM_RV),IF(ISNUMBER(SPH_6),IF(ISNUMBER($EQ79),0,1),""),"")</f>
    </nc>
  </rcc>
  <rcc rId="2329" sId="1">
    <oc r="CR23">
      <f>IF(ISNUMBER($CV23),IF(ISNUMBER($AM23),IF(ISNUMBER($EQ23),0,1),""),"")</f>
    </oc>
    <nc r="CR23">
      <f>IF(ISNUMBER(PREOP_PENTACAM_RV),IF(ISNUMBER(SPH_6),IF(ISNUMBER($EQ23),0,1),""),"")</f>
    </nc>
  </rcc>
  <rcc rId="2330" sId="1">
    <oc r="CR37">
      <f>IF(ISNUMBER($CV37),IF(ISNUMBER($AM37),IF(ISNUMBER($EQ37),0,1),""),"")</f>
    </oc>
    <nc r="CR37">
      <f>IF(ISNUMBER(PREOP_PENTACAM_RV),IF(ISNUMBER(SPH_6),IF(ISNUMBER($EQ37),0,1),""),"")</f>
    </nc>
  </rcc>
  <rcc rId="2331" sId="1">
    <oc r="CR27">
      <f>IF(ISNUMBER($CV27),IF(ISNUMBER($AM27),IF(ISNUMBER($EQ27),0,1),""),"")</f>
    </oc>
    <nc r="CR27">
      <f>IF(ISNUMBER(PREOP_PENTACAM_RV),IF(ISNUMBER(SPH_6),IF(ISNUMBER($EQ27),0,1),""),"")</f>
    </nc>
  </rcc>
  <rcc rId="2332" sId="1">
    <oc r="CR55">
      <f>IF(ISNUMBER($CV55),IF(ISNUMBER($AM55),IF(ISNUMBER($EQ55),0,1),""),"")</f>
    </oc>
    <nc r="CR55">
      <f>IF(ISNUMBER(PREOP_PENTACAM_RV),IF(ISNUMBER(SPH_6),IF(ISNUMBER($EQ55),0,1),""),"")</f>
    </nc>
  </rcc>
  <rcc rId="2333" sId="1">
    <oc r="CR66">
      <f>IF(ISNUMBER($CV66),IF(ISNUMBER($AM66),IF(ISNUMBER($EQ66),0,1),""),"")</f>
    </oc>
    <nc r="CR66">
      <f>IF(ISNUMBER(PREOP_PENTACAM_RV),IF(ISNUMBER(SPH_6),IF(ISNUMBER($EQ66),0,1),""),"")</f>
    </nc>
  </rcc>
  <rcc rId="2334" sId="1">
    <oc r="CR3">
      <f>IF(ISNUMBER($CV3),IF(ISNUMBER($AM3),IF(ISNUMBER($EQ3),0,1),""),"")</f>
    </oc>
    <nc r="CR3">
      <f>IF(ISNUMBER(PREOP_PENTACAM_RV),IF(ISNUMBER(SPH_6),IF(ISNUMBER($EQ3),0,1),""),"")</f>
    </nc>
  </rcc>
  <rcc rId="2335" sId="1">
    <oc r="CR21">
      <f>IF(ISNUMBER($CV21),IF(ISNUMBER($AM21),IF(ISNUMBER($EQ21),0,1),""),"")</f>
    </oc>
    <nc r="CR21">
      <f>IF(ISNUMBER(PREOP_PENTACAM_RV),IF(ISNUMBER(SPH_6),IF(ISNUMBER($EQ21),0,1),""),"")</f>
    </nc>
  </rcc>
  <rcc rId="2336" sId="1">
    <oc r="CR81">
      <f>IF(ISNUMBER($CV81),IF(ISNUMBER($AM81),IF(ISNUMBER($EQ81),0,1),""),"")</f>
    </oc>
    <nc r="CR81">
      <f>IF(ISNUMBER(PREOP_PENTACAM_RV),IF(ISNUMBER(SPH_6),IF(ISNUMBER($EQ81),0,1),""),"")</f>
    </nc>
  </rcc>
  <rcc rId="2337" sId="1">
    <oc r="CR31">
      <f>IF(ISNUMBER($CV31),IF(ISNUMBER($AM31),IF(ISNUMBER($EQ31),0,1),""),"")</f>
    </oc>
    <nc r="CR31">
      <f>IF(ISNUMBER(PREOP_PENTACAM_RV),IF(ISNUMBER(SPH_6),IF(ISNUMBER($EQ31),0,1),""),"")</f>
    </nc>
  </rcc>
  <rcc rId="2338" sId="1">
    <oc r="CR30">
      <f>IF(ISNUMBER($CV30),IF(ISNUMBER($AM30),IF(ISNUMBER($EQ30),0,1),""),"")</f>
    </oc>
    <nc r="CR30">
      <f>IF(ISNUMBER(PREOP_PENTACAM_RV),IF(ISNUMBER(SPH_6),IF(ISNUMBER($EQ30),0,1),""),"")</f>
    </nc>
  </rcc>
  <rcc rId="2339" sId="1">
    <oc r="CR19">
      <f>IF(ISNUMBER($CV19),IF(ISNUMBER($AM19),IF(ISNUMBER($EQ19),0,1),""),"")</f>
    </oc>
    <nc r="CR19">
      <f>IF(ISNUMBER(PREOP_PENTACAM_RV),IF(ISNUMBER(SPH_6),IF(ISNUMBER($EQ19),0,1),""),"")</f>
    </nc>
  </rcc>
  <rcc rId="2340" sId="1">
    <oc r="CR11">
      <f>IF(ISNUMBER($CV11),IF(ISNUMBER($AM11),IF(ISNUMBER($EQ11),0,1),""),"")</f>
    </oc>
    <nc r="CR11">
      <f>IF(ISNUMBER(PREOP_PENTACAM_RV),IF(ISNUMBER(SPH_6),IF(ISNUMBER($EQ11),0,1),""),"")</f>
    </nc>
  </rcc>
  <rcc rId="2341" sId="1">
    <oc r="CR64">
      <f>IF(ISNUMBER($CV64),IF(ISNUMBER($AM64),IF(ISNUMBER($EQ64),0,1),""),"")</f>
    </oc>
    <nc r="CR64">
      <f>IF(ISNUMBER(PREOP_PENTACAM_RV),IF(ISNUMBER(SPH_6),IF(ISNUMBER($EQ64),0,1),""),"")</f>
    </nc>
  </rcc>
  <rcc rId="2342" sId="1">
    <oc r="CR57">
      <f>IF(ISNUMBER($CV57),IF(ISNUMBER($AM57),IF(ISNUMBER($EQ57),0,1),""),"")</f>
    </oc>
    <nc r="CR57">
      <f>IF(ISNUMBER(PREOP_PENTACAM_RV),IF(ISNUMBER(SPH_6),IF(ISNUMBER($EQ57),0,1),""),"")</f>
    </nc>
  </rcc>
  <rcc rId="2343" sId="1">
    <oc r="CR114">
      <f>IF(ISNUMBER($CV114),IF(ISNUMBER($AM114),IF(ISNUMBER($EQ114),0,1),""),"")</f>
    </oc>
    <nc r="CR114">
      <f>IF(ISNUMBER(PREOP_PENTACAM_RV),IF(ISNUMBER(SPH_6),IF(ISNUMBER($EQ114),0,1),""),"")</f>
    </nc>
  </rcc>
  <rcc rId="2344" sId="1">
    <oc r="CR119">
      <f>IF(ISNUMBER($CV119),IF(ISNUMBER($AM119),IF(ISNUMBER($EQ119),0,1),""),"")</f>
    </oc>
    <nc r="CR119">
      <f>IF(ISNUMBER(PREOP_PENTACAM_RV),IF(ISNUMBER(SPH_6),IF(ISNUMBER($EQ119),0,1),""),"")</f>
    </nc>
  </rcc>
  <rcc rId="2345" sId="1">
    <oc r="CR62">
      <f>IF(ISNUMBER($CV62),IF(ISNUMBER($AM62),IF(ISNUMBER($EQ62),0,1),""),"")</f>
    </oc>
    <nc r="CR62">
      <f>IF(ISNUMBER(PREOP_PENTACAM_RV),IF(ISNUMBER(SPH_6),IF(ISNUMBER($EQ62),0,1),""),"")</f>
    </nc>
  </rcc>
  <rcc rId="2346" sId="1">
    <oc r="CR10">
      <f>IF(ISNUMBER($CV10),IF(ISNUMBER($AM10),IF(ISNUMBER($EQ10),0,1),""),"")</f>
    </oc>
    <nc r="CR10">
      <f>IF(ISNUMBER(PREOP_PENTACAM_RV),IF(ISNUMBER(SPH_6),IF(ISNUMBER($EQ10),0,1),""),"")</f>
    </nc>
  </rcc>
  <rcc rId="2347" sId="1">
    <oc r="CR17">
      <f>IF(ISNUMBER($CV17),IF(ISNUMBER($AM17),IF(ISNUMBER($EQ17),0,1),""),"")</f>
    </oc>
    <nc r="CR17">
      <f>IF(ISNUMBER(PREOP_PENTACAM_RV),IF(ISNUMBER(SPH_6),IF(ISNUMBER($EQ17),0,1),""),"")</f>
    </nc>
  </rcc>
  <rcc rId="2348" sId="1">
    <oc r="CR58">
      <f>IF(ISNUMBER($CV58),IF(ISNUMBER($AM58),IF(ISNUMBER($EQ58),0,1),""),"")</f>
    </oc>
    <nc r="CR58">
      <f>IF(ISNUMBER(PREOP_PENTACAM_RV),IF(ISNUMBER(SPH_6),IF(ISNUMBER($EQ58),0,1),""),"")</f>
    </nc>
  </rcc>
  <rcc rId="2349" sId="1">
    <oc r="CR6">
      <f>IF(ISNUMBER($CV6),IF(ISNUMBER($AM6),IF(ISNUMBER($EQ6),0,1),""),"")</f>
    </oc>
    <nc r="CR6">
      <f>IF(ISNUMBER(PREOP_PENTACAM_RV),IF(ISNUMBER(SPH_6),IF(ISNUMBER($EQ6),0,1),""),"")</f>
    </nc>
  </rcc>
  <rcc rId="2350" sId="1">
    <oc r="CR68">
      <f>IF(ISNUMBER($CV68),IF(ISNUMBER($AM68),IF(ISNUMBER($EQ68),0,1),""),"")</f>
    </oc>
    <nc r="CR68">
      <f>IF(ISNUMBER(PREOP_PENTACAM_RV),IF(ISNUMBER(SPH_6),IF(ISNUMBER($EQ68),0,1),""),"")</f>
    </nc>
  </rcc>
  <rcc rId="2351" sId="1">
    <oc r="CR20">
      <f>IF(ISNUMBER($CV20),IF(ISNUMBER($AM20),IF(ISNUMBER($EQ20),0,1),""),"")</f>
    </oc>
    <nc r="CR20">
      <f>IF(ISNUMBER(PREOP_PENTACAM_RV),IF(ISNUMBER(SPH_6),IF(ISNUMBER($EQ20),0,1),""),"")</f>
    </nc>
  </rcc>
  <rcc rId="2352" sId="1">
    <oc r="CR50">
      <f>IF(ISNUMBER($CV50),IF(ISNUMBER($AM50),IF(ISNUMBER($EQ50),0,1),""),"")</f>
    </oc>
    <nc r="CR50">
      <f>IF(ISNUMBER(PREOP_PENTACAM_RV),IF(ISNUMBER(SPH_6),IF(ISNUMBER($EQ50),0,1),""),"")</f>
    </nc>
  </rcc>
  <rcc rId="2353" sId="1">
    <oc r="CR56">
      <f>IF(ISNUMBER($CV56),IF(ISNUMBER($AM56),IF(ISNUMBER($EQ56),0,1),""),"")</f>
    </oc>
    <nc r="CR56">
      <f>IF(ISNUMBER(PREOP_PENTACAM_RV),IF(ISNUMBER(SPH_6),IF(ISNUMBER($EQ56),0,1),""),"")</f>
    </nc>
  </rcc>
  <rcc rId="2354" sId="1">
    <oc r="CR26">
      <f>IF(ISNUMBER($CV26),IF(ISNUMBER($AM26),IF(ISNUMBER($EQ26),0,1),""),"")</f>
    </oc>
    <nc r="CR26">
      <f>IF(ISNUMBER(PREOP_PENTACAM_RV),IF(ISNUMBER(SPH_6),IF(ISNUMBER($EQ26),0,1),""),"")</f>
    </nc>
  </rcc>
  <rcc rId="2355" sId="1">
    <oc r="CR25">
      <f>IF(ISNUMBER($CV25),IF(ISNUMBER($AM25),IF(ISNUMBER($EQ25),0,1),""),"")</f>
    </oc>
    <nc r="CR25">
      <f>IF(ISNUMBER(PREOP_PENTACAM_RV),IF(ISNUMBER(SPH_6),IF(ISNUMBER($EQ25),0,1),""),"")</f>
    </nc>
  </rcc>
  <rcc rId="2356" sId="1">
    <oc r="CR2">
      <f>IF(ISNUMBER($CV2),IF(ISNUMBER($AM2),IF(ISNUMBER($EQ2),0,1),""),"")</f>
    </oc>
    <nc r="CR2">
      <f>IF(ISNUMBER(PREOP_PENTACAM_RV),IF(ISNUMBER(SPH_6),IF(ISNUMBER($EQ2),0,1),""),"")</f>
    </nc>
  </rcc>
  <rcc rId="2357" sId="1">
    <oc r="CR52">
      <f>IF(ISNUMBER($CV52),IF(ISNUMBER($AM52),IF(ISNUMBER($EQ52),0,1),""),"")</f>
    </oc>
    <nc r="CR52">
      <f>IF(ISNUMBER(PREOP_PENTACAM_RV),IF(ISNUMBER(SPH_6),IF(ISNUMBER($EQ52),0,1),""),"")</f>
    </nc>
  </rcc>
  <rcc rId="2358" sId="1">
    <oc r="CR67">
      <f>IF(ISNUMBER($CV67),IF(ISNUMBER($AM67),IF(ISNUMBER($EQ67),0,1),""),"")</f>
    </oc>
    <nc r="CR67">
      <f>IF(ISNUMBER(PREOP_PENTACAM_RV),IF(ISNUMBER(SPH_6),IF(ISNUMBER($EQ67),0,1),""),"")</f>
    </nc>
  </rcc>
  <rcc rId="2359" sId="1">
    <oc r="CR74">
      <f>IF(ISNUMBER($CV74),IF(ISNUMBER($AM74),IF(ISNUMBER($EQ74),0,1),""),"")</f>
    </oc>
    <nc r="CR74">
      <f>IF(ISNUMBER(PREOP_PENTACAM_RV),IF(ISNUMBER(SPH_6),IF(ISNUMBER($EQ74),0,1),""),"")</f>
    </nc>
  </rcc>
  <rcc rId="2360" sId="1">
    <oc r="CR51">
      <f>IF(ISNUMBER($CV51),IF(ISNUMBER($AM51),IF(ISNUMBER($EQ51),0,1),""),"")</f>
    </oc>
    <nc r="CR51">
      <f>IF(ISNUMBER(PREOP_PENTACAM_RV),IF(ISNUMBER(SPH_6),IF(ISNUMBER($EQ51),0,1),""),"")</f>
    </nc>
  </rcc>
  <rcc rId="2361" sId="1">
    <oc r="CR43">
      <f>IF(ISNUMBER($CV43),IF(ISNUMBER($AM43),IF(ISNUMBER($EQ43),0,1),""),"")</f>
    </oc>
    <nc r="CR43">
      <f>IF(ISNUMBER(PREOP_PENTACAM_RV),IF(ISNUMBER(SPH_6),IF(ISNUMBER($EQ43),0,1),""),"")</f>
    </nc>
  </rcc>
  <rcc rId="2362" sId="1">
    <oc r="CR83">
      <f>IF(ISNUMBER($CV83),IF(ISNUMBER($AM83),IF(ISNUMBER($EQ83),0,1),""),"")</f>
    </oc>
    <nc r="CR83">
      <f>IF(ISNUMBER(PREOP_PENTACAM_RV),IF(ISNUMBER(SPH_6),IF(ISNUMBER($EQ83),0,1),""),"")</f>
    </nc>
  </rcc>
  <rcc rId="2363" sId="1">
    <oc r="CR84">
      <f>IF(ISNUMBER($CV84),IF(ISNUMBER($AM84),IF(ISNUMBER($EQ84),0,1),""),"")</f>
    </oc>
    <nc r="CR84">
      <f>IF(ISNUMBER(PREOP_PENTACAM_RV),IF(ISNUMBER(SPH_6),IF(ISNUMBER($EQ84),0,1),""),"")</f>
    </nc>
  </rcc>
  <rcc rId="2364" sId="1">
    <oc r="CR85">
      <f>IF(ISNUMBER($CV85),IF(ISNUMBER($AM85),IF(ISNUMBER($EQ85),0,1),""),"")</f>
    </oc>
    <nc r="CR85">
      <f>IF(ISNUMBER(PREOP_PENTACAM_RV),IF(ISNUMBER(SPH_6),IF(ISNUMBER($EQ85),0,1),""),"")</f>
    </nc>
  </rcc>
  <rcc rId="2365" sId="1">
    <oc r="CR86">
      <f>IF(ISNUMBER($CV86),IF(ISNUMBER($AM86),IF(ISNUMBER($EQ86),0,1),""),"")</f>
    </oc>
    <nc r="CR86">
      <f>IF(ISNUMBER(PREOP_PENTACAM_RV),IF(ISNUMBER(SPH_6),IF(ISNUMBER($EQ86),0,1),""),"")</f>
    </nc>
  </rcc>
  <rcc rId="2366" sId="1">
    <oc r="CR87">
      <f>IF(ISNUMBER($CV87),IF(ISNUMBER($AM87),IF(ISNUMBER($EQ87),0,1),""),"")</f>
    </oc>
    <nc r="CR87">
      <f>IF(ISNUMBER(PREOP_PENTACAM_RV),IF(ISNUMBER(SPH_6),IF(ISNUMBER($EQ87),0,1),""),"")</f>
    </nc>
  </rcc>
  <rcc rId="2367" sId="1">
    <oc r="CR88">
      <f>IF(ISNUMBER($CV88),IF(ISNUMBER($AM88),IF(ISNUMBER($EQ88),0,1),""),"")</f>
    </oc>
    <nc r="CR88">
      <f>IF(ISNUMBER(PREOP_PENTACAM_RV),IF(ISNUMBER(SPH_6),IF(ISNUMBER($EQ88),0,1),""),"")</f>
    </nc>
  </rcc>
  <rcc rId="2368" sId="1">
    <oc r="CR89">
      <f>IF(ISNUMBER($CV89),IF(ISNUMBER($AM89),IF(ISNUMBER($EQ89),0,1),""),"")</f>
    </oc>
    <nc r="CR89">
      <f>IF(ISNUMBER(PREOP_PENTACAM_RV),IF(ISNUMBER(SPH_6),IF(ISNUMBER($EQ89),0,1),""),"")</f>
    </nc>
  </rcc>
  <rcc rId="2369" sId="1">
    <oc r="CR90">
      <f>IF(ISNUMBER($CV90),IF(ISNUMBER($AM90),IF(ISNUMBER($EQ90),0,1),""),"")</f>
    </oc>
    <nc r="CR90">
      <f>IF(ISNUMBER(PREOP_PENTACAM_RV),IF(ISNUMBER(SPH_6),IF(ISNUMBER($EQ90),0,1),""),"")</f>
    </nc>
  </rcc>
  <rcc rId="2370" sId="1">
    <oc r="CR91">
      <f>IF(ISNUMBER($CV91),IF(ISNUMBER($AM91),IF(ISNUMBER($EQ91),0,1),""),"")</f>
    </oc>
    <nc r="CR91">
      <f>IF(ISNUMBER(PREOP_PENTACAM_RV),IF(ISNUMBER(SPH_6),IF(ISNUMBER($EQ91),0,1),""),"")</f>
    </nc>
  </rcc>
  <rcc rId="2371" sId="1">
    <oc r="CR92">
      <f>IF(ISNUMBER($CV92),IF(ISNUMBER($AM92),IF(ISNUMBER($EQ92),0,1),""),"")</f>
    </oc>
    <nc r="CR92">
      <f>IF(ISNUMBER(PREOP_PENTACAM_RV),IF(ISNUMBER(SPH_6),IF(ISNUMBER($EQ92),0,1),""),"")</f>
    </nc>
  </rcc>
  <rcc rId="2372" sId="1">
    <oc r="CR93">
      <f>IF(ISNUMBER($CV93),IF(ISNUMBER($AM93),IF(ISNUMBER($EQ93),0,1),""),"")</f>
    </oc>
    <nc r="CR93">
      <f>IF(ISNUMBER(PREOP_PENTACAM_RV),IF(ISNUMBER(SPH_6),IF(ISNUMBER($EQ93),0,1),""),"")</f>
    </nc>
  </rcc>
  <rcc rId="2373" sId="1">
    <oc r="CR94">
      <f>IF(ISNUMBER($CV94),IF(ISNUMBER($AM94),IF(ISNUMBER($EQ94),0,1),""),"")</f>
    </oc>
    <nc r="CR94">
      <f>IF(ISNUMBER(PREOP_PENTACAM_RV),IF(ISNUMBER(SPH_6),IF(ISNUMBER($EQ94),0,1),""),"")</f>
    </nc>
  </rcc>
  <rcc rId="2374" sId="1">
    <oc r="CR95">
      <f>IF(ISNUMBER($CV95),IF(ISNUMBER($AM95),IF(ISNUMBER($EQ95),0,1),""),"")</f>
    </oc>
    <nc r="CR95">
      <f>IF(ISNUMBER(PREOP_PENTACAM_RV),IF(ISNUMBER(SPH_6),IF(ISNUMBER($EQ95),0,1),""),"")</f>
    </nc>
  </rcc>
  <rcc rId="2375" sId="1">
    <oc r="CR96">
      <f>IF(ISNUMBER($CV96),IF(ISNUMBER($AM96),IF(ISNUMBER($EQ96),0,1),""),"")</f>
    </oc>
    <nc r="CR96">
      <f>IF(ISNUMBER(PREOP_PENTACAM_RV),IF(ISNUMBER(SPH_6),IF(ISNUMBER($EQ96),0,1),""),"")</f>
    </nc>
  </rcc>
  <rcc rId="2376" sId="1">
    <oc r="CR97">
      <f>IF(ISNUMBER($CV97),IF(ISNUMBER($AM97),IF(ISNUMBER($EQ97),0,1),""),"")</f>
    </oc>
    <nc r="CR97">
      <f>IF(ISNUMBER(PREOP_PENTACAM_RV),IF(ISNUMBER(SPH_6),IF(ISNUMBER($EQ97),0,1),""),"")</f>
    </nc>
  </rcc>
  <rcc rId="2377" sId="1">
    <oc r="CR98">
      <f>IF(ISNUMBER($CV98),IF(ISNUMBER($AM98),IF(ISNUMBER($EQ98),0,1),""),"")</f>
    </oc>
    <nc r="CR98">
      <f>IF(ISNUMBER(PREOP_PENTACAM_RV),IF(ISNUMBER(SPH_6),IF(ISNUMBER($EQ98),0,1),""),"")</f>
    </nc>
  </rcc>
  <rcc rId="2378" sId="1">
    <oc r="CR99">
      <f>IF(ISNUMBER($CV99),IF(ISNUMBER($AM99),IF(ISNUMBER($EQ99),0,1),""),"")</f>
    </oc>
    <nc r="CR99">
      <f>IF(ISNUMBER(PREOP_PENTACAM_RV),IF(ISNUMBER(SPH_6),IF(ISNUMBER($EQ99),0,1),""),"")</f>
    </nc>
  </rcc>
  <rcc rId="2379" sId="1">
    <oc r="CR100">
      <f>IF(ISNUMBER($CV100),IF(ISNUMBER($AM100),IF(ISNUMBER($EQ100),0,1),""),"")</f>
    </oc>
    <nc r="CR100">
      <f>IF(ISNUMBER(PREOP_PENTACAM_RV),IF(ISNUMBER(SPH_6),IF(ISNUMBER($EQ100),0,1),""),"")</f>
    </nc>
  </rcc>
  <rcc rId="2380" sId="1">
    <oc r="CR101">
      <f>IF(ISNUMBER($CV101),IF(ISNUMBER($AM101),IF(ISNUMBER($EQ101),0,1),""),"")</f>
    </oc>
    <nc r="CR101">
      <f>IF(ISNUMBER(PREOP_PENTACAM_RV),IF(ISNUMBER(SPH_6),IF(ISNUMBER($EQ101),0,1),""),"")</f>
    </nc>
  </rcc>
  <rcc rId="2381" sId="1">
    <oc r="CR102">
      <f>IF(ISNUMBER($CV102),IF(ISNUMBER($AM102),IF(ISNUMBER($EQ102),0,1),""),"")</f>
    </oc>
    <nc r="CR102">
      <f>IF(ISNUMBER(PREOP_PENTACAM_RV),IF(ISNUMBER(SPH_6),IF(ISNUMBER($EQ102),0,1),""),"")</f>
    </nc>
  </rcc>
  <rcc rId="2382" sId="1">
    <oc r="CR103">
      <f>IF(ISNUMBER($CV103),IF(ISNUMBER($AM103),IF(ISNUMBER($EQ103),0,1),""),"")</f>
    </oc>
    <nc r="CR103">
      <f>IF(ISNUMBER(PREOP_PENTACAM_RV),IF(ISNUMBER(SPH_6),IF(ISNUMBER($EQ103),0,1),""),"")</f>
    </nc>
  </rcc>
  <rcc rId="2383" sId="1">
    <oc r="CR104">
      <f>IF(ISNUMBER($CV104),IF(ISNUMBER($AM104),IF(ISNUMBER($EQ104),0,1),""),"")</f>
    </oc>
    <nc r="CR104">
      <f>IF(ISNUMBER(PREOP_PENTACAM_RV),IF(ISNUMBER(SPH_6),IF(ISNUMBER($EQ104),0,1),""),"")</f>
    </nc>
  </rcc>
  <rcc rId="2384" sId="1">
    <oc r="CR105">
      <f>IF(ISNUMBER($CV105),IF(ISNUMBER($AM105),IF(ISNUMBER($EQ105),0,1),""),"")</f>
    </oc>
    <nc r="CR105">
      <f>IF(ISNUMBER(PREOP_PENTACAM_RV),IF(ISNUMBER(SPH_6),IF(ISNUMBER($EQ105),0,1),""),"")</f>
    </nc>
  </rcc>
  <rcc rId="2385" sId="1">
    <oc r="CR106">
      <f>IF(ISNUMBER($CV106),IF(ISNUMBER($AM106),IF(ISNUMBER($EQ106),0,1),""),"")</f>
    </oc>
    <nc r="CR106">
      <f>IF(ISNUMBER(PREOP_PENTACAM_RV),IF(ISNUMBER(SPH_6),IF(ISNUMBER($EQ106),0,1),""),"")</f>
    </nc>
  </rcc>
  <rcc rId="2386" sId="1">
    <oc r="CR108">
      <f>IF(ISNUMBER($CV108),IF(ISNUMBER($AM108),IF(ISNUMBER($EQ108),0,1),""),"")</f>
    </oc>
    <nc r="CR108">
      <f>IF(ISNUMBER(PREOP_PENTACAM_RV),IF(ISNUMBER(SPH_6),IF(ISNUMBER($EQ108),0,1),""),"")</f>
    </nc>
  </rcc>
  <rcc rId="2387" sId="1">
    <oc r="CR109">
      <f>IF(ISNUMBER($CV109),IF(ISNUMBER($AM109),IF(ISNUMBER($EQ109),0,1),""),"")</f>
    </oc>
    <nc r="CR109">
      <f>IF(ISNUMBER(PREOP_PENTACAM_RV),IF(ISNUMBER(SPH_6),IF(ISNUMBER($EQ109),0,1),""),"")</f>
    </nc>
  </rcc>
  <rcc rId="2388" sId="1">
    <oc r="CR110">
      <f>IF(ISNUMBER($CV110),IF(ISNUMBER($AM110),IF(ISNUMBER($EQ110),0,1),""),"")</f>
    </oc>
    <nc r="CR110">
      <f>IF(ISNUMBER(PREOP_PENTACAM_RV),IF(ISNUMBER(SPH_6),IF(ISNUMBER($EQ110),0,1),""),"")</f>
    </nc>
  </rcc>
  <rcc rId="2389" sId="1">
    <oc r="CR111">
      <f>IF(ISNUMBER($CV111),IF(ISNUMBER($AM111),IF(ISNUMBER($EQ111),0,1),""),"")</f>
    </oc>
    <nc r="CR111">
      <f>IF(ISNUMBER(PREOP_PENTACAM_RV),IF(ISNUMBER(SPH_6),IF(ISNUMBER($EQ111),0,1),""),"")</f>
    </nc>
  </rcc>
  <rcc rId="2390" sId="1">
    <oc r="CR112">
      <f>IF(ISNUMBER($CV112),IF(ISNUMBER($AM112),IF(ISNUMBER($EQ112),0,1),""),"")</f>
    </oc>
    <nc r="CR112">
      <f>IF(ISNUMBER(PREOP_PENTACAM_RV),IF(ISNUMBER(SPH_6),IF(ISNUMBER($EQ112),0,1),""),"")</f>
    </nc>
  </rcc>
  <rcc rId="2391" sId="1">
    <oc r="CR113">
      <f>IF(ISNUMBER($CV113),IF(ISNUMBER($AM113),IF(ISNUMBER($EQ113),0,1),""),"")</f>
    </oc>
    <nc r="CR113">
      <f>IF(ISNUMBER(PREOP_PENTACAM_RV),IF(ISNUMBER(SPH_6),IF(ISNUMBER($EQ113),0,1),""),"")</f>
    </nc>
  </rcc>
  <rcc rId="2392" sId="1">
    <oc r="CR115">
      <f>IF(ISNUMBER($CV115),IF(ISNUMBER($AM115),IF(ISNUMBER($EQ115),0,1),""),"")</f>
    </oc>
    <nc r="CR115">
      <f>IF(ISNUMBER(PREOP_PENTACAM_RV),IF(ISNUMBER(SPH_6),IF(ISNUMBER($EQ115),0,1),""),"")</f>
    </nc>
  </rcc>
  <rcc rId="2393" sId="1">
    <oc r="CR116">
      <f>IF(ISNUMBER($CV116),IF(ISNUMBER($AM116),IF(ISNUMBER($EQ116),0,1),""),"")</f>
    </oc>
    <nc r="CR116">
      <f>IF(ISNUMBER(PREOP_PENTACAM_RV),IF(ISNUMBER(SPH_6),IF(ISNUMBER($EQ116),0,1),""),"")</f>
    </nc>
  </rcc>
  <rcc rId="2394" sId="1">
    <oc r="CR118">
      <f>IF(ISNUMBER($CV118),IF(ISNUMBER($AM118),IF(ISNUMBER($EQ118),0,1),""),"")</f>
    </oc>
    <nc r="CR118">
      <f>IF(ISNUMBER(PREOP_PENTACAM_RV),IF(ISNUMBER(SPH_6),IF(ISNUMBER($EQ118),0,1),""),"")</f>
    </nc>
  </rcc>
  <rcc rId="2395" sId="1">
    <oc r="CR120">
      <f>IF(ISNUMBER($CV120),IF(ISNUMBER($AM120),IF(ISNUMBER($EQ120),0,1),""),"")</f>
    </oc>
    <nc r="CR120">
      <f>IF(ISNUMBER(PREOP_PENTACAM_RV),IF(ISNUMBER(SPH_6),IF(ISNUMBER($EQ120),0,1),""),"")</f>
    </nc>
  </rcc>
  <rcc rId="2396" sId="1">
    <oc r="CR121">
      <f>IF(ISNUMBER($CV121),IF(ISNUMBER($AM121),IF(ISNUMBER($EQ121),0,1),""),"")</f>
    </oc>
    <nc r="CR121">
      <f>IF(ISNUMBER(PREOP_PENTACAM_RV),IF(ISNUMBER(SPH_6),IF(ISNUMBER($EQ121),0,1),""),"")</f>
    </nc>
  </rcc>
  <rcc rId="2397" sId="1">
    <oc r="CR122">
      <f>IF(ISNUMBER($CV122),IF(ISNUMBER($AM122),IF(ISNUMBER($EQ122),0,1),""),"")</f>
    </oc>
    <nc r="CR122">
      <f>IF(ISNUMBER(PREOP_PENTACAM_RV),IF(ISNUMBER(SPH_6),IF(ISNUMBER($EQ122),0,1),""),"")</f>
    </nc>
  </rcc>
  <rcc rId="2398" sId="1">
    <oc r="CR123">
      <f>IF(ISNUMBER($CV123),IF(ISNUMBER($AM123),IF(ISNUMBER($EQ123),0,1),""),"")</f>
    </oc>
    <nc r="CR123">
      <f>IF(ISNUMBER(PREOP_PENTACAM_RV),IF(ISNUMBER(SPH_6),IF(ISNUMBER($EQ123),0,1),""),"")</f>
    </nc>
  </rcc>
  <rcc rId="2399" sId="1">
    <oc r="CR124">
      <f>IF(ISNUMBER($CV124),IF(ISNUMBER($AM124),IF(ISNUMBER($EQ124),0,1),""),"")</f>
    </oc>
    <nc r="CR124">
      <f>IF(ISNUMBER(PREOP_PENTACAM_RV),IF(ISNUMBER(SPH_6),IF(ISNUMBER($EQ124),0,1),""),"")</f>
    </nc>
  </rcc>
  <rcc rId="2400" sId="1">
    <oc r="CR125">
      <f>IF(ISNUMBER($CV125),IF(ISNUMBER($AM125),IF(ISNUMBER($EQ125),0,1),""),"")</f>
    </oc>
    <nc r="CR125">
      <f>IF(ISNUMBER(PREOP_PENTACAM_RV),IF(ISNUMBER(SPH_6),IF(ISNUMBER($EQ125),0,1),""),"")</f>
    </nc>
  </rcc>
  <rcc rId="2401" sId="1">
    <nc r="CR127">
      <f>IF(ISNUMBER(PREOP_PENTACAM_RV),IF(ISNUMBER(SPH_6),IF(ISNUMBER($EQ127),0,1),""),"")</f>
    </nc>
  </rcc>
  <rcc rId="2402" sId="1">
    <nc r="CR107">
      <f>IF(ISNUMBER(PREOP_PENTACAM_RV),IF(ISNUMBER(SPH_6),IF(ISNUMBER($EQ107),0,1),""),"")</f>
    </nc>
  </rcc>
  <rcc rId="2403" sId="1">
    <nc r="CR128">
      <f>IF(ISNUMBER(PREOP_PENTACAM_RV),IF(ISNUMBER(SPH_6),IF(ISNUMBER($EQ128),0,1),""),"")</f>
    </nc>
  </rcc>
  <rcc rId="2404" sId="1">
    <oc r="CS34">
      <f>IF(ISNUMBER($CV34),IF(ISNUMBER($BE34),IF(ISNUMBER($GM34),0,1),""),"")</f>
    </oc>
    <nc r="CS34">
      <f>IF(ISNUMBER(PREOP_PENTACAM_RV),IF(ISNUMBER(SPH_12),IF(ISNUMBER($GM34),0,1),""),"")</f>
    </nc>
  </rcc>
  <rcc rId="2405" sId="1">
    <oc r="CS80">
      <f>IF(ISNUMBER($CV80),IF(ISNUMBER($BE80),IF(ISNUMBER($GM80),0,1),""),"")</f>
    </oc>
    <nc r="CS80">
      <f>IF(ISNUMBER(PREOP_PENTACAM_RV),IF(ISNUMBER(SPH_12),IF(ISNUMBER($GM80),0,1),""),"")</f>
    </nc>
  </rcc>
  <rcc rId="2406" sId="1">
    <oc r="CS22">
      <f>IF(ISNUMBER($CV22),IF(ISNUMBER($BE22),IF(ISNUMBER($GM22),0,1),""),"")</f>
    </oc>
    <nc r="CS22">
      <f>IF(ISNUMBER(PREOP_PENTACAM_RV),IF(ISNUMBER(SPH_12),IF(ISNUMBER($GM22),0,1),""),"")</f>
    </nc>
  </rcc>
  <rcc rId="2407" sId="1">
    <oc r="CS47">
      <f>IF(ISNUMBER($CV47),IF(ISNUMBER($BE47),IF(ISNUMBER($GM47),0,1),""),"")</f>
    </oc>
    <nc r="CS47">
      <f>IF(ISNUMBER(PREOP_PENTACAM_RV),IF(ISNUMBER(SPH_12),IF(ISNUMBER($GM47),0,1),""),"")</f>
    </nc>
  </rcc>
  <rcc rId="2408" sId="1">
    <oc r="CS44">
      <f>IF(ISNUMBER($CV44),IF(ISNUMBER($BE44),IF(ISNUMBER($GM44),0,1),""),"")</f>
    </oc>
    <nc r="CS44">
      <f>IF(ISNUMBER(PREOP_PENTACAM_RV),IF(ISNUMBER(SPH_12),IF(ISNUMBER($GM44),0,1),""),"")</f>
    </nc>
  </rcc>
  <rcc rId="2409" sId="1">
    <oc r="CS46">
      <f>IF(ISNUMBER($CV46),IF(ISNUMBER($BE46),IF(ISNUMBER($GM46),0,1),""),"")</f>
    </oc>
    <nc r="CS46">
      <f>IF(ISNUMBER(PREOP_PENTACAM_RV),IF(ISNUMBER(SPH_12),IF(ISNUMBER($GM46),0,1),""),"")</f>
    </nc>
  </rcc>
  <rcc rId="2410" sId="1">
    <oc r="CS32">
      <f>IF(ISNUMBER($CV32),IF(ISNUMBER($BE32),IF(ISNUMBER($GM32),0,1),""),"")</f>
    </oc>
    <nc r="CS32">
      <f>IF(ISNUMBER(PREOP_PENTACAM_RV),IF(ISNUMBER(SPH_12),IF(ISNUMBER($GM32),0,1),""),"")</f>
    </nc>
  </rcc>
  <rcc rId="2411" sId="1">
    <oc r="CS15">
      <f>IF(ISNUMBER($CV15),IF(ISNUMBER($BE15),IF(ISNUMBER($GM15),0,1),""),"")</f>
    </oc>
    <nc r="CS15">
      <f>IF(ISNUMBER(PREOP_PENTACAM_RV),IF(ISNUMBER(SPH_12),IF(ISNUMBER($GM15),0,1),""),"")</f>
    </nc>
  </rcc>
  <rcc rId="2412" sId="1">
    <oc r="CS60">
      <f>IF(ISNUMBER($CV60),IF(ISNUMBER($BE60),IF(ISNUMBER($GM60),0,1),""),"")</f>
    </oc>
    <nc r="CS60">
      <f>IF(ISNUMBER(PREOP_PENTACAM_RV),IF(ISNUMBER(SPH_12),IF(ISNUMBER($GM60),0,1),""),"")</f>
    </nc>
  </rcc>
  <rcc rId="2413" sId="1">
    <oc r="CS35">
      <f>IF(ISNUMBER($CV35),IF(ISNUMBER($BE35),IF(ISNUMBER($GM35),0,1),""),"")</f>
    </oc>
    <nc r="CS35">
      <f>IF(ISNUMBER(PREOP_PENTACAM_RV),IF(ISNUMBER(SPH_12),IF(ISNUMBER($GM35),0,1),""),"")</f>
    </nc>
  </rcc>
  <rcc rId="2414" sId="1">
    <oc r="CS82">
      <f>IF(ISNUMBER($CV82),IF(ISNUMBER($BE82),IF(ISNUMBER($GM82),0,1),""),"")</f>
    </oc>
    <nc r="CS82">
      <f>IF(ISNUMBER(PREOP_PENTACAM_RV),IF(ISNUMBER(SPH_12),IF(ISNUMBER($GM82),0,1),""),"")</f>
    </nc>
  </rcc>
  <rcc rId="2415" sId="1">
    <oc r="CS45">
      <f>IF(ISNUMBER($CV45),IF(ISNUMBER($BE45),IF(ISNUMBER($GM45),0,1),""),"")</f>
    </oc>
    <nc r="CS45">
      <f>IF(ISNUMBER(PREOP_PENTACAM_RV),IF(ISNUMBER(SPH_12),IF(ISNUMBER($GM45),0,1),""),"")</f>
    </nc>
  </rcc>
  <rcc rId="2416" sId="1">
    <oc r="CS8">
      <f>IF(ISNUMBER($CV8),IF(ISNUMBER($BE8),IF(ISNUMBER($GM8),0,1),""),"")</f>
    </oc>
    <nc r="CS8">
      <f>IF(ISNUMBER(PREOP_PENTACAM_RV),IF(ISNUMBER(SPH_12),IF(ISNUMBER($GM8),0,1),""),"")</f>
    </nc>
  </rcc>
  <rcc rId="2417" sId="1">
    <oc r="CS75">
      <f>IF(ISNUMBER($CV75),IF(ISNUMBER($BE75),IF(ISNUMBER($GM75),0,1),""),"")</f>
    </oc>
    <nc r="CS75">
      <f>IF(ISNUMBER(PREOP_PENTACAM_RV),IF(ISNUMBER(SPH_12),IF(ISNUMBER($GM75),0,1),""),"")</f>
    </nc>
  </rcc>
  <rcc rId="2418" sId="1">
    <oc r="CS78">
      <f>IF(ISNUMBER($CV78),IF(ISNUMBER($BE78),IF(ISNUMBER($GM78),0,1),""),"")</f>
    </oc>
    <nc r="CS78">
      <f>IF(ISNUMBER(PREOP_PENTACAM_RV),IF(ISNUMBER(SPH_12),IF(ISNUMBER($GM78),0,1),""),"")</f>
    </nc>
  </rcc>
  <rcc rId="2419" sId="1">
    <oc r="CS28">
      <f>IF(ISNUMBER($CV28),IF(ISNUMBER($BE28),IF(ISNUMBER($GM28),0,1),""),"")</f>
    </oc>
    <nc r="CS28">
      <f>IF(ISNUMBER(PREOP_PENTACAM_RV),IF(ISNUMBER(SPH_12),IF(ISNUMBER($GM28),0,1),""),"")</f>
    </nc>
  </rcc>
  <rcc rId="2420" sId="1">
    <oc r="CS76">
      <f>IF(ISNUMBER($CV76),IF(ISNUMBER($BE76),IF(ISNUMBER($GM76),0,1),""),"")</f>
    </oc>
    <nc r="CS76">
      <f>IF(ISNUMBER(PREOP_PENTACAM_RV),IF(ISNUMBER(SPH_12),IF(ISNUMBER($GM76),0,1),""),"")</f>
    </nc>
  </rcc>
  <rcc rId="2421" sId="1">
    <oc r="CS63">
      <f>IF(ISNUMBER($CV63),IF(ISNUMBER($BE63),IF(ISNUMBER($GM63),0,1),""),"")</f>
    </oc>
    <nc r="CS63">
      <f>IF(ISNUMBER(PREOP_PENTACAM_RV),IF(ISNUMBER(SPH_12),IF(ISNUMBER($GM63),0,1),""),"")</f>
    </nc>
  </rcc>
  <rcc rId="2422" sId="1">
    <oc r="CS7">
      <f>IF(ISNUMBER($CV7),IF(ISNUMBER($BE7),IF(ISNUMBER($GM7),0,1),""),"")</f>
    </oc>
    <nc r="CS7">
      <f>IF(ISNUMBER(PREOP_PENTACAM_RV),IF(ISNUMBER(SPH_12),IF(ISNUMBER($GM7),0,1),""),"")</f>
    </nc>
  </rcc>
  <rcc rId="2423" sId="1">
    <oc r="CS48">
      <f>IF(ISNUMBER($CV48),IF(ISNUMBER($BE48),IF(ISNUMBER($GM48),0,1),""),"")</f>
    </oc>
    <nc r="CS48">
      <f>IF(ISNUMBER(PREOP_PENTACAM_RV),IF(ISNUMBER(SPH_12),IF(ISNUMBER($GM48),0,1),""),"")</f>
    </nc>
  </rcc>
  <rcc rId="2424" sId="1">
    <oc r="CS40">
      <f>IF(ISNUMBER($CV40),IF(ISNUMBER($BE40),IF(ISNUMBER($GM40),0,1),""),"")</f>
    </oc>
    <nc r="CS40">
      <f>IF(ISNUMBER(PREOP_PENTACAM_RV),IF(ISNUMBER(SPH_12),IF(ISNUMBER($GM40),0,1),""),"")</f>
    </nc>
  </rcc>
  <rcc rId="2425" sId="1">
    <oc r="CS42">
      <f>IF(ISNUMBER($CV42),IF(ISNUMBER($BE42),IF(ISNUMBER($GM42),0,1),""),"")</f>
    </oc>
    <nc r="CS42">
      <f>IF(ISNUMBER(PREOP_PENTACAM_RV),IF(ISNUMBER(SPH_12),IF(ISNUMBER($GM42),0,1),""),"")</f>
    </nc>
  </rcc>
  <rcc rId="2426" sId="1">
    <oc r="CS126">
      <f>IF(ISNUMBER($CV126),IF(ISNUMBER($BE126),IF(ISNUMBER($GM126),0,1),""),"")</f>
    </oc>
    <nc r="CS126">
      <f>IF(ISNUMBER(PREOP_PENTACAM_RV),IF(ISNUMBER(SPH_12),IF(ISNUMBER($GM126),0,1),""),"")</f>
    </nc>
  </rcc>
  <rcc rId="2427" sId="1">
    <oc r="CS5">
      <f>IF(ISNUMBER($CV5),IF(ISNUMBER($BE5),IF(ISNUMBER($GM5),0,1),""),"")</f>
    </oc>
    <nc r="CS5">
      <f>IF(ISNUMBER(PREOP_PENTACAM_RV),IF(ISNUMBER(SPH_12),IF(ISNUMBER($GM5),0,1),""),"")</f>
    </nc>
  </rcc>
  <rcc rId="2428" sId="1">
    <oc r="CS61">
      <f>IF(ISNUMBER($CV61),IF(ISNUMBER($BE61),IF(ISNUMBER($GM61),0,1),""),"")</f>
    </oc>
    <nc r="CS61">
      <f>IF(ISNUMBER(PREOP_PENTACAM_RV),IF(ISNUMBER(SPH_12),IF(ISNUMBER($GM61),0,1),""),"")</f>
    </nc>
  </rcc>
  <rcc rId="2429" sId="1">
    <oc r="CS49">
      <f>IF(ISNUMBER($CV49),IF(ISNUMBER($BE49),IF(ISNUMBER($GM49),0,1),""),"")</f>
    </oc>
    <nc r="CS49">
      <f>IF(ISNUMBER(PREOP_PENTACAM_RV),IF(ISNUMBER(SPH_12),IF(ISNUMBER($GM49),0,1),""),"")</f>
    </nc>
  </rcc>
  <rcc rId="2430" sId="1">
    <oc r="CS29">
      <f>IF(ISNUMBER($CV29),IF(ISNUMBER($BE29),IF(ISNUMBER($GM29),0,1),""),"")</f>
    </oc>
    <nc r="CS29">
      <f>IF(ISNUMBER(PREOP_PENTACAM_RV),IF(ISNUMBER(SPH_12),IF(ISNUMBER($GM29),0,1),""),"")</f>
    </nc>
  </rcc>
  <rcc rId="2431" sId="1">
    <oc r="CS70">
      <f>IF(ISNUMBER($CV70),IF(ISNUMBER($BE70),IF(ISNUMBER($GM70),0,1),""),"")</f>
    </oc>
    <nc r="CS70">
      <f>IF(ISNUMBER(PREOP_PENTACAM_RV),IF(ISNUMBER(SPH_12),IF(ISNUMBER($GM70),0,1),""),"")</f>
    </nc>
  </rcc>
  <rcc rId="2432" sId="1">
    <oc r="CS13">
      <f>IF(ISNUMBER($CV13),IF(ISNUMBER($BE13),IF(ISNUMBER($GM13),0,1),""),"")</f>
    </oc>
    <nc r="CS13">
      <f>IF(ISNUMBER(PREOP_PENTACAM_RV),IF(ISNUMBER(SPH_12),IF(ISNUMBER($GM13),0,1),""),"")</f>
    </nc>
  </rcc>
  <rcc rId="2433" sId="1">
    <oc r="CS9">
      <f>IF(ISNUMBER($CV9),IF(ISNUMBER($BE9),IF(ISNUMBER($GM9),0,1),""),"")</f>
    </oc>
    <nc r="CS9">
      <f>IF(ISNUMBER(PREOP_PENTACAM_RV),IF(ISNUMBER(SPH_12),IF(ISNUMBER($GM9),0,1),""),"")</f>
    </nc>
  </rcc>
  <rcc rId="2434" sId="1">
    <oc r="CS16">
      <f>IF(ISNUMBER($CV16),IF(ISNUMBER($BE16),IF(ISNUMBER($GM16),0,1),""),"")</f>
    </oc>
    <nc r="CS16">
      <f>IF(ISNUMBER(PREOP_PENTACAM_RV),IF(ISNUMBER(SPH_12),IF(ISNUMBER($GM16),0,1),""),"")</f>
    </nc>
  </rcc>
  <rcc rId="2435" sId="1">
    <oc r="CS117">
      <f>IF(ISNUMBER($CV117),IF(ISNUMBER($BE117),IF(ISNUMBER($GM117),0,1),""),"")</f>
    </oc>
    <nc r="CS117">
      <f>IF(ISNUMBER(PREOP_PENTACAM_RV),IF(ISNUMBER(SPH_12),IF(ISNUMBER($GM117),0,1),""),"")</f>
    </nc>
  </rcc>
  <rcc rId="2436" sId="1">
    <oc r="CS53">
      <f>IF(ISNUMBER($CV53),IF(ISNUMBER($BE53),IF(ISNUMBER($GM53),0,1),""),"")</f>
    </oc>
    <nc r="CS53">
      <f>IF(ISNUMBER(PREOP_PENTACAM_RV),IF(ISNUMBER(SPH_12),IF(ISNUMBER($GM53),0,1),""),"")</f>
    </nc>
  </rcc>
  <rcc rId="2437" sId="1">
    <oc r="CS77">
      <f>IF(ISNUMBER($CV77),IF(ISNUMBER($BE77),IF(ISNUMBER($GM77),0,1),""),"")</f>
    </oc>
    <nc r="CS77">
      <f>IF(ISNUMBER(PREOP_PENTACAM_RV),IF(ISNUMBER(SPH_12),IF(ISNUMBER($GM77),0,1),""),"")</f>
    </nc>
  </rcc>
  <rcc rId="2438" sId="1">
    <oc r="CS14">
      <f>IF(ISNUMBER($CV14),IF(ISNUMBER($BE14),IF(ISNUMBER($GM14),0,1),""),"")</f>
    </oc>
    <nc r="CS14">
      <f>IF(ISNUMBER(PREOP_PENTACAM_RV),IF(ISNUMBER(SPH_12),IF(ISNUMBER($GM14),0,1),""),"")</f>
    </nc>
  </rcc>
  <rcc rId="2439" sId="1">
    <oc r="CS59">
      <f>IF(ISNUMBER($CV59),IF(ISNUMBER($BE59),IF(ISNUMBER($GM59),0,1),""),"")</f>
    </oc>
    <nc r="CS59">
      <f>IF(ISNUMBER(PREOP_PENTACAM_RV),IF(ISNUMBER(SPH_12),IF(ISNUMBER($GM59),0,1),""),"")</f>
    </nc>
  </rcc>
  <rcc rId="2440" sId="1">
    <oc r="CS33">
      <f>IF(ISNUMBER($CV33),IF(ISNUMBER($BE33),IF(ISNUMBER($GM33),0,1),""),"")</f>
    </oc>
    <nc r="CS33">
      <f>IF(ISNUMBER(PREOP_PENTACAM_RV),IF(ISNUMBER(SPH_12),IF(ISNUMBER($GM33),0,1),""),"")</f>
    </nc>
  </rcc>
  <rcc rId="2441" sId="1">
    <oc r="CS24">
      <f>IF(ISNUMBER($CV24),IF(ISNUMBER($BE24),IF(ISNUMBER($GM24),0,1),""),"")</f>
    </oc>
    <nc r="CS24">
      <f>IF(ISNUMBER(PREOP_PENTACAM_RV),IF(ISNUMBER(SPH_12),IF(ISNUMBER($GM24),0,1),""),"")</f>
    </nc>
  </rcc>
  <rcc rId="2442" sId="1">
    <oc r="CS12">
      <f>IF(ISNUMBER($CV12),IF(ISNUMBER($BE12),IF(ISNUMBER($GM12),0,1),""),"")</f>
    </oc>
    <nc r="CS12">
      <f>IF(ISNUMBER(PREOP_PENTACAM_RV),IF(ISNUMBER(SPH_12),IF(ISNUMBER($GM12),0,1),""),"")</f>
    </nc>
  </rcc>
  <rcc rId="2443" sId="1">
    <oc r="CS18">
      <f>IF(ISNUMBER($CV18),IF(ISNUMBER($BE18),IF(ISNUMBER($GM18),0,1),""),"")</f>
    </oc>
    <nc r="CS18">
      <f>IF(ISNUMBER(PREOP_PENTACAM_RV),IF(ISNUMBER(SPH_12),IF(ISNUMBER($GM18),0,1),""),"")</f>
    </nc>
  </rcc>
  <rcc rId="2444" sId="1">
    <oc r="CS65">
      <f>IF(ISNUMBER($CV65),IF(ISNUMBER($BE65),IF(ISNUMBER($GM65),0,1),""),"")</f>
    </oc>
    <nc r="CS65">
      <f>IF(ISNUMBER(PREOP_PENTACAM_RV),IF(ISNUMBER(SPH_12),IF(ISNUMBER($GM65),0,1),""),"")</f>
    </nc>
  </rcc>
  <rcc rId="2445" sId="1">
    <oc r="CS39">
      <f>IF(ISNUMBER($CV39),IF(ISNUMBER($BE39),IF(ISNUMBER($GM39),0,1),""),"")</f>
    </oc>
    <nc r="CS39">
      <f>IF(ISNUMBER(PREOP_PENTACAM_RV),IF(ISNUMBER(SPH_12),IF(ISNUMBER($GM39),0,1),""),"")</f>
    </nc>
  </rcc>
  <rcc rId="2446" sId="1">
    <oc r="CS73">
      <f>IF(ISNUMBER($CV73),IF(ISNUMBER($BE73),IF(ISNUMBER($GM73),0,1),""),"")</f>
    </oc>
    <nc r="CS73">
      <f>IF(ISNUMBER(PREOP_PENTACAM_RV),IF(ISNUMBER(SPH_12),IF(ISNUMBER($GM73),0,1),""),"")</f>
    </nc>
  </rcc>
  <rcc rId="2447" sId="1">
    <oc r="CS36">
      <f>IF(ISNUMBER($CV36),IF(ISNUMBER($BE36),IF(ISNUMBER($GM36),0,1),""),"")</f>
    </oc>
    <nc r="CS36">
      <f>IF(ISNUMBER(PREOP_PENTACAM_RV),IF(ISNUMBER(SPH_12),IF(ISNUMBER($GM36),0,1),""),"")</f>
    </nc>
  </rcc>
  <rcc rId="2448" sId="1">
    <oc r="CS4">
      <f>IF(ISNUMBER($CV4),IF(ISNUMBER($BE4),IF(ISNUMBER($GM4),0,1),""),"")</f>
    </oc>
    <nc r="CS4">
      <f>IF(ISNUMBER(PREOP_PENTACAM_RV),IF(ISNUMBER(SPH_12),IF(ISNUMBER($GM4),0,1),""),"")</f>
    </nc>
  </rcc>
  <rcc rId="2449" sId="1">
    <oc r="CS71">
      <f>IF(ISNUMBER($CV71),IF(ISNUMBER($BE71),IF(ISNUMBER($GM71),0,1),""),"")</f>
    </oc>
    <nc r="CS71">
      <f>IF(ISNUMBER(PREOP_PENTACAM_RV),IF(ISNUMBER(SPH_12),IF(ISNUMBER($GM71),0,1),""),"")</f>
    </nc>
  </rcc>
  <rcc rId="2450" sId="1">
    <oc r="CS38">
      <f>IF(ISNUMBER($CV38),IF(ISNUMBER($BE38),IF(ISNUMBER($GM38),0,1),""),"")</f>
    </oc>
    <nc r="CS38">
      <f>IF(ISNUMBER(PREOP_PENTACAM_RV),IF(ISNUMBER(SPH_12),IF(ISNUMBER($GM38),0,1),""),"")</f>
    </nc>
  </rcc>
  <rcc rId="2451" sId="1">
    <oc r="CS72">
      <f>IF(ISNUMBER($CV72),IF(ISNUMBER($BE72),IF(ISNUMBER($GM72),0,1),""),"")</f>
    </oc>
    <nc r="CS72">
      <f>IF(ISNUMBER(PREOP_PENTACAM_RV),IF(ISNUMBER(SPH_12),IF(ISNUMBER($GM72),0,1),""),"")</f>
    </nc>
  </rcc>
  <rcc rId="2452" sId="1">
    <oc r="CS54">
      <f>IF(ISNUMBER($CV54),IF(ISNUMBER($BE54),IF(ISNUMBER($GM54),0,1),""),"")</f>
    </oc>
    <nc r="CS54">
      <f>IF(ISNUMBER(PREOP_PENTACAM_RV),IF(ISNUMBER(SPH_12),IF(ISNUMBER($GM54),0,1),""),"")</f>
    </nc>
  </rcc>
  <rcc rId="2453" sId="1">
    <oc r="CS69">
      <f>IF(ISNUMBER($CV69),IF(ISNUMBER($BE69),IF(ISNUMBER($GM69),0,1),""),"")</f>
    </oc>
    <nc r="CS69">
      <f>IF(ISNUMBER(PREOP_PENTACAM_RV),IF(ISNUMBER(SPH_12),IF(ISNUMBER($GM69),0,1),""),"")</f>
    </nc>
  </rcc>
  <rcc rId="2454" sId="1">
    <oc r="CS79">
      <f>IF(ISNUMBER($CV79),IF(ISNUMBER($BE79),IF(ISNUMBER($GM79),0,1),""),"")</f>
    </oc>
    <nc r="CS79">
      <f>IF(ISNUMBER(PREOP_PENTACAM_RV),IF(ISNUMBER(SPH_12),IF(ISNUMBER($GM79),0,1),""),"")</f>
    </nc>
  </rcc>
  <rcc rId="2455" sId="1">
    <oc r="CS23">
      <f>IF(ISNUMBER($CV23),IF(ISNUMBER($BE23),IF(ISNUMBER($GM23),0,1),""),"")</f>
    </oc>
    <nc r="CS23">
      <f>IF(ISNUMBER(PREOP_PENTACAM_RV),IF(ISNUMBER(SPH_12),IF(ISNUMBER($GM23),0,1),""),"")</f>
    </nc>
  </rcc>
  <rcc rId="2456" sId="1">
    <oc r="CS37">
      <f>IF(ISNUMBER($CV37),IF(ISNUMBER($BE37),IF(ISNUMBER($GM37),0,1),""),"")</f>
    </oc>
    <nc r="CS37">
      <f>IF(ISNUMBER(PREOP_PENTACAM_RV),IF(ISNUMBER(SPH_12),IF(ISNUMBER($GM37),0,1),""),"")</f>
    </nc>
  </rcc>
  <rcc rId="2457" sId="1">
    <oc r="CS27">
      <f>IF(ISNUMBER($CV27),IF(ISNUMBER($BE27),IF(ISNUMBER($GM27),0,1),""),"")</f>
    </oc>
    <nc r="CS27">
      <f>IF(ISNUMBER(PREOP_PENTACAM_RV),IF(ISNUMBER(SPH_12),IF(ISNUMBER($GM27),0,1),""),"")</f>
    </nc>
  </rcc>
  <rcc rId="2458" sId="1">
    <oc r="CS55">
      <f>IF(ISNUMBER($CV55),IF(ISNUMBER($BE55),IF(ISNUMBER($GM55),0,1),""),"")</f>
    </oc>
    <nc r="CS55">
      <f>IF(ISNUMBER(PREOP_PENTACAM_RV),IF(ISNUMBER(SPH_12),IF(ISNUMBER($GM55),0,1),""),"")</f>
    </nc>
  </rcc>
  <rcc rId="2459" sId="1">
    <oc r="CS66">
      <f>IF(ISNUMBER($CV66),IF(ISNUMBER($BE66),IF(ISNUMBER($GM66),0,1),""),"")</f>
    </oc>
    <nc r="CS66">
      <f>IF(ISNUMBER(PREOP_PENTACAM_RV),IF(ISNUMBER(SPH_12),IF(ISNUMBER($GM66),0,1),""),"")</f>
    </nc>
  </rcc>
  <rcc rId="2460" sId="1">
    <oc r="CS3">
      <f>IF(ISNUMBER($CV3),IF(ISNUMBER($BE3),IF(ISNUMBER($GM3),0,1),""),"")</f>
    </oc>
    <nc r="CS3">
      <f>IF(ISNUMBER(PREOP_PENTACAM_RV),IF(ISNUMBER(SPH_12),IF(ISNUMBER($GM3),0,1),""),"")</f>
    </nc>
  </rcc>
  <rcc rId="2461" sId="1">
    <oc r="CS21">
      <f>IF(ISNUMBER($CV21),IF(ISNUMBER($BE21),IF(ISNUMBER($GM21),0,1),""),"")</f>
    </oc>
    <nc r="CS21">
      <f>IF(ISNUMBER(PREOP_PENTACAM_RV),IF(ISNUMBER(SPH_12),IF(ISNUMBER($GM21),0,1),""),"")</f>
    </nc>
  </rcc>
  <rcc rId="2462" sId="1">
    <oc r="CS81">
      <f>IF(ISNUMBER($CV81),IF(ISNUMBER($BE81),IF(ISNUMBER($GM81),0,1),""),"")</f>
    </oc>
    <nc r="CS81">
      <f>IF(ISNUMBER(PREOP_PENTACAM_RV),IF(ISNUMBER(SPH_12),IF(ISNUMBER($GM81),0,1),""),"")</f>
    </nc>
  </rcc>
  <rcc rId="2463" sId="1">
    <oc r="CS31">
      <f>IF(ISNUMBER($CV31),IF(ISNUMBER($BE31),IF(ISNUMBER($GM31),0,1),""),"")</f>
    </oc>
    <nc r="CS31">
      <f>IF(ISNUMBER(PREOP_PENTACAM_RV),IF(ISNUMBER(SPH_12),IF(ISNUMBER($GM31),0,1),""),"")</f>
    </nc>
  </rcc>
  <rcc rId="2464" sId="1">
    <oc r="CS30">
      <f>IF(ISNUMBER($CV30),IF(ISNUMBER($BE30),IF(ISNUMBER($GM30),0,1),""),"")</f>
    </oc>
    <nc r="CS30">
      <f>IF(ISNUMBER(PREOP_PENTACAM_RV),IF(ISNUMBER(SPH_12),IF(ISNUMBER($GM30),0,1),""),"")</f>
    </nc>
  </rcc>
  <rcc rId="2465" sId="1">
    <oc r="CS19">
      <f>IF(ISNUMBER($CV19),IF(ISNUMBER($BE19),IF(ISNUMBER($GM19),0,1),""),"")</f>
    </oc>
    <nc r="CS19">
      <f>IF(ISNUMBER(PREOP_PENTACAM_RV),IF(ISNUMBER(SPH_12),IF(ISNUMBER($GM19),0,1),""),"")</f>
    </nc>
  </rcc>
  <rcc rId="2466" sId="1">
    <oc r="CS11">
      <f>IF(ISNUMBER($CV11),IF(ISNUMBER($BE11),IF(ISNUMBER($GM11),0,1),""),"")</f>
    </oc>
    <nc r="CS11">
      <f>IF(ISNUMBER(PREOP_PENTACAM_RV),IF(ISNUMBER(SPH_12),IF(ISNUMBER($GM11),0,1),""),"")</f>
    </nc>
  </rcc>
  <rcc rId="2467" sId="1">
    <oc r="CS64">
      <f>IF(ISNUMBER($CV64),IF(ISNUMBER($BE64),IF(ISNUMBER($GM64),0,1),""),"")</f>
    </oc>
    <nc r="CS64">
      <f>IF(ISNUMBER(PREOP_PENTACAM_RV),IF(ISNUMBER(SPH_12),IF(ISNUMBER($GM64),0,1),""),"")</f>
    </nc>
  </rcc>
  <rcc rId="2468" sId="1">
    <oc r="CS57">
      <f>IF(ISNUMBER($CV57),IF(ISNUMBER($BE57),IF(ISNUMBER($GM57),0,1),""),"")</f>
    </oc>
    <nc r="CS57">
      <f>IF(ISNUMBER(PREOP_PENTACAM_RV),IF(ISNUMBER(SPH_12),IF(ISNUMBER($GM57),0,1),""),"")</f>
    </nc>
  </rcc>
  <rcc rId="2469" sId="1">
    <oc r="CS114">
      <f>IF(ISNUMBER($CV114),IF(ISNUMBER($BE114),IF(ISNUMBER($GM114),0,1),""),"")</f>
    </oc>
    <nc r="CS114">
      <f>IF(ISNUMBER(PREOP_PENTACAM_RV),IF(ISNUMBER(SPH_12),IF(ISNUMBER($GM114),0,1),""),"")</f>
    </nc>
  </rcc>
  <rcc rId="2470" sId="1">
    <oc r="CS119">
      <f>IF(ISNUMBER($CV119),IF(ISNUMBER($BE119),IF(ISNUMBER($GM119),0,1),""),"")</f>
    </oc>
    <nc r="CS119">
      <f>IF(ISNUMBER(PREOP_PENTACAM_RV),IF(ISNUMBER(SPH_12),IF(ISNUMBER($GM119),0,1),""),"")</f>
    </nc>
  </rcc>
  <rcc rId="2471" sId="1">
    <oc r="CS62">
      <f>IF(ISNUMBER($CV62),IF(ISNUMBER($BE62),IF(ISNUMBER($GM62),0,1),""),"")</f>
    </oc>
    <nc r="CS62">
      <f>IF(ISNUMBER(PREOP_PENTACAM_RV),IF(ISNUMBER(SPH_12),IF(ISNUMBER($GM62),0,1),""),"")</f>
    </nc>
  </rcc>
  <rcc rId="2472" sId="1">
    <oc r="CS10">
      <f>IF(ISNUMBER($CV10),IF(ISNUMBER($BE10),IF(ISNUMBER($GM10),0,1),""),"")</f>
    </oc>
    <nc r="CS10">
      <f>IF(ISNUMBER(PREOP_PENTACAM_RV),IF(ISNUMBER(SPH_12),IF(ISNUMBER($GM10),0,1),""),"")</f>
    </nc>
  </rcc>
  <rcc rId="2473" sId="1">
    <oc r="CS17">
      <f>IF(ISNUMBER($CV17),IF(ISNUMBER($BE17),IF(ISNUMBER($GM17),0,1),""),"")</f>
    </oc>
    <nc r="CS17">
      <f>IF(ISNUMBER(PREOP_PENTACAM_RV),IF(ISNUMBER(SPH_12),IF(ISNUMBER($GM17),0,1),""),"")</f>
    </nc>
  </rcc>
  <rcc rId="2474" sId="1">
    <oc r="CS58">
      <f>IF(ISNUMBER($CV58),IF(ISNUMBER($BE58),IF(ISNUMBER($GM58),0,1),""),"")</f>
    </oc>
    <nc r="CS58">
      <f>IF(ISNUMBER(PREOP_PENTACAM_RV),IF(ISNUMBER(SPH_12),IF(ISNUMBER($GM58),0,1),""),"")</f>
    </nc>
  </rcc>
  <rcc rId="2475" sId="1">
    <oc r="CS6">
      <f>IF(ISNUMBER($CV6),IF(ISNUMBER($BE6),IF(ISNUMBER($GM6),0,1),""),"")</f>
    </oc>
    <nc r="CS6">
      <f>IF(ISNUMBER(PREOP_PENTACAM_RV),IF(ISNUMBER(SPH_12),IF(ISNUMBER($GM6),0,1),""),"")</f>
    </nc>
  </rcc>
  <rcc rId="2476" sId="1">
    <oc r="CS68">
      <f>IF(ISNUMBER($CV68),IF(ISNUMBER($BE68),IF(ISNUMBER($GM68),0,1),""),"")</f>
    </oc>
    <nc r="CS68">
      <f>IF(ISNUMBER(PREOP_PENTACAM_RV),IF(ISNUMBER(SPH_12),IF(ISNUMBER($GM68),0,1),""),"")</f>
    </nc>
  </rcc>
  <rcc rId="2477" sId="1">
    <oc r="CS20">
      <f>IF(ISNUMBER($CV20),IF(ISNUMBER($BE20),IF(ISNUMBER($GM20),0,1),""),"")</f>
    </oc>
    <nc r="CS20">
      <f>IF(ISNUMBER(PREOP_PENTACAM_RV),IF(ISNUMBER(SPH_12),IF(ISNUMBER($GM20),0,1),""),"")</f>
    </nc>
  </rcc>
  <rcc rId="2478" sId="1">
    <oc r="CS50">
      <f>IF(ISNUMBER($CV50),IF(ISNUMBER($BE50),IF(ISNUMBER($GM50),0,1),""),"")</f>
    </oc>
    <nc r="CS50">
      <f>IF(ISNUMBER(PREOP_PENTACAM_RV),IF(ISNUMBER(SPH_12),IF(ISNUMBER($GM50),0,1),""),"")</f>
    </nc>
  </rcc>
  <rcc rId="2479" sId="1">
    <oc r="CS56">
      <f>IF(ISNUMBER($CV56),IF(ISNUMBER($BE56),IF(ISNUMBER($GM56),0,1),""),"")</f>
    </oc>
    <nc r="CS56">
      <f>IF(ISNUMBER(PREOP_PENTACAM_RV),IF(ISNUMBER(SPH_12),IF(ISNUMBER($GM56),0,1),""),"")</f>
    </nc>
  </rcc>
  <rcc rId="2480" sId="1">
    <oc r="CS26">
      <f>IF(ISNUMBER($CV26),IF(ISNUMBER($BE26),IF(ISNUMBER($GM26),0,1),""),"")</f>
    </oc>
    <nc r="CS26">
      <f>IF(ISNUMBER(PREOP_PENTACAM_RV),IF(ISNUMBER(SPH_12),IF(ISNUMBER($GM26),0,1),""),"")</f>
    </nc>
  </rcc>
  <rcc rId="2481" sId="1">
    <oc r="CS25">
      <f>IF(ISNUMBER($CV25),IF(ISNUMBER($BE25),IF(ISNUMBER($GM25),0,1),""),"")</f>
    </oc>
    <nc r="CS25">
      <f>IF(ISNUMBER(PREOP_PENTACAM_RV),IF(ISNUMBER(SPH_12),IF(ISNUMBER($GM25),0,1),""),"")</f>
    </nc>
  </rcc>
  <rcc rId="2482" sId="1">
    <oc r="CS2">
      <f>IF(ISNUMBER($CV2),IF(ISNUMBER($BE2),IF(ISNUMBER($GM2),0,1),""),"")</f>
    </oc>
    <nc r="CS2">
      <f>IF(ISNUMBER(PREOP_PENTACAM_RV),IF(ISNUMBER(SPH_12),IF(ISNUMBER($GM2),0,1),""),"")</f>
    </nc>
  </rcc>
  <rcc rId="2483" sId="1">
    <oc r="CS52">
      <f>IF(ISNUMBER($CV52),IF(ISNUMBER($BE52),IF(ISNUMBER($GM52),0,1),""),"")</f>
    </oc>
    <nc r="CS52">
      <f>IF(ISNUMBER(PREOP_PENTACAM_RV),IF(ISNUMBER(SPH_12),IF(ISNUMBER($GM52),0,1),""),"")</f>
    </nc>
  </rcc>
  <rcc rId="2484" sId="1">
    <oc r="CS67">
      <f>IF(ISNUMBER($CV67),IF(ISNUMBER($BE67),IF(ISNUMBER($GM67),0,1),""),"")</f>
    </oc>
    <nc r="CS67">
      <f>IF(ISNUMBER(PREOP_PENTACAM_RV),IF(ISNUMBER(SPH_12),IF(ISNUMBER($GM67),0,1),""),"")</f>
    </nc>
  </rcc>
  <rcc rId="2485" sId="1">
    <oc r="CS74">
      <f>IF(ISNUMBER($CV74),IF(ISNUMBER($BE74),IF(ISNUMBER($GM74),0,1),""),"")</f>
    </oc>
    <nc r="CS74">
      <f>IF(ISNUMBER(PREOP_PENTACAM_RV),IF(ISNUMBER(SPH_12),IF(ISNUMBER($GM74),0,1),""),"")</f>
    </nc>
  </rcc>
  <rcc rId="2486" sId="1">
    <oc r="CS51">
      <f>IF(ISNUMBER($CV51),IF(ISNUMBER($BE51),IF(ISNUMBER($GM51),0,1),""),"")</f>
    </oc>
    <nc r="CS51">
      <f>IF(ISNUMBER(PREOP_PENTACAM_RV),IF(ISNUMBER(SPH_12),IF(ISNUMBER($GM51),0,1),""),"")</f>
    </nc>
  </rcc>
  <rcc rId="2487" sId="1">
    <oc r="CS43">
      <f>IF(ISNUMBER($CV43),IF(ISNUMBER($BE43),IF(ISNUMBER($GM43),0,1),""),"")</f>
    </oc>
    <nc r="CS43">
      <f>IF(ISNUMBER(PREOP_PENTACAM_RV),IF(ISNUMBER(SPH_12),IF(ISNUMBER($GM43),0,1),""),"")</f>
    </nc>
  </rcc>
  <rcc rId="2488" sId="1">
    <oc r="CS83">
      <f>IF(ISNUMBER($CV83),IF(ISNUMBER($BE83),IF(ISNUMBER($GM83),0,1),""),"")</f>
    </oc>
    <nc r="CS83">
      <f>IF(ISNUMBER(PREOP_PENTACAM_RV),IF(ISNUMBER(SPH_12),IF(ISNUMBER($GM83),0,1),""),"")</f>
    </nc>
  </rcc>
  <rcc rId="2489" sId="1">
    <oc r="CS84">
      <f>IF(ISNUMBER($CV84),IF(ISNUMBER($BE84),IF(ISNUMBER($GM84),0,1),""),"")</f>
    </oc>
    <nc r="CS84">
      <f>IF(ISNUMBER(PREOP_PENTACAM_RV),IF(ISNUMBER(SPH_12),IF(ISNUMBER($GM84),0,1),""),"")</f>
    </nc>
  </rcc>
  <rcc rId="2490" sId="1">
    <oc r="CS85">
      <f>IF(ISNUMBER($CV85),IF(ISNUMBER($BE85),IF(ISNUMBER($GM85),0,1),""),"")</f>
    </oc>
    <nc r="CS85">
      <f>IF(ISNUMBER(PREOP_PENTACAM_RV),IF(ISNUMBER(SPH_12),IF(ISNUMBER($GM85),0,1),""),"")</f>
    </nc>
  </rcc>
  <rcc rId="2491" sId="1">
    <oc r="CS86">
      <f>IF(ISNUMBER($CV86),IF(ISNUMBER($BE86),IF(ISNUMBER($GM86),0,1),""),"")</f>
    </oc>
    <nc r="CS86">
      <f>IF(ISNUMBER(PREOP_PENTACAM_RV),IF(ISNUMBER(SPH_12),IF(ISNUMBER($GM86),0,1),""),"")</f>
    </nc>
  </rcc>
  <rcc rId="2492" sId="1">
    <oc r="CS87">
      <f>IF(ISNUMBER($CV87),IF(ISNUMBER($BE87),IF(ISNUMBER($GM87),0,1),""),"")</f>
    </oc>
    <nc r="CS87">
      <f>IF(ISNUMBER(PREOP_PENTACAM_RV),IF(ISNUMBER(SPH_12),IF(ISNUMBER($GM87),0,1),""),"")</f>
    </nc>
  </rcc>
  <rcc rId="2493" sId="1">
    <oc r="CS88">
      <f>IF(ISNUMBER($CV88),IF(ISNUMBER($BE88),IF(ISNUMBER($GM88),0,1),""),"")</f>
    </oc>
    <nc r="CS88">
      <f>IF(ISNUMBER(PREOP_PENTACAM_RV),IF(ISNUMBER(SPH_12),IF(ISNUMBER($GM88),0,1),""),"")</f>
    </nc>
  </rcc>
  <rcc rId="2494" sId="1">
    <oc r="CS89">
      <f>IF(ISNUMBER($CV89),IF(ISNUMBER($BE89),IF(ISNUMBER($GM89),0,1),""),"")</f>
    </oc>
    <nc r="CS89">
      <f>IF(ISNUMBER(PREOP_PENTACAM_RV),IF(ISNUMBER(SPH_12),IF(ISNUMBER($GM89),0,1),""),"")</f>
    </nc>
  </rcc>
  <rcc rId="2495" sId="1">
    <oc r="CS90">
      <f>IF(ISNUMBER($CV90),IF(ISNUMBER($BE90),IF(ISNUMBER($GM90),0,1),""),"")</f>
    </oc>
    <nc r="CS90">
      <f>IF(ISNUMBER(PREOP_PENTACAM_RV),IF(ISNUMBER(SPH_12),IF(ISNUMBER($GM90),0,1),""),"")</f>
    </nc>
  </rcc>
  <rcc rId="2496" sId="1">
    <oc r="CS91">
      <f>IF(ISNUMBER($CV91),IF(ISNUMBER($BE91),IF(ISNUMBER($GM91),0,1),""),"")</f>
    </oc>
    <nc r="CS91">
      <f>IF(ISNUMBER(PREOP_PENTACAM_RV),IF(ISNUMBER(SPH_12),IF(ISNUMBER($GM91),0,1),""),"")</f>
    </nc>
  </rcc>
  <rcc rId="2497" sId="1">
    <oc r="CS92">
      <f>IF(ISNUMBER($CV92),IF(ISNUMBER($BE92),IF(ISNUMBER($GM92),0,1),""),"")</f>
    </oc>
    <nc r="CS92">
      <f>IF(ISNUMBER(PREOP_PENTACAM_RV),IF(ISNUMBER(SPH_12),IF(ISNUMBER($GM92),0,1),""),"")</f>
    </nc>
  </rcc>
  <rcc rId="2498" sId="1">
    <oc r="CS93">
      <f>IF(ISNUMBER($CV93),IF(ISNUMBER($BE93),IF(ISNUMBER($GM93),0,1),""),"")</f>
    </oc>
    <nc r="CS93">
      <f>IF(ISNUMBER(PREOP_PENTACAM_RV),IF(ISNUMBER(SPH_12),IF(ISNUMBER($GM93),0,1),""),"")</f>
    </nc>
  </rcc>
  <rcc rId="2499" sId="1">
    <oc r="CS94">
      <f>IF(ISNUMBER($CV94),IF(ISNUMBER($BE94),IF(ISNUMBER($GM94),0,1),""),"")</f>
    </oc>
    <nc r="CS94">
      <f>IF(ISNUMBER(PREOP_PENTACAM_RV),IF(ISNUMBER(SPH_12),IF(ISNUMBER($GM94),0,1),""),"")</f>
    </nc>
  </rcc>
  <rcc rId="2500" sId="1">
    <oc r="CS95">
      <f>IF(ISNUMBER($CV95),IF(ISNUMBER($BE95),IF(ISNUMBER($GM95),0,1),""),"")</f>
    </oc>
    <nc r="CS95">
      <f>IF(ISNUMBER(PREOP_PENTACAM_RV),IF(ISNUMBER(SPH_12),IF(ISNUMBER($GM95),0,1),""),"")</f>
    </nc>
  </rcc>
  <rcc rId="2501" sId="1">
    <oc r="CS96">
      <f>IF(ISNUMBER($CV96),IF(ISNUMBER($BE96),IF(ISNUMBER($GM96),0,1),""),"")</f>
    </oc>
    <nc r="CS96">
      <f>IF(ISNUMBER(PREOP_PENTACAM_RV),IF(ISNUMBER(SPH_12),IF(ISNUMBER($GM96),0,1),""),"")</f>
    </nc>
  </rcc>
  <rcc rId="2502" sId="1">
    <oc r="CS97">
      <f>IF(ISNUMBER($CV97),IF(ISNUMBER($BE97),IF(ISNUMBER($GM97),0,1),""),"")</f>
    </oc>
    <nc r="CS97">
      <f>IF(ISNUMBER(PREOP_PENTACAM_RV),IF(ISNUMBER(SPH_12),IF(ISNUMBER($GM97),0,1),""),"")</f>
    </nc>
  </rcc>
  <rcc rId="2503" sId="1">
    <oc r="CS98">
      <f>IF(ISNUMBER($CV98),IF(ISNUMBER($BE98),IF(ISNUMBER($GM98),0,1),""),"")</f>
    </oc>
    <nc r="CS98">
      <f>IF(ISNUMBER(PREOP_PENTACAM_RV),IF(ISNUMBER(SPH_12),IF(ISNUMBER($GM98),0,1),""),"")</f>
    </nc>
  </rcc>
  <rcc rId="2504" sId="1">
    <oc r="CS99">
      <f>IF(ISNUMBER($CV99),IF(ISNUMBER($BE99),IF(ISNUMBER($GM99),0,1),""),"")</f>
    </oc>
    <nc r="CS99">
      <f>IF(ISNUMBER(PREOP_PENTACAM_RV),IF(ISNUMBER(SPH_12),IF(ISNUMBER($GM99),0,1),""),"")</f>
    </nc>
  </rcc>
  <rcc rId="2505" sId="1">
    <oc r="CS100">
      <f>IF(ISNUMBER($CV100),IF(ISNUMBER($BE100),IF(ISNUMBER($GM100),0,1),""),"")</f>
    </oc>
    <nc r="CS100">
      <f>IF(ISNUMBER(PREOP_PENTACAM_RV),IF(ISNUMBER(SPH_12),IF(ISNUMBER($GM100),0,1),""),"")</f>
    </nc>
  </rcc>
  <rcc rId="2506" sId="1">
    <oc r="CS101">
      <f>IF(ISNUMBER($CV101),IF(ISNUMBER($BE101),IF(ISNUMBER($GM101),0,1),""),"")</f>
    </oc>
    <nc r="CS101">
      <f>IF(ISNUMBER(PREOP_PENTACAM_RV),IF(ISNUMBER(SPH_12),IF(ISNUMBER($GM101),0,1),""),"")</f>
    </nc>
  </rcc>
  <rcc rId="2507" sId="1">
    <oc r="CS102">
      <f>IF(ISNUMBER($CV102),IF(ISNUMBER($BE102),IF(ISNUMBER($GM102),0,1),""),"")</f>
    </oc>
    <nc r="CS102">
      <f>IF(ISNUMBER(PREOP_PENTACAM_RV),IF(ISNUMBER(SPH_12),IF(ISNUMBER($GM102),0,1),""),"")</f>
    </nc>
  </rcc>
  <rcc rId="2508" sId="1">
    <oc r="CS103">
      <f>IF(ISNUMBER($CV103),IF(ISNUMBER($BE103),IF(ISNUMBER($GM103),0,1),""),"")</f>
    </oc>
    <nc r="CS103">
      <f>IF(ISNUMBER(PREOP_PENTACAM_RV),IF(ISNUMBER(SPH_12),IF(ISNUMBER($GM103),0,1),""),"")</f>
    </nc>
  </rcc>
  <rcc rId="2509" sId="1">
    <oc r="CS104">
      <f>IF(ISNUMBER($CV104),IF(ISNUMBER($BE104),IF(ISNUMBER($GM104),0,1),""),"")</f>
    </oc>
    <nc r="CS104">
      <f>IF(ISNUMBER(PREOP_PENTACAM_RV),IF(ISNUMBER(SPH_12),IF(ISNUMBER($GM104),0,1),""),"")</f>
    </nc>
  </rcc>
  <rcc rId="2510" sId="1">
    <oc r="CS105">
      <f>IF(ISNUMBER($CV105),IF(ISNUMBER($BE105),IF(ISNUMBER($GM105),0,1),""),"")</f>
    </oc>
    <nc r="CS105">
      <f>IF(ISNUMBER(PREOP_PENTACAM_RV),IF(ISNUMBER(SPH_12),IF(ISNUMBER($GM105),0,1),""),"")</f>
    </nc>
  </rcc>
  <rcc rId="2511" sId="1">
    <oc r="CS106">
      <f>IF(ISNUMBER($CV106),IF(ISNUMBER($BE106),IF(ISNUMBER($GM106),0,1),""),"")</f>
    </oc>
    <nc r="CS106">
      <f>IF(ISNUMBER(PREOP_PENTACAM_RV),IF(ISNUMBER(SPH_12),IF(ISNUMBER($GM106),0,1),""),"")</f>
    </nc>
  </rcc>
  <rcc rId="2512" sId="1">
    <oc r="CS108">
      <f>IF(ISNUMBER($CV108),IF(ISNUMBER($BE108),IF(ISNUMBER($GM108),0,1),""),"")</f>
    </oc>
    <nc r="CS108">
      <f>IF(ISNUMBER(PREOP_PENTACAM_RV),IF(ISNUMBER(SPH_12),IF(ISNUMBER($GM108),0,1),""),"")</f>
    </nc>
  </rcc>
  <rcc rId="2513" sId="1">
    <oc r="CS109">
      <f>IF(ISNUMBER($CV109),IF(ISNUMBER($BE109),IF(ISNUMBER($GM109),0,1),""),"")</f>
    </oc>
    <nc r="CS109">
      <f>IF(ISNUMBER(PREOP_PENTACAM_RV),IF(ISNUMBER(SPH_12),IF(ISNUMBER($GM109),0,1),""),"")</f>
    </nc>
  </rcc>
  <rcc rId="2514" sId="1">
    <oc r="CS110">
      <f>IF(ISNUMBER($CV110),IF(ISNUMBER($BE110),IF(ISNUMBER($GM110),0,1),""),"")</f>
    </oc>
    <nc r="CS110">
      <f>IF(ISNUMBER(PREOP_PENTACAM_RV),IF(ISNUMBER(SPH_12),IF(ISNUMBER($GM110),0,1),""),"")</f>
    </nc>
  </rcc>
  <rcc rId="2515" sId="1">
    <oc r="CS111">
      <f>IF(ISNUMBER($CV111),IF(ISNUMBER($BE111),IF(ISNUMBER($GM111),0,1),""),"")</f>
    </oc>
    <nc r="CS111">
      <f>IF(ISNUMBER(PREOP_PENTACAM_RV),IF(ISNUMBER(SPH_12),IF(ISNUMBER($GM111),0,1),""),"")</f>
    </nc>
  </rcc>
  <rcc rId="2516" sId="1">
    <oc r="CS112">
      <f>IF(ISNUMBER($CV112),IF(ISNUMBER($BE112),IF(ISNUMBER($GM112),0,1),""),"")</f>
    </oc>
    <nc r="CS112">
      <f>IF(ISNUMBER(PREOP_PENTACAM_RV),IF(ISNUMBER(SPH_12),IF(ISNUMBER($GM112),0,1),""),"")</f>
    </nc>
  </rcc>
  <rcc rId="2517" sId="1">
    <oc r="CS113">
      <f>IF(ISNUMBER($CV113),IF(ISNUMBER($BE113),IF(ISNUMBER($GM113),0,1),""),"")</f>
    </oc>
    <nc r="CS113">
      <f>IF(ISNUMBER(PREOP_PENTACAM_RV),IF(ISNUMBER(SPH_12),IF(ISNUMBER($GM113),0,1),""),"")</f>
    </nc>
  </rcc>
  <rcc rId="2518" sId="1">
    <oc r="CS115">
      <f>IF(ISNUMBER($CV115),IF(ISNUMBER($BE115),IF(ISNUMBER($GM115),0,1),""),"")</f>
    </oc>
    <nc r="CS115">
      <f>IF(ISNUMBER(PREOP_PENTACAM_RV),IF(ISNUMBER(SPH_12),IF(ISNUMBER($GM115),0,1),""),"")</f>
    </nc>
  </rcc>
  <rcc rId="2519" sId="1">
    <oc r="CS116">
      <f>IF(ISNUMBER($CV116),IF(ISNUMBER($BE116),IF(ISNUMBER($GM116),0,1),""),"")</f>
    </oc>
    <nc r="CS116">
      <f>IF(ISNUMBER(PREOP_PENTACAM_RV),IF(ISNUMBER(SPH_12),IF(ISNUMBER($GM116),0,1),""),"")</f>
    </nc>
  </rcc>
  <rcc rId="2520" sId="1">
    <oc r="CS118">
      <f>IF(ISNUMBER($CV118),IF(ISNUMBER($BE118),IF(ISNUMBER($GM118),0,1),""),"")</f>
    </oc>
    <nc r="CS118">
      <f>IF(ISNUMBER(PREOP_PENTACAM_RV),IF(ISNUMBER(SPH_12),IF(ISNUMBER($GM118),0,1),""),"")</f>
    </nc>
  </rcc>
  <rcc rId="2521" sId="1">
    <oc r="CS120">
      <f>IF(ISNUMBER($CV120),IF(ISNUMBER($BE120),IF(ISNUMBER($GM120),0,1),""),"")</f>
    </oc>
    <nc r="CS120">
      <f>IF(ISNUMBER(PREOP_PENTACAM_RV),IF(ISNUMBER(SPH_12),IF(ISNUMBER($GM120),0,1),""),"")</f>
    </nc>
  </rcc>
  <rcc rId="2522" sId="1">
    <oc r="CS121">
      <f>IF(ISNUMBER($CV121),IF(ISNUMBER($BE121),IF(ISNUMBER($GM121),0,1),""),"")</f>
    </oc>
    <nc r="CS121">
      <f>IF(ISNUMBER(PREOP_PENTACAM_RV),IF(ISNUMBER(SPH_12),IF(ISNUMBER($GM121),0,1),""),"")</f>
    </nc>
  </rcc>
  <rcc rId="2523" sId="1">
    <oc r="CS122">
      <f>IF(ISNUMBER($CV122),IF(ISNUMBER($BE122),IF(ISNUMBER($GM122),0,1),""),"")</f>
    </oc>
    <nc r="CS122">
      <f>IF(ISNUMBER(PREOP_PENTACAM_RV),IF(ISNUMBER(SPH_12),IF(ISNUMBER($GM122),0,1),""),"")</f>
    </nc>
  </rcc>
  <rcc rId="2524" sId="1">
    <oc r="CS123">
      <f>IF(ISNUMBER($CV123),IF(ISNUMBER($BE123),IF(ISNUMBER($GM123),0,1),""),"")</f>
    </oc>
    <nc r="CS123">
      <f>IF(ISNUMBER(PREOP_PENTACAM_RV),IF(ISNUMBER(SPH_12),IF(ISNUMBER($GM123),0,1),""),"")</f>
    </nc>
  </rcc>
  <rcc rId="2525" sId="1">
    <oc r="CS124">
      <f>IF(ISNUMBER($CV124),IF(ISNUMBER($BE124),IF(ISNUMBER($GM124),0,1),""),"")</f>
    </oc>
    <nc r="CS124">
      <f>IF(ISNUMBER(PREOP_PENTACAM_RV),IF(ISNUMBER(SPH_12),IF(ISNUMBER($GM124),0,1),""),"")</f>
    </nc>
  </rcc>
  <rcc rId="2526" sId="1">
    <oc r="CS125">
      <f>IF(ISNUMBER($CV125),IF(ISNUMBER($BE125),IF(ISNUMBER($GM125),0,1),""),"")</f>
    </oc>
    <nc r="CS125">
      <f>IF(ISNUMBER(PREOP_PENTACAM_RV),IF(ISNUMBER(SPH_12),IF(ISNUMBER($GM125),0,1),""),"")</f>
    </nc>
  </rcc>
  <rcc rId="2527" sId="1">
    <nc r="CS127">
      <f>IF(ISNUMBER(PREOP_PENTACAM_RV),IF(ISNUMBER(SPH_12),IF(ISNUMBER($GM127),0,1),""),"")</f>
    </nc>
  </rcc>
  <rcc rId="2528" sId="1">
    <nc r="CS107">
      <f>IF(ISNUMBER(PREOP_PENTACAM_RV),IF(ISNUMBER(SPH_12),IF(ISNUMBER($GM107),0,1),""),"")</f>
    </nc>
  </rcc>
  <rcc rId="2529" sId="1">
    <nc r="CS128">
      <f>IF(ISNUMBER(PREOP_PENTACAM_RV),IF(ISNUMBER(SPH_12),IF(ISNUMBER($GM128),0,1),""),"")</f>
    </nc>
  </rcc>
  <rcc rId="2530" sId="1">
    <nc r="CS129">
      <f>IF(ISNUMBER(PREOP_PENTACAM_RV),IF(ISNUMBER(SPH_12),IF(ISNUMBER($GM129),0,1),""),"")</f>
    </nc>
  </rcc>
  <rcc rId="2531" sId="1">
    <nc r="CS130">
      <f>IF(ISNUMBER(PREOP_PENTACAM_RV),IF(ISNUMBER(SPH_12),IF(ISNUMBER($GM130),0,1),""),"")</f>
    </nc>
  </rcc>
  <rcc rId="2532" sId="1">
    <nc r="CS131">
      <f>IF(ISNUMBER(PREOP_PENTACAM_RV),IF(ISNUMBER(SPH_12),IF(ISNUMBER($GM131),0,1),""),"")</f>
    </nc>
  </rcc>
  <rcc rId="2533" sId="1">
    <nc r="CS132">
      <f>IF(ISNUMBER(PREOP_PENTACAM_RV),IF(ISNUMBER(SPH_12),IF(ISNUMBER($GM132),0,1),""),"")</f>
    </nc>
  </rcc>
  <rcc rId="2534" sId="1">
    <nc r="CS133">
      <f>IF(ISNUMBER(PREOP_PENTACAM_RV),IF(ISNUMBER(SPH_12),IF(ISNUMBER($GM133),0,1),""),"")</f>
    </nc>
  </rcc>
  <rcc rId="2535" sId="1">
    <oc r="CR1" t="inlineStr">
      <is>
        <t>MISSING PENTACAM 6 mo DATA?</t>
      </is>
    </oc>
    <nc r="CR1" t="inlineStr">
      <is>
        <t>[Calc] MISSING PENTACAM 6 mo DATA?</t>
      </is>
    </nc>
  </rcc>
  <rcc rId="2536" sId="1">
    <oc r="CS1" t="inlineStr">
      <is>
        <t>MISSING PENTACAM 12 mo DATA?</t>
      </is>
    </oc>
    <nc r="CS1" t="inlineStr">
      <is>
        <t>[Calc] MISSING PENTACAM 12 mo DATA?</t>
      </is>
    </nc>
  </rcc>
  <rcc rId="2537" sId="1">
    <oc r="CT1" t="inlineStr">
      <is>
        <t>Missing all pentacam</t>
      </is>
    </oc>
    <nc r="CT1" t="inlineStr">
      <is>
        <t>[Calc] Missing all followup pentacam</t>
      </is>
    </nc>
  </rcc>
  <rcc rId="2538" sId="1">
    <oc r="CT41">
      <f>IF(OR(ISNUMBER(MISSING_PENT_6),ISNUMBER(MISSING_PENT_12)),AND(MISSING_PENT_6,MISSING_PENT_12),"")</f>
    </oc>
    <nc r="CT41">
      <f>IF(OR(ISNUMBER(MISSING_PENT_6),ISNUMBER(MISSING_PENT_12)),IF(AND(ISNUMBER(MISSING_PENT_6),ISNUMBER(MISSING_PENT_12)),AND(MISSING_PENT_6,MISSING_PENT_12),IF(ISNUMBER(MISSING_PENT_6),MISSING_PENT_6,MISSING_PENT_12)),"")</f>
    </nc>
  </rcc>
  <rcc rId="2539" sId="1">
    <oc r="CT34">
      <f>IF(OR(ISNUMBER(MISSING_PENT_6),ISNUMBER(MISSING_PENT_12)),AND(MISSING_PENT_6,MISSING_PENT_12),"")</f>
    </oc>
    <nc r="CT34">
      <f>IF(OR(ISNUMBER(MISSING_PENT_6),ISNUMBER(MISSING_PENT_12)),IF(AND(ISNUMBER(MISSING_PENT_6),ISNUMBER(MISSING_PENT_12)),AND(MISSING_PENT_6,MISSING_PENT_12),IF(ISNUMBER(MISSING_PENT_6),MISSING_PENT_6,MISSING_PENT_12)),"")</f>
    </nc>
  </rcc>
  <rcc rId="2540" sId="1">
    <oc r="CT80">
      <f>IF(OR(ISNUMBER(MISSING_PENT_6),ISNUMBER(MISSING_PENT_12)),AND(MISSING_PENT_6,MISSING_PENT_12),"")</f>
    </oc>
    <nc r="CT80">
      <f>IF(OR(ISNUMBER(MISSING_PENT_6),ISNUMBER(MISSING_PENT_12)),IF(AND(ISNUMBER(MISSING_PENT_6),ISNUMBER(MISSING_PENT_12)),AND(MISSING_PENT_6,MISSING_PENT_12),IF(ISNUMBER(MISSING_PENT_6),MISSING_PENT_6,MISSING_PENT_12)),"")</f>
    </nc>
  </rcc>
  <rcc rId="2541" sId="1">
    <oc r="CT22">
      <f>IF(OR(ISNUMBER(MISSING_PENT_6),ISNUMBER(MISSING_PENT_12)),AND(MISSING_PENT_6,MISSING_PENT_12),"")</f>
    </oc>
    <nc r="CT22">
      <f>IF(OR(ISNUMBER(MISSING_PENT_6),ISNUMBER(MISSING_PENT_12)),IF(AND(ISNUMBER(MISSING_PENT_6),ISNUMBER(MISSING_PENT_12)),AND(MISSING_PENT_6,MISSING_PENT_12),IF(ISNUMBER(MISSING_PENT_6),MISSING_PENT_6,MISSING_PENT_12)),"")</f>
    </nc>
  </rcc>
  <rcc rId="2542" sId="1">
    <oc r="CT47">
      <f>IF(OR(ISNUMBER(MISSING_PENT_6),ISNUMBER(MISSING_PENT_12)),AND(MISSING_PENT_6,MISSING_PENT_12),"")</f>
    </oc>
    <nc r="CT47">
      <f>IF(OR(ISNUMBER(MISSING_PENT_6),ISNUMBER(MISSING_PENT_12)),IF(AND(ISNUMBER(MISSING_PENT_6),ISNUMBER(MISSING_PENT_12)),AND(MISSING_PENT_6,MISSING_PENT_12),IF(ISNUMBER(MISSING_PENT_6),MISSING_PENT_6,MISSING_PENT_12)),"")</f>
    </nc>
  </rcc>
  <rcc rId="2543" sId="1">
    <oc r="CT44">
      <f>IF(OR(ISNUMBER(MISSING_PENT_6),ISNUMBER(MISSING_PENT_12)),AND(MISSING_PENT_6,MISSING_PENT_12),"")</f>
    </oc>
    <nc r="CT44">
      <f>IF(OR(ISNUMBER(MISSING_PENT_6),ISNUMBER(MISSING_PENT_12)),IF(AND(ISNUMBER(MISSING_PENT_6),ISNUMBER(MISSING_PENT_12)),AND(MISSING_PENT_6,MISSING_PENT_12),IF(ISNUMBER(MISSING_PENT_6),MISSING_PENT_6,MISSING_PENT_12)),"")</f>
    </nc>
  </rcc>
  <rcc rId="2544" sId="1">
    <oc r="CT46">
      <f>IF(OR(ISNUMBER(MISSING_PENT_6),ISNUMBER(MISSING_PENT_12)),AND(MISSING_PENT_6,MISSING_PENT_12),"")</f>
    </oc>
    <nc r="CT46">
      <f>IF(OR(ISNUMBER(MISSING_PENT_6),ISNUMBER(MISSING_PENT_12)),IF(AND(ISNUMBER(MISSING_PENT_6),ISNUMBER(MISSING_PENT_12)),AND(MISSING_PENT_6,MISSING_PENT_12),IF(ISNUMBER(MISSING_PENT_6),MISSING_PENT_6,MISSING_PENT_12)),"")</f>
    </nc>
  </rcc>
  <rcc rId="2545" sId="1">
    <oc r="CT32">
      <f>IF(OR(ISNUMBER(MISSING_PENT_6),ISNUMBER(MISSING_PENT_12)),AND(MISSING_PENT_6,MISSING_PENT_12),"")</f>
    </oc>
    <nc r="CT32">
      <f>IF(OR(ISNUMBER(MISSING_PENT_6),ISNUMBER(MISSING_PENT_12)),IF(AND(ISNUMBER(MISSING_PENT_6),ISNUMBER(MISSING_PENT_12)),AND(MISSING_PENT_6,MISSING_PENT_12),IF(ISNUMBER(MISSING_PENT_6),MISSING_PENT_6,MISSING_PENT_12)),"")</f>
    </nc>
  </rcc>
  <rcc rId="2546" sId="1">
    <oc r="CT15">
      <f>IF(OR(ISNUMBER(MISSING_PENT_6),ISNUMBER(MISSING_PENT_12)),AND(MISSING_PENT_6,MISSING_PENT_12),"")</f>
    </oc>
    <nc r="CT15">
      <f>IF(OR(ISNUMBER(MISSING_PENT_6),ISNUMBER(MISSING_PENT_12)),IF(AND(ISNUMBER(MISSING_PENT_6),ISNUMBER(MISSING_PENT_12)),AND(MISSING_PENT_6,MISSING_PENT_12),IF(ISNUMBER(MISSING_PENT_6),MISSING_PENT_6,MISSING_PENT_12)),"")</f>
    </nc>
  </rcc>
  <rcc rId="2547" sId="1">
    <oc r="CT60">
      <f>IF(OR(ISNUMBER(MISSING_PENT_6),ISNUMBER(MISSING_PENT_12)),AND(MISSING_PENT_6,MISSING_PENT_12),"")</f>
    </oc>
    <nc r="CT60">
      <f>IF(OR(ISNUMBER(MISSING_PENT_6),ISNUMBER(MISSING_PENT_12)),IF(AND(ISNUMBER(MISSING_PENT_6),ISNUMBER(MISSING_PENT_12)),AND(MISSING_PENT_6,MISSING_PENT_12),IF(ISNUMBER(MISSING_PENT_6),MISSING_PENT_6,MISSING_PENT_12)),"")</f>
    </nc>
  </rcc>
  <rcc rId="2548" sId="1">
    <oc r="CT35">
      <f>IF(OR(ISNUMBER(MISSING_PENT_6),ISNUMBER(MISSING_PENT_12)),AND(MISSING_PENT_6,MISSING_PENT_12),"")</f>
    </oc>
    <nc r="CT35">
      <f>IF(OR(ISNUMBER(MISSING_PENT_6),ISNUMBER(MISSING_PENT_12)),IF(AND(ISNUMBER(MISSING_PENT_6),ISNUMBER(MISSING_PENT_12)),AND(MISSING_PENT_6,MISSING_PENT_12),IF(ISNUMBER(MISSING_PENT_6),MISSING_PENT_6,MISSING_PENT_12)),"")</f>
    </nc>
  </rcc>
  <rcc rId="2549" sId="1">
    <oc r="CT82">
      <f>IF(OR(ISNUMBER(MISSING_PENT_6),ISNUMBER(MISSING_PENT_12)),AND(MISSING_PENT_6,MISSING_PENT_12),"")</f>
    </oc>
    <nc r="CT82">
      <f>IF(OR(ISNUMBER(MISSING_PENT_6),ISNUMBER(MISSING_PENT_12)),IF(AND(ISNUMBER(MISSING_PENT_6),ISNUMBER(MISSING_PENT_12)),AND(MISSING_PENT_6,MISSING_PENT_12),IF(ISNUMBER(MISSING_PENT_6),MISSING_PENT_6,MISSING_PENT_12)),"")</f>
    </nc>
  </rcc>
  <rcc rId="2550" sId="1">
    <oc r="CT45">
      <f>IF(OR(ISNUMBER(MISSING_PENT_6),ISNUMBER(MISSING_PENT_12)),AND(MISSING_PENT_6,MISSING_PENT_12),"")</f>
    </oc>
    <nc r="CT45">
      <f>IF(OR(ISNUMBER(MISSING_PENT_6),ISNUMBER(MISSING_PENT_12)),IF(AND(ISNUMBER(MISSING_PENT_6),ISNUMBER(MISSING_PENT_12)),AND(MISSING_PENT_6,MISSING_PENT_12),IF(ISNUMBER(MISSING_PENT_6),MISSING_PENT_6,MISSING_PENT_12)),"")</f>
    </nc>
  </rcc>
  <rcc rId="2551" sId="1">
    <oc r="CT8">
      <f>IF(OR(ISNUMBER(MISSING_PENT_6),ISNUMBER(MISSING_PENT_12)),AND(MISSING_PENT_6,MISSING_PENT_12),"")</f>
    </oc>
    <nc r="CT8">
      <f>IF(OR(ISNUMBER(MISSING_PENT_6),ISNUMBER(MISSING_PENT_12)),IF(AND(ISNUMBER(MISSING_PENT_6),ISNUMBER(MISSING_PENT_12)),AND(MISSING_PENT_6,MISSING_PENT_12),IF(ISNUMBER(MISSING_PENT_6),MISSING_PENT_6,MISSING_PENT_12)),"")</f>
    </nc>
  </rcc>
  <rcc rId="2552" sId="1">
    <oc r="CT75">
      <f>IF(OR(ISNUMBER(MISSING_PENT_6),ISNUMBER(MISSING_PENT_12)),AND(MISSING_PENT_6,MISSING_PENT_12),"")</f>
    </oc>
    <nc r="CT75">
      <f>IF(OR(ISNUMBER(MISSING_PENT_6),ISNUMBER(MISSING_PENT_12)),IF(AND(ISNUMBER(MISSING_PENT_6),ISNUMBER(MISSING_PENT_12)),AND(MISSING_PENT_6,MISSING_PENT_12),IF(ISNUMBER(MISSING_PENT_6),MISSING_PENT_6,MISSING_PENT_12)),"")</f>
    </nc>
  </rcc>
  <rcc rId="2553" sId="1">
    <oc r="CT78">
      <f>IF(OR(ISNUMBER(MISSING_PENT_6),ISNUMBER(MISSING_PENT_12)),AND(MISSING_PENT_6,MISSING_PENT_12),"")</f>
    </oc>
    <nc r="CT78">
      <f>IF(OR(ISNUMBER(MISSING_PENT_6),ISNUMBER(MISSING_PENT_12)),IF(AND(ISNUMBER(MISSING_PENT_6),ISNUMBER(MISSING_PENT_12)),AND(MISSING_PENT_6,MISSING_PENT_12),IF(ISNUMBER(MISSING_PENT_6),MISSING_PENT_6,MISSING_PENT_12)),"")</f>
    </nc>
  </rcc>
  <rcc rId="2554" sId="1">
    <oc r="CT28">
      <f>IF(OR(ISNUMBER(MISSING_PENT_6),ISNUMBER(MISSING_PENT_12)),AND(MISSING_PENT_6,MISSING_PENT_12),"")</f>
    </oc>
    <nc r="CT28">
      <f>IF(OR(ISNUMBER(MISSING_PENT_6),ISNUMBER(MISSING_PENT_12)),IF(AND(ISNUMBER(MISSING_PENT_6),ISNUMBER(MISSING_PENT_12)),AND(MISSING_PENT_6,MISSING_PENT_12),IF(ISNUMBER(MISSING_PENT_6),MISSING_PENT_6,MISSING_PENT_12)),"")</f>
    </nc>
  </rcc>
  <rcc rId="2555" sId="1">
    <oc r="CT76">
      <f>IF(OR(ISNUMBER(MISSING_PENT_6),ISNUMBER(MISSING_PENT_12)),AND(MISSING_PENT_6,MISSING_PENT_12),"")</f>
    </oc>
    <nc r="CT76">
      <f>IF(OR(ISNUMBER(MISSING_PENT_6),ISNUMBER(MISSING_PENT_12)),IF(AND(ISNUMBER(MISSING_PENT_6),ISNUMBER(MISSING_PENT_12)),AND(MISSING_PENT_6,MISSING_PENT_12),IF(ISNUMBER(MISSING_PENT_6),MISSING_PENT_6,MISSING_PENT_12)),"")</f>
    </nc>
  </rcc>
  <rcc rId="2556" sId="1">
    <oc r="CT63">
      <f>IF(OR(ISNUMBER(MISSING_PENT_6),ISNUMBER(MISSING_PENT_12)),AND(MISSING_PENT_6,MISSING_PENT_12),"")</f>
    </oc>
    <nc r="CT63">
      <f>IF(OR(ISNUMBER(MISSING_PENT_6),ISNUMBER(MISSING_PENT_12)),IF(AND(ISNUMBER(MISSING_PENT_6),ISNUMBER(MISSING_PENT_12)),AND(MISSING_PENT_6,MISSING_PENT_12),IF(ISNUMBER(MISSING_PENT_6),MISSING_PENT_6,MISSING_PENT_12)),"")</f>
    </nc>
  </rcc>
  <rcc rId="2557" sId="1">
    <oc r="CT7">
      <f>IF(OR(ISNUMBER(MISSING_PENT_6),ISNUMBER(MISSING_PENT_12)),AND(MISSING_PENT_6,MISSING_PENT_12),"")</f>
    </oc>
    <nc r="CT7">
      <f>IF(OR(ISNUMBER(MISSING_PENT_6),ISNUMBER(MISSING_PENT_12)),IF(AND(ISNUMBER(MISSING_PENT_6),ISNUMBER(MISSING_PENT_12)),AND(MISSING_PENT_6,MISSING_PENT_12),IF(ISNUMBER(MISSING_PENT_6),MISSING_PENT_6,MISSING_PENT_12)),"")</f>
    </nc>
  </rcc>
  <rcc rId="2558" sId="1">
    <oc r="CT48">
      <f>IF(OR(ISNUMBER(MISSING_PENT_6),ISNUMBER(MISSING_PENT_12)),AND(MISSING_PENT_6,MISSING_PENT_12),"")</f>
    </oc>
    <nc r="CT48">
      <f>IF(OR(ISNUMBER(MISSING_PENT_6),ISNUMBER(MISSING_PENT_12)),IF(AND(ISNUMBER(MISSING_PENT_6),ISNUMBER(MISSING_PENT_12)),AND(MISSING_PENT_6,MISSING_PENT_12),IF(ISNUMBER(MISSING_PENT_6),MISSING_PENT_6,MISSING_PENT_12)),"")</f>
    </nc>
  </rcc>
  <rcc rId="2559" sId="1">
    <oc r="CT40">
      <f>IF(OR(ISNUMBER(MISSING_PENT_6),ISNUMBER(MISSING_PENT_12)),AND(MISSING_PENT_6,MISSING_PENT_12),"")</f>
    </oc>
    <nc r="CT40">
      <f>IF(OR(ISNUMBER(MISSING_PENT_6),ISNUMBER(MISSING_PENT_12)),IF(AND(ISNUMBER(MISSING_PENT_6),ISNUMBER(MISSING_PENT_12)),AND(MISSING_PENT_6,MISSING_PENT_12),IF(ISNUMBER(MISSING_PENT_6),MISSING_PENT_6,MISSING_PENT_12)),"")</f>
    </nc>
  </rcc>
  <rcc rId="2560" sId="1">
    <oc r="CT42">
      <f>IF(OR(ISNUMBER(MISSING_PENT_6),ISNUMBER(MISSING_PENT_12)),AND(MISSING_PENT_6,MISSING_PENT_12),"")</f>
    </oc>
    <nc r="CT42">
      <f>IF(OR(ISNUMBER(MISSING_PENT_6),ISNUMBER(MISSING_PENT_12)),IF(AND(ISNUMBER(MISSING_PENT_6),ISNUMBER(MISSING_PENT_12)),AND(MISSING_PENT_6,MISSING_PENT_12),IF(ISNUMBER(MISSING_PENT_6),MISSING_PENT_6,MISSING_PENT_12)),"")</f>
    </nc>
  </rcc>
  <rcc rId="2561" sId="1">
    <oc r="CT126">
      <f>IF(OR(ISNUMBER(MISSING_PENT_6),ISNUMBER(MISSING_PENT_12)),AND(MISSING_PENT_6,MISSING_PENT_12),"")</f>
    </oc>
    <nc r="CT126">
      <f>IF(OR(ISNUMBER(MISSING_PENT_6),ISNUMBER(MISSING_PENT_12)),IF(AND(ISNUMBER(MISSING_PENT_6),ISNUMBER(MISSING_PENT_12)),AND(MISSING_PENT_6,MISSING_PENT_12),IF(ISNUMBER(MISSING_PENT_6),MISSING_PENT_6,MISSING_PENT_12)),"")</f>
    </nc>
  </rcc>
  <rcc rId="2562" sId="1">
    <oc r="CT5">
      <f>IF(OR(ISNUMBER(MISSING_PENT_6),ISNUMBER(MISSING_PENT_12)),AND(MISSING_PENT_6,MISSING_PENT_12),"")</f>
    </oc>
    <nc r="CT5">
      <f>IF(OR(ISNUMBER(MISSING_PENT_6),ISNUMBER(MISSING_PENT_12)),IF(AND(ISNUMBER(MISSING_PENT_6),ISNUMBER(MISSING_PENT_12)),AND(MISSING_PENT_6,MISSING_PENT_12),IF(ISNUMBER(MISSING_PENT_6),MISSING_PENT_6,MISSING_PENT_12)),"")</f>
    </nc>
  </rcc>
  <rcc rId="2563" sId="1">
    <oc r="CT61">
      <f>IF(OR(ISNUMBER(MISSING_PENT_6),ISNUMBER(MISSING_PENT_12)),AND(MISSING_PENT_6,MISSING_PENT_12),"")</f>
    </oc>
    <nc r="CT61">
      <f>IF(OR(ISNUMBER(MISSING_PENT_6),ISNUMBER(MISSING_PENT_12)),IF(AND(ISNUMBER(MISSING_PENT_6),ISNUMBER(MISSING_PENT_12)),AND(MISSING_PENT_6,MISSING_PENT_12),IF(ISNUMBER(MISSING_PENT_6),MISSING_PENT_6,MISSING_PENT_12)),"")</f>
    </nc>
  </rcc>
  <rcc rId="2564" sId="1">
    <oc r="CT49">
      <f>IF(OR(ISNUMBER(MISSING_PENT_6),ISNUMBER(MISSING_PENT_12)),AND(MISSING_PENT_6,MISSING_PENT_12),"")</f>
    </oc>
    <nc r="CT49">
      <f>IF(OR(ISNUMBER(MISSING_PENT_6),ISNUMBER(MISSING_PENT_12)),IF(AND(ISNUMBER(MISSING_PENT_6),ISNUMBER(MISSING_PENT_12)),AND(MISSING_PENT_6,MISSING_PENT_12),IF(ISNUMBER(MISSING_PENT_6),MISSING_PENT_6,MISSING_PENT_12)),"")</f>
    </nc>
  </rcc>
  <rcc rId="2565" sId="1">
    <oc r="CT29">
      <f>IF(OR(ISNUMBER(MISSING_PENT_6),ISNUMBER(MISSING_PENT_12)),AND(MISSING_PENT_6,MISSING_PENT_12),"")</f>
    </oc>
    <nc r="CT29">
      <f>IF(OR(ISNUMBER(MISSING_PENT_6),ISNUMBER(MISSING_PENT_12)),IF(AND(ISNUMBER(MISSING_PENT_6),ISNUMBER(MISSING_PENT_12)),AND(MISSING_PENT_6,MISSING_PENT_12),IF(ISNUMBER(MISSING_PENT_6),MISSING_PENT_6,MISSING_PENT_12)),"")</f>
    </nc>
  </rcc>
  <rcc rId="2566" sId="1">
    <oc r="CT70">
      <f>IF(OR(ISNUMBER(MISSING_PENT_6),ISNUMBER(MISSING_PENT_12)),AND(MISSING_PENT_6,MISSING_PENT_12),"")</f>
    </oc>
    <nc r="CT70">
      <f>IF(OR(ISNUMBER(MISSING_PENT_6),ISNUMBER(MISSING_PENT_12)),IF(AND(ISNUMBER(MISSING_PENT_6),ISNUMBER(MISSING_PENT_12)),AND(MISSING_PENT_6,MISSING_PENT_12),IF(ISNUMBER(MISSING_PENT_6),MISSING_PENT_6,MISSING_PENT_12)),"")</f>
    </nc>
  </rcc>
  <rcc rId="2567" sId="1">
    <oc r="CT13">
      <f>IF(OR(ISNUMBER(MISSING_PENT_6),ISNUMBER(MISSING_PENT_12)),AND(MISSING_PENT_6,MISSING_PENT_12),"")</f>
    </oc>
    <nc r="CT13">
      <f>IF(OR(ISNUMBER(MISSING_PENT_6),ISNUMBER(MISSING_PENT_12)),IF(AND(ISNUMBER(MISSING_PENT_6),ISNUMBER(MISSING_PENT_12)),AND(MISSING_PENT_6,MISSING_PENT_12),IF(ISNUMBER(MISSING_PENT_6),MISSING_PENT_6,MISSING_PENT_12)),"")</f>
    </nc>
  </rcc>
  <rcc rId="2568" sId="1">
    <oc r="CT9">
      <f>IF(OR(ISNUMBER(MISSING_PENT_6),ISNUMBER(MISSING_PENT_12)),AND(MISSING_PENT_6,MISSING_PENT_12),"")</f>
    </oc>
    <nc r="CT9">
      <f>IF(OR(ISNUMBER(MISSING_PENT_6),ISNUMBER(MISSING_PENT_12)),IF(AND(ISNUMBER(MISSING_PENT_6),ISNUMBER(MISSING_PENT_12)),AND(MISSING_PENT_6,MISSING_PENT_12),IF(ISNUMBER(MISSING_PENT_6),MISSING_PENT_6,MISSING_PENT_12)),"")</f>
    </nc>
  </rcc>
  <rcc rId="2569" sId="1">
    <oc r="CT16">
      <f>IF(OR(ISNUMBER(MISSING_PENT_6),ISNUMBER(MISSING_PENT_12)),AND(MISSING_PENT_6,MISSING_PENT_12),"")</f>
    </oc>
    <nc r="CT16">
      <f>IF(OR(ISNUMBER(MISSING_PENT_6),ISNUMBER(MISSING_PENT_12)),IF(AND(ISNUMBER(MISSING_PENT_6),ISNUMBER(MISSING_PENT_12)),AND(MISSING_PENT_6,MISSING_PENT_12),IF(ISNUMBER(MISSING_PENT_6),MISSING_PENT_6,MISSING_PENT_12)),"")</f>
    </nc>
  </rcc>
  <rcc rId="2570" sId="1">
    <oc r="CT117">
      <f>IF(OR(ISNUMBER(MISSING_PENT_6),ISNUMBER(MISSING_PENT_12)),AND(MISSING_PENT_6,MISSING_PENT_12),"")</f>
    </oc>
    <nc r="CT117">
      <f>IF(OR(ISNUMBER(MISSING_PENT_6),ISNUMBER(MISSING_PENT_12)),IF(AND(ISNUMBER(MISSING_PENT_6),ISNUMBER(MISSING_PENT_12)),AND(MISSING_PENT_6,MISSING_PENT_12),IF(ISNUMBER(MISSING_PENT_6),MISSING_PENT_6,MISSING_PENT_12)),"")</f>
    </nc>
  </rcc>
  <rcc rId="2571" sId="1">
    <oc r="CT53">
      <f>IF(OR(ISNUMBER(MISSING_PENT_6),ISNUMBER(MISSING_PENT_12)),AND(MISSING_PENT_6,MISSING_PENT_12),"")</f>
    </oc>
    <nc r="CT53">
      <f>IF(OR(ISNUMBER(MISSING_PENT_6),ISNUMBER(MISSING_PENT_12)),IF(AND(ISNUMBER(MISSING_PENT_6),ISNUMBER(MISSING_PENT_12)),AND(MISSING_PENT_6,MISSING_PENT_12),IF(ISNUMBER(MISSING_PENT_6),MISSING_PENT_6,MISSING_PENT_12)),"")</f>
    </nc>
  </rcc>
  <rcc rId="2572" sId="1">
    <oc r="CT77">
      <f>IF(OR(ISNUMBER(MISSING_PENT_6),ISNUMBER(MISSING_PENT_12)),AND(MISSING_PENT_6,MISSING_PENT_12),"")</f>
    </oc>
    <nc r="CT77">
      <f>IF(OR(ISNUMBER(MISSING_PENT_6),ISNUMBER(MISSING_PENT_12)),IF(AND(ISNUMBER(MISSING_PENT_6),ISNUMBER(MISSING_PENT_12)),AND(MISSING_PENT_6,MISSING_PENT_12),IF(ISNUMBER(MISSING_PENT_6),MISSING_PENT_6,MISSING_PENT_12)),"")</f>
    </nc>
  </rcc>
  <rcc rId="2573" sId="1">
    <oc r="CT14">
      <f>IF(OR(ISNUMBER(MISSING_PENT_6),ISNUMBER(MISSING_PENT_12)),AND(MISSING_PENT_6,MISSING_PENT_12),"")</f>
    </oc>
    <nc r="CT14">
      <f>IF(OR(ISNUMBER(MISSING_PENT_6),ISNUMBER(MISSING_PENT_12)),IF(AND(ISNUMBER(MISSING_PENT_6),ISNUMBER(MISSING_PENT_12)),AND(MISSING_PENT_6,MISSING_PENT_12),IF(ISNUMBER(MISSING_PENT_6),MISSING_PENT_6,MISSING_PENT_12)),"")</f>
    </nc>
  </rcc>
  <rcc rId="2574" sId="1">
    <oc r="CT59">
      <f>IF(OR(ISNUMBER(MISSING_PENT_6),ISNUMBER(MISSING_PENT_12)),AND(MISSING_PENT_6,MISSING_PENT_12),"")</f>
    </oc>
    <nc r="CT59">
      <f>IF(OR(ISNUMBER(MISSING_PENT_6),ISNUMBER(MISSING_PENT_12)),IF(AND(ISNUMBER(MISSING_PENT_6),ISNUMBER(MISSING_PENT_12)),AND(MISSING_PENT_6,MISSING_PENT_12),IF(ISNUMBER(MISSING_PENT_6),MISSING_PENT_6,MISSING_PENT_12)),"")</f>
    </nc>
  </rcc>
  <rcc rId="2575" sId="1">
    <oc r="CT33">
      <f>IF(OR(ISNUMBER(MISSING_PENT_6),ISNUMBER(MISSING_PENT_12)),AND(MISSING_PENT_6,MISSING_PENT_12),"")</f>
    </oc>
    <nc r="CT33">
      <f>IF(OR(ISNUMBER(MISSING_PENT_6),ISNUMBER(MISSING_PENT_12)),IF(AND(ISNUMBER(MISSING_PENT_6),ISNUMBER(MISSING_PENT_12)),AND(MISSING_PENT_6,MISSING_PENT_12),IF(ISNUMBER(MISSING_PENT_6),MISSING_PENT_6,MISSING_PENT_12)),"")</f>
    </nc>
  </rcc>
  <rcc rId="2576" sId="1">
    <oc r="CT24">
      <f>IF(OR(ISNUMBER(MISSING_PENT_6),ISNUMBER(MISSING_PENT_12)),AND(MISSING_PENT_6,MISSING_PENT_12),"")</f>
    </oc>
    <nc r="CT24">
      <f>IF(OR(ISNUMBER(MISSING_PENT_6),ISNUMBER(MISSING_PENT_12)),IF(AND(ISNUMBER(MISSING_PENT_6),ISNUMBER(MISSING_PENT_12)),AND(MISSING_PENT_6,MISSING_PENT_12),IF(ISNUMBER(MISSING_PENT_6),MISSING_PENT_6,MISSING_PENT_12)),"")</f>
    </nc>
  </rcc>
  <rcc rId="2577" sId="1">
    <oc r="CT12">
      <f>IF(OR(ISNUMBER(MISSING_PENT_6),ISNUMBER(MISSING_PENT_12)),AND(MISSING_PENT_6,MISSING_PENT_12),"")</f>
    </oc>
    <nc r="CT12">
      <f>IF(OR(ISNUMBER(MISSING_PENT_6),ISNUMBER(MISSING_PENT_12)),IF(AND(ISNUMBER(MISSING_PENT_6),ISNUMBER(MISSING_PENT_12)),AND(MISSING_PENT_6,MISSING_PENT_12),IF(ISNUMBER(MISSING_PENT_6),MISSING_PENT_6,MISSING_PENT_12)),"")</f>
    </nc>
  </rcc>
  <rcc rId="2578" sId="1">
    <oc r="CT18">
      <f>IF(OR(ISNUMBER(MISSING_PENT_6),ISNUMBER(MISSING_PENT_12)),AND(MISSING_PENT_6,MISSING_PENT_12),"")</f>
    </oc>
    <nc r="CT18">
      <f>IF(OR(ISNUMBER(MISSING_PENT_6),ISNUMBER(MISSING_PENT_12)),IF(AND(ISNUMBER(MISSING_PENT_6),ISNUMBER(MISSING_PENT_12)),AND(MISSING_PENT_6,MISSING_PENT_12),IF(ISNUMBER(MISSING_PENT_6),MISSING_PENT_6,MISSING_PENT_12)),"")</f>
    </nc>
  </rcc>
  <rcc rId="2579" sId="1">
    <oc r="CT65">
      <f>IF(OR(ISNUMBER(MISSING_PENT_6),ISNUMBER(MISSING_PENT_12)),AND(MISSING_PENT_6,MISSING_PENT_12),"")</f>
    </oc>
    <nc r="CT65">
      <f>IF(OR(ISNUMBER(MISSING_PENT_6),ISNUMBER(MISSING_PENT_12)),IF(AND(ISNUMBER(MISSING_PENT_6),ISNUMBER(MISSING_PENT_12)),AND(MISSING_PENT_6,MISSING_PENT_12),IF(ISNUMBER(MISSING_PENT_6),MISSING_PENT_6,MISSING_PENT_12)),"")</f>
    </nc>
  </rcc>
  <rcc rId="2580" sId="1">
    <oc r="CT39">
      <f>IF(OR(ISNUMBER(MISSING_PENT_6),ISNUMBER(MISSING_PENT_12)),AND(MISSING_PENT_6,MISSING_PENT_12),"")</f>
    </oc>
    <nc r="CT39">
      <f>IF(OR(ISNUMBER(MISSING_PENT_6),ISNUMBER(MISSING_PENT_12)),IF(AND(ISNUMBER(MISSING_PENT_6),ISNUMBER(MISSING_PENT_12)),AND(MISSING_PENT_6,MISSING_PENT_12),IF(ISNUMBER(MISSING_PENT_6),MISSING_PENT_6,MISSING_PENT_12)),"")</f>
    </nc>
  </rcc>
  <rcc rId="2581" sId="1">
    <oc r="CT73">
      <f>IF(OR(ISNUMBER(MISSING_PENT_6),ISNUMBER(MISSING_PENT_12)),AND(MISSING_PENT_6,MISSING_PENT_12),"")</f>
    </oc>
    <nc r="CT73">
      <f>IF(OR(ISNUMBER(MISSING_PENT_6),ISNUMBER(MISSING_PENT_12)),IF(AND(ISNUMBER(MISSING_PENT_6),ISNUMBER(MISSING_PENT_12)),AND(MISSING_PENT_6,MISSING_PENT_12),IF(ISNUMBER(MISSING_PENT_6),MISSING_PENT_6,MISSING_PENT_12)),"")</f>
    </nc>
  </rcc>
  <rcc rId="2582" sId="1">
    <oc r="CT36">
      <f>IF(OR(ISNUMBER(MISSING_PENT_6),ISNUMBER(MISSING_PENT_12)),AND(MISSING_PENT_6,MISSING_PENT_12),"")</f>
    </oc>
    <nc r="CT36">
      <f>IF(OR(ISNUMBER(MISSING_PENT_6),ISNUMBER(MISSING_PENT_12)),IF(AND(ISNUMBER(MISSING_PENT_6),ISNUMBER(MISSING_PENT_12)),AND(MISSING_PENT_6,MISSING_PENT_12),IF(ISNUMBER(MISSING_PENT_6),MISSING_PENT_6,MISSING_PENT_12)),"")</f>
    </nc>
  </rcc>
  <rcc rId="2583" sId="1">
    <oc r="CT4">
      <f>IF(OR(ISNUMBER(MISSING_PENT_6),ISNUMBER(MISSING_PENT_12)),AND(MISSING_PENT_6,MISSING_PENT_12),"")</f>
    </oc>
    <nc r="CT4">
      <f>IF(OR(ISNUMBER(MISSING_PENT_6),ISNUMBER(MISSING_PENT_12)),IF(AND(ISNUMBER(MISSING_PENT_6),ISNUMBER(MISSING_PENT_12)),AND(MISSING_PENT_6,MISSING_PENT_12),IF(ISNUMBER(MISSING_PENT_6),MISSING_PENT_6,MISSING_PENT_12)),"")</f>
    </nc>
  </rcc>
  <rcc rId="2584" sId="1">
    <oc r="CT71">
      <f>IF(OR(ISNUMBER(MISSING_PENT_6),ISNUMBER(MISSING_PENT_12)),AND(MISSING_PENT_6,MISSING_PENT_12),"")</f>
    </oc>
    <nc r="CT71">
      <f>IF(OR(ISNUMBER(MISSING_PENT_6),ISNUMBER(MISSING_PENT_12)),IF(AND(ISNUMBER(MISSING_PENT_6),ISNUMBER(MISSING_PENT_12)),AND(MISSING_PENT_6,MISSING_PENT_12),IF(ISNUMBER(MISSING_PENT_6),MISSING_PENT_6,MISSING_PENT_12)),"")</f>
    </nc>
  </rcc>
  <rcc rId="2585" sId="1">
    <oc r="CT38">
      <f>IF(OR(ISNUMBER(MISSING_PENT_6),ISNUMBER(MISSING_PENT_12)),AND(MISSING_PENT_6,MISSING_PENT_12),"")</f>
    </oc>
    <nc r="CT38">
      <f>IF(OR(ISNUMBER(MISSING_PENT_6),ISNUMBER(MISSING_PENT_12)),IF(AND(ISNUMBER(MISSING_PENT_6),ISNUMBER(MISSING_PENT_12)),AND(MISSING_PENT_6,MISSING_PENT_12),IF(ISNUMBER(MISSING_PENT_6),MISSING_PENT_6,MISSING_PENT_12)),"")</f>
    </nc>
  </rcc>
  <rcc rId="2586" sId="1">
    <oc r="CT72">
      <f>IF(OR(ISNUMBER(MISSING_PENT_6),ISNUMBER(MISSING_PENT_12)),AND(MISSING_PENT_6,MISSING_PENT_12),"")</f>
    </oc>
    <nc r="CT72">
      <f>IF(OR(ISNUMBER(MISSING_PENT_6),ISNUMBER(MISSING_PENT_12)),IF(AND(ISNUMBER(MISSING_PENT_6),ISNUMBER(MISSING_PENT_12)),AND(MISSING_PENT_6,MISSING_PENT_12),IF(ISNUMBER(MISSING_PENT_6),MISSING_PENT_6,MISSING_PENT_12)),"")</f>
    </nc>
  </rcc>
  <rcc rId="2587" sId="1">
    <oc r="CT54">
      <f>IF(OR(ISNUMBER(MISSING_PENT_6),ISNUMBER(MISSING_PENT_12)),AND(MISSING_PENT_6,MISSING_PENT_12),"")</f>
    </oc>
    <nc r="CT54">
      <f>IF(OR(ISNUMBER(MISSING_PENT_6),ISNUMBER(MISSING_PENT_12)),IF(AND(ISNUMBER(MISSING_PENT_6),ISNUMBER(MISSING_PENT_12)),AND(MISSING_PENT_6,MISSING_PENT_12),IF(ISNUMBER(MISSING_PENT_6),MISSING_PENT_6,MISSING_PENT_12)),"")</f>
    </nc>
  </rcc>
  <rcc rId="2588" sId="1">
    <oc r="CT69">
      <f>IF(OR(ISNUMBER(MISSING_PENT_6),ISNUMBER(MISSING_PENT_12)),AND(MISSING_PENT_6,MISSING_PENT_12),"")</f>
    </oc>
    <nc r="CT69">
      <f>IF(OR(ISNUMBER(MISSING_PENT_6),ISNUMBER(MISSING_PENT_12)),IF(AND(ISNUMBER(MISSING_PENT_6),ISNUMBER(MISSING_PENT_12)),AND(MISSING_PENT_6,MISSING_PENT_12),IF(ISNUMBER(MISSING_PENT_6),MISSING_PENT_6,MISSING_PENT_12)),"")</f>
    </nc>
  </rcc>
  <rcc rId="2589" sId="1">
    <oc r="CT79">
      <f>IF(OR(ISNUMBER(MISSING_PENT_6),ISNUMBER(MISSING_PENT_12)),AND(MISSING_PENT_6,MISSING_PENT_12),"")</f>
    </oc>
    <nc r="CT79">
      <f>IF(OR(ISNUMBER(MISSING_PENT_6),ISNUMBER(MISSING_PENT_12)),IF(AND(ISNUMBER(MISSING_PENT_6),ISNUMBER(MISSING_PENT_12)),AND(MISSING_PENT_6,MISSING_PENT_12),IF(ISNUMBER(MISSING_PENT_6),MISSING_PENT_6,MISSING_PENT_12)),"")</f>
    </nc>
  </rcc>
  <rcc rId="2590" sId="1">
    <oc r="CT23">
      <f>IF(OR(ISNUMBER(MISSING_PENT_6),ISNUMBER(MISSING_PENT_12)),AND(MISSING_PENT_6,MISSING_PENT_12),"")</f>
    </oc>
    <nc r="CT23">
      <f>IF(OR(ISNUMBER(MISSING_PENT_6),ISNUMBER(MISSING_PENT_12)),IF(AND(ISNUMBER(MISSING_PENT_6),ISNUMBER(MISSING_PENT_12)),AND(MISSING_PENT_6,MISSING_PENT_12),IF(ISNUMBER(MISSING_PENT_6),MISSING_PENT_6,MISSING_PENT_12)),"")</f>
    </nc>
  </rcc>
  <rcc rId="2591" sId="1">
    <oc r="CT37">
      <f>IF(OR(ISNUMBER(MISSING_PENT_6),ISNUMBER(MISSING_PENT_12)),AND(MISSING_PENT_6,MISSING_PENT_12),"")</f>
    </oc>
    <nc r="CT37">
      <f>IF(OR(ISNUMBER(MISSING_PENT_6),ISNUMBER(MISSING_PENT_12)),IF(AND(ISNUMBER(MISSING_PENT_6),ISNUMBER(MISSING_PENT_12)),AND(MISSING_PENT_6,MISSING_PENT_12),IF(ISNUMBER(MISSING_PENT_6),MISSING_PENT_6,MISSING_PENT_12)),"")</f>
    </nc>
  </rcc>
  <rcc rId="2592" sId="1">
    <oc r="CT27">
      <f>IF(OR(ISNUMBER(MISSING_PENT_6),ISNUMBER(MISSING_PENT_12)),AND(MISSING_PENT_6,MISSING_PENT_12),"")</f>
    </oc>
    <nc r="CT27">
      <f>IF(OR(ISNUMBER(MISSING_PENT_6),ISNUMBER(MISSING_PENT_12)),IF(AND(ISNUMBER(MISSING_PENT_6),ISNUMBER(MISSING_PENT_12)),AND(MISSING_PENT_6,MISSING_PENT_12),IF(ISNUMBER(MISSING_PENT_6),MISSING_PENT_6,MISSING_PENT_12)),"")</f>
    </nc>
  </rcc>
  <rcc rId="2593" sId="1">
    <oc r="CT55">
      <f>IF(OR(ISNUMBER(MISSING_PENT_6),ISNUMBER(MISSING_PENT_12)),AND(MISSING_PENT_6,MISSING_PENT_12),"")</f>
    </oc>
    <nc r="CT55">
      <f>IF(OR(ISNUMBER(MISSING_PENT_6),ISNUMBER(MISSING_PENT_12)),IF(AND(ISNUMBER(MISSING_PENT_6),ISNUMBER(MISSING_PENT_12)),AND(MISSING_PENT_6,MISSING_PENT_12),IF(ISNUMBER(MISSING_PENT_6),MISSING_PENT_6,MISSING_PENT_12)),"")</f>
    </nc>
  </rcc>
  <rcc rId="2594" sId="1">
    <oc r="CT66">
      <f>IF(OR(ISNUMBER(MISSING_PENT_6),ISNUMBER(MISSING_PENT_12)),AND(MISSING_PENT_6,MISSING_PENT_12),"")</f>
    </oc>
    <nc r="CT66">
      <f>IF(OR(ISNUMBER(MISSING_PENT_6),ISNUMBER(MISSING_PENT_12)),IF(AND(ISNUMBER(MISSING_PENT_6),ISNUMBER(MISSING_PENT_12)),AND(MISSING_PENT_6,MISSING_PENT_12),IF(ISNUMBER(MISSING_PENT_6),MISSING_PENT_6,MISSING_PENT_12)),"")</f>
    </nc>
  </rcc>
  <rcc rId="2595" sId="1">
    <oc r="CT3">
      <f>IF(OR(ISNUMBER(MISSING_PENT_6),ISNUMBER(MISSING_PENT_12)),AND(MISSING_PENT_6,MISSING_PENT_12),"")</f>
    </oc>
    <nc r="CT3">
      <f>IF(OR(ISNUMBER(MISSING_PENT_6),ISNUMBER(MISSING_PENT_12)),IF(AND(ISNUMBER(MISSING_PENT_6),ISNUMBER(MISSING_PENT_12)),AND(MISSING_PENT_6,MISSING_PENT_12),IF(ISNUMBER(MISSING_PENT_6),MISSING_PENT_6,MISSING_PENT_12)),"")</f>
    </nc>
  </rcc>
  <rcc rId="2596" sId="1">
    <oc r="CT21">
      <f>IF(OR(ISNUMBER(MISSING_PENT_6),ISNUMBER(MISSING_PENT_12)),AND(MISSING_PENT_6,MISSING_PENT_12),"")</f>
    </oc>
    <nc r="CT21">
      <f>IF(OR(ISNUMBER(MISSING_PENT_6),ISNUMBER(MISSING_PENT_12)),IF(AND(ISNUMBER(MISSING_PENT_6),ISNUMBER(MISSING_PENT_12)),AND(MISSING_PENT_6,MISSING_PENT_12),IF(ISNUMBER(MISSING_PENT_6),MISSING_PENT_6,MISSING_PENT_12)),"")</f>
    </nc>
  </rcc>
  <rcc rId="2597" sId="1">
    <oc r="CT81">
      <f>IF(OR(ISNUMBER(MISSING_PENT_6),ISNUMBER(MISSING_PENT_12)),AND(MISSING_PENT_6,MISSING_PENT_12),"")</f>
    </oc>
    <nc r="CT81">
      <f>IF(OR(ISNUMBER(MISSING_PENT_6),ISNUMBER(MISSING_PENT_12)),IF(AND(ISNUMBER(MISSING_PENT_6),ISNUMBER(MISSING_PENT_12)),AND(MISSING_PENT_6,MISSING_PENT_12),IF(ISNUMBER(MISSING_PENT_6),MISSING_PENT_6,MISSING_PENT_12)),"")</f>
    </nc>
  </rcc>
  <rcc rId="2598" sId="1">
    <oc r="CT31">
      <f>IF(OR(ISNUMBER(MISSING_PENT_6),ISNUMBER(MISSING_PENT_12)),AND(MISSING_PENT_6,MISSING_PENT_12),"")</f>
    </oc>
    <nc r="CT31">
      <f>IF(OR(ISNUMBER(MISSING_PENT_6),ISNUMBER(MISSING_PENT_12)),IF(AND(ISNUMBER(MISSING_PENT_6),ISNUMBER(MISSING_PENT_12)),AND(MISSING_PENT_6,MISSING_PENT_12),IF(ISNUMBER(MISSING_PENT_6),MISSING_PENT_6,MISSING_PENT_12)),"")</f>
    </nc>
  </rcc>
  <rcc rId="2599" sId="1">
    <oc r="CT30">
      <f>IF(OR(ISNUMBER(MISSING_PENT_6),ISNUMBER(MISSING_PENT_12)),AND(MISSING_PENT_6,MISSING_PENT_12),"")</f>
    </oc>
    <nc r="CT30">
      <f>IF(OR(ISNUMBER(MISSING_PENT_6),ISNUMBER(MISSING_PENT_12)),IF(AND(ISNUMBER(MISSING_PENT_6),ISNUMBER(MISSING_PENT_12)),AND(MISSING_PENT_6,MISSING_PENT_12),IF(ISNUMBER(MISSING_PENT_6),MISSING_PENT_6,MISSING_PENT_12)),"")</f>
    </nc>
  </rcc>
  <rcc rId="2600" sId="1">
    <oc r="CT19">
      <f>IF(OR(ISNUMBER(MISSING_PENT_6),ISNUMBER(MISSING_PENT_12)),AND(MISSING_PENT_6,MISSING_PENT_12),"")</f>
    </oc>
    <nc r="CT19">
      <f>IF(OR(ISNUMBER(MISSING_PENT_6),ISNUMBER(MISSING_PENT_12)),IF(AND(ISNUMBER(MISSING_PENT_6),ISNUMBER(MISSING_PENT_12)),AND(MISSING_PENT_6,MISSING_PENT_12),IF(ISNUMBER(MISSING_PENT_6),MISSING_PENT_6,MISSING_PENT_12)),"")</f>
    </nc>
  </rcc>
  <rcc rId="2601" sId="1">
    <oc r="CT11">
      <f>IF(OR(ISNUMBER(MISSING_PENT_6),ISNUMBER(MISSING_PENT_12)),AND(MISSING_PENT_6,MISSING_PENT_12),"")</f>
    </oc>
    <nc r="CT11">
      <f>IF(OR(ISNUMBER(MISSING_PENT_6),ISNUMBER(MISSING_PENT_12)),IF(AND(ISNUMBER(MISSING_PENT_6),ISNUMBER(MISSING_PENT_12)),AND(MISSING_PENT_6,MISSING_PENT_12),IF(ISNUMBER(MISSING_PENT_6),MISSING_PENT_6,MISSING_PENT_12)),"")</f>
    </nc>
  </rcc>
  <rcc rId="2602" sId="1">
    <oc r="CT64">
      <f>IF(OR(ISNUMBER(MISSING_PENT_6),ISNUMBER(MISSING_PENT_12)),AND(MISSING_PENT_6,MISSING_PENT_12),"")</f>
    </oc>
    <nc r="CT64">
      <f>IF(OR(ISNUMBER(MISSING_PENT_6),ISNUMBER(MISSING_PENT_12)),IF(AND(ISNUMBER(MISSING_PENT_6),ISNUMBER(MISSING_PENT_12)),AND(MISSING_PENT_6,MISSING_PENT_12),IF(ISNUMBER(MISSING_PENT_6),MISSING_PENT_6,MISSING_PENT_12)),"")</f>
    </nc>
  </rcc>
  <rcc rId="2603" sId="1">
    <oc r="CT57">
      <f>IF(OR(ISNUMBER(MISSING_PENT_6),ISNUMBER(MISSING_PENT_12)),AND(MISSING_PENT_6,MISSING_PENT_12),"")</f>
    </oc>
    <nc r="CT57">
      <f>IF(OR(ISNUMBER(MISSING_PENT_6),ISNUMBER(MISSING_PENT_12)),IF(AND(ISNUMBER(MISSING_PENT_6),ISNUMBER(MISSING_PENT_12)),AND(MISSING_PENT_6,MISSING_PENT_12),IF(ISNUMBER(MISSING_PENT_6),MISSING_PENT_6,MISSING_PENT_12)),"")</f>
    </nc>
  </rcc>
  <rcc rId="2604" sId="1">
    <oc r="CT114">
      <f>IF(OR(ISNUMBER(MISSING_PENT_6),ISNUMBER(MISSING_PENT_12)),AND(MISSING_PENT_6,MISSING_PENT_12),"")</f>
    </oc>
    <nc r="CT114">
      <f>IF(OR(ISNUMBER(MISSING_PENT_6),ISNUMBER(MISSING_PENT_12)),IF(AND(ISNUMBER(MISSING_PENT_6),ISNUMBER(MISSING_PENT_12)),AND(MISSING_PENT_6,MISSING_PENT_12),IF(ISNUMBER(MISSING_PENT_6),MISSING_PENT_6,MISSING_PENT_12)),"")</f>
    </nc>
  </rcc>
  <rcc rId="2605" sId="1">
    <oc r="CT119">
      <f>IF(OR(ISNUMBER(MISSING_PENT_6),ISNUMBER(MISSING_PENT_12)),AND(MISSING_PENT_6,MISSING_PENT_12),"")</f>
    </oc>
    <nc r="CT119">
      <f>IF(OR(ISNUMBER(MISSING_PENT_6),ISNUMBER(MISSING_PENT_12)),IF(AND(ISNUMBER(MISSING_PENT_6),ISNUMBER(MISSING_PENT_12)),AND(MISSING_PENT_6,MISSING_PENT_12),IF(ISNUMBER(MISSING_PENT_6),MISSING_PENT_6,MISSING_PENT_12)),"")</f>
    </nc>
  </rcc>
  <rcc rId="2606" sId="1">
    <oc r="CT62">
      <f>IF(OR(ISNUMBER(MISSING_PENT_6),ISNUMBER(MISSING_PENT_12)),AND(MISSING_PENT_6,MISSING_PENT_12),"")</f>
    </oc>
    <nc r="CT62">
      <f>IF(OR(ISNUMBER(MISSING_PENT_6),ISNUMBER(MISSING_PENT_12)),IF(AND(ISNUMBER(MISSING_PENT_6),ISNUMBER(MISSING_PENT_12)),AND(MISSING_PENT_6,MISSING_PENT_12),IF(ISNUMBER(MISSING_PENT_6),MISSING_PENT_6,MISSING_PENT_12)),"")</f>
    </nc>
  </rcc>
  <rcc rId="2607" sId="1">
    <oc r="CT10">
      <f>IF(OR(ISNUMBER(MISSING_PENT_6),ISNUMBER(MISSING_PENT_12)),AND(MISSING_PENT_6,MISSING_PENT_12),"")</f>
    </oc>
    <nc r="CT10">
      <f>IF(OR(ISNUMBER(MISSING_PENT_6),ISNUMBER(MISSING_PENT_12)),IF(AND(ISNUMBER(MISSING_PENT_6),ISNUMBER(MISSING_PENT_12)),AND(MISSING_PENT_6,MISSING_PENT_12),IF(ISNUMBER(MISSING_PENT_6),MISSING_PENT_6,MISSING_PENT_12)),"")</f>
    </nc>
  </rcc>
  <rcc rId="2608" sId="1">
    <oc r="CT17">
      <f>IF(OR(ISNUMBER(MISSING_PENT_6),ISNUMBER(MISSING_PENT_12)),AND(MISSING_PENT_6,MISSING_PENT_12),"")</f>
    </oc>
    <nc r="CT17">
      <f>IF(OR(ISNUMBER(MISSING_PENT_6),ISNUMBER(MISSING_PENT_12)),IF(AND(ISNUMBER(MISSING_PENT_6),ISNUMBER(MISSING_PENT_12)),AND(MISSING_PENT_6,MISSING_PENT_12),IF(ISNUMBER(MISSING_PENT_6),MISSING_PENT_6,MISSING_PENT_12)),"")</f>
    </nc>
  </rcc>
  <rcc rId="2609" sId="1">
    <oc r="CT58">
      <f>IF(OR(ISNUMBER(MISSING_PENT_6),ISNUMBER(MISSING_PENT_12)),AND(MISSING_PENT_6,MISSING_PENT_12),"")</f>
    </oc>
    <nc r="CT58">
      <f>IF(OR(ISNUMBER(MISSING_PENT_6),ISNUMBER(MISSING_PENT_12)),IF(AND(ISNUMBER(MISSING_PENT_6),ISNUMBER(MISSING_PENT_12)),AND(MISSING_PENT_6,MISSING_PENT_12),IF(ISNUMBER(MISSING_PENT_6),MISSING_PENT_6,MISSING_PENT_12)),"")</f>
    </nc>
  </rcc>
  <rcc rId="2610" sId="1">
    <oc r="CT6">
      <f>IF(OR(ISNUMBER(MISSING_PENT_6),ISNUMBER(MISSING_PENT_12)),AND(MISSING_PENT_6,MISSING_PENT_12),"")</f>
    </oc>
    <nc r="CT6">
      <f>IF(OR(ISNUMBER(MISSING_PENT_6),ISNUMBER(MISSING_PENT_12)),IF(AND(ISNUMBER(MISSING_PENT_6),ISNUMBER(MISSING_PENT_12)),AND(MISSING_PENT_6,MISSING_PENT_12),IF(ISNUMBER(MISSING_PENT_6),MISSING_PENT_6,MISSING_PENT_12)),"")</f>
    </nc>
  </rcc>
  <rcc rId="2611" sId="1">
    <oc r="CT68">
      <f>IF(OR(ISNUMBER(MISSING_PENT_6),ISNUMBER(MISSING_PENT_12)),AND(MISSING_PENT_6,MISSING_PENT_12),"")</f>
    </oc>
    <nc r="CT68">
      <f>IF(OR(ISNUMBER(MISSING_PENT_6),ISNUMBER(MISSING_PENT_12)),IF(AND(ISNUMBER(MISSING_PENT_6),ISNUMBER(MISSING_PENT_12)),AND(MISSING_PENT_6,MISSING_PENT_12),IF(ISNUMBER(MISSING_PENT_6),MISSING_PENT_6,MISSING_PENT_12)),"")</f>
    </nc>
  </rcc>
  <rcc rId="2612" sId="1">
    <oc r="CT20">
      <f>IF(OR(ISNUMBER(MISSING_PENT_6),ISNUMBER(MISSING_PENT_12)),AND(MISSING_PENT_6,MISSING_PENT_12),"")</f>
    </oc>
    <nc r="CT20">
      <f>IF(OR(ISNUMBER(MISSING_PENT_6),ISNUMBER(MISSING_PENT_12)),IF(AND(ISNUMBER(MISSING_PENT_6),ISNUMBER(MISSING_PENT_12)),AND(MISSING_PENT_6,MISSING_PENT_12),IF(ISNUMBER(MISSING_PENT_6),MISSING_PENT_6,MISSING_PENT_12)),"")</f>
    </nc>
  </rcc>
  <rcc rId="2613" sId="1">
    <oc r="CT50">
      <f>IF(OR(ISNUMBER(MISSING_PENT_6),ISNUMBER(MISSING_PENT_12)),AND(MISSING_PENT_6,MISSING_PENT_12),"")</f>
    </oc>
    <nc r="CT50">
      <f>IF(OR(ISNUMBER(MISSING_PENT_6),ISNUMBER(MISSING_PENT_12)),IF(AND(ISNUMBER(MISSING_PENT_6),ISNUMBER(MISSING_PENT_12)),AND(MISSING_PENT_6,MISSING_PENT_12),IF(ISNUMBER(MISSING_PENT_6),MISSING_PENT_6,MISSING_PENT_12)),"")</f>
    </nc>
  </rcc>
  <rcc rId="2614" sId="1">
    <oc r="CT56">
      <f>IF(OR(ISNUMBER(MISSING_PENT_6),ISNUMBER(MISSING_PENT_12)),AND(MISSING_PENT_6,MISSING_PENT_12),"")</f>
    </oc>
    <nc r="CT56">
      <f>IF(OR(ISNUMBER(MISSING_PENT_6),ISNUMBER(MISSING_PENT_12)),IF(AND(ISNUMBER(MISSING_PENT_6),ISNUMBER(MISSING_PENT_12)),AND(MISSING_PENT_6,MISSING_PENT_12),IF(ISNUMBER(MISSING_PENT_6),MISSING_PENT_6,MISSING_PENT_12)),"")</f>
    </nc>
  </rcc>
  <rcc rId="2615" sId="1">
    <oc r="CT26">
      <f>IF(OR(ISNUMBER(MISSING_PENT_6),ISNUMBER(MISSING_PENT_12)),AND(MISSING_PENT_6,MISSING_PENT_12),"")</f>
    </oc>
    <nc r="CT26">
      <f>IF(OR(ISNUMBER(MISSING_PENT_6),ISNUMBER(MISSING_PENT_12)),IF(AND(ISNUMBER(MISSING_PENT_6),ISNUMBER(MISSING_PENT_12)),AND(MISSING_PENT_6,MISSING_PENT_12),IF(ISNUMBER(MISSING_PENT_6),MISSING_PENT_6,MISSING_PENT_12)),"")</f>
    </nc>
  </rcc>
  <rcc rId="2616" sId="1">
    <oc r="CT25">
      <f>IF(OR(ISNUMBER(MISSING_PENT_6),ISNUMBER(MISSING_PENT_12)),AND(MISSING_PENT_6,MISSING_PENT_12),"")</f>
    </oc>
    <nc r="CT25">
      <f>IF(OR(ISNUMBER(MISSING_PENT_6),ISNUMBER(MISSING_PENT_12)),IF(AND(ISNUMBER(MISSING_PENT_6),ISNUMBER(MISSING_PENT_12)),AND(MISSING_PENT_6,MISSING_PENT_12),IF(ISNUMBER(MISSING_PENT_6),MISSING_PENT_6,MISSING_PENT_12)),"")</f>
    </nc>
  </rcc>
  <rcc rId="2617" sId="1">
    <oc r="CT2">
      <f>IF(OR(ISNUMBER(MISSING_PENT_6),ISNUMBER(MISSING_PENT_12)),AND(MISSING_PENT_6,MISSING_PENT_12),"")</f>
    </oc>
    <nc r="CT2">
      <f>IF(OR(ISNUMBER(MISSING_PENT_6),ISNUMBER(MISSING_PENT_12)),IF(AND(ISNUMBER(MISSING_PENT_6),ISNUMBER(MISSING_PENT_12)),AND(MISSING_PENT_6,MISSING_PENT_12),IF(ISNUMBER(MISSING_PENT_6),MISSING_PENT_6,MISSING_PENT_12)),"")</f>
    </nc>
  </rcc>
  <rcc rId="2618" sId="1">
    <oc r="CT52">
      <f>IF(OR(ISNUMBER(MISSING_PENT_6),ISNUMBER(MISSING_PENT_12)),AND(MISSING_PENT_6,MISSING_PENT_12),"")</f>
    </oc>
    <nc r="CT52">
      <f>IF(OR(ISNUMBER(MISSING_PENT_6),ISNUMBER(MISSING_PENT_12)),IF(AND(ISNUMBER(MISSING_PENT_6),ISNUMBER(MISSING_PENT_12)),AND(MISSING_PENT_6,MISSING_PENT_12),IF(ISNUMBER(MISSING_PENT_6),MISSING_PENT_6,MISSING_PENT_12)),"")</f>
    </nc>
  </rcc>
  <rcc rId="2619" sId="1">
    <oc r="CT67">
      <f>IF(OR(ISNUMBER(MISSING_PENT_6),ISNUMBER(MISSING_PENT_12)),AND(MISSING_PENT_6,MISSING_PENT_12),"")</f>
    </oc>
    <nc r="CT67">
      <f>IF(OR(ISNUMBER(MISSING_PENT_6),ISNUMBER(MISSING_PENT_12)),IF(AND(ISNUMBER(MISSING_PENT_6),ISNUMBER(MISSING_PENT_12)),AND(MISSING_PENT_6,MISSING_PENT_12),IF(ISNUMBER(MISSING_PENT_6),MISSING_PENT_6,MISSING_PENT_12)),"")</f>
    </nc>
  </rcc>
  <rcc rId="2620" sId="1">
    <oc r="CT74">
      <f>IF(OR(ISNUMBER(MISSING_PENT_6),ISNUMBER(MISSING_PENT_12)),AND(MISSING_PENT_6,MISSING_PENT_12),"")</f>
    </oc>
    <nc r="CT74">
      <f>IF(OR(ISNUMBER(MISSING_PENT_6),ISNUMBER(MISSING_PENT_12)),IF(AND(ISNUMBER(MISSING_PENT_6),ISNUMBER(MISSING_PENT_12)),AND(MISSING_PENT_6,MISSING_PENT_12),IF(ISNUMBER(MISSING_PENT_6),MISSING_PENT_6,MISSING_PENT_12)),"")</f>
    </nc>
  </rcc>
  <rcc rId="2621" sId="1">
    <oc r="CT51">
      <f>IF(OR(ISNUMBER(MISSING_PENT_6),ISNUMBER(MISSING_PENT_12)),AND(MISSING_PENT_6,MISSING_PENT_12),"")</f>
    </oc>
    <nc r="CT51">
      <f>IF(OR(ISNUMBER(MISSING_PENT_6),ISNUMBER(MISSING_PENT_12)),IF(AND(ISNUMBER(MISSING_PENT_6),ISNUMBER(MISSING_PENT_12)),AND(MISSING_PENT_6,MISSING_PENT_12),IF(ISNUMBER(MISSING_PENT_6),MISSING_PENT_6,MISSING_PENT_12)),"")</f>
    </nc>
  </rcc>
  <rcc rId="2622" sId="1">
    <oc r="CT43">
      <f>IF(OR(ISNUMBER(MISSING_PENT_6),ISNUMBER(MISSING_PENT_12)),AND(MISSING_PENT_6,MISSING_PENT_12),"")</f>
    </oc>
    <nc r="CT43">
      <f>IF(OR(ISNUMBER(MISSING_PENT_6),ISNUMBER(MISSING_PENT_12)),IF(AND(ISNUMBER(MISSING_PENT_6),ISNUMBER(MISSING_PENT_12)),AND(MISSING_PENT_6,MISSING_PENT_12),IF(ISNUMBER(MISSING_PENT_6),MISSING_PENT_6,MISSING_PENT_12)),"")</f>
    </nc>
  </rcc>
  <rcc rId="2623" sId="1">
    <oc r="CT83">
      <f>IF(OR(ISNUMBER(MISSING_PENT_6),ISNUMBER(MISSING_PENT_12)),AND(MISSING_PENT_6,MISSING_PENT_12),"")</f>
    </oc>
    <nc r="CT83">
      <f>IF(OR(ISNUMBER(MISSING_PENT_6),ISNUMBER(MISSING_PENT_12)),IF(AND(ISNUMBER(MISSING_PENT_6),ISNUMBER(MISSING_PENT_12)),AND(MISSING_PENT_6,MISSING_PENT_12),IF(ISNUMBER(MISSING_PENT_6),MISSING_PENT_6,MISSING_PENT_12)),"")</f>
    </nc>
  </rcc>
  <rcc rId="2624" sId="1">
    <oc r="CT84">
      <f>IF(OR(ISNUMBER(MISSING_PENT_6),ISNUMBER(MISSING_PENT_12)),AND(MISSING_PENT_6,MISSING_PENT_12),"")</f>
    </oc>
    <nc r="CT84">
      <f>IF(OR(ISNUMBER(MISSING_PENT_6),ISNUMBER(MISSING_PENT_12)),IF(AND(ISNUMBER(MISSING_PENT_6),ISNUMBER(MISSING_PENT_12)),AND(MISSING_PENT_6,MISSING_PENT_12),IF(ISNUMBER(MISSING_PENT_6),MISSING_PENT_6,MISSING_PENT_12)),"")</f>
    </nc>
  </rcc>
  <rcc rId="2625" sId="1">
    <oc r="CT85">
      <f>IF(OR(ISNUMBER(MISSING_PENT_6),ISNUMBER(MISSING_PENT_12)),AND(MISSING_PENT_6,MISSING_PENT_12),"")</f>
    </oc>
    <nc r="CT85">
      <f>IF(OR(ISNUMBER(MISSING_PENT_6),ISNUMBER(MISSING_PENT_12)),IF(AND(ISNUMBER(MISSING_PENT_6),ISNUMBER(MISSING_PENT_12)),AND(MISSING_PENT_6,MISSING_PENT_12),IF(ISNUMBER(MISSING_PENT_6),MISSING_PENT_6,MISSING_PENT_12)),"")</f>
    </nc>
  </rcc>
  <rcc rId="2626" sId="1">
    <oc r="CT86">
      <f>IF(OR(ISNUMBER(MISSING_PENT_6),ISNUMBER(MISSING_PENT_12)),AND(MISSING_PENT_6,MISSING_PENT_12),"")</f>
    </oc>
    <nc r="CT86">
      <f>IF(OR(ISNUMBER(MISSING_PENT_6),ISNUMBER(MISSING_PENT_12)),IF(AND(ISNUMBER(MISSING_PENT_6),ISNUMBER(MISSING_PENT_12)),AND(MISSING_PENT_6,MISSING_PENT_12),IF(ISNUMBER(MISSING_PENT_6),MISSING_PENT_6,MISSING_PENT_12)),"")</f>
    </nc>
  </rcc>
  <rcc rId="2627" sId="1">
    <oc r="CT87">
      <f>IF(OR(ISNUMBER(MISSING_PENT_6),ISNUMBER(MISSING_PENT_12)),AND(MISSING_PENT_6,MISSING_PENT_12),"")</f>
    </oc>
    <nc r="CT87">
      <f>IF(OR(ISNUMBER(MISSING_PENT_6),ISNUMBER(MISSING_PENT_12)),IF(AND(ISNUMBER(MISSING_PENT_6),ISNUMBER(MISSING_PENT_12)),AND(MISSING_PENT_6,MISSING_PENT_12),IF(ISNUMBER(MISSING_PENT_6),MISSING_PENT_6,MISSING_PENT_12)),"")</f>
    </nc>
  </rcc>
  <rcc rId="2628" sId="1">
    <oc r="CT88">
      <f>IF(OR(ISNUMBER(MISSING_PENT_6),ISNUMBER(MISSING_PENT_12)),AND(MISSING_PENT_6,MISSING_PENT_12),"")</f>
    </oc>
    <nc r="CT88">
      <f>IF(OR(ISNUMBER(MISSING_PENT_6),ISNUMBER(MISSING_PENT_12)),IF(AND(ISNUMBER(MISSING_PENT_6),ISNUMBER(MISSING_PENT_12)),AND(MISSING_PENT_6,MISSING_PENT_12),IF(ISNUMBER(MISSING_PENT_6),MISSING_PENT_6,MISSING_PENT_12)),"")</f>
    </nc>
  </rcc>
  <rcc rId="2629" sId="1">
    <oc r="CT89">
      <f>IF(OR(ISNUMBER(MISSING_PENT_6),ISNUMBER(MISSING_PENT_12)),AND(MISSING_PENT_6,MISSING_PENT_12),"")</f>
    </oc>
    <nc r="CT89">
      <f>IF(OR(ISNUMBER(MISSING_PENT_6),ISNUMBER(MISSING_PENT_12)),IF(AND(ISNUMBER(MISSING_PENT_6),ISNUMBER(MISSING_PENT_12)),AND(MISSING_PENT_6,MISSING_PENT_12),IF(ISNUMBER(MISSING_PENT_6),MISSING_PENT_6,MISSING_PENT_12)),"")</f>
    </nc>
  </rcc>
  <rcc rId="2630" sId="1">
    <oc r="CT90">
      <f>IF(OR(ISNUMBER(MISSING_PENT_6),ISNUMBER(MISSING_PENT_12)),AND(MISSING_PENT_6,MISSING_PENT_12),"")</f>
    </oc>
    <nc r="CT90">
      <f>IF(OR(ISNUMBER(MISSING_PENT_6),ISNUMBER(MISSING_PENT_12)),IF(AND(ISNUMBER(MISSING_PENT_6),ISNUMBER(MISSING_PENT_12)),AND(MISSING_PENT_6,MISSING_PENT_12),IF(ISNUMBER(MISSING_PENT_6),MISSING_PENT_6,MISSING_PENT_12)),"")</f>
    </nc>
  </rcc>
  <rcc rId="2631" sId="1">
    <oc r="CT91">
      <f>IF(OR(ISNUMBER(MISSING_PENT_6),ISNUMBER(MISSING_PENT_12)),AND(MISSING_PENT_6,MISSING_PENT_12),"")</f>
    </oc>
    <nc r="CT91">
      <f>IF(OR(ISNUMBER(MISSING_PENT_6),ISNUMBER(MISSING_PENT_12)),IF(AND(ISNUMBER(MISSING_PENT_6),ISNUMBER(MISSING_PENT_12)),AND(MISSING_PENT_6,MISSING_PENT_12),IF(ISNUMBER(MISSING_PENT_6),MISSING_PENT_6,MISSING_PENT_12)),"")</f>
    </nc>
  </rcc>
  <rcc rId="2632" sId="1">
    <oc r="CT92">
      <f>IF(OR(ISNUMBER(MISSING_PENT_6),ISNUMBER(MISSING_PENT_12)),AND(MISSING_PENT_6,MISSING_PENT_12),"")</f>
    </oc>
    <nc r="CT92">
      <f>IF(OR(ISNUMBER(MISSING_PENT_6),ISNUMBER(MISSING_PENT_12)),IF(AND(ISNUMBER(MISSING_PENT_6),ISNUMBER(MISSING_PENT_12)),AND(MISSING_PENT_6,MISSING_PENT_12),IF(ISNUMBER(MISSING_PENT_6),MISSING_PENT_6,MISSING_PENT_12)),"")</f>
    </nc>
  </rcc>
  <rcc rId="2633" sId="1">
    <oc r="CT93">
      <f>IF(OR(ISNUMBER(MISSING_PENT_6),ISNUMBER(MISSING_PENT_12)),AND(MISSING_PENT_6,MISSING_PENT_12),"")</f>
    </oc>
    <nc r="CT93">
      <f>IF(OR(ISNUMBER(MISSING_PENT_6),ISNUMBER(MISSING_PENT_12)),IF(AND(ISNUMBER(MISSING_PENT_6),ISNUMBER(MISSING_PENT_12)),AND(MISSING_PENT_6,MISSING_PENT_12),IF(ISNUMBER(MISSING_PENT_6),MISSING_PENT_6,MISSING_PENT_12)),"")</f>
    </nc>
  </rcc>
  <rcc rId="2634" sId="1">
    <oc r="CT94">
      <f>IF(OR(ISNUMBER(MISSING_PENT_6),ISNUMBER(MISSING_PENT_12)),AND(MISSING_PENT_6,MISSING_PENT_12),"")</f>
    </oc>
    <nc r="CT94">
      <f>IF(OR(ISNUMBER(MISSING_PENT_6),ISNUMBER(MISSING_PENT_12)),IF(AND(ISNUMBER(MISSING_PENT_6),ISNUMBER(MISSING_PENT_12)),AND(MISSING_PENT_6,MISSING_PENT_12),IF(ISNUMBER(MISSING_PENT_6),MISSING_PENT_6,MISSING_PENT_12)),"")</f>
    </nc>
  </rcc>
  <rcc rId="2635" sId="1">
    <oc r="CT95">
      <f>IF(OR(ISNUMBER(MISSING_PENT_6),ISNUMBER(MISSING_PENT_12)),AND(MISSING_PENT_6,MISSING_PENT_12),"")</f>
    </oc>
    <nc r="CT95">
      <f>IF(OR(ISNUMBER(MISSING_PENT_6),ISNUMBER(MISSING_PENT_12)),IF(AND(ISNUMBER(MISSING_PENT_6),ISNUMBER(MISSING_PENT_12)),AND(MISSING_PENT_6,MISSING_PENT_12),IF(ISNUMBER(MISSING_PENT_6),MISSING_PENT_6,MISSING_PENT_12)),"")</f>
    </nc>
  </rcc>
  <rcc rId="2636" sId="1">
    <oc r="CT96">
      <f>IF(OR(ISNUMBER(MISSING_PENT_6),ISNUMBER(MISSING_PENT_12)),AND(MISSING_PENT_6,MISSING_PENT_12),"")</f>
    </oc>
    <nc r="CT96">
      <f>IF(OR(ISNUMBER(MISSING_PENT_6),ISNUMBER(MISSING_PENT_12)),IF(AND(ISNUMBER(MISSING_PENT_6),ISNUMBER(MISSING_PENT_12)),AND(MISSING_PENT_6,MISSING_PENT_12),IF(ISNUMBER(MISSING_PENT_6),MISSING_PENT_6,MISSING_PENT_12)),"")</f>
    </nc>
  </rcc>
  <rcc rId="2637" sId="1">
    <oc r="CT97">
      <f>IF(OR(ISNUMBER(MISSING_PENT_6),ISNUMBER(MISSING_PENT_12)),AND(MISSING_PENT_6,MISSING_PENT_12),"")</f>
    </oc>
    <nc r="CT97">
      <f>IF(OR(ISNUMBER(MISSING_PENT_6),ISNUMBER(MISSING_PENT_12)),IF(AND(ISNUMBER(MISSING_PENT_6),ISNUMBER(MISSING_PENT_12)),AND(MISSING_PENT_6,MISSING_PENT_12),IF(ISNUMBER(MISSING_PENT_6),MISSING_PENT_6,MISSING_PENT_12)),"")</f>
    </nc>
  </rcc>
  <rcc rId="2638" sId="1">
    <oc r="CT98">
      <f>IF(OR(ISNUMBER(MISSING_PENT_6),ISNUMBER(MISSING_PENT_12)),AND(MISSING_PENT_6,MISSING_PENT_12),"")</f>
    </oc>
    <nc r="CT98">
      <f>IF(OR(ISNUMBER(MISSING_PENT_6),ISNUMBER(MISSING_PENT_12)),IF(AND(ISNUMBER(MISSING_PENT_6),ISNUMBER(MISSING_PENT_12)),AND(MISSING_PENT_6,MISSING_PENT_12),IF(ISNUMBER(MISSING_PENT_6),MISSING_PENT_6,MISSING_PENT_12)),"")</f>
    </nc>
  </rcc>
  <rcc rId="2639" sId="1">
    <oc r="CT99">
      <f>IF(OR(ISNUMBER(MISSING_PENT_6),ISNUMBER(MISSING_PENT_12)),AND(MISSING_PENT_6,MISSING_PENT_12),"")</f>
    </oc>
    <nc r="CT99">
      <f>IF(OR(ISNUMBER(MISSING_PENT_6),ISNUMBER(MISSING_PENT_12)),IF(AND(ISNUMBER(MISSING_PENT_6),ISNUMBER(MISSING_PENT_12)),AND(MISSING_PENT_6,MISSING_PENT_12),IF(ISNUMBER(MISSING_PENT_6),MISSING_PENT_6,MISSING_PENT_12)),"")</f>
    </nc>
  </rcc>
  <rcc rId="2640" sId="1">
    <oc r="CT100">
      <f>IF(OR(ISNUMBER(MISSING_PENT_6),ISNUMBER(MISSING_PENT_12)),AND(MISSING_PENT_6,MISSING_PENT_12),"")</f>
    </oc>
    <nc r="CT100">
      <f>IF(OR(ISNUMBER(MISSING_PENT_6),ISNUMBER(MISSING_PENT_12)),IF(AND(ISNUMBER(MISSING_PENT_6),ISNUMBER(MISSING_PENT_12)),AND(MISSING_PENT_6,MISSING_PENT_12),IF(ISNUMBER(MISSING_PENT_6),MISSING_PENT_6,MISSING_PENT_12)),"")</f>
    </nc>
  </rcc>
  <rcc rId="2641" sId="1">
    <oc r="CT101">
      <f>IF(OR(ISNUMBER(MISSING_PENT_6),ISNUMBER(MISSING_PENT_12)),AND(MISSING_PENT_6,MISSING_PENT_12),"")</f>
    </oc>
    <nc r="CT101">
      <f>IF(OR(ISNUMBER(MISSING_PENT_6),ISNUMBER(MISSING_PENT_12)),IF(AND(ISNUMBER(MISSING_PENT_6),ISNUMBER(MISSING_PENT_12)),AND(MISSING_PENT_6,MISSING_PENT_12),IF(ISNUMBER(MISSING_PENT_6),MISSING_PENT_6,MISSING_PENT_12)),"")</f>
    </nc>
  </rcc>
  <rcc rId="2642" sId="1">
    <oc r="CT102">
      <f>IF(OR(ISNUMBER(MISSING_PENT_6),ISNUMBER(MISSING_PENT_12)),AND(MISSING_PENT_6,MISSING_PENT_12),"")</f>
    </oc>
    <nc r="CT102">
      <f>IF(OR(ISNUMBER(MISSING_PENT_6),ISNUMBER(MISSING_PENT_12)),IF(AND(ISNUMBER(MISSING_PENT_6),ISNUMBER(MISSING_PENT_12)),AND(MISSING_PENT_6,MISSING_PENT_12),IF(ISNUMBER(MISSING_PENT_6),MISSING_PENT_6,MISSING_PENT_12)),"")</f>
    </nc>
  </rcc>
  <rcc rId="2643" sId="1">
    <oc r="CT103">
      <f>IF(OR(ISNUMBER(MISSING_PENT_6),ISNUMBER(MISSING_PENT_12)),AND(MISSING_PENT_6,MISSING_PENT_12),"")</f>
    </oc>
    <nc r="CT103">
      <f>IF(OR(ISNUMBER(MISSING_PENT_6),ISNUMBER(MISSING_PENT_12)),IF(AND(ISNUMBER(MISSING_PENT_6),ISNUMBER(MISSING_PENT_12)),AND(MISSING_PENT_6,MISSING_PENT_12),IF(ISNUMBER(MISSING_PENT_6),MISSING_PENT_6,MISSING_PENT_12)),"")</f>
    </nc>
  </rcc>
  <rcc rId="2644" sId="1">
    <oc r="CT104">
      <f>IF(OR(ISNUMBER(MISSING_PENT_6),ISNUMBER(MISSING_PENT_12)),AND(MISSING_PENT_6,MISSING_PENT_12),"")</f>
    </oc>
    <nc r="CT104">
      <f>IF(OR(ISNUMBER(MISSING_PENT_6),ISNUMBER(MISSING_PENT_12)),IF(AND(ISNUMBER(MISSING_PENT_6),ISNUMBER(MISSING_PENT_12)),AND(MISSING_PENT_6,MISSING_PENT_12),IF(ISNUMBER(MISSING_PENT_6),MISSING_PENT_6,MISSING_PENT_12)),"")</f>
    </nc>
  </rcc>
  <rcc rId="2645" sId="1">
    <oc r="CT105">
      <f>IF(OR(ISNUMBER(MISSING_PENT_6),ISNUMBER(MISSING_PENT_12)),AND(MISSING_PENT_6,MISSING_PENT_12),"")</f>
    </oc>
    <nc r="CT105">
      <f>IF(OR(ISNUMBER(MISSING_PENT_6),ISNUMBER(MISSING_PENT_12)),IF(AND(ISNUMBER(MISSING_PENT_6),ISNUMBER(MISSING_PENT_12)),AND(MISSING_PENT_6,MISSING_PENT_12),IF(ISNUMBER(MISSING_PENT_6),MISSING_PENT_6,MISSING_PENT_12)),"")</f>
    </nc>
  </rcc>
  <rcc rId="2646" sId="1">
    <oc r="CT106">
      <f>IF(OR(ISNUMBER(MISSING_PENT_6),ISNUMBER(MISSING_PENT_12)),AND(MISSING_PENT_6,MISSING_PENT_12),"")</f>
    </oc>
    <nc r="CT106">
      <f>IF(OR(ISNUMBER(MISSING_PENT_6),ISNUMBER(MISSING_PENT_12)),IF(AND(ISNUMBER(MISSING_PENT_6),ISNUMBER(MISSING_PENT_12)),AND(MISSING_PENT_6,MISSING_PENT_12),IF(ISNUMBER(MISSING_PENT_6),MISSING_PENT_6,MISSING_PENT_12)),"")</f>
    </nc>
  </rcc>
  <rcc rId="2647" sId="1">
    <oc r="CT108">
      <f>IF(OR(ISNUMBER(MISSING_PENT_6),ISNUMBER(MISSING_PENT_12)),AND(MISSING_PENT_6,MISSING_PENT_12),"")</f>
    </oc>
    <nc r="CT108">
      <f>IF(OR(ISNUMBER(MISSING_PENT_6),ISNUMBER(MISSING_PENT_12)),IF(AND(ISNUMBER(MISSING_PENT_6),ISNUMBER(MISSING_PENT_12)),AND(MISSING_PENT_6,MISSING_PENT_12),IF(ISNUMBER(MISSING_PENT_6),MISSING_PENT_6,MISSING_PENT_12)),"")</f>
    </nc>
  </rcc>
  <rcc rId="2648" sId="1">
    <oc r="CT109">
      <f>IF(OR(ISNUMBER(MISSING_PENT_6),ISNUMBER(MISSING_PENT_12)),AND(MISSING_PENT_6,MISSING_PENT_12),"")</f>
    </oc>
    <nc r="CT109">
      <f>IF(OR(ISNUMBER(MISSING_PENT_6),ISNUMBER(MISSING_PENT_12)),IF(AND(ISNUMBER(MISSING_PENT_6),ISNUMBER(MISSING_PENT_12)),AND(MISSING_PENT_6,MISSING_PENT_12),IF(ISNUMBER(MISSING_PENT_6),MISSING_PENT_6,MISSING_PENT_12)),"")</f>
    </nc>
  </rcc>
  <rcc rId="2649" sId="1">
    <oc r="CT110">
      <f>IF(OR(ISNUMBER(MISSING_PENT_6),ISNUMBER(MISSING_PENT_12)),AND(MISSING_PENT_6,MISSING_PENT_12),"")</f>
    </oc>
    <nc r="CT110">
      <f>IF(OR(ISNUMBER(MISSING_PENT_6),ISNUMBER(MISSING_PENT_12)),IF(AND(ISNUMBER(MISSING_PENT_6),ISNUMBER(MISSING_PENT_12)),AND(MISSING_PENT_6,MISSING_PENT_12),IF(ISNUMBER(MISSING_PENT_6),MISSING_PENT_6,MISSING_PENT_12)),"")</f>
    </nc>
  </rcc>
  <rcc rId="2650" sId="1">
    <oc r="CT111">
      <f>IF(OR(ISNUMBER(MISSING_PENT_6),ISNUMBER(MISSING_PENT_12)),AND(MISSING_PENT_6,MISSING_PENT_12),"")</f>
    </oc>
    <nc r="CT111">
      <f>IF(OR(ISNUMBER(MISSING_PENT_6),ISNUMBER(MISSING_PENT_12)),IF(AND(ISNUMBER(MISSING_PENT_6),ISNUMBER(MISSING_PENT_12)),AND(MISSING_PENT_6,MISSING_PENT_12),IF(ISNUMBER(MISSING_PENT_6),MISSING_PENT_6,MISSING_PENT_12)),"")</f>
    </nc>
  </rcc>
  <rcc rId="2651" sId="1">
    <oc r="CT112">
      <f>IF(OR(ISNUMBER(MISSING_PENT_6),ISNUMBER(MISSING_PENT_12)),AND(MISSING_PENT_6,MISSING_PENT_12),"")</f>
    </oc>
    <nc r="CT112">
      <f>IF(OR(ISNUMBER(MISSING_PENT_6),ISNUMBER(MISSING_PENT_12)),IF(AND(ISNUMBER(MISSING_PENT_6),ISNUMBER(MISSING_PENT_12)),AND(MISSING_PENT_6,MISSING_PENT_12),IF(ISNUMBER(MISSING_PENT_6),MISSING_PENT_6,MISSING_PENT_12)),"")</f>
    </nc>
  </rcc>
  <rcc rId="2652" sId="1">
    <oc r="CT113">
      <f>IF(OR(ISNUMBER(MISSING_PENT_6),ISNUMBER(MISSING_PENT_12)),AND(MISSING_PENT_6,MISSING_PENT_12),"")</f>
    </oc>
    <nc r="CT113">
      <f>IF(OR(ISNUMBER(MISSING_PENT_6),ISNUMBER(MISSING_PENT_12)),IF(AND(ISNUMBER(MISSING_PENT_6),ISNUMBER(MISSING_PENT_12)),AND(MISSING_PENT_6,MISSING_PENT_12),IF(ISNUMBER(MISSING_PENT_6),MISSING_PENT_6,MISSING_PENT_12)),"")</f>
    </nc>
  </rcc>
  <rcc rId="2653" sId="1">
    <oc r="CT115">
      <f>IF(OR(ISNUMBER(MISSING_PENT_6),ISNUMBER(MISSING_PENT_12)),AND(MISSING_PENT_6,MISSING_PENT_12),"")</f>
    </oc>
    <nc r="CT115">
      <f>IF(OR(ISNUMBER(MISSING_PENT_6),ISNUMBER(MISSING_PENT_12)),IF(AND(ISNUMBER(MISSING_PENT_6),ISNUMBER(MISSING_PENT_12)),AND(MISSING_PENT_6,MISSING_PENT_12),IF(ISNUMBER(MISSING_PENT_6),MISSING_PENT_6,MISSING_PENT_12)),"")</f>
    </nc>
  </rcc>
  <rcc rId="2654" sId="1">
    <oc r="CT116">
      <f>IF(OR(ISNUMBER(MISSING_PENT_6),ISNUMBER(MISSING_PENT_12)),AND(MISSING_PENT_6,MISSING_PENT_12),"")</f>
    </oc>
    <nc r="CT116">
      <f>IF(OR(ISNUMBER(MISSING_PENT_6),ISNUMBER(MISSING_PENT_12)),IF(AND(ISNUMBER(MISSING_PENT_6),ISNUMBER(MISSING_PENT_12)),AND(MISSING_PENT_6,MISSING_PENT_12),IF(ISNUMBER(MISSING_PENT_6),MISSING_PENT_6,MISSING_PENT_12)),"")</f>
    </nc>
  </rcc>
  <rcc rId="2655" sId="1">
    <oc r="CT118">
      <f>IF(OR(ISNUMBER(MISSING_PENT_6),ISNUMBER(MISSING_PENT_12)),AND(MISSING_PENT_6,MISSING_PENT_12),"")</f>
    </oc>
    <nc r="CT118">
      <f>IF(OR(ISNUMBER(MISSING_PENT_6),ISNUMBER(MISSING_PENT_12)),IF(AND(ISNUMBER(MISSING_PENT_6),ISNUMBER(MISSING_PENT_12)),AND(MISSING_PENT_6,MISSING_PENT_12),IF(ISNUMBER(MISSING_PENT_6),MISSING_PENT_6,MISSING_PENT_12)),"")</f>
    </nc>
  </rcc>
  <rcc rId="2656" sId="1">
    <oc r="CT120">
      <f>IF(OR(ISNUMBER(MISSING_PENT_6),ISNUMBER(MISSING_PENT_12)),AND(MISSING_PENT_6,MISSING_PENT_12),"")</f>
    </oc>
    <nc r="CT120">
      <f>IF(OR(ISNUMBER(MISSING_PENT_6),ISNUMBER(MISSING_PENT_12)),IF(AND(ISNUMBER(MISSING_PENT_6),ISNUMBER(MISSING_PENT_12)),AND(MISSING_PENT_6,MISSING_PENT_12),IF(ISNUMBER(MISSING_PENT_6),MISSING_PENT_6,MISSING_PENT_12)),"")</f>
    </nc>
  </rcc>
  <rcc rId="2657" sId="1">
    <oc r="CT121">
      <f>IF(OR(ISNUMBER(MISSING_PENT_6),ISNUMBER(MISSING_PENT_12)),AND(MISSING_PENT_6,MISSING_PENT_12),"")</f>
    </oc>
    <nc r="CT121">
      <f>IF(OR(ISNUMBER(MISSING_PENT_6),ISNUMBER(MISSING_PENT_12)),IF(AND(ISNUMBER(MISSING_PENT_6),ISNUMBER(MISSING_PENT_12)),AND(MISSING_PENT_6,MISSING_PENT_12),IF(ISNUMBER(MISSING_PENT_6),MISSING_PENT_6,MISSING_PENT_12)),"")</f>
    </nc>
  </rcc>
  <rcc rId="2658" sId="1">
    <oc r="CT122">
      <f>IF(OR(ISNUMBER(MISSING_PENT_6),ISNUMBER(MISSING_PENT_12)),AND(MISSING_PENT_6,MISSING_PENT_12),"")</f>
    </oc>
    <nc r="CT122">
      <f>IF(OR(ISNUMBER(MISSING_PENT_6),ISNUMBER(MISSING_PENT_12)),IF(AND(ISNUMBER(MISSING_PENT_6),ISNUMBER(MISSING_PENT_12)),AND(MISSING_PENT_6,MISSING_PENT_12),IF(ISNUMBER(MISSING_PENT_6),MISSING_PENT_6,MISSING_PENT_12)),"")</f>
    </nc>
  </rcc>
  <rcc rId="2659" sId="1">
    <oc r="CT123">
      <f>IF(OR(ISNUMBER(MISSING_PENT_6),ISNUMBER(MISSING_PENT_12)),AND(MISSING_PENT_6,MISSING_PENT_12),"")</f>
    </oc>
    <nc r="CT123">
      <f>IF(OR(ISNUMBER(MISSING_PENT_6),ISNUMBER(MISSING_PENT_12)),IF(AND(ISNUMBER(MISSING_PENT_6),ISNUMBER(MISSING_PENT_12)),AND(MISSING_PENT_6,MISSING_PENT_12),IF(ISNUMBER(MISSING_PENT_6),MISSING_PENT_6,MISSING_PENT_12)),"")</f>
    </nc>
  </rcc>
  <rcc rId="2660" sId="1">
    <oc r="CT124">
      <f>IF(OR(ISNUMBER(MISSING_PENT_6),ISNUMBER(MISSING_PENT_12)),AND(MISSING_PENT_6,MISSING_PENT_12),"")</f>
    </oc>
    <nc r="CT124">
      <f>IF(OR(ISNUMBER(MISSING_PENT_6),ISNUMBER(MISSING_PENT_12)),IF(AND(ISNUMBER(MISSING_PENT_6),ISNUMBER(MISSING_PENT_12)),AND(MISSING_PENT_6,MISSING_PENT_12),IF(ISNUMBER(MISSING_PENT_6),MISSING_PENT_6,MISSING_PENT_12)),"")</f>
    </nc>
  </rcc>
  <rcc rId="2661" sId="1">
    <oc r="CT125">
      <f>IF(OR(ISNUMBER(MISSING_PENT_6),ISNUMBER(MISSING_PENT_12)),AND(MISSING_PENT_6,MISSING_PENT_12),"")</f>
    </oc>
    <nc r="CT125">
      <f>IF(OR(ISNUMBER(MISSING_PENT_6),ISNUMBER(MISSING_PENT_12)),IF(AND(ISNUMBER(MISSING_PENT_6),ISNUMBER(MISSING_PENT_12)),AND(MISSING_PENT_6,MISSING_PENT_12),IF(ISNUMBER(MISSING_PENT_6),MISSING_PENT_6,MISSING_PENT_12)),"")</f>
    </nc>
  </rcc>
  <rcc rId="2662" sId="1">
    <nc r="CT127">
      <f>IF(OR(ISNUMBER(MISSING_PENT_6),ISNUMBER(MISSING_PENT_12)),IF(AND(ISNUMBER(MISSING_PENT_6),ISNUMBER(MISSING_PENT_12)),AND(MISSING_PENT_6,MISSING_PENT_12),IF(ISNUMBER(MISSING_PENT_6),MISSING_PENT_6,MISSING_PENT_12)),"")</f>
    </nc>
  </rcc>
  <rfmt sheetId="1" sqref="CT1:CT1048576">
    <dxf>
      <numFmt numFmtId="167" formatCode="&quot;TRUE&quot;;&quot;FALSE&quot;;&quot;FALSE&quot;;@"/>
    </dxf>
  </rfmt>
  <rcv guid="{54C114DD-C157-4E30-91DC-9B94C55E8054}" action="delete"/>
  <rcv guid="{54C114DD-C157-4E30-91DC-9B94C55E8054}"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3" sId="1">
    <oc r="CT1" t="inlineStr">
      <is>
        <t>[Calc] Missing all followup pentacam</t>
      </is>
    </oc>
    <nc r="CT1" t="inlineStr">
      <is>
        <t>[Calc] Missing all followup pentacam with known preop</t>
      </is>
    </nc>
  </rcc>
  <rfmt sheetId="1" sqref="CT41" start="0" length="0">
    <dxf>
      <font>
        <sz val="10"/>
        <color auto="1"/>
        <name val="Arial"/>
        <scheme val="none"/>
      </font>
    </dxf>
  </rfmt>
  <rfmt sheetId="1" sqref="CT1:CT1048576">
    <dxf>
      <numFmt numFmtId="0" formatCode="General"/>
    </dxf>
  </rfmt>
  <rcc rId="2664" sId="1">
    <oc r="CT41">
      <f>IF(OR(ISNUMBER(MISSING_PENT_6),ISNUMBER(MISSING_PENT_12)),IF(AND(ISNUMBER(MISSING_PENT_6),ISNUMBER(MISSING_PENT_12)),AND(MISSING_PENT_6,MISSING_PENT_12),IF(ISNUMBER(MISSING_PENT_6),MISSING_PENT_6,MISSING_PENT_12)),"")</f>
    </oc>
    <nc r="CT41">
      <f>IF(OR(ISNUMBER(MISSING_PENT_6),ISNUMBER(MISSING_PENT_12)),IF(AND(ISNUMBER(MISSING_PENT_6),ISNUMBER(MISSING_PENT_12)),AND(MISSING_PENT_6,MISSING_PENT_12),IF(ISNUMBER(MISSING_PENT_6),INT(MISSING_PENT_6)&gt;0,INT(MISSING_PENT_12)&gt;0)),"")</f>
    </nc>
  </rcc>
  <rcc rId="2665" sId="1" odxf="1" dxf="1">
    <oc r="CT34">
      <f>IF(OR(ISNUMBER(MISSING_PENT_6),ISNUMBER(MISSING_PENT_12)),IF(AND(ISNUMBER(MISSING_PENT_6),ISNUMBER(MISSING_PENT_12)),AND(MISSING_PENT_6,MISSING_PENT_12),IF(ISNUMBER(MISSING_PENT_6),MISSING_PENT_6,MISSING_PENT_12)),"")</f>
    </oc>
    <nc r="CT3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66" sId="1" odxf="1" dxf="1">
    <oc r="CT46">
      <f>IF(OR(ISNUMBER(MISSING_PENT_6),ISNUMBER(MISSING_PENT_12)),IF(AND(ISNUMBER(MISSING_PENT_6),ISNUMBER(MISSING_PENT_12)),AND(MISSING_PENT_6,MISSING_PENT_12),IF(ISNUMBER(MISSING_PENT_6),MISSING_PENT_6,MISSING_PENT_12)),"")</f>
    </oc>
    <nc r="CT4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67" sId="1" odxf="1" dxf="1">
    <oc r="CT32">
      <f>IF(OR(ISNUMBER(MISSING_PENT_6),ISNUMBER(MISSING_PENT_12)),IF(AND(ISNUMBER(MISSING_PENT_6),ISNUMBER(MISSING_PENT_12)),AND(MISSING_PENT_6,MISSING_PENT_12),IF(ISNUMBER(MISSING_PENT_6),MISSING_PENT_6,MISSING_PENT_12)),"")</f>
    </oc>
    <nc r="CT3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68" sId="1" odxf="1" dxf="1">
    <oc r="CT82">
      <f>IF(OR(ISNUMBER(MISSING_PENT_6),ISNUMBER(MISSING_PENT_12)),IF(AND(ISNUMBER(MISSING_PENT_6),ISNUMBER(MISSING_PENT_12)),AND(MISSING_PENT_6,MISSING_PENT_12),IF(ISNUMBER(MISSING_PENT_6),MISSING_PENT_6,MISSING_PENT_12)),"")</f>
    </oc>
    <nc r="CT8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69" sId="1" odxf="1" dxf="1">
    <oc r="CT42">
      <f>IF(OR(ISNUMBER(MISSING_PENT_6),ISNUMBER(MISSING_PENT_12)),IF(AND(ISNUMBER(MISSING_PENT_6),ISNUMBER(MISSING_PENT_12)),AND(MISSING_PENT_6,MISSING_PENT_12),IF(ISNUMBER(MISSING_PENT_6),MISSING_PENT_6,MISSING_PENT_12)),"")</f>
    </oc>
    <nc r="CT4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70" sId="1" odxf="1" dxf="1">
    <oc r="CT61">
      <f>IF(OR(ISNUMBER(MISSING_PENT_6),ISNUMBER(MISSING_PENT_12)),IF(AND(ISNUMBER(MISSING_PENT_6),ISNUMBER(MISSING_PENT_12)),AND(MISSING_PENT_6,MISSING_PENT_12),IF(ISNUMBER(MISSING_PENT_6),MISSING_PENT_6,MISSING_PENT_12)),"")</f>
    </oc>
    <nc r="CT6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71" sId="1" odxf="1" dxf="1">
    <oc r="CT49">
      <f>IF(OR(ISNUMBER(MISSING_PENT_6),ISNUMBER(MISSING_PENT_12)),IF(AND(ISNUMBER(MISSING_PENT_6),ISNUMBER(MISSING_PENT_12)),AND(MISSING_PENT_6,MISSING_PENT_12),IF(ISNUMBER(MISSING_PENT_6),MISSING_PENT_6,MISSING_PENT_12)),"")</f>
    </oc>
    <nc r="CT4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72" sId="1" odxf="1" dxf="1">
    <oc r="CT33">
      <f>IF(OR(ISNUMBER(MISSING_PENT_6),ISNUMBER(MISSING_PENT_12)),IF(AND(ISNUMBER(MISSING_PENT_6),ISNUMBER(MISSING_PENT_12)),AND(MISSING_PENT_6,MISSING_PENT_12),IF(ISNUMBER(MISSING_PENT_6),MISSING_PENT_6,MISSING_PENT_12)),"")</f>
    </oc>
    <nc r="CT3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73" sId="1" odxf="1" dxf="1">
    <oc r="CT65">
      <f>IF(OR(ISNUMBER(MISSING_PENT_6),ISNUMBER(MISSING_PENT_12)),IF(AND(ISNUMBER(MISSING_PENT_6),ISNUMBER(MISSING_PENT_12)),AND(MISSING_PENT_6,MISSING_PENT_12),IF(ISNUMBER(MISSING_PENT_6),MISSING_PENT_6,MISSING_PENT_12)),"")</f>
    </oc>
    <nc r="CT6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74" sId="1" odxf="1" dxf="1">
    <oc r="CT39">
      <f>IF(OR(ISNUMBER(MISSING_PENT_6),ISNUMBER(MISSING_PENT_12)),IF(AND(ISNUMBER(MISSING_PENT_6),ISNUMBER(MISSING_PENT_12)),AND(MISSING_PENT_6,MISSING_PENT_12),IF(ISNUMBER(MISSING_PENT_6),MISSING_PENT_6,MISSING_PENT_12)),"")</f>
    </oc>
    <nc r="CT3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75" sId="1" odxf="1" dxf="1">
    <oc r="CT71">
      <f>IF(OR(ISNUMBER(MISSING_PENT_6),ISNUMBER(MISSING_PENT_12)),IF(AND(ISNUMBER(MISSING_PENT_6),ISNUMBER(MISSING_PENT_12)),AND(MISSING_PENT_6,MISSING_PENT_12),IF(ISNUMBER(MISSING_PENT_6),MISSING_PENT_6,MISSING_PENT_12)),"")</f>
    </oc>
    <nc r="CT7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76" sId="1" odxf="1" dxf="1">
    <oc r="CT69">
      <f>IF(OR(ISNUMBER(MISSING_PENT_6),ISNUMBER(MISSING_PENT_12)),IF(AND(ISNUMBER(MISSING_PENT_6),ISNUMBER(MISSING_PENT_12)),AND(MISSING_PENT_6,MISSING_PENT_12),IF(ISNUMBER(MISSING_PENT_6),MISSING_PENT_6,MISSING_PENT_12)),"")</f>
    </oc>
    <nc r="CT6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77" sId="1" odxf="1" dxf="1">
    <oc r="CT37">
      <f>IF(OR(ISNUMBER(MISSING_PENT_6),ISNUMBER(MISSING_PENT_12)),IF(AND(ISNUMBER(MISSING_PENT_6),ISNUMBER(MISSING_PENT_12)),AND(MISSING_PENT_6,MISSING_PENT_12),IF(ISNUMBER(MISSING_PENT_6),MISSING_PENT_6,MISSING_PENT_12)),"")</f>
    </oc>
    <nc r="CT3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78" sId="1" odxf="1" dxf="1">
    <oc r="CT31">
      <f>IF(OR(ISNUMBER(MISSING_PENT_6),ISNUMBER(MISSING_PENT_12)),IF(AND(ISNUMBER(MISSING_PENT_6),ISNUMBER(MISSING_PENT_12)),AND(MISSING_PENT_6,MISSING_PENT_12),IF(ISNUMBER(MISSING_PENT_6),MISSING_PENT_6,MISSING_PENT_12)),"")</f>
    </oc>
    <nc r="CT3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79" sId="1" odxf="1" dxf="1">
    <oc r="CT64">
      <f>IF(OR(ISNUMBER(MISSING_PENT_6),ISNUMBER(MISSING_PENT_12)),IF(AND(ISNUMBER(MISSING_PENT_6),ISNUMBER(MISSING_PENT_12)),AND(MISSING_PENT_6,MISSING_PENT_12),IF(ISNUMBER(MISSING_PENT_6),MISSING_PENT_6,MISSING_PENT_12)),"")</f>
    </oc>
    <nc r="CT6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80" sId="1" odxf="1" dxf="1">
    <oc r="CT119">
      <f>IF(OR(ISNUMBER(MISSING_PENT_6),ISNUMBER(MISSING_PENT_12)),IF(AND(ISNUMBER(MISSING_PENT_6),ISNUMBER(MISSING_PENT_12)),AND(MISSING_PENT_6,MISSING_PENT_12),IF(ISNUMBER(MISSING_PENT_6),MISSING_PENT_6,MISSING_PENT_12)),"")</f>
    </oc>
    <nc r="CT11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81" sId="1" odxf="1" dxf="1">
    <oc r="CT62">
      <f>IF(OR(ISNUMBER(MISSING_PENT_6),ISNUMBER(MISSING_PENT_12)),IF(AND(ISNUMBER(MISSING_PENT_6),ISNUMBER(MISSING_PENT_12)),AND(MISSING_PENT_6,MISSING_PENT_12),IF(ISNUMBER(MISSING_PENT_6),MISSING_PENT_6,MISSING_PENT_12)),"")</f>
    </oc>
    <nc r="CT6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82" sId="1" odxf="1" dxf="1">
    <oc r="CT51">
      <f>IF(OR(ISNUMBER(MISSING_PENT_6),ISNUMBER(MISSING_PENT_12)),IF(AND(ISNUMBER(MISSING_PENT_6),ISNUMBER(MISSING_PENT_12)),AND(MISSING_PENT_6,MISSING_PENT_12),IF(ISNUMBER(MISSING_PENT_6),MISSING_PENT_6,MISSING_PENT_12)),"")</f>
    </oc>
    <nc r="CT5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83" sId="1" odxf="1" dxf="1">
    <oc r="CT80">
      <f>IF(OR(ISNUMBER(MISSING_PENT_6),ISNUMBER(MISSING_PENT_12)),IF(AND(ISNUMBER(MISSING_PENT_6),ISNUMBER(MISSING_PENT_12)),AND(MISSING_PENT_6,MISSING_PENT_12),IF(ISNUMBER(MISSING_PENT_6),MISSING_PENT_6,MISSING_PENT_12)),"")</f>
    </oc>
    <nc r="CT8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84" sId="1" odxf="1" dxf="1">
    <oc r="CT47">
      <f>IF(OR(ISNUMBER(MISSING_PENT_6),ISNUMBER(MISSING_PENT_12)),IF(AND(ISNUMBER(MISSING_PENT_6),ISNUMBER(MISSING_PENT_12)),AND(MISSING_PENT_6,MISSING_PENT_12),IF(ISNUMBER(MISSING_PENT_6),MISSING_PENT_6,MISSING_PENT_12)),"")</f>
    </oc>
    <nc r="CT4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85" sId="1" odxf="1" dxf="1">
    <oc r="CT44">
      <f>IF(OR(ISNUMBER(MISSING_PENT_6),ISNUMBER(MISSING_PENT_12)),IF(AND(ISNUMBER(MISSING_PENT_6),ISNUMBER(MISSING_PENT_12)),AND(MISSING_PENT_6,MISSING_PENT_12),IF(ISNUMBER(MISSING_PENT_6),MISSING_PENT_6,MISSING_PENT_12)),"")</f>
    </oc>
    <nc r="CT4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86" sId="1" odxf="1" dxf="1">
    <oc r="CT75">
      <f>IF(OR(ISNUMBER(MISSING_PENT_6),ISNUMBER(MISSING_PENT_12)),IF(AND(ISNUMBER(MISSING_PENT_6),ISNUMBER(MISSING_PENT_12)),AND(MISSING_PENT_6,MISSING_PENT_12),IF(ISNUMBER(MISSING_PENT_6),MISSING_PENT_6,MISSING_PENT_12)),"")</f>
    </oc>
    <nc r="CT7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87" sId="1" odxf="1" dxf="1">
    <oc r="CT78">
      <f>IF(OR(ISNUMBER(MISSING_PENT_6),ISNUMBER(MISSING_PENT_12)),IF(AND(ISNUMBER(MISSING_PENT_6),ISNUMBER(MISSING_PENT_12)),AND(MISSING_PENT_6,MISSING_PENT_12),IF(ISNUMBER(MISSING_PENT_6),MISSING_PENT_6,MISSING_PENT_12)),"")</f>
    </oc>
    <nc r="CT7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88" sId="1" odxf="1" dxf="1">
    <oc r="CT126">
      <f>IF(OR(ISNUMBER(MISSING_PENT_6),ISNUMBER(MISSING_PENT_12)),IF(AND(ISNUMBER(MISSING_PENT_6),ISNUMBER(MISSING_PENT_12)),AND(MISSING_PENT_6,MISSING_PENT_12),IF(ISNUMBER(MISSING_PENT_6),MISSING_PENT_6,MISSING_PENT_12)),"")</f>
    </oc>
    <nc r="CT12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89" sId="1" odxf="1" dxf="1">
    <oc r="CT70">
      <f>IF(OR(ISNUMBER(MISSING_PENT_6),ISNUMBER(MISSING_PENT_12)),IF(AND(ISNUMBER(MISSING_PENT_6),ISNUMBER(MISSING_PENT_12)),AND(MISSING_PENT_6,MISSING_PENT_12),IF(ISNUMBER(MISSING_PENT_6),MISSING_PENT_6,MISSING_PENT_12)),"")</f>
    </oc>
    <nc r="CT7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90" sId="1" odxf="1" dxf="1">
    <oc r="CT117">
      <f>IF(OR(ISNUMBER(MISSING_PENT_6),ISNUMBER(MISSING_PENT_12)),IF(AND(ISNUMBER(MISSING_PENT_6),ISNUMBER(MISSING_PENT_12)),AND(MISSING_PENT_6,MISSING_PENT_12),IF(ISNUMBER(MISSING_PENT_6),MISSING_PENT_6,MISSING_PENT_12)),"")</f>
    </oc>
    <nc r="CT11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91" sId="1" odxf="1" dxf="1">
    <oc r="CT73">
      <f>IF(OR(ISNUMBER(MISSING_PENT_6),ISNUMBER(MISSING_PENT_12)),IF(AND(ISNUMBER(MISSING_PENT_6),ISNUMBER(MISSING_PENT_12)),AND(MISSING_PENT_6,MISSING_PENT_12),IF(ISNUMBER(MISSING_PENT_6),MISSING_PENT_6,MISSING_PENT_12)),"")</f>
    </oc>
    <nc r="CT7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92" sId="1" odxf="1" dxf="1">
    <oc r="CT57">
      <f>IF(OR(ISNUMBER(MISSING_PENT_6),ISNUMBER(MISSING_PENT_12)),IF(AND(ISNUMBER(MISSING_PENT_6),ISNUMBER(MISSING_PENT_12)),AND(MISSING_PENT_6,MISSING_PENT_12),IF(ISNUMBER(MISSING_PENT_6),MISSING_PENT_6,MISSING_PENT_12)),"")</f>
    </oc>
    <nc r="CT5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93" sId="1" odxf="1" dxf="1">
    <oc r="CT58">
      <f>IF(OR(ISNUMBER(MISSING_PENT_6),ISNUMBER(MISSING_PENT_12)),IF(AND(ISNUMBER(MISSING_PENT_6),ISNUMBER(MISSING_PENT_12)),AND(MISSING_PENT_6,MISSING_PENT_12),IF(ISNUMBER(MISSING_PENT_6),MISSING_PENT_6,MISSING_PENT_12)),"")</f>
    </oc>
    <nc r="CT5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94" sId="1" odxf="1" dxf="1">
    <oc r="CT68">
      <f>IF(OR(ISNUMBER(MISSING_PENT_6),ISNUMBER(MISSING_PENT_12)),IF(AND(ISNUMBER(MISSING_PENT_6),ISNUMBER(MISSING_PENT_12)),AND(MISSING_PENT_6,MISSING_PENT_12),IF(ISNUMBER(MISSING_PENT_6),MISSING_PENT_6,MISSING_PENT_12)),"")</f>
    </oc>
    <nc r="CT6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95" sId="1" odxf="1" dxf="1">
    <oc r="CT56">
      <f>IF(OR(ISNUMBER(MISSING_PENT_6),ISNUMBER(MISSING_PENT_12)),IF(AND(ISNUMBER(MISSING_PENT_6),ISNUMBER(MISSING_PENT_12)),AND(MISSING_PENT_6,MISSING_PENT_12),IF(ISNUMBER(MISSING_PENT_6),MISSING_PENT_6,MISSING_PENT_12)),"")</f>
    </oc>
    <nc r="CT5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96" sId="1" odxf="1" dxf="1">
    <oc r="CT67">
      <f>IF(OR(ISNUMBER(MISSING_PENT_6),ISNUMBER(MISSING_PENT_12)),IF(AND(ISNUMBER(MISSING_PENT_6),ISNUMBER(MISSING_PENT_12)),AND(MISSING_PENT_6,MISSING_PENT_12),IF(ISNUMBER(MISSING_PENT_6),MISSING_PENT_6,MISSING_PENT_12)),"")</f>
    </oc>
    <nc r="CT6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97" sId="1" odxf="1" dxf="1">
    <oc r="CT74">
      <f>IF(OR(ISNUMBER(MISSING_PENT_6),ISNUMBER(MISSING_PENT_12)),IF(AND(ISNUMBER(MISSING_PENT_6),ISNUMBER(MISSING_PENT_12)),AND(MISSING_PENT_6,MISSING_PENT_12),IF(ISNUMBER(MISSING_PENT_6),MISSING_PENT_6,MISSING_PENT_12)),"")</f>
    </oc>
    <nc r="CT7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98" sId="1" odxf="1" dxf="1">
    <oc r="CT22">
      <f>IF(OR(ISNUMBER(MISSING_PENT_6),ISNUMBER(MISSING_PENT_12)),IF(AND(ISNUMBER(MISSING_PENT_6),ISNUMBER(MISSING_PENT_12)),AND(MISSING_PENT_6,MISSING_PENT_12),IF(ISNUMBER(MISSING_PENT_6),MISSING_PENT_6,MISSING_PENT_12)),"")</f>
    </oc>
    <nc r="CT2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699" sId="1" odxf="1" dxf="1">
    <oc r="CT60">
      <f>IF(OR(ISNUMBER(MISSING_PENT_6),ISNUMBER(MISSING_PENT_12)),IF(AND(ISNUMBER(MISSING_PENT_6),ISNUMBER(MISSING_PENT_12)),AND(MISSING_PENT_6,MISSING_PENT_12),IF(ISNUMBER(MISSING_PENT_6),MISSING_PENT_6,MISSING_PENT_12)),"")</f>
    </oc>
    <nc r="CT6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00" sId="1" odxf="1" dxf="1">
    <oc r="CT35">
      <f>IF(OR(ISNUMBER(MISSING_PENT_6),ISNUMBER(MISSING_PENT_12)),IF(AND(ISNUMBER(MISSING_PENT_6),ISNUMBER(MISSING_PENT_12)),AND(MISSING_PENT_6,MISSING_PENT_12),IF(ISNUMBER(MISSING_PENT_6),MISSING_PENT_6,MISSING_PENT_12)),"")</f>
    </oc>
    <nc r="CT3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01" sId="1" odxf="1" dxf="1">
    <oc r="CT45">
      <f>IF(OR(ISNUMBER(MISSING_PENT_6),ISNUMBER(MISSING_PENT_12)),IF(AND(ISNUMBER(MISSING_PENT_6),ISNUMBER(MISSING_PENT_12)),AND(MISSING_PENT_6,MISSING_PENT_12),IF(ISNUMBER(MISSING_PENT_6),MISSING_PENT_6,MISSING_PENT_12)),"")</f>
    </oc>
    <nc r="CT4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02" sId="1" odxf="1" dxf="1">
    <oc r="CT76">
      <f>IF(OR(ISNUMBER(MISSING_PENT_6),ISNUMBER(MISSING_PENT_12)),IF(AND(ISNUMBER(MISSING_PENT_6),ISNUMBER(MISSING_PENT_12)),AND(MISSING_PENT_6,MISSING_PENT_12),IF(ISNUMBER(MISSING_PENT_6),MISSING_PENT_6,MISSING_PENT_12)),"")</f>
    </oc>
    <nc r="CT7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03" sId="1" odxf="1" dxf="1">
    <oc r="CT63">
      <f>IF(OR(ISNUMBER(MISSING_PENT_6),ISNUMBER(MISSING_PENT_12)),IF(AND(ISNUMBER(MISSING_PENT_6),ISNUMBER(MISSING_PENT_12)),AND(MISSING_PENT_6,MISSING_PENT_12),IF(ISNUMBER(MISSING_PENT_6),MISSING_PENT_6,MISSING_PENT_12)),"")</f>
    </oc>
    <nc r="CT6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04" sId="1" odxf="1" dxf="1">
    <oc r="CT48">
      <f>IF(OR(ISNUMBER(MISSING_PENT_6),ISNUMBER(MISSING_PENT_12)),IF(AND(ISNUMBER(MISSING_PENT_6),ISNUMBER(MISSING_PENT_12)),AND(MISSING_PENT_6,MISSING_PENT_12),IF(ISNUMBER(MISSING_PENT_6),MISSING_PENT_6,MISSING_PENT_12)),"")</f>
    </oc>
    <nc r="CT4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05" sId="1" odxf="1" dxf="1">
    <oc r="CT40">
      <f>IF(OR(ISNUMBER(MISSING_PENT_6),ISNUMBER(MISSING_PENT_12)),IF(AND(ISNUMBER(MISSING_PENT_6),ISNUMBER(MISSING_PENT_12)),AND(MISSING_PENT_6,MISSING_PENT_12),IF(ISNUMBER(MISSING_PENT_6),MISSING_PENT_6,MISSING_PENT_12)),"")</f>
    </oc>
    <nc r="CT4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06" sId="1" odxf="1" dxf="1">
    <oc r="CT13">
      <f>IF(OR(ISNUMBER(MISSING_PENT_6),ISNUMBER(MISSING_PENT_12)),IF(AND(ISNUMBER(MISSING_PENT_6),ISNUMBER(MISSING_PENT_12)),AND(MISSING_PENT_6,MISSING_PENT_12),IF(ISNUMBER(MISSING_PENT_6),MISSING_PENT_6,MISSING_PENT_12)),"")</f>
    </oc>
    <nc r="CT1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07" sId="1" odxf="1" dxf="1">
    <oc r="CT53">
      <f>IF(OR(ISNUMBER(MISSING_PENT_6),ISNUMBER(MISSING_PENT_12)),IF(AND(ISNUMBER(MISSING_PENT_6),ISNUMBER(MISSING_PENT_12)),AND(MISSING_PENT_6,MISSING_PENT_12),IF(ISNUMBER(MISSING_PENT_6),MISSING_PENT_6,MISSING_PENT_12)),"")</f>
    </oc>
    <nc r="CT5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08" sId="1" odxf="1" dxf="1">
    <oc r="CT77">
      <f>IF(OR(ISNUMBER(MISSING_PENT_6),ISNUMBER(MISSING_PENT_12)),IF(AND(ISNUMBER(MISSING_PENT_6),ISNUMBER(MISSING_PENT_12)),AND(MISSING_PENT_6,MISSING_PENT_12),IF(ISNUMBER(MISSING_PENT_6),MISSING_PENT_6,MISSING_PENT_12)),"")</f>
    </oc>
    <nc r="CT7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09" sId="1" odxf="1" dxf="1">
    <oc r="CT59">
      <f>IF(OR(ISNUMBER(MISSING_PENT_6),ISNUMBER(MISSING_PENT_12)),IF(AND(ISNUMBER(MISSING_PENT_6),ISNUMBER(MISSING_PENT_12)),AND(MISSING_PENT_6,MISSING_PENT_12),IF(ISNUMBER(MISSING_PENT_6),MISSING_PENT_6,MISSING_PENT_12)),"")</f>
    </oc>
    <nc r="CT5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10" sId="1" odxf="1" dxf="1">
    <oc r="CT24">
      <f>IF(OR(ISNUMBER(MISSING_PENT_6),ISNUMBER(MISSING_PENT_12)),IF(AND(ISNUMBER(MISSING_PENT_6),ISNUMBER(MISSING_PENT_12)),AND(MISSING_PENT_6,MISSING_PENT_12),IF(ISNUMBER(MISSING_PENT_6),MISSING_PENT_6,MISSING_PENT_12)),"")</f>
    </oc>
    <nc r="CT2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11" sId="1" odxf="1" dxf="1">
    <oc r="CT18">
      <f>IF(OR(ISNUMBER(MISSING_PENT_6),ISNUMBER(MISSING_PENT_12)),IF(AND(ISNUMBER(MISSING_PENT_6),ISNUMBER(MISSING_PENT_12)),AND(MISSING_PENT_6,MISSING_PENT_12),IF(ISNUMBER(MISSING_PENT_6),MISSING_PENT_6,MISSING_PENT_12)),"")</f>
    </oc>
    <nc r="CT1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12" sId="1" odxf="1" dxf="1">
    <oc r="CT36">
      <f>IF(OR(ISNUMBER(MISSING_PENT_6),ISNUMBER(MISSING_PENT_12)),IF(AND(ISNUMBER(MISSING_PENT_6),ISNUMBER(MISSING_PENT_12)),AND(MISSING_PENT_6,MISSING_PENT_12),IF(ISNUMBER(MISSING_PENT_6),MISSING_PENT_6,MISSING_PENT_12)),"")</f>
    </oc>
    <nc r="CT3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13" sId="1" odxf="1" dxf="1">
    <oc r="CT38">
      <f>IF(OR(ISNUMBER(MISSING_PENT_6),ISNUMBER(MISSING_PENT_12)),IF(AND(ISNUMBER(MISSING_PENT_6),ISNUMBER(MISSING_PENT_12)),AND(MISSING_PENT_6,MISSING_PENT_12),IF(ISNUMBER(MISSING_PENT_6),MISSING_PENT_6,MISSING_PENT_12)),"")</f>
    </oc>
    <nc r="CT3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14" sId="1" odxf="1" dxf="1">
    <oc r="CT54">
      <f>IF(OR(ISNUMBER(MISSING_PENT_6),ISNUMBER(MISSING_PENT_12)),IF(AND(ISNUMBER(MISSING_PENT_6),ISNUMBER(MISSING_PENT_12)),AND(MISSING_PENT_6,MISSING_PENT_12),IF(ISNUMBER(MISSING_PENT_6),MISSING_PENT_6,MISSING_PENT_12)),"")</f>
    </oc>
    <nc r="CT5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15" sId="1" odxf="1" dxf="1">
    <oc r="CT79">
      <f>IF(OR(ISNUMBER(MISSING_PENT_6),ISNUMBER(MISSING_PENT_12)),IF(AND(ISNUMBER(MISSING_PENT_6),ISNUMBER(MISSING_PENT_12)),AND(MISSING_PENT_6,MISSING_PENT_12),IF(ISNUMBER(MISSING_PENT_6),MISSING_PENT_6,MISSING_PENT_12)),"")</f>
    </oc>
    <nc r="CT7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16" sId="1" odxf="1" dxf="1">
    <oc r="CT27">
      <f>IF(OR(ISNUMBER(MISSING_PENT_6),ISNUMBER(MISSING_PENT_12)),IF(AND(ISNUMBER(MISSING_PENT_6),ISNUMBER(MISSING_PENT_12)),AND(MISSING_PENT_6,MISSING_PENT_12),IF(ISNUMBER(MISSING_PENT_6),MISSING_PENT_6,MISSING_PENT_12)),"")</f>
    </oc>
    <nc r="CT2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17" sId="1" odxf="1" dxf="1">
    <oc r="CT55">
      <f>IF(OR(ISNUMBER(MISSING_PENT_6),ISNUMBER(MISSING_PENT_12)),IF(AND(ISNUMBER(MISSING_PENT_6),ISNUMBER(MISSING_PENT_12)),AND(MISSING_PENT_6,MISSING_PENT_12),IF(ISNUMBER(MISSING_PENT_6),MISSING_PENT_6,MISSING_PENT_12)),"")</f>
    </oc>
    <nc r="CT5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18" sId="1" odxf="1" dxf="1">
    <oc r="CT21">
      <f>IF(OR(ISNUMBER(MISSING_PENT_6),ISNUMBER(MISSING_PENT_12)),IF(AND(ISNUMBER(MISSING_PENT_6),ISNUMBER(MISSING_PENT_12)),AND(MISSING_PENT_6,MISSING_PENT_12),IF(ISNUMBER(MISSING_PENT_6),MISSING_PENT_6,MISSING_PENT_12)),"")</f>
    </oc>
    <nc r="CT2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19" sId="1" odxf="1" dxf="1">
    <oc r="CT81">
      <f>IF(OR(ISNUMBER(MISSING_PENT_6),ISNUMBER(MISSING_PENT_12)),IF(AND(ISNUMBER(MISSING_PENT_6),ISNUMBER(MISSING_PENT_12)),AND(MISSING_PENT_6,MISSING_PENT_12),IF(ISNUMBER(MISSING_PENT_6),MISSING_PENT_6,MISSING_PENT_12)),"")</f>
    </oc>
    <nc r="CT8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20" sId="1" odxf="1" dxf="1">
    <oc r="CT19">
      <f>IF(OR(ISNUMBER(MISSING_PENT_6),ISNUMBER(MISSING_PENT_12)),IF(AND(ISNUMBER(MISSING_PENT_6),ISNUMBER(MISSING_PENT_12)),AND(MISSING_PENT_6,MISSING_PENT_12),IF(ISNUMBER(MISSING_PENT_6),MISSING_PENT_6,MISSING_PENT_12)),"")</f>
    </oc>
    <nc r="CT1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21" sId="1" odxf="1" dxf="1">
    <oc r="CT114">
      <f>IF(OR(ISNUMBER(MISSING_PENT_6),ISNUMBER(MISSING_PENT_12)),IF(AND(ISNUMBER(MISSING_PENT_6),ISNUMBER(MISSING_PENT_12)),AND(MISSING_PENT_6,MISSING_PENT_12),IF(ISNUMBER(MISSING_PENT_6),MISSING_PENT_6,MISSING_PENT_12)),"")</f>
    </oc>
    <nc r="CT11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22" sId="1" odxf="1" dxf="1">
    <oc r="CT26">
      <f>IF(OR(ISNUMBER(MISSING_PENT_6),ISNUMBER(MISSING_PENT_12)),IF(AND(ISNUMBER(MISSING_PENT_6),ISNUMBER(MISSING_PENT_12)),AND(MISSING_PENT_6,MISSING_PENT_12),IF(ISNUMBER(MISSING_PENT_6),MISSING_PENT_6,MISSING_PENT_12)),"")</f>
    </oc>
    <nc r="CT2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23" sId="1" odxf="1" dxf="1">
    <oc r="CT25">
      <f>IF(OR(ISNUMBER(MISSING_PENT_6),ISNUMBER(MISSING_PENT_12)),IF(AND(ISNUMBER(MISSING_PENT_6),ISNUMBER(MISSING_PENT_12)),AND(MISSING_PENT_6,MISSING_PENT_12),IF(ISNUMBER(MISSING_PENT_6),MISSING_PENT_6,MISSING_PENT_12)),"")</f>
    </oc>
    <nc r="CT2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24" sId="1" odxf="1" dxf="1">
    <oc r="CT52">
      <f>IF(OR(ISNUMBER(MISSING_PENT_6),ISNUMBER(MISSING_PENT_12)),IF(AND(ISNUMBER(MISSING_PENT_6),ISNUMBER(MISSING_PENT_12)),AND(MISSING_PENT_6,MISSING_PENT_12),IF(ISNUMBER(MISSING_PENT_6),MISSING_PENT_6,MISSING_PENT_12)),"")</f>
    </oc>
    <nc r="CT5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25" sId="1" odxf="1" dxf="1">
    <oc r="CT83">
      <f>IF(OR(ISNUMBER(MISSING_PENT_6),ISNUMBER(MISSING_PENT_12)),IF(AND(ISNUMBER(MISSING_PENT_6),ISNUMBER(MISSING_PENT_12)),AND(MISSING_PENT_6,MISSING_PENT_12),IF(ISNUMBER(MISSING_PENT_6),MISSING_PENT_6,MISSING_PENT_12)),"")</f>
    </oc>
    <nc r="CT8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26" sId="1" odxf="1" dxf="1">
    <oc r="CT84">
      <f>IF(OR(ISNUMBER(MISSING_PENT_6),ISNUMBER(MISSING_PENT_12)),IF(AND(ISNUMBER(MISSING_PENT_6),ISNUMBER(MISSING_PENT_12)),AND(MISSING_PENT_6,MISSING_PENT_12),IF(ISNUMBER(MISSING_PENT_6),MISSING_PENT_6,MISSING_PENT_12)),"")</f>
    </oc>
    <nc r="CT8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27" sId="1" odxf="1" dxf="1">
    <oc r="CT85">
      <f>IF(OR(ISNUMBER(MISSING_PENT_6),ISNUMBER(MISSING_PENT_12)),IF(AND(ISNUMBER(MISSING_PENT_6),ISNUMBER(MISSING_PENT_12)),AND(MISSING_PENT_6,MISSING_PENT_12),IF(ISNUMBER(MISSING_PENT_6),MISSING_PENT_6,MISSING_PENT_12)),"")</f>
    </oc>
    <nc r="CT8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28" sId="1" odxf="1" dxf="1">
    <oc r="CT86">
      <f>IF(OR(ISNUMBER(MISSING_PENT_6),ISNUMBER(MISSING_PENT_12)),IF(AND(ISNUMBER(MISSING_PENT_6),ISNUMBER(MISSING_PENT_12)),AND(MISSING_PENT_6,MISSING_PENT_12),IF(ISNUMBER(MISSING_PENT_6),MISSING_PENT_6,MISSING_PENT_12)),"")</f>
    </oc>
    <nc r="CT8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29" sId="1" odxf="1" dxf="1">
    <oc r="CT87">
      <f>IF(OR(ISNUMBER(MISSING_PENT_6),ISNUMBER(MISSING_PENT_12)),IF(AND(ISNUMBER(MISSING_PENT_6),ISNUMBER(MISSING_PENT_12)),AND(MISSING_PENT_6,MISSING_PENT_12),IF(ISNUMBER(MISSING_PENT_6),MISSING_PENT_6,MISSING_PENT_12)),"")</f>
    </oc>
    <nc r="CT8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30" sId="1" odxf="1" dxf="1">
    <oc r="CT88">
      <f>IF(OR(ISNUMBER(MISSING_PENT_6),ISNUMBER(MISSING_PENT_12)),IF(AND(ISNUMBER(MISSING_PENT_6),ISNUMBER(MISSING_PENT_12)),AND(MISSING_PENT_6,MISSING_PENT_12),IF(ISNUMBER(MISSING_PENT_6),MISSING_PENT_6,MISSING_PENT_12)),"")</f>
    </oc>
    <nc r="CT8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31" sId="1" odxf="1" dxf="1">
    <oc r="CT89">
      <f>IF(OR(ISNUMBER(MISSING_PENT_6),ISNUMBER(MISSING_PENT_12)),IF(AND(ISNUMBER(MISSING_PENT_6),ISNUMBER(MISSING_PENT_12)),AND(MISSING_PENT_6,MISSING_PENT_12),IF(ISNUMBER(MISSING_PENT_6),MISSING_PENT_6,MISSING_PENT_12)),"")</f>
    </oc>
    <nc r="CT8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32" sId="1" odxf="1" dxf="1">
    <oc r="CT90">
      <f>IF(OR(ISNUMBER(MISSING_PENT_6),ISNUMBER(MISSING_PENT_12)),IF(AND(ISNUMBER(MISSING_PENT_6),ISNUMBER(MISSING_PENT_12)),AND(MISSING_PENT_6,MISSING_PENT_12),IF(ISNUMBER(MISSING_PENT_6),MISSING_PENT_6,MISSING_PENT_12)),"")</f>
    </oc>
    <nc r="CT9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33" sId="1" odxf="1" dxf="1">
    <oc r="CT91">
      <f>IF(OR(ISNUMBER(MISSING_PENT_6),ISNUMBER(MISSING_PENT_12)),IF(AND(ISNUMBER(MISSING_PENT_6),ISNUMBER(MISSING_PENT_12)),AND(MISSING_PENT_6,MISSING_PENT_12),IF(ISNUMBER(MISSING_PENT_6),MISSING_PENT_6,MISSING_PENT_12)),"")</f>
    </oc>
    <nc r="CT9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34" sId="1" odxf="1" dxf="1">
    <oc r="CT92">
      <f>IF(OR(ISNUMBER(MISSING_PENT_6),ISNUMBER(MISSING_PENT_12)),IF(AND(ISNUMBER(MISSING_PENT_6),ISNUMBER(MISSING_PENT_12)),AND(MISSING_PENT_6,MISSING_PENT_12),IF(ISNUMBER(MISSING_PENT_6),MISSING_PENT_6,MISSING_PENT_12)),"")</f>
    </oc>
    <nc r="CT9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35" sId="1" odxf="1" dxf="1">
    <oc r="CT93">
      <f>IF(OR(ISNUMBER(MISSING_PENT_6),ISNUMBER(MISSING_PENT_12)),IF(AND(ISNUMBER(MISSING_PENT_6),ISNUMBER(MISSING_PENT_12)),AND(MISSING_PENT_6,MISSING_PENT_12),IF(ISNUMBER(MISSING_PENT_6),MISSING_PENT_6,MISSING_PENT_12)),"")</f>
    </oc>
    <nc r="CT9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36" sId="1" odxf="1" dxf="1">
    <oc r="CT94">
      <f>IF(OR(ISNUMBER(MISSING_PENT_6),ISNUMBER(MISSING_PENT_12)),IF(AND(ISNUMBER(MISSING_PENT_6),ISNUMBER(MISSING_PENT_12)),AND(MISSING_PENT_6,MISSING_PENT_12),IF(ISNUMBER(MISSING_PENT_6),MISSING_PENT_6,MISSING_PENT_12)),"")</f>
    </oc>
    <nc r="CT9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37" sId="1" odxf="1" dxf="1">
    <oc r="CT95">
      <f>IF(OR(ISNUMBER(MISSING_PENT_6),ISNUMBER(MISSING_PENT_12)),IF(AND(ISNUMBER(MISSING_PENT_6),ISNUMBER(MISSING_PENT_12)),AND(MISSING_PENT_6,MISSING_PENT_12),IF(ISNUMBER(MISSING_PENT_6),MISSING_PENT_6,MISSING_PENT_12)),"")</f>
    </oc>
    <nc r="CT9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38" sId="1" odxf="1" dxf="1">
    <oc r="CT96">
      <f>IF(OR(ISNUMBER(MISSING_PENT_6),ISNUMBER(MISSING_PENT_12)),IF(AND(ISNUMBER(MISSING_PENT_6),ISNUMBER(MISSING_PENT_12)),AND(MISSING_PENT_6,MISSING_PENT_12),IF(ISNUMBER(MISSING_PENT_6),MISSING_PENT_6,MISSING_PENT_12)),"")</f>
    </oc>
    <nc r="CT9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39" sId="1" odxf="1" dxf="1">
    <oc r="CT97">
      <f>IF(OR(ISNUMBER(MISSING_PENT_6),ISNUMBER(MISSING_PENT_12)),IF(AND(ISNUMBER(MISSING_PENT_6),ISNUMBER(MISSING_PENT_12)),AND(MISSING_PENT_6,MISSING_PENT_12),IF(ISNUMBER(MISSING_PENT_6),MISSING_PENT_6,MISSING_PENT_12)),"")</f>
    </oc>
    <nc r="CT9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40" sId="1" odxf="1" dxf="1">
    <oc r="CT98">
      <f>IF(OR(ISNUMBER(MISSING_PENT_6),ISNUMBER(MISSING_PENT_12)),IF(AND(ISNUMBER(MISSING_PENT_6),ISNUMBER(MISSING_PENT_12)),AND(MISSING_PENT_6,MISSING_PENT_12),IF(ISNUMBER(MISSING_PENT_6),MISSING_PENT_6,MISSING_PENT_12)),"")</f>
    </oc>
    <nc r="CT9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41" sId="1" odxf="1" dxf="1">
    <oc r="CT99">
      <f>IF(OR(ISNUMBER(MISSING_PENT_6),ISNUMBER(MISSING_PENT_12)),IF(AND(ISNUMBER(MISSING_PENT_6),ISNUMBER(MISSING_PENT_12)),AND(MISSING_PENT_6,MISSING_PENT_12),IF(ISNUMBER(MISSING_PENT_6),MISSING_PENT_6,MISSING_PENT_12)),"")</f>
    </oc>
    <nc r="CT9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42" sId="1" odxf="1" dxf="1">
    <oc r="CT100">
      <f>IF(OR(ISNUMBER(MISSING_PENT_6),ISNUMBER(MISSING_PENT_12)),IF(AND(ISNUMBER(MISSING_PENT_6),ISNUMBER(MISSING_PENT_12)),AND(MISSING_PENT_6,MISSING_PENT_12),IF(ISNUMBER(MISSING_PENT_6),MISSING_PENT_6,MISSING_PENT_12)),"")</f>
    </oc>
    <nc r="CT10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43" sId="1" odxf="1" dxf="1">
    <oc r="CT101">
      <f>IF(OR(ISNUMBER(MISSING_PENT_6),ISNUMBER(MISSING_PENT_12)),IF(AND(ISNUMBER(MISSING_PENT_6),ISNUMBER(MISSING_PENT_12)),AND(MISSING_PENT_6,MISSING_PENT_12),IF(ISNUMBER(MISSING_PENT_6),MISSING_PENT_6,MISSING_PENT_12)),"")</f>
    </oc>
    <nc r="CT10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44" sId="1" odxf="1" dxf="1">
    <oc r="CT102">
      <f>IF(OR(ISNUMBER(MISSING_PENT_6),ISNUMBER(MISSING_PENT_12)),IF(AND(ISNUMBER(MISSING_PENT_6),ISNUMBER(MISSING_PENT_12)),AND(MISSING_PENT_6,MISSING_PENT_12),IF(ISNUMBER(MISSING_PENT_6),MISSING_PENT_6,MISSING_PENT_12)),"")</f>
    </oc>
    <nc r="CT10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45" sId="1" odxf="1" dxf="1">
    <oc r="CT103">
      <f>IF(OR(ISNUMBER(MISSING_PENT_6),ISNUMBER(MISSING_PENT_12)),IF(AND(ISNUMBER(MISSING_PENT_6),ISNUMBER(MISSING_PENT_12)),AND(MISSING_PENT_6,MISSING_PENT_12),IF(ISNUMBER(MISSING_PENT_6),MISSING_PENT_6,MISSING_PENT_12)),"")</f>
    </oc>
    <nc r="CT10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46" sId="1" odxf="1" dxf="1">
    <oc r="CT104">
      <f>IF(OR(ISNUMBER(MISSING_PENT_6),ISNUMBER(MISSING_PENT_12)),IF(AND(ISNUMBER(MISSING_PENT_6),ISNUMBER(MISSING_PENT_12)),AND(MISSING_PENT_6,MISSING_PENT_12),IF(ISNUMBER(MISSING_PENT_6),MISSING_PENT_6,MISSING_PENT_12)),"")</f>
    </oc>
    <nc r="CT10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47" sId="1" odxf="1" dxf="1">
    <oc r="CT105">
      <f>IF(OR(ISNUMBER(MISSING_PENT_6),ISNUMBER(MISSING_PENT_12)),IF(AND(ISNUMBER(MISSING_PENT_6),ISNUMBER(MISSING_PENT_12)),AND(MISSING_PENT_6,MISSING_PENT_12),IF(ISNUMBER(MISSING_PENT_6),MISSING_PENT_6,MISSING_PENT_12)),"")</f>
    </oc>
    <nc r="CT10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48" sId="1" odxf="1" dxf="1">
    <oc r="CT106">
      <f>IF(OR(ISNUMBER(MISSING_PENT_6),ISNUMBER(MISSING_PENT_12)),IF(AND(ISNUMBER(MISSING_PENT_6),ISNUMBER(MISSING_PENT_12)),AND(MISSING_PENT_6,MISSING_PENT_12),IF(ISNUMBER(MISSING_PENT_6),MISSING_PENT_6,MISSING_PENT_12)),"")</f>
    </oc>
    <nc r="CT10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49" sId="1" odxf="1" dxf="1">
    <oc r="CT108">
      <f>IF(OR(ISNUMBER(MISSING_PENT_6),ISNUMBER(MISSING_PENT_12)),IF(AND(ISNUMBER(MISSING_PENT_6),ISNUMBER(MISSING_PENT_12)),AND(MISSING_PENT_6,MISSING_PENT_12),IF(ISNUMBER(MISSING_PENT_6),MISSING_PENT_6,MISSING_PENT_12)),"")</f>
    </oc>
    <nc r="CT10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50" sId="1" odxf="1" dxf="1">
    <oc r="CT109">
      <f>IF(OR(ISNUMBER(MISSING_PENT_6),ISNUMBER(MISSING_PENT_12)),IF(AND(ISNUMBER(MISSING_PENT_6),ISNUMBER(MISSING_PENT_12)),AND(MISSING_PENT_6,MISSING_PENT_12),IF(ISNUMBER(MISSING_PENT_6),MISSING_PENT_6,MISSING_PENT_12)),"")</f>
    </oc>
    <nc r="CT10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51" sId="1" odxf="1" dxf="1">
    <oc r="CT110">
      <f>IF(OR(ISNUMBER(MISSING_PENT_6),ISNUMBER(MISSING_PENT_12)),IF(AND(ISNUMBER(MISSING_PENT_6),ISNUMBER(MISSING_PENT_12)),AND(MISSING_PENT_6,MISSING_PENT_12),IF(ISNUMBER(MISSING_PENT_6),MISSING_PENT_6,MISSING_PENT_12)),"")</f>
    </oc>
    <nc r="CT11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52" sId="1" odxf="1" dxf="1">
    <oc r="CT111">
      <f>IF(OR(ISNUMBER(MISSING_PENT_6),ISNUMBER(MISSING_PENT_12)),IF(AND(ISNUMBER(MISSING_PENT_6),ISNUMBER(MISSING_PENT_12)),AND(MISSING_PENT_6,MISSING_PENT_12),IF(ISNUMBER(MISSING_PENT_6),MISSING_PENT_6,MISSING_PENT_12)),"")</f>
    </oc>
    <nc r="CT11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53" sId="1" odxf="1" dxf="1">
    <oc r="CT112">
      <f>IF(OR(ISNUMBER(MISSING_PENT_6),ISNUMBER(MISSING_PENT_12)),IF(AND(ISNUMBER(MISSING_PENT_6),ISNUMBER(MISSING_PENT_12)),AND(MISSING_PENT_6,MISSING_PENT_12),IF(ISNUMBER(MISSING_PENT_6),MISSING_PENT_6,MISSING_PENT_12)),"")</f>
    </oc>
    <nc r="CT11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54" sId="1" odxf="1" dxf="1">
    <oc r="CT113">
      <f>IF(OR(ISNUMBER(MISSING_PENT_6),ISNUMBER(MISSING_PENT_12)),IF(AND(ISNUMBER(MISSING_PENT_6),ISNUMBER(MISSING_PENT_12)),AND(MISSING_PENT_6,MISSING_PENT_12),IF(ISNUMBER(MISSING_PENT_6),MISSING_PENT_6,MISSING_PENT_12)),"")</f>
    </oc>
    <nc r="CT11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55" sId="1" odxf="1" dxf="1">
    <oc r="CT115">
      <f>IF(OR(ISNUMBER(MISSING_PENT_6),ISNUMBER(MISSING_PENT_12)),IF(AND(ISNUMBER(MISSING_PENT_6),ISNUMBER(MISSING_PENT_12)),AND(MISSING_PENT_6,MISSING_PENT_12),IF(ISNUMBER(MISSING_PENT_6),MISSING_PENT_6,MISSING_PENT_12)),"")</f>
    </oc>
    <nc r="CT11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56" sId="1" odxf="1" dxf="1">
    <oc r="CT116">
      <f>IF(OR(ISNUMBER(MISSING_PENT_6),ISNUMBER(MISSING_PENT_12)),IF(AND(ISNUMBER(MISSING_PENT_6),ISNUMBER(MISSING_PENT_12)),AND(MISSING_PENT_6,MISSING_PENT_12),IF(ISNUMBER(MISSING_PENT_6),MISSING_PENT_6,MISSING_PENT_12)),"")</f>
    </oc>
    <nc r="CT11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57" sId="1" odxf="1" dxf="1">
    <oc r="CT118">
      <f>IF(OR(ISNUMBER(MISSING_PENT_6),ISNUMBER(MISSING_PENT_12)),IF(AND(ISNUMBER(MISSING_PENT_6),ISNUMBER(MISSING_PENT_12)),AND(MISSING_PENT_6,MISSING_PENT_12),IF(ISNUMBER(MISSING_PENT_6),MISSING_PENT_6,MISSING_PENT_12)),"")</f>
    </oc>
    <nc r="CT11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58" sId="1" odxf="1" dxf="1">
    <oc r="CT120">
      <f>IF(OR(ISNUMBER(MISSING_PENT_6),ISNUMBER(MISSING_PENT_12)),IF(AND(ISNUMBER(MISSING_PENT_6),ISNUMBER(MISSING_PENT_12)),AND(MISSING_PENT_6,MISSING_PENT_12),IF(ISNUMBER(MISSING_PENT_6),MISSING_PENT_6,MISSING_PENT_12)),"")</f>
    </oc>
    <nc r="CT12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59" sId="1" odxf="1" dxf="1">
    <oc r="CT121">
      <f>IF(OR(ISNUMBER(MISSING_PENT_6),ISNUMBER(MISSING_PENT_12)),IF(AND(ISNUMBER(MISSING_PENT_6),ISNUMBER(MISSING_PENT_12)),AND(MISSING_PENT_6,MISSING_PENT_12),IF(ISNUMBER(MISSING_PENT_6),MISSING_PENT_6,MISSING_PENT_12)),"")</f>
    </oc>
    <nc r="CT12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60" sId="1" odxf="1" dxf="1">
    <oc r="CT122">
      <f>IF(OR(ISNUMBER(MISSING_PENT_6),ISNUMBER(MISSING_PENT_12)),IF(AND(ISNUMBER(MISSING_PENT_6),ISNUMBER(MISSING_PENT_12)),AND(MISSING_PENT_6,MISSING_PENT_12),IF(ISNUMBER(MISSING_PENT_6),MISSING_PENT_6,MISSING_PENT_12)),"")</f>
    </oc>
    <nc r="CT12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61" sId="1" odxf="1" dxf="1">
    <oc r="CT123">
      <f>IF(OR(ISNUMBER(MISSING_PENT_6),ISNUMBER(MISSING_PENT_12)),IF(AND(ISNUMBER(MISSING_PENT_6),ISNUMBER(MISSING_PENT_12)),AND(MISSING_PENT_6,MISSING_PENT_12),IF(ISNUMBER(MISSING_PENT_6),MISSING_PENT_6,MISSING_PENT_12)),"")</f>
    </oc>
    <nc r="CT12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62" sId="1" odxf="1" dxf="1">
    <oc r="CT124">
      <f>IF(OR(ISNUMBER(MISSING_PENT_6),ISNUMBER(MISSING_PENT_12)),IF(AND(ISNUMBER(MISSING_PENT_6),ISNUMBER(MISSING_PENT_12)),AND(MISSING_PENT_6,MISSING_PENT_12),IF(ISNUMBER(MISSING_PENT_6),MISSING_PENT_6,MISSING_PENT_12)),"")</f>
    </oc>
    <nc r="CT12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63" sId="1" odxf="1" dxf="1">
    <oc r="CT125">
      <f>IF(OR(ISNUMBER(MISSING_PENT_6),ISNUMBER(MISSING_PENT_12)),IF(AND(ISNUMBER(MISSING_PENT_6),ISNUMBER(MISSING_PENT_12)),AND(MISSING_PENT_6,MISSING_PENT_12),IF(ISNUMBER(MISSING_PENT_6),MISSING_PENT_6,MISSING_PENT_12)),"")</f>
    </oc>
    <nc r="CT12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64" sId="1" odxf="1" dxf="1">
    <oc r="CT127">
      <f>IF(OR(ISNUMBER(MISSING_PENT_6),ISNUMBER(MISSING_PENT_12)),IF(AND(ISNUMBER(MISSING_PENT_6),ISNUMBER(MISSING_PENT_12)),AND(MISSING_PENT_6,MISSING_PENT_12),IF(ISNUMBER(MISSING_PENT_6),MISSING_PENT_6,MISSING_PENT_12)),"")</f>
    </oc>
    <nc r="CT12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65" sId="1" odxf="1" dxf="1">
    <oc r="CT15">
      <f>IF(OR(ISNUMBER(MISSING_PENT_6),ISNUMBER(MISSING_PENT_12)),IF(AND(ISNUMBER(MISSING_PENT_6),ISNUMBER(MISSING_PENT_12)),AND(MISSING_PENT_6,MISSING_PENT_12),IF(ISNUMBER(MISSING_PENT_6),MISSING_PENT_6,MISSING_PENT_12)),"")</f>
    </oc>
    <nc r="CT1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66" sId="1" odxf="1" dxf="1">
    <oc r="CT8">
      <f>IF(OR(ISNUMBER(MISSING_PENT_6),ISNUMBER(MISSING_PENT_12)),IF(AND(ISNUMBER(MISSING_PENT_6),ISNUMBER(MISSING_PENT_12)),AND(MISSING_PENT_6,MISSING_PENT_12),IF(ISNUMBER(MISSING_PENT_6),MISSING_PENT_6,MISSING_PENT_12)),"")</f>
    </oc>
    <nc r="CT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67" sId="1" odxf="1" dxf="1">
    <oc r="CT28">
      <f>IF(OR(ISNUMBER(MISSING_PENT_6),ISNUMBER(MISSING_PENT_12)),IF(AND(ISNUMBER(MISSING_PENT_6),ISNUMBER(MISSING_PENT_12)),AND(MISSING_PENT_6,MISSING_PENT_12),IF(ISNUMBER(MISSING_PENT_6),MISSING_PENT_6,MISSING_PENT_12)),"")</f>
    </oc>
    <nc r="CT28">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68" sId="1" odxf="1" dxf="1">
    <oc r="CT7">
      <f>IF(OR(ISNUMBER(MISSING_PENT_6),ISNUMBER(MISSING_PENT_12)),IF(AND(ISNUMBER(MISSING_PENT_6),ISNUMBER(MISSING_PENT_12)),AND(MISSING_PENT_6,MISSING_PENT_12),IF(ISNUMBER(MISSING_PENT_6),MISSING_PENT_6,MISSING_PENT_12)),"")</f>
    </oc>
    <nc r="CT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69" sId="1" odxf="1" dxf="1">
    <oc r="CT5">
      <f>IF(OR(ISNUMBER(MISSING_PENT_6),ISNUMBER(MISSING_PENT_12)),IF(AND(ISNUMBER(MISSING_PENT_6),ISNUMBER(MISSING_PENT_12)),AND(MISSING_PENT_6,MISSING_PENT_12),IF(ISNUMBER(MISSING_PENT_6),MISSING_PENT_6,MISSING_PENT_12)),"")</f>
    </oc>
    <nc r="CT5">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70" sId="1" odxf="1" dxf="1">
    <oc r="CT29">
      <f>IF(OR(ISNUMBER(MISSING_PENT_6),ISNUMBER(MISSING_PENT_12)),IF(AND(ISNUMBER(MISSING_PENT_6),ISNUMBER(MISSING_PENT_12)),AND(MISSING_PENT_6,MISSING_PENT_12),IF(ISNUMBER(MISSING_PENT_6),MISSING_PENT_6,MISSING_PENT_12)),"")</f>
    </oc>
    <nc r="CT2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71" sId="1" odxf="1" dxf="1">
    <oc r="CT9">
      <f>IF(OR(ISNUMBER(MISSING_PENT_6),ISNUMBER(MISSING_PENT_12)),IF(AND(ISNUMBER(MISSING_PENT_6),ISNUMBER(MISSING_PENT_12)),AND(MISSING_PENT_6,MISSING_PENT_12),IF(ISNUMBER(MISSING_PENT_6),MISSING_PENT_6,MISSING_PENT_12)),"")</f>
    </oc>
    <nc r="CT9">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72" sId="1" odxf="1" dxf="1">
    <oc r="CT16">
      <f>IF(OR(ISNUMBER(MISSING_PENT_6),ISNUMBER(MISSING_PENT_12)),IF(AND(ISNUMBER(MISSING_PENT_6),ISNUMBER(MISSING_PENT_12)),AND(MISSING_PENT_6,MISSING_PENT_12),IF(ISNUMBER(MISSING_PENT_6),MISSING_PENT_6,MISSING_PENT_12)),"")</f>
    </oc>
    <nc r="CT1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73" sId="1" odxf="1" dxf="1">
    <oc r="CT14">
      <f>IF(OR(ISNUMBER(MISSING_PENT_6),ISNUMBER(MISSING_PENT_12)),IF(AND(ISNUMBER(MISSING_PENT_6),ISNUMBER(MISSING_PENT_12)),AND(MISSING_PENT_6,MISSING_PENT_12),IF(ISNUMBER(MISSING_PENT_6),MISSING_PENT_6,MISSING_PENT_12)),"")</f>
    </oc>
    <nc r="CT1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74" sId="1" odxf="1" dxf="1">
    <oc r="CT12">
      <f>IF(OR(ISNUMBER(MISSING_PENT_6),ISNUMBER(MISSING_PENT_12)),IF(AND(ISNUMBER(MISSING_PENT_6),ISNUMBER(MISSING_PENT_12)),AND(MISSING_PENT_6,MISSING_PENT_12),IF(ISNUMBER(MISSING_PENT_6),MISSING_PENT_6,MISSING_PENT_12)),"")</f>
    </oc>
    <nc r="CT1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75" sId="1" odxf="1" dxf="1">
    <oc r="CT4">
      <f>IF(OR(ISNUMBER(MISSING_PENT_6),ISNUMBER(MISSING_PENT_12)),IF(AND(ISNUMBER(MISSING_PENT_6),ISNUMBER(MISSING_PENT_12)),AND(MISSING_PENT_6,MISSING_PENT_12),IF(ISNUMBER(MISSING_PENT_6),MISSING_PENT_6,MISSING_PENT_12)),"")</f>
    </oc>
    <nc r="CT4">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76" sId="1" odxf="1" dxf="1">
    <oc r="CT72">
      <f>IF(OR(ISNUMBER(MISSING_PENT_6),ISNUMBER(MISSING_PENT_12)),IF(AND(ISNUMBER(MISSING_PENT_6),ISNUMBER(MISSING_PENT_12)),AND(MISSING_PENT_6,MISSING_PENT_12),IF(ISNUMBER(MISSING_PENT_6),MISSING_PENT_6,MISSING_PENT_12)),"")</f>
    </oc>
    <nc r="CT7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77" sId="1" odxf="1" dxf="1">
    <oc r="CT23">
      <f>IF(OR(ISNUMBER(MISSING_PENT_6),ISNUMBER(MISSING_PENT_12)),IF(AND(ISNUMBER(MISSING_PENT_6),ISNUMBER(MISSING_PENT_12)),AND(MISSING_PENT_6,MISSING_PENT_12),IF(ISNUMBER(MISSING_PENT_6),MISSING_PENT_6,MISSING_PENT_12)),"")</f>
    </oc>
    <nc r="CT2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78" sId="1" odxf="1" dxf="1">
    <oc r="CT66">
      <f>IF(OR(ISNUMBER(MISSING_PENT_6),ISNUMBER(MISSING_PENT_12)),IF(AND(ISNUMBER(MISSING_PENT_6),ISNUMBER(MISSING_PENT_12)),AND(MISSING_PENT_6,MISSING_PENT_12),IF(ISNUMBER(MISSING_PENT_6),MISSING_PENT_6,MISSING_PENT_12)),"")</f>
    </oc>
    <nc r="CT6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79" sId="1" odxf="1" dxf="1">
    <oc r="CT3">
      <f>IF(OR(ISNUMBER(MISSING_PENT_6),ISNUMBER(MISSING_PENT_12)),IF(AND(ISNUMBER(MISSING_PENT_6),ISNUMBER(MISSING_PENT_12)),AND(MISSING_PENT_6,MISSING_PENT_12),IF(ISNUMBER(MISSING_PENT_6),MISSING_PENT_6,MISSING_PENT_12)),"")</f>
    </oc>
    <nc r="CT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80" sId="1" odxf="1" dxf="1">
    <oc r="CT30">
      <f>IF(OR(ISNUMBER(MISSING_PENT_6),ISNUMBER(MISSING_PENT_12)),IF(AND(ISNUMBER(MISSING_PENT_6),ISNUMBER(MISSING_PENT_12)),AND(MISSING_PENT_6,MISSING_PENT_12),IF(ISNUMBER(MISSING_PENT_6),MISSING_PENT_6,MISSING_PENT_12)),"")</f>
    </oc>
    <nc r="CT3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81" sId="1" odxf="1" dxf="1">
    <oc r="CT11">
      <f>IF(OR(ISNUMBER(MISSING_PENT_6),ISNUMBER(MISSING_PENT_12)),IF(AND(ISNUMBER(MISSING_PENT_6),ISNUMBER(MISSING_PENT_12)),AND(MISSING_PENT_6,MISSING_PENT_12),IF(ISNUMBER(MISSING_PENT_6),MISSING_PENT_6,MISSING_PENT_12)),"")</f>
    </oc>
    <nc r="CT11">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82" sId="1" odxf="1" dxf="1">
    <oc r="CT10">
      <f>IF(OR(ISNUMBER(MISSING_PENT_6),ISNUMBER(MISSING_PENT_12)),IF(AND(ISNUMBER(MISSING_PENT_6),ISNUMBER(MISSING_PENT_12)),AND(MISSING_PENT_6,MISSING_PENT_12),IF(ISNUMBER(MISSING_PENT_6),MISSING_PENT_6,MISSING_PENT_12)),"")</f>
    </oc>
    <nc r="CT1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83" sId="1" odxf="1" dxf="1">
    <oc r="CT17">
      <f>IF(OR(ISNUMBER(MISSING_PENT_6),ISNUMBER(MISSING_PENT_12)),IF(AND(ISNUMBER(MISSING_PENT_6),ISNUMBER(MISSING_PENT_12)),AND(MISSING_PENT_6,MISSING_PENT_12),IF(ISNUMBER(MISSING_PENT_6),MISSING_PENT_6,MISSING_PENT_12)),"")</f>
    </oc>
    <nc r="CT17">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84" sId="1" odxf="1" dxf="1">
    <oc r="CT6">
      <f>IF(OR(ISNUMBER(MISSING_PENT_6),ISNUMBER(MISSING_PENT_12)),IF(AND(ISNUMBER(MISSING_PENT_6),ISNUMBER(MISSING_PENT_12)),AND(MISSING_PENT_6,MISSING_PENT_12),IF(ISNUMBER(MISSING_PENT_6),MISSING_PENT_6,MISSING_PENT_12)),"")</f>
    </oc>
    <nc r="CT6">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85" sId="1" odxf="1" dxf="1">
    <oc r="CT20">
      <f>IF(OR(ISNUMBER(MISSING_PENT_6),ISNUMBER(MISSING_PENT_12)),IF(AND(ISNUMBER(MISSING_PENT_6),ISNUMBER(MISSING_PENT_12)),AND(MISSING_PENT_6,MISSING_PENT_12),IF(ISNUMBER(MISSING_PENT_6),MISSING_PENT_6,MISSING_PENT_12)),"")</f>
    </oc>
    <nc r="CT2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86" sId="1" odxf="1" dxf="1">
    <oc r="CT50">
      <f>IF(OR(ISNUMBER(MISSING_PENT_6),ISNUMBER(MISSING_PENT_12)),IF(AND(ISNUMBER(MISSING_PENT_6),ISNUMBER(MISSING_PENT_12)),AND(MISSING_PENT_6,MISSING_PENT_12),IF(ISNUMBER(MISSING_PENT_6),MISSING_PENT_6,MISSING_PENT_12)),"")</f>
    </oc>
    <nc r="CT50">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87" sId="1" odxf="1" dxf="1">
    <oc r="CT2">
      <f>IF(OR(ISNUMBER(MISSING_PENT_6),ISNUMBER(MISSING_PENT_12)),IF(AND(ISNUMBER(MISSING_PENT_6),ISNUMBER(MISSING_PENT_12)),AND(MISSING_PENT_6,MISSING_PENT_12),IF(ISNUMBER(MISSING_PENT_6),MISSING_PENT_6,MISSING_PENT_12)),"")</f>
    </oc>
    <nc r="CT2">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c rId="2788" sId="1" odxf="1" dxf="1">
    <oc r="CT43">
      <f>IF(OR(ISNUMBER(MISSING_PENT_6),ISNUMBER(MISSING_PENT_12)),IF(AND(ISNUMBER(MISSING_PENT_6),ISNUMBER(MISSING_PENT_12)),AND(MISSING_PENT_6,MISSING_PENT_12),IF(ISNUMBER(MISSING_PENT_6),MISSING_PENT_6,MISSING_PENT_12)),"")</f>
    </oc>
    <nc r="CT43">
      <f>IF(OR(ISNUMBER(MISSING_PENT_6),ISNUMBER(MISSING_PENT_12)),IF(AND(ISNUMBER(MISSING_PENT_6),ISNUMBER(MISSING_PENT_12)),AND(MISSING_PENT_6,MISSING_PENT_12),IF(ISNUMBER(MISSING_PENT_6),INT(MISSING_PENT_6)&gt;0,INT(MISSING_PENT_12)&gt;0)),"")</f>
    </nc>
    <odxf>
      <font>
        <sz val="10"/>
        <color auto="1"/>
        <name val="Arial"/>
        <scheme val="none"/>
      </font>
    </odxf>
    <ndxf>
      <font>
        <sz val="10"/>
        <color auto="1"/>
        <name val="Arial"/>
        <scheme val="none"/>
      </font>
    </ndxf>
  </rcc>
  <rcv guid="{54C114DD-C157-4E30-91DC-9B94C55E8054}" action="delete"/>
  <rcv guid="{54C114DD-C157-4E30-91DC-9B94C55E8054}"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89" sId="1" odxf="1" dxf="1">
    <nc r="EQ67">
      <v>7.82</v>
    </nc>
    <odxf>
      <alignment horizontal="center" vertical="top" readingOrder="0"/>
      <border outline="0">
        <right style="thin">
          <color indexed="64"/>
        </right>
        <top style="thin">
          <color indexed="64"/>
        </top>
        <bottom style="thin">
          <color indexed="64"/>
        </bottom>
      </border>
    </odxf>
    <ndxf>
      <alignment horizontal="general" vertical="bottom" readingOrder="0"/>
      <border outline="0">
        <right/>
        <top/>
        <bottom/>
      </border>
    </ndxf>
  </rcc>
  <rcc rId="2790" sId="1" odxf="1" dxf="1">
    <nc r="ER67">
      <v>7.45</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791" sId="1" odxf="1" dxf="1">
    <nc r="ES67">
      <v>148.9</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792" sId="1" odxf="1" dxf="1">
    <nc r="ET67">
      <v>-2.2000000000000002</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793" sId="1" odxf="1" dxf="1">
    <nc r="EU67">
      <v>0</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794" sId="1" odxf="1" dxf="1">
    <nc r="EV67">
      <v>0.3</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795" sId="1" odxf="1" dxf="1">
    <nc r="EW67">
      <v>4.0999999999999996</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796" sId="1" odxf="1" dxf="1">
    <nc r="EX67">
      <v>4.5599999999999996</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797" sId="1" odxf="1" dxf="1">
    <nc r="EY67">
      <v>462</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798" sId="1" odxf="1" dxf="1">
    <nc r="EZ67">
      <v>461</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799" sId="1" odxf="1" dxf="1">
    <nc r="FA67">
      <v>575</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00" sId="1" odxf="1" dxf="1">
    <nc r="FB67">
      <v>536</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01" sId="1" odxf="1" dxf="1">
    <nc r="FC67">
      <v>552</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02" sId="1" odxf="1" dxf="1">
    <nc r="FD67">
      <v>516</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03" sId="1" odxf="1" dxf="1">
    <nc r="FE67">
      <v>443</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04" sId="1" odxf="1" dxf="1">
    <nc r="FF67">
      <v>-0.85</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05" sId="1" odxf="1" dxf="1">
    <nc r="FG67">
      <v>-1.1100000000000001</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06" sId="1" odxf="1" dxf="1">
    <nc r="FH67">
      <v>7.6</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07" sId="1" odxf="1" dxf="1">
    <nc r="FI67">
      <v>7.65</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08" sId="1" odxf="1" dxf="1">
    <nc r="FJ67">
      <v>7.68</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09" sId="1" odxf="1" dxf="1">
    <nc r="FK67">
      <v>7.7</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10" sId="1" odxf="1" dxf="1">
    <nc r="FL67">
      <v>7.85</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11" sId="1" odxf="1" dxf="1">
    <nc r="FM67">
      <v>8.01</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12" sId="1" odxf="1" dxf="1">
    <nc r="FN67">
      <v>0</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13" sId="1" odxf="1" dxf="1">
    <nc r="FO67">
      <v>1</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14" sId="1" odxf="1" dxf="1">
    <nc r="FP67">
      <v>6.43</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15" sId="1" odxf="1" dxf="1">
    <nc r="FQ67">
      <v>6.29</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16" sId="1" odxf="1" dxf="1">
    <nc r="FR67">
      <v>6.48</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17" sId="1" odxf="1" dxf="1">
    <nc r="FS67">
      <v>6.82</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18" sId="1" odxf="1" dxf="1">
    <nc r="FT67">
      <v>6.91</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19" sId="1" odxf="1" dxf="1">
    <nc r="FU67">
      <v>0</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20" sId="1" odxf="1" dxf="1">
    <nc r="FV67">
      <v>0</v>
    </nc>
    <odxf>
      <alignment horizontal="center" vertical="top" readingOrder="0"/>
      <border outline="0">
        <left style="thin">
          <color indexed="64"/>
        </left>
        <right style="thin">
          <color indexed="64"/>
        </right>
        <top style="thin">
          <color indexed="64"/>
        </top>
        <bottom style="thin">
          <color indexed="64"/>
        </bottom>
      </border>
    </odxf>
    <ndxf>
      <alignment horizontal="general" vertical="bottom" readingOrder="0"/>
      <border outline="0">
        <left/>
        <right/>
        <top/>
        <bottom/>
      </border>
    </ndxf>
  </rcc>
  <rcc rId="2821" sId="1" odxf="1" dxf="1">
    <nc r="FW67">
      <v>1</v>
    </nc>
    <odxf>
      <alignment horizontal="center" vertical="top" readingOrder="0"/>
      <border outline="0">
        <left style="thin">
          <color indexed="64"/>
        </left>
        <right style="mediumDashed">
          <color indexed="64"/>
        </right>
        <top style="thin">
          <color indexed="64"/>
        </top>
        <bottom style="thin">
          <color indexed="64"/>
        </bottom>
      </border>
    </odxf>
    <ndxf>
      <alignment horizontal="general" vertical="bottom" readingOrder="0"/>
      <border outline="0">
        <left/>
        <right/>
        <top/>
        <bottom/>
      </border>
    </ndxf>
  </rcc>
  <rcv guid="{54C114DD-C157-4E30-91DC-9B94C55E8054}" action="delete"/>
  <rcv guid="{54C114DD-C157-4E30-91DC-9B94C55E8054}"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2" sId="1" odxf="1" dxf="1">
    <nc r="FX67">
      <v>43.2</v>
    </nc>
    <odxf>
      <alignment horizontal="center" vertical="top" readingOrder="0"/>
      <border outline="0">
        <top style="thin">
          <color indexed="64"/>
        </top>
        <bottom style="thin">
          <color indexed="64"/>
        </bottom>
      </border>
    </odxf>
    <ndxf>
      <alignment horizontal="general" vertical="bottom" readingOrder="0"/>
      <border outline="0">
        <top/>
        <bottom/>
      </border>
    </ndxf>
  </rcc>
  <rcc rId="2823" sId="1" odxf="1" dxf="1">
    <nc r="FY67">
      <v>45.3</v>
    </nc>
    <odxf>
      <alignment horizontal="center" vertical="top" readingOrder="0"/>
      <border outline="0">
        <top style="thin">
          <color indexed="64"/>
        </top>
        <bottom style="thin">
          <color indexed="64"/>
        </bottom>
      </border>
    </odxf>
    <ndxf>
      <alignment horizontal="general" vertical="bottom" readingOrder="0"/>
      <border outline="0">
        <top/>
        <bottom/>
      </border>
    </ndxf>
  </rcc>
  <rcc rId="2824" sId="1" odxf="1" dxf="1">
    <nc r="FZ67">
      <v>44.2</v>
    </nc>
    <odxf>
      <alignment horizontal="center" vertical="top" readingOrder="0"/>
      <border outline="0">
        <top style="thin">
          <color indexed="64"/>
        </top>
        <bottom style="thin">
          <color indexed="64"/>
        </bottom>
      </border>
    </odxf>
    <ndxf>
      <alignment horizontal="general" vertical="bottom" readingOrder="0"/>
      <border outline="0">
        <top/>
        <bottom/>
      </border>
    </ndxf>
  </rcc>
  <rcc rId="2825" sId="1" odxf="1" dxf="1">
    <nc r="GA67">
      <v>148.9</v>
    </nc>
    <odxf>
      <alignment horizontal="center" vertical="top" readingOrder="0"/>
      <border outline="0">
        <top style="thin">
          <color indexed="64"/>
        </top>
        <bottom style="thin">
          <color indexed="64"/>
        </bottom>
      </border>
    </odxf>
    <ndxf>
      <alignment horizontal="general" vertical="bottom" readingOrder="0"/>
      <border outline="0">
        <top/>
        <bottom/>
      </border>
    </ndxf>
  </rcc>
  <rcc rId="2826" sId="1" odxf="1" dxf="1">
    <nc r="GB67">
      <v>2.2000000000000002</v>
    </nc>
    <odxf>
      <alignment horizontal="center" vertical="top" readingOrder="0"/>
      <border outline="0">
        <top style="thin">
          <color indexed="64"/>
        </top>
        <bottom style="thin">
          <color indexed="64"/>
        </bottom>
      </border>
    </odxf>
    <ndxf>
      <alignment horizontal="general" vertical="bottom" readingOrder="0"/>
      <border outline="0">
        <top/>
        <bottom/>
      </border>
    </ndxf>
  </rcc>
  <rcc rId="2827" sId="1">
    <oc r="FZ1" t="inlineStr">
      <is>
        <t>6 mo Km F (mm):</t>
      </is>
    </oc>
    <nc r="FZ1" t="inlineStr">
      <is>
        <t>6 mo Km F (D):</t>
      </is>
    </nc>
  </rcc>
  <rcc rId="2828" sId="1" odxf="1" dxf="1">
    <nc r="GC67">
      <v>-6.2</v>
    </nc>
    <odxf>
      <alignment horizontal="center" vertical="top" readingOrder="0"/>
      <border outline="0">
        <top style="thin">
          <color indexed="64"/>
        </top>
        <bottom style="thin">
          <color indexed="64"/>
        </bottom>
      </border>
    </odxf>
    <ndxf>
      <alignment horizontal="general" vertical="bottom" readingOrder="0"/>
      <border outline="0">
        <top/>
        <bottom/>
      </border>
    </ndxf>
  </rcc>
  <rcc rId="2829" sId="1" odxf="1" dxf="1">
    <nc r="GD67">
      <v>-6.5</v>
    </nc>
    <odxf>
      <alignment horizontal="center" vertical="top" readingOrder="0"/>
      <border outline="0">
        <top style="thin">
          <color indexed="64"/>
        </top>
        <bottom style="thin">
          <color indexed="64"/>
        </bottom>
      </border>
    </odxf>
    <ndxf>
      <alignment horizontal="general" vertical="bottom" readingOrder="0"/>
      <border outline="0">
        <top/>
        <bottom/>
      </border>
    </ndxf>
  </rcc>
  <rcc rId="2830" sId="1" odxf="1" dxf="1">
    <nc r="GE67">
      <v>-6.3</v>
    </nc>
    <odxf>
      <alignment horizontal="center" vertical="top" readingOrder="0"/>
      <border outline="0">
        <top style="thin">
          <color indexed="64"/>
        </top>
        <bottom style="thin">
          <color indexed="64"/>
        </bottom>
      </border>
    </odxf>
    <ndxf>
      <alignment horizontal="general" vertical="bottom" readingOrder="0"/>
      <border outline="0">
        <top/>
        <bottom/>
      </border>
    </ndxf>
  </rcc>
  <rcc rId="2831" sId="1" odxf="1" dxf="1">
    <nc r="GF67">
      <v>14.4</v>
    </nc>
    <odxf>
      <alignment horizontal="center" vertical="top" readingOrder="0"/>
      <border outline="0">
        <top style="thin">
          <color indexed="64"/>
        </top>
        <bottom style="thin">
          <color indexed="64"/>
        </bottom>
      </border>
    </odxf>
    <ndxf>
      <alignment horizontal="general" vertical="bottom" readingOrder="0"/>
      <border outline="0">
        <top/>
        <bottom/>
      </border>
    </ndxf>
  </rcc>
  <rcc rId="2832" sId="1" odxf="1" dxf="1">
    <nc r="GG67">
      <v>0.3</v>
    </nc>
    <odxf>
      <alignment horizontal="center" vertical="top" readingOrder="0"/>
      <border outline="0">
        <top style="thin">
          <color indexed="64"/>
        </top>
        <bottom style="thin">
          <color indexed="64"/>
        </bottom>
      </border>
    </odxf>
    <ndxf>
      <alignment horizontal="general" vertical="bottom" readingOrder="0"/>
      <border outline="0">
        <top/>
        <bottom/>
      </border>
    </ndxf>
  </rcc>
  <rcc rId="2833" sId="1" odxf="1" dxf="1">
    <nc r="GH67">
      <v>3.3</v>
    </nc>
    <odxf>
      <alignment horizontal="center" vertical="top" readingOrder="0"/>
      <border outline="0">
        <top style="thin">
          <color indexed="64"/>
        </top>
        <bottom style="thin">
          <color indexed="64"/>
        </bottom>
      </border>
    </odxf>
    <ndxf>
      <alignment horizontal="general" vertical="bottom" readingOrder="0"/>
      <border outline="0">
        <top/>
        <bottom/>
      </border>
    </ndxf>
  </rcc>
  <rcc rId="2834" sId="1" odxf="1" dxf="1">
    <nc r="GI67">
      <v>9.8000000000000007</v>
    </nc>
    <odxf>
      <alignment horizontal="center" vertical="top" readingOrder="0"/>
      <border outline="0">
        <top style="thin">
          <color indexed="64"/>
        </top>
        <bottom style="thin">
          <color indexed="64"/>
        </bottom>
      </border>
    </odxf>
    <ndxf>
      <alignment horizontal="general" vertical="bottom" readingOrder="0"/>
      <border outline="0">
        <top/>
        <bottom/>
      </border>
    </ndxf>
  </rcc>
  <rcc rId="2835" sId="1" odxf="1" dxf="1">
    <nc r="GJ67">
      <v>21.3</v>
    </nc>
    <odxf>
      <alignment horizontal="center" vertical="top" readingOrder="0"/>
      <border outline="0">
        <top style="thin">
          <color indexed="64"/>
        </top>
        <bottom style="thin">
          <color indexed="64"/>
        </bottom>
      </border>
    </odxf>
    <ndxf>
      <alignment horizontal="general" vertical="bottom" readingOrder="0"/>
      <border outline="0">
        <top/>
        <bottom/>
      </border>
    </ndxf>
  </rcc>
  <rcc rId="2836" sId="1" odxf="1" dxf="1">
    <nc r="GK67">
      <v>51.3</v>
    </nc>
    <odxf>
      <alignment horizontal="center" vertical="top" readingOrder="0"/>
      <border outline="0">
        <top style="thin">
          <color indexed="64"/>
        </top>
        <bottom style="thin">
          <color indexed="64"/>
        </bottom>
      </border>
    </odxf>
    <ndxf>
      <alignment horizontal="general" vertical="bottom" readingOrder="0"/>
      <border outline="0">
        <top/>
        <bottom/>
      </border>
    </ndxf>
  </rcc>
  <rcc rId="2837" sId="1" odxf="1" dxf="1">
    <nc r="GL67">
      <v>27</v>
    </nc>
    <odxf>
      <alignment horizontal="center" vertical="top" readingOrder="0"/>
      <border outline="0">
        <right style="medium">
          <color auto="1"/>
        </right>
        <top style="thin">
          <color indexed="64"/>
        </top>
        <bottom style="thin">
          <color indexed="64"/>
        </bottom>
      </border>
    </odxf>
    <ndxf>
      <alignment horizontal="general" vertical="bottom" readingOrder="0"/>
      <border outline="0">
        <right/>
        <top/>
        <bottom/>
      </border>
    </ndxf>
  </rcc>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8" sId="1" ref="S1:S1048576" action="insertCol" edge="1">
    <undo index="0" exp="area" ref3D="1" dr="$BH$1:$BH$1048576" dn="BCVA_12"/>
    <undo index="0" exp="area" ref3D="1" dr="$AP$1:$AP$1048576" dn="BCVA_6"/>
    <undo index="0" exp="area" ref3D="1" dr="$CM$1:$CM$1048576" dn="CYL_LAST"/>
    <undo index="0" exp="area" ref3D="1" dr="$W$1:$W$1048576" dn="BCVA_PREOP"/>
    <undo index="0" exp="area" ref3D="1" dr="$U$1:$U$1048576" dn="CYL_PREOP"/>
    <undo index="0" exp="area" ref3D="1" dr="$CA$1:$CA$1048576" dn="FOLLOWUP_MONTHS"/>
    <undo index="0" exp="area" ref3D="1" dr="$BN$1:$BN$1048576" dn="K1_12"/>
    <undo index="0" exp="area" ref3D="1" dr="$BV$1:$BV$1048576" dn="FU_6_AND_12"/>
    <undo index="0" exp="area" ref3D="1" dr="$CO$1:$CO$1048576" dn="LAST_CDVA"/>
    <undo index="0" exp="area" ref3D="1" dr="$CL$1:$CL$1048576" dn="LAST_CHANGE_CDVA"/>
    <undo index="0" exp="area" ref3D="1" dr="$CH$1:$CH$1048576" dn="LAST_SE_ERROR"/>
    <undo index="0" exp="area" ref3D="1" dr="$CQ$1:$CQ$1048576" dn="LAST_UDVA_DIST"/>
    <undo index="0" exp="area" ref3D="1" dr="$CS$1:$CS$1048576" dn="MISSING_PENT_12"/>
    <undo index="0" exp="area" ref3D="1" dr="$CR$1:$CR$1048576" dn="MISSING_PENT_6"/>
    <undo index="0" exp="area" ref3D="1" dr="$S$1:$S$1048576" dn="PREOP"/>
    <undo index="0" exp="area" ref3D="1" dr="$CP$1:$CP$1048576" dn="PREOP_CDVA_IF_LAST_KNOWN"/>
    <undo index="0" exp="area" ref3D="1" dr="$BR$1:$BR$1048576" dn="SE_12"/>
    <undo index="0" exp="area" ref3D="1" dr="$CK$1:$CK$1048576" dn="REF_TARGET_IF_SE_KNOWN"/>
    <undo index="0" exp="area" ref3D="1" dr="$CF$1:$CF$1048576" dn="SE_PREOP"/>
    <undo index="0" exp="area" ref3D="1" dr="$W$1:$W$1048576" dn="PREOP_BCVA"/>
    <undo index="0" exp="area" ref3D="1" dr="$BW$1:$BW$1048576" dn="SE_preop_IF_6_12"/>
    <undo index="0" exp="area" ref3D="1" dr="$CG$1:$CG$1048576" dn="SE_LAST_"/>
    <undo index="0" exp="area" ref3D="1" dr="$BS$1:$BS$1048576" dn="SE_ERROR_12"/>
    <undo index="0" exp="area" ref3D="1" dr="$BX$1:$BX$1048576" dn="SE_6_IF_6_12"/>
    <undo index="0" exp="area" ref3D="1" dr="$AZ$1:$AZ$1048576" dn="SE_6"/>
    <undo index="0" exp="area" ref3D="1" dr="$BY$1:$BY$1048576" dn="SE_12_IF_6_12"/>
    <undo index="0" exp="area" ref3D="1" dr="$CV$1:$CV$1048576" dn="PREOP_PENTACAM_RV"/>
    <undo index="2" exp="area" ref3D="1" dr="$EQ$1:$HS$1048576" dn="Z_9D4EC4DC_E305_42C0_86D3_802895C39393_.wvu.Cols" sId="1"/>
    <undo index="1" exp="area" ref3D="1" dr="$CI$1:$CJ$1048576" dn="Z_9D4EC4DC_E305_42C0_86D3_802895C39393_.wvu.Cols" sId="1"/>
    <undo index="0" exp="area" ref3D="1" dr="$AL$1:$AL$1048576" dn="UDVA_6"/>
    <undo index="0" exp="area" ref3D="1" dr="$BD$1:$BD$1048576" dn="UDVA_12"/>
    <undo index="0" exp="area" ref3D="1" dr="$T$1:$T$1048576" dn="SPH_PREOP"/>
    <undo index="0" exp="area" ref3D="1" dr="$AM$1:$AM$1048576" dn="SPH_6"/>
    <undo index="0" exp="area" ref3D="1" dr="$BE$1:$BE$1048576" dn="SPH_12"/>
    <undo index="0" exp="area" ref3D="1" dr="$AH$1:$AH$1048576" dn="SK"/>
  </rrc>
  <rcc rId="2839" sId="1">
    <nc r="S1" t="inlineStr">
      <is>
        <t>IOL Power</t>
      </is>
    </nc>
  </rcc>
  <rfmt sheetId="1" sqref="S1:S1048576">
    <dxf>
      <numFmt numFmtId="166" formatCode="\+#0.00;\-#0.00;0;@"/>
    </dxf>
  </rfmt>
  <rfmt sheetId="1" sqref="S80" start="0" length="0">
    <dxf>
      <numFmt numFmtId="0" formatCode="General"/>
    </dxf>
  </rfmt>
  <rcc rId="2840" sId="1">
    <nc r="S80">
      <v>26</v>
    </nc>
  </rcc>
  <rfmt sheetId="1" sqref="S1:S1048576">
    <dxf>
      <numFmt numFmtId="166" formatCode="\+#0.00;\-#0.00;0;@"/>
    </dxf>
  </rfmt>
  <rcc rId="2841" sId="1" xfDxf="1" dxf="1" numFmtId="4">
    <nc r="S47">
      <v>20.25</v>
    </nc>
    <ndxf>
      <numFmt numFmtId="166" formatCode="\+#0.00;\-#0.00;0;@"/>
      <alignment horizontal="center" readingOrder="0"/>
      <border outline="0">
        <left style="thin">
          <color indexed="64"/>
        </left>
        <right style="thin">
          <color indexed="64"/>
        </right>
        <top style="thin">
          <color indexed="64"/>
        </top>
        <bottom style="thin">
          <color indexed="64"/>
        </bottom>
      </border>
    </ndxf>
  </rcc>
  <rcc rId="2842" sId="1" xfDxf="1" dxf="1" numFmtId="4">
    <nc r="S44">
      <v>24.5</v>
    </nc>
    <ndxf>
      <numFmt numFmtId="166" formatCode="\+#0.00;\-#0.00;0;@"/>
      <alignment horizontal="center" readingOrder="0"/>
      <border outline="0">
        <left style="thin">
          <color indexed="64"/>
        </left>
        <right style="thin">
          <color indexed="64"/>
        </right>
        <top style="thin">
          <color indexed="64"/>
        </top>
        <bottom style="thin">
          <color indexed="64"/>
        </bottom>
      </border>
    </ndxf>
  </rcc>
  <rcc rId="2843" sId="1" xfDxf="1" dxf="1" numFmtId="4">
    <nc r="S78">
      <v>15.75</v>
    </nc>
    <ndxf>
      <numFmt numFmtId="166" formatCode="\+#0.00;\-#0.00;0;@"/>
      <alignment horizontal="center" readingOrder="0"/>
      <border outline="0">
        <left style="thin">
          <color indexed="64"/>
        </left>
        <right style="thin">
          <color indexed="64"/>
        </right>
        <top style="thin">
          <color indexed="64"/>
        </top>
        <bottom style="thin">
          <color indexed="64"/>
        </bottom>
      </border>
    </ndxf>
  </rcc>
  <rcc rId="2844" sId="1" xfDxf="1" dxf="1" numFmtId="4">
    <nc r="S75">
      <v>16</v>
    </nc>
    <ndxf>
      <numFmt numFmtId="166" formatCode="\+#0.00;\-#0.00;0;@"/>
      <alignment horizontal="center" readingOrder="0"/>
      <border outline="0">
        <left style="thin">
          <color indexed="64"/>
        </left>
        <right style="thin">
          <color indexed="64"/>
        </right>
        <top style="thin">
          <color indexed="64"/>
        </top>
        <bottom style="thin">
          <color indexed="64"/>
        </bottom>
      </border>
    </ndxf>
  </rcc>
  <rcc rId="2845" sId="1" xfDxf="1" dxf="1">
    <oc r="R75" t="inlineStr">
      <is>
        <t>SOFTEC HD</t>
      </is>
    </oc>
    <nc r="R75" t="inlineStr">
      <is>
        <t>SN6AT4</t>
      </is>
    </nc>
    <ndxf>
      <alignment horizontal="center" readingOrder="0"/>
      <border outline="0">
        <left style="thin">
          <color indexed="64"/>
        </left>
        <right style="thin">
          <color indexed="64"/>
        </right>
        <top style="thin">
          <color indexed="64"/>
        </top>
        <bottom style="thin">
          <color indexed="64"/>
        </bottom>
      </border>
    </ndxf>
  </rcc>
  <rcc rId="2846" sId="1" xfDxf="1" dxf="1" numFmtId="4">
    <nc r="S126">
      <v>15.5</v>
    </nc>
    <ndxf>
      <numFmt numFmtId="166" formatCode="\+#0.00;\-#0.00;0;@"/>
      <alignment horizontal="center" readingOrder="0"/>
      <border outline="0">
        <left style="thin">
          <color indexed="64"/>
        </left>
        <right style="thin">
          <color indexed="64"/>
        </right>
        <top style="thin">
          <color indexed="64"/>
        </top>
        <bottom style="thin">
          <color indexed="64"/>
        </bottom>
      </border>
    </ndxf>
  </rcc>
  <rcc rId="2847" sId="1">
    <nc r="R126" t="inlineStr">
      <is>
        <t>SOFTEC HD</t>
      </is>
    </nc>
  </rcc>
  <rcc rId="2848" sId="1" xfDxf="1" dxf="1" numFmtId="4">
    <nc r="S57">
      <v>15</v>
    </nc>
    <ndxf>
      <numFmt numFmtId="166" formatCode="\+#0.00;\-#0.00;0;@"/>
      <alignment horizontal="center" readingOrder="0"/>
      <border outline="0">
        <left style="thin">
          <color indexed="64"/>
        </left>
        <right style="thin">
          <color indexed="64"/>
        </right>
        <top style="thin">
          <color indexed="64"/>
        </top>
        <bottom style="thin">
          <color indexed="64"/>
        </bottom>
      </border>
    </ndxf>
  </rcc>
  <rcc rId="2849" sId="1" xfDxf="1" dxf="1" numFmtId="4">
    <nc r="S70">
      <v>16.25</v>
    </nc>
    <ndxf>
      <numFmt numFmtId="166" formatCode="\+#0.00;\-#0.00;0;@"/>
      <alignment horizontal="center" readingOrder="0"/>
      <border outline="0">
        <left style="thin">
          <color indexed="64"/>
        </left>
        <right style="thin">
          <color indexed="64"/>
        </right>
        <top style="thin">
          <color indexed="64"/>
        </top>
        <bottom style="thin">
          <color indexed="64"/>
        </bottom>
      </border>
    </ndxf>
  </rcc>
  <rcc rId="2850" sId="1" xfDxf="1" dxf="1" numFmtId="4">
    <nc r="S117">
      <v>20.75</v>
    </nc>
    <ndxf>
      <numFmt numFmtId="166" formatCode="\+#0.00;\-#0.00;0;@"/>
      <alignment horizontal="center" readingOrder="0"/>
      <border outline="0">
        <left style="thin">
          <color indexed="64"/>
        </left>
        <right style="thin">
          <color indexed="64"/>
        </right>
        <top style="thin">
          <color indexed="64"/>
        </top>
        <bottom style="thin">
          <color indexed="64"/>
        </bottom>
      </border>
    </ndxf>
  </rcc>
  <rcc rId="2851" sId="1" xfDxf="1" dxf="1" numFmtId="4">
    <nc r="S73">
      <v>18</v>
    </nc>
    <ndxf>
      <numFmt numFmtId="166" formatCode="\+#0.00;\-#0.00;0;@"/>
      <alignment horizontal="center" readingOrder="0"/>
      <border outline="0">
        <left style="thin">
          <color indexed="64"/>
        </left>
        <right style="thin">
          <color indexed="64"/>
        </right>
        <top style="thin">
          <color indexed="64"/>
        </top>
        <bottom style="thin">
          <color indexed="64"/>
        </bottom>
      </border>
    </ndxf>
  </rcc>
  <rfmt sheetId="1" sqref="AK73" start="0" length="0">
    <dxf>
      <font>
        <sz val="10"/>
        <color auto="1"/>
        <name val="Arial"/>
        <scheme val="none"/>
      </font>
    </dxf>
  </rfmt>
  <rcc rId="2852" sId="1">
    <nc r="AK73" t="inlineStr">
      <is>
        <t>Astigmatism management - nasal RI</t>
      </is>
    </nc>
  </rcc>
  <rcv guid="{54C114DD-C157-4E30-91DC-9B94C55E8054}" action="delete"/>
  <rdn rId="0" localSheetId="1" customView="1" name="Z_54C114DD_C157_4E30_91DC_9B94C55E8054_.wvu.Cols" hidden="1" oldHidden="1">
    <formula>Data!$E:$H,Data!$J:$P,Data!$T:$T</formula>
  </rdn>
  <rcv guid="{54C114DD-C157-4E30-91DC-9B94C55E8054}"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R82" start="0" length="0">
    <dxf>
      <font>
        <sz val="10"/>
        <color auto="1"/>
        <name val="Arial"/>
        <scheme val="none"/>
      </font>
    </dxf>
  </rfmt>
  <rcc rId="2854" sId="1" odxf="1" dxf="1">
    <nc r="R82" t="inlineStr">
      <is>
        <t>SOFTEC HD</t>
      </is>
    </nc>
    <ndxf>
      <font>
        <sz val="10"/>
        <color auto="1"/>
        <name val="Arial"/>
        <scheme val="none"/>
      </font>
    </ndxf>
  </rcc>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5" sId="1" numFmtId="4">
    <nc r="S82">
      <v>23</v>
    </nc>
  </rcc>
  <rcc rId="2856" sId="1">
    <nc r="AA82">
      <v>21.98</v>
    </nc>
  </rcc>
  <rcc rId="2857" sId="1">
    <nc r="AB82">
      <v>11.2</v>
    </nc>
  </rcc>
  <rcc rId="2858" sId="1">
    <nc r="AC82">
      <v>5.08</v>
    </nc>
  </rcc>
  <rcc rId="2859" sId="1">
    <nc r="AD82">
      <v>3.18</v>
    </nc>
  </rcc>
  <rcc rId="2860" sId="1">
    <nc r="AE82">
      <v>46.3</v>
    </nc>
  </rcc>
  <rcc rId="2861" sId="1">
    <nc r="AF82">
      <v>133</v>
    </nc>
  </rcc>
  <rcc rId="2862" sId="1">
    <nc r="AG82">
      <v>48.15</v>
    </nc>
  </rcc>
  <rcc rId="2863" sId="1">
    <nc r="AH82">
      <v>43</v>
    </nc>
  </rcc>
  <rcc rId="2864" sId="1" numFmtId="19">
    <oc r="BD82">
      <v>41688</v>
    </oc>
    <nc r="BD82">
      <v>41718</v>
    </nc>
  </rcc>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5" sId="1" numFmtId="4">
    <nc r="S55">
      <v>20.75</v>
    </nc>
  </rcc>
  <rcc rId="2866" sId="1" numFmtId="19">
    <oc r="BD55">
      <v>41682</v>
    </oc>
    <nc r="BD55">
      <v>41738</v>
    </nc>
  </rcc>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7" sId="1" numFmtId="4">
    <nc r="S15">
      <v>24.75</v>
    </nc>
  </rcc>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8" sId="1">
    <nc r="AB15">
      <v>12.1</v>
    </nc>
  </rcc>
  <rcc rId="2869" sId="1">
    <nc r="AC15">
      <v>4.6900000000000004</v>
    </nc>
  </rcc>
  <rcc rId="2870" sId="1" numFmtId="19">
    <oc r="BD15">
      <v>41610</v>
    </oc>
    <nc r="BD15">
      <v>41682</v>
    </nc>
  </rcc>
  <rcc rId="2871" sId="1" numFmtId="4">
    <nc r="BE15">
      <v>200</v>
    </nc>
  </rcc>
  <rcc rId="2872" sId="1" numFmtId="4">
    <oc r="BF15">
      <v>-3</v>
    </oc>
    <nc r="BF15">
      <v>-3.5</v>
    </nc>
  </rcc>
  <rcc rId="2873" sId="1" numFmtId="4">
    <oc r="BG15">
      <v>1.5</v>
    </oc>
    <nc r="BG15">
      <v>1</v>
    </nc>
  </rcc>
  <rcc rId="2874" sId="1">
    <oc r="BH15">
      <v>2</v>
    </oc>
    <nc r="BH15">
      <v>30</v>
    </nc>
  </rcc>
  <rcc rId="2875" sId="1">
    <oc r="BI15">
      <v>20</v>
    </oc>
    <nc r="BI15">
      <v>25</v>
    </nc>
  </rcc>
  <rcc rId="2876" sId="1">
    <oc r="BJ15">
      <v>22</v>
    </oc>
    <nc r="BJ15">
      <v>31</v>
    </nc>
  </rcc>
  <rcc rId="2877" sId="1">
    <nc r="BL15">
      <v>1919</v>
    </nc>
  </rcc>
  <rcc rId="2878" sId="1">
    <nc r="BK15">
      <v>601</v>
    </nc>
  </rcc>
  <rcc rId="2879" sId="1">
    <oc r="BM15">
      <v>23.36</v>
    </oc>
    <nc r="BM15">
      <v>23.42</v>
    </nc>
  </rcc>
  <rcc rId="2880" sId="1">
    <oc r="BN15">
      <v>3.32</v>
    </oc>
    <nc r="BN15">
      <v>2.81</v>
    </nc>
  </rcc>
  <rcc rId="2881" sId="1">
    <oc r="BO15">
      <v>43.38</v>
    </oc>
    <nc r="BO15">
      <v>43.55</v>
    </nc>
  </rcc>
  <rcc rId="2882" sId="1">
    <oc r="BP15">
      <v>119</v>
    </oc>
    <nc r="BP15">
      <v>159</v>
    </nc>
  </rcc>
  <rcc rId="2883" sId="1">
    <oc r="BQ15">
      <v>43.83</v>
    </oc>
    <nc r="BQ15">
      <v>44.35</v>
    </nc>
  </rcc>
  <rcc rId="2884" sId="1">
    <oc r="BR15">
      <v>29</v>
    </oc>
    <nc r="BR15">
      <v>69</v>
    </nc>
  </rcc>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85" sId="1" numFmtId="4">
    <nc r="S17">
      <v>22.25</v>
    </nc>
  </rcc>
  <rcc rId="2886" sId="1">
    <nc r="AB17">
      <v>12.4</v>
    </nc>
  </rcc>
  <rcc rId="2887" sId="1">
    <nc r="BL17">
      <v>852</v>
    </nc>
  </rcc>
  <rcc rId="2888" sId="1">
    <nc r="BK17">
      <v>568</v>
    </nc>
  </rcc>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89" sId="1" numFmtId="4">
    <nc r="S50">
      <v>16</v>
    </nc>
  </rcc>
  <rcc rId="2890" sId="1" odxf="1" dxf="1">
    <oc r="BD50">
      <v>41674</v>
    </oc>
    <nc r="BD50" t="inlineStr">
      <is>
        <t>?</t>
      </is>
    </nc>
    <ndxf>
      <font>
        <sz val="10"/>
        <color auto="1"/>
        <name val="Arial"/>
        <scheme val="none"/>
      </font>
    </ndxf>
  </rcc>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91" sId="1" xfDxf="1" dxf="1" numFmtId="4">
    <nc r="S58">
      <v>19.75</v>
    </nc>
    <ndxf>
      <numFmt numFmtId="166" formatCode="\+#0.00;\-#0.00;0;@"/>
      <alignment horizontal="center" readingOrder="0"/>
      <border outline="0">
        <left style="thin">
          <color indexed="64"/>
        </left>
        <right style="thin">
          <color indexed="64"/>
        </right>
        <top style="thin">
          <color indexed="64"/>
        </top>
        <bottom style="thin">
          <color indexed="64"/>
        </bottom>
      </border>
    </ndxf>
  </rcc>
  <rcc rId="2892" sId="1" xfDxf="1" dxf="1" numFmtId="4">
    <nc r="S68">
      <v>24</v>
    </nc>
    <ndxf>
      <numFmt numFmtId="166" formatCode="\+#0.00;\-#0.00;0;@"/>
      <alignment horizontal="center" readingOrder="0"/>
      <border outline="0">
        <left style="thin">
          <color indexed="64"/>
        </left>
        <right style="thin">
          <color indexed="64"/>
        </right>
        <top style="thin">
          <color indexed="64"/>
        </top>
        <bottom style="thin">
          <color indexed="64"/>
        </bottom>
      </border>
    </ndxf>
  </rcc>
  <rcc rId="2893" sId="1" xfDxf="1" dxf="1" numFmtId="4">
    <nc r="S56">
      <v>15.5</v>
    </nc>
    <ndxf>
      <numFmt numFmtId="166" formatCode="\+#0.00;\-#0.00;0;@"/>
      <alignment horizontal="center" readingOrder="0"/>
      <border outline="0">
        <left style="thin">
          <color indexed="64"/>
        </left>
        <right style="thin">
          <color indexed="64"/>
        </right>
        <top style="thin">
          <color indexed="64"/>
        </top>
        <bottom style="thin">
          <color indexed="64"/>
        </bottom>
      </border>
    </ndxf>
  </rcc>
  <rcc rId="2894" sId="1" xfDxf="1" dxf="1" numFmtId="4">
    <nc r="S67">
      <v>21</v>
    </nc>
    <ndxf>
      <numFmt numFmtId="166" formatCode="\+#0.00;\-#0.00;0;@"/>
      <alignment horizontal="center" readingOrder="0"/>
      <border outline="0">
        <left style="thin">
          <color indexed="64"/>
        </left>
        <right style="thin">
          <color indexed="64"/>
        </right>
        <top style="thin">
          <color indexed="64"/>
        </top>
        <bottom style="thin">
          <color indexed="64"/>
        </bottom>
      </border>
    </ndxf>
  </rcc>
  <rcc rId="2895" sId="1" xfDxf="1" dxf="1" numFmtId="4">
    <nc r="S74">
      <v>22.75</v>
    </nc>
    <ndxf>
      <numFmt numFmtId="166" formatCode="\+#0.00;\-#0.00;0;@"/>
      <alignment horizontal="center" readingOrder="0"/>
      <border outline="0">
        <left style="thin">
          <color indexed="64"/>
        </left>
        <right style="thin">
          <color indexed="64"/>
        </right>
        <top style="thin">
          <color indexed="64"/>
        </top>
        <bottom style="thin">
          <color indexed="64"/>
        </bottom>
      </border>
    </ndxf>
  </rcc>
  <rcc rId="2896" sId="1" xfDxf="1" dxf="1" numFmtId="4">
    <nc r="S41">
      <v>16</v>
    </nc>
    <ndxf>
      <numFmt numFmtId="166" formatCode="\+#0.00;\-#0.00;0;@"/>
      <alignment horizontal="center" readingOrder="0"/>
      <border outline="0">
        <left style="thin">
          <color indexed="64"/>
        </left>
        <right style="thin">
          <color indexed="64"/>
        </right>
        <top style="thin">
          <color indexed="64"/>
        </top>
        <bottom style="thin">
          <color indexed="64"/>
        </bottom>
      </border>
    </ndxf>
  </rcc>
  <rcc rId="2897" sId="1" xfDxf="1" dxf="1" numFmtId="4">
    <nc r="S34">
      <v>15.75</v>
    </nc>
    <ndxf>
      <numFmt numFmtId="166" formatCode="\+#0.00;\-#0.00;0;@"/>
      <alignment horizontal="center" readingOrder="0"/>
      <border outline="0">
        <left style="thin">
          <color indexed="64"/>
        </left>
        <right style="thin">
          <color indexed="64"/>
        </right>
        <top style="thin">
          <color indexed="64"/>
        </top>
        <bottom style="thin">
          <color indexed="64"/>
        </bottom>
      </border>
    </ndxf>
  </rcc>
  <rcc rId="2898" sId="1" xfDxf="1" dxf="1" numFmtId="4">
    <nc r="S46">
      <v>19.75</v>
    </nc>
    <ndxf>
      <numFmt numFmtId="166" formatCode="\+#0.00;\-#0.00;0;@"/>
      <alignment horizontal="center" readingOrder="0"/>
      <border outline="0">
        <left style="thin">
          <color indexed="64"/>
        </left>
        <right style="thin">
          <color indexed="64"/>
        </right>
        <top style="thin">
          <color indexed="64"/>
        </top>
        <bottom style="thin">
          <color indexed="64"/>
        </bottom>
      </border>
    </ndxf>
  </rcc>
  <rcc rId="2899" sId="1" xfDxf="1" dxf="1" numFmtId="4">
    <nc r="S32">
      <v>24.25</v>
    </nc>
    <ndxf>
      <numFmt numFmtId="166" formatCode="\+#0.00;\-#0.00;0;@"/>
      <alignment horizontal="center" readingOrder="0"/>
      <border outline="0">
        <left style="thin">
          <color indexed="64"/>
        </left>
        <right style="thin">
          <color indexed="64"/>
        </right>
        <top style="thin">
          <color indexed="64"/>
        </top>
        <bottom style="thin">
          <color indexed="64"/>
        </bottom>
      </border>
    </ndxf>
  </rcc>
  <rcc rId="2900" sId="1" xfDxf="1" dxf="1" numFmtId="4">
    <nc r="S42">
      <v>19.75</v>
    </nc>
    <ndxf>
      <numFmt numFmtId="166" formatCode="\+#0.00;\-#0.00;0;@"/>
      <alignment horizontal="center" readingOrder="0"/>
      <border outline="0">
        <left style="thin">
          <color indexed="64"/>
        </left>
        <right style="thin">
          <color indexed="64"/>
        </right>
        <top style="thin">
          <color indexed="64"/>
        </top>
        <bottom style="thin">
          <color indexed="64"/>
        </bottom>
      </border>
    </ndxf>
  </rcc>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01" sId="1" numFmtId="4">
    <nc r="S83">
      <v>22.25</v>
    </nc>
  </rcc>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02" sId="1" numFmtId="4">
    <nc r="S84">
      <v>21</v>
    </nc>
  </rcc>
  <rcc rId="2903" sId="1" numFmtId="4">
    <nc r="S85">
      <v>16.25</v>
    </nc>
  </rcc>
  <rcc rId="2904" sId="1" numFmtId="4">
    <nc r="S86">
      <v>26.5</v>
    </nc>
  </rcc>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05" sId="1">
    <oc r="BV89">
      <f>IF(AND(ISBLANK($AN89),ISBLANK($BF89)),0,1)</f>
    </oc>
    <nc r="BV89">
      <f>IF(AND(ISBLANK(SPH_6),ISBLANK(SPH_12)),0,1)</f>
    </nc>
  </rcc>
  <rcc rId="2906" sId="1">
    <oc r="BV91">
      <f>IF(AND(ISBLANK($AN91),ISBLANK($BF91)),0,1)</f>
    </oc>
    <nc r="BV91">
      <f>IF(AND(ISBLANK(SPH_6),ISBLANK(SPH_12)),0,1)</f>
    </nc>
  </rcc>
  <rcc rId="2907" sId="1">
    <oc r="BV92">
      <f>IF(AND(ISBLANK($AN92),ISBLANK($BF92)),0,1)</f>
    </oc>
    <nc r="BV92">
      <f>IF(AND(ISBLANK(SPH_6),ISBLANK(SPH_12)),0,1)</f>
    </nc>
  </rcc>
  <rcc rId="2908" sId="1">
    <oc r="BV93">
      <f>IF(AND(ISBLANK($AN93),ISBLANK($BF93)),0,1)</f>
    </oc>
    <nc r="BV93">
      <f>IF(AND(ISBLANK(SPH_6),ISBLANK(SPH_12)),0,1)</f>
    </nc>
  </rcc>
  <rcc rId="2909" sId="1">
    <oc r="BV94">
      <f>IF(AND(ISBLANK($AN94),ISBLANK($BF94)),0,1)</f>
    </oc>
    <nc r="BV94">
      <f>IF(AND(ISBLANK(SPH_6),ISBLANK(SPH_12)),0,1)</f>
    </nc>
  </rcc>
  <rcc rId="2910" sId="1">
    <oc r="BV95">
      <f>IF(AND(ISBLANK($AN95),ISBLANK($BF95)),0,1)</f>
    </oc>
    <nc r="BV95">
      <f>IF(AND(ISBLANK(SPH_6),ISBLANK(SPH_12)),0,1)</f>
    </nc>
  </rcc>
  <rcc rId="2911" sId="1">
    <oc r="BV97">
      <f>IF(AND(ISBLANK($AN97),ISBLANK($BF97)),0,1)</f>
    </oc>
    <nc r="BV97">
      <f>IF(AND(ISBLANK(SPH_6),ISBLANK(SPH_12)),0,1)</f>
    </nc>
  </rcc>
  <rcc rId="2912" sId="1">
    <oc r="BV98">
      <f>IF(AND(ISBLANK($AN98),ISBLANK($BF98)),0,1)</f>
    </oc>
    <nc r="BV98">
      <f>IF(AND(ISBLANK(SPH_6),ISBLANK(SPH_12)),0,1)</f>
    </nc>
  </rcc>
  <rcc rId="2913" sId="1">
    <oc r="BV99">
      <f>IF(AND(ISBLANK($AN99),ISBLANK($BF99)),0,1)</f>
    </oc>
    <nc r="BV99">
      <f>IF(AND(ISBLANK(SPH_6),ISBLANK(SPH_12)),0,1)</f>
    </nc>
  </rcc>
  <rcc rId="2914" sId="1">
    <oc r="BV100">
      <f>IF(AND(ISBLANK($AN100),ISBLANK($BF100)),0,1)</f>
    </oc>
    <nc r="BV100">
      <f>IF(AND(ISBLANK(SPH_6),ISBLANK(SPH_12)),0,1)</f>
    </nc>
  </rcc>
  <rcc rId="2915" sId="1">
    <oc r="BV101">
      <f>IF(AND(ISBLANK($AN101),ISBLANK($BF101)),0,1)</f>
    </oc>
    <nc r="BV101">
      <f>IF(AND(ISBLANK(SPH_6),ISBLANK(SPH_12)),0,1)</f>
    </nc>
  </rcc>
  <rcc rId="2916" sId="1">
    <oc r="BV102">
      <f>IF(AND(ISBLANK($AN102),ISBLANK($BF102)),0,1)</f>
    </oc>
    <nc r="BV102">
      <f>IF(AND(ISBLANK(SPH_6),ISBLANK(SPH_12)),0,1)</f>
    </nc>
  </rcc>
  <rcc rId="2917" sId="1">
    <oc r="BV103">
      <f>IF(AND(ISBLANK($AN103),ISBLANK($BF103)),0,1)</f>
    </oc>
    <nc r="BV103">
      <f>IF(AND(ISBLANK(SPH_6),ISBLANK(SPH_12)),0,1)</f>
    </nc>
  </rcc>
  <rcc rId="2918" sId="1">
    <oc r="BV104">
      <f>IF(AND(ISBLANK($AN104),ISBLANK($BF104)),0,1)</f>
    </oc>
    <nc r="BV104">
      <f>IF(AND(ISBLANK(SPH_6),ISBLANK(SPH_12)),0,1)</f>
    </nc>
  </rcc>
  <rcc rId="2919" sId="1">
    <oc r="BV105">
      <f>IF(AND(ISBLANK($AN105),ISBLANK($BF105)),0,1)</f>
    </oc>
    <nc r="BV105">
      <f>IF(AND(ISBLANK(SPH_6),ISBLANK(SPH_12)),0,1)</f>
    </nc>
  </rcc>
  <rcc rId="2920" sId="1">
    <oc r="BV106">
      <f>IF(AND(ISBLANK($AN106),ISBLANK($BF106)),0,1)</f>
    </oc>
    <nc r="BV106">
      <f>IF(AND(ISBLANK(SPH_6),ISBLANK(SPH_12)),0,1)</f>
    </nc>
  </rcc>
  <rcc rId="2921" sId="1">
    <oc r="BV108">
      <f>IF(AND(ISBLANK($AN108),ISBLANK($BF108)),0,1)</f>
    </oc>
    <nc r="BV108">
      <f>IF(AND(ISBLANK(SPH_6),ISBLANK(SPH_12)),0,1)</f>
    </nc>
  </rcc>
  <rcc rId="2922" sId="1">
    <oc r="BV109">
      <f>IF(AND(ISBLANK($AN109),ISBLANK($BF109)),0,1)</f>
    </oc>
    <nc r="BV109">
      <f>IF(AND(ISBLANK(SPH_6),ISBLANK(SPH_12)),0,1)</f>
    </nc>
  </rcc>
  <rcc rId="2923" sId="1">
    <oc r="BV110">
      <f>IF(AND(ISBLANK($AN110),ISBLANK($BF110)),0,1)</f>
    </oc>
    <nc r="BV110">
      <f>IF(AND(ISBLANK(SPH_6),ISBLANK(SPH_12)),0,1)</f>
    </nc>
  </rcc>
  <rcc rId="2924" sId="1">
    <oc r="BV111">
      <f>IF(AND(ISBLANK($AN111),ISBLANK($BF111)),0,1)</f>
    </oc>
    <nc r="BV111">
      <f>IF(AND(ISBLANK(SPH_6),ISBLANK(SPH_12)),0,1)</f>
    </nc>
  </rcc>
  <rcc rId="2925" sId="1">
    <oc r="BV112">
      <f>IF(AND(ISBLANK($AN112),ISBLANK($BF112)),0,1)</f>
    </oc>
    <nc r="BV112">
      <f>IF(AND(ISBLANK(SPH_6),ISBLANK(SPH_12)),0,1)</f>
    </nc>
  </rcc>
  <rcc rId="2926" sId="1">
    <oc r="BV113">
      <f>IF(AND(ISBLANK($AN113),ISBLANK($BF113)),0,1)</f>
    </oc>
    <nc r="BV113">
      <f>IF(AND(ISBLANK(SPH_6),ISBLANK(SPH_12)),0,1)</f>
    </nc>
  </rcc>
  <rcc rId="2927" sId="1">
    <oc r="BV115">
      <f>IF(AND(ISBLANK($AN115),ISBLANK($BF115)),0,1)</f>
    </oc>
    <nc r="BV115">
      <f>IF(AND(ISBLANK(SPH_6),ISBLANK(SPH_12)),0,1)</f>
    </nc>
  </rcc>
  <rcc rId="2928" sId="1">
    <oc r="BV116">
      <f>IF(AND(ISBLANK($AN116),ISBLANK($BF116)),0,1)</f>
    </oc>
    <nc r="BV116">
      <f>IF(AND(ISBLANK(SPH_6),ISBLANK(SPH_12)),0,1)</f>
    </nc>
  </rcc>
  <rcc rId="2929" sId="1">
    <oc r="BV118">
      <f>IF(AND(ISBLANK($AN118),ISBLANK($BF118)),0,1)</f>
    </oc>
    <nc r="BV118">
      <f>IF(AND(ISBLANK(SPH_6),ISBLANK(SPH_12)),0,1)</f>
    </nc>
  </rcc>
  <rcc rId="2930" sId="1">
    <oc r="BV121">
      <f>IF(AND(ISBLANK($AN121),ISBLANK($BF121)),0,1)</f>
    </oc>
    <nc r="BV121">
      <f>IF(AND(ISBLANK(SPH_6),ISBLANK(SPH_12)),0,1)</f>
    </nc>
  </rcc>
  <rcc rId="2931" sId="1">
    <oc r="BV122">
      <f>IF(AND(ISBLANK($AN122),ISBLANK($BF122)),0,1)</f>
    </oc>
    <nc r="BV122">
      <f>IF(AND(ISBLANK(SPH_6),ISBLANK(SPH_12)),0,1)</f>
    </nc>
  </rcc>
  <rcc rId="2932" sId="1">
    <oc r="BV124">
      <f>IF(AND(ISBLANK($AN124),ISBLANK($BF124)),0,1)</f>
    </oc>
    <nc r="BV124">
      <f>IF(AND(ISBLANK(SPH_6),ISBLANK(SPH_12)),0,1)</f>
    </nc>
  </rcc>
  <rcc rId="2933" sId="1">
    <oc r="BV77">
      <f>IF(AND(ISBLANK($AN77),ISBLANK($BF77)),0,1)</f>
    </oc>
    <nc r="BV77">
      <f>IF(AND(ISBLANK(SPH_6),ISBLANK(SPH_12)),0,1)</f>
    </nc>
  </rcc>
  <rcc rId="2934" sId="1">
    <oc r="BV4">
      <f>IF(AND(ISBLANK($AN4),ISBLANK($BF4)),0,1)</f>
    </oc>
    <nc r="BV4">
      <f>IF(AND(ISBLANK(SPH_6),ISBLANK(SPH_12)),0,1)</f>
    </nc>
  </rcc>
  <rcc rId="2935" sId="1">
    <oc r="BV18">
      <f>IF(AND(ISBLANK($AN18),ISBLANK($BF18)),0,1)</f>
    </oc>
    <nc r="BV18">
      <f>IF(AND(ISBLANK(SPH_6),ISBLANK(SPH_12)),0,1)</f>
    </nc>
  </rcc>
  <rcc rId="2936" sId="1">
    <oc r="BV38">
      <f>IF(AND(ISBLANK($AN38),ISBLANK($BF38)),0,1)</f>
    </oc>
    <nc r="BV38">
      <f>IF(AND(ISBLANK(SPH_6),ISBLANK(SPH_12)),0,1)</f>
    </nc>
  </rcc>
  <rcc rId="2937" sId="1">
    <oc r="BV24">
      <f>IF(AND(ISBLANK($AN24),ISBLANK($BF24)),0,1)</f>
    </oc>
    <nc r="BV24">
      <f>IF(AND(ISBLANK(SPH_6),ISBLANK(SPH_12)),0,1)</f>
    </nc>
  </rcc>
  <rcc rId="2938" sId="1">
    <oc r="BV19">
      <f>IF(AND(ISBLANK($AN19),ISBLANK($BF19)),0,1)</f>
    </oc>
    <nc r="BV19">
      <f>IF(AND(ISBLANK(SPH_6),ISBLANK(SPH_12)),0,1)</f>
    </nc>
  </rcc>
  <rcc rId="2939" sId="1">
    <oc r="BV60">
      <f>IF(AND(ISBLANK($AN60),ISBLANK($BF60)),0,1)</f>
    </oc>
    <nc r="BV60">
      <f>IF(AND(ISBLANK(SPH_6),ISBLANK(SPH_12)),0,1)</f>
    </nc>
  </rcc>
  <rcc rId="2940" sId="1">
    <oc r="BV61">
      <f>IF(AND(ISBLANK($AN61),ISBLANK($BF61)),0,1)</f>
    </oc>
    <nc r="BV61">
      <f>IF(AND(ISBLANK(SPH_6),ISBLANK(SPH_12)),0,1)</f>
    </nc>
  </rcc>
  <rcc rId="2941" sId="1">
    <oc r="BV22">
      <f>IF(AND(ISBLANK($AN22),ISBLANK($BF22)),0,1)</f>
    </oc>
    <nc r="BV22">
      <f>IF(AND(ISBLANK(SPH_6),ISBLANK(SPH_12)),0,1)</f>
    </nc>
  </rcc>
  <rcc rId="2942" sId="1">
    <oc r="BV39">
      <f>IF(AND(ISBLANK($AN39),ISBLANK($BF39)),0,1)</f>
    </oc>
    <nc r="BV39">
      <f>IF(AND(ISBLANK(SPH_6),ISBLANK(SPH_12)),0,1)</f>
    </nc>
  </rcc>
  <rcc rId="2943" sId="1">
    <oc r="BV30">
      <f>IF(AND(ISBLANK($AN30),ISBLANK($BF30)),0,1)</f>
    </oc>
    <nc r="BV30">
      <f>IF(AND(ISBLANK(SPH_6),ISBLANK(SPH_12)),0,1)</f>
    </nc>
  </rcc>
  <rcc rId="2944" sId="1">
    <oc r="BV27">
      <f>IF(AND(ISBLANK($AN27),ISBLANK($BF27)),0,1)</f>
    </oc>
    <nc r="BV27">
      <f>IF(AND(ISBLANK(SPH_6),ISBLANK(SPH_12)),0,1)</f>
    </nc>
  </rcc>
  <rcc rId="2945" sId="1">
    <oc r="BV3">
      <f>IF(AND(ISBLANK($AN3),ISBLANK($BF3)),0,1)</f>
    </oc>
    <nc r="BV3">
      <f>IF(AND(ISBLANK(SPH_6),ISBLANK(SPH_12)),0,1)</f>
    </nc>
  </rcc>
  <rcc rId="2946" sId="1">
    <oc r="BV16">
      <f>IF(AND(ISBLANK($AN16),ISBLANK($BF16)),0,1)</f>
    </oc>
    <nc r="BV16">
      <f>IF(AND(ISBLANK(SPH_6),ISBLANK(SPH_12)),0,1)</f>
    </nc>
  </rcc>
  <rcc rId="2947" sId="1">
    <oc r="BV49">
      <f>IF(AND(ISBLANK($AN49),ISBLANK($BF49)),0,1)</f>
    </oc>
    <nc r="BV49">
      <f>IF(AND(ISBLANK(SPH_6),ISBLANK(SPH_12)),0,1)</f>
    </nc>
  </rcc>
  <rcc rId="2948" sId="1">
    <oc r="BV56">
      <f>IF(AND(ISBLANK($AN56),ISBLANK($BF56)),0,1)</f>
    </oc>
    <nc r="BV56">
      <f>IF(AND(ISBLANK(SPH_6),ISBLANK(SPH_12)),0,1)</f>
    </nc>
  </rcc>
  <rcc rId="2949" sId="1">
    <oc r="BV23">
      <f>IF(AND(ISBLANK($AN23),ISBLANK($BF23)),0,1)</f>
    </oc>
    <nc r="BV23">
      <f>IF(AND(ISBLANK(SPH_6),ISBLANK(SPH_12)),0,1)</f>
    </nc>
  </rcc>
  <rcc rId="2950" sId="1">
    <oc r="BV11">
      <f>IF(AND(ISBLANK($AN11),ISBLANK($BF11)),0,1)</f>
    </oc>
    <nc r="BV11">
      <f>IF(AND(ISBLANK(SPH_6),ISBLANK(SPH_12)),0,1)</f>
    </nc>
  </rcc>
  <rcc rId="2951" sId="1">
    <oc r="BV48">
      <f>IF(AND(ISBLANK($AN48),ISBLANK($BF48)),0,1)</f>
    </oc>
    <nc r="BV48">
      <f>IF(AND(ISBLANK(SPH_6),ISBLANK(SPH_12)),0,1)</f>
    </nc>
  </rcc>
  <rcc rId="2952" sId="1">
    <oc r="BV68">
      <f>IF(AND(ISBLANK($AN68),ISBLANK($BF68)),0,1)</f>
    </oc>
    <nc r="BV68">
      <f>IF(AND(ISBLANK(SPH_6),ISBLANK(SPH_12)),0,1)</f>
    </nc>
  </rcc>
  <rcc rId="2953" sId="1">
    <oc r="BV43">
      <f>IF(AND(ISBLANK($AN43),ISBLANK($BF43)),0,1)</f>
    </oc>
    <nc r="BV43">
      <f>IF(AND(ISBLANK(SPH_6),ISBLANK(SPH_12)),0,1)</f>
    </nc>
  </rcc>
  <rcc rId="2954" sId="1">
    <oc r="BV69">
      <f>IF(AND(ISBLANK($AN69),ISBLANK($BF69)),0,1)</f>
    </oc>
    <nc r="BV69">
      <f>IF(AND(ISBLANK(SPH_6),ISBLANK(SPH_12)),0,1)</f>
    </nc>
  </rcc>
  <rcc rId="2955" sId="1">
    <oc r="BV29">
      <f>IF(AND(ISBLANK($AN29),ISBLANK($BF29)),0,1)</f>
    </oc>
    <nc r="BV29">
      <f>IF(AND(ISBLANK(SPH_6),ISBLANK(SPH_12)),0,1)</f>
    </nc>
  </rcc>
  <rcc rId="2956" sId="1">
    <oc r="BV13">
      <f>IF(AND(ISBLANK($AN13),ISBLANK($BF13)),0,1)</f>
    </oc>
    <nc r="BV13">
      <f>IF(AND(ISBLANK(SPH_6),ISBLANK(SPH_12)),0,1)</f>
    </nc>
  </rcc>
  <rcc rId="2957" sId="1">
    <oc r="BV7">
      <f>IF(AND(ISBLANK($AN7),ISBLANK($BF7)),0,1)</f>
    </oc>
    <nc r="BV7">
      <f>IF(AND(ISBLANK(SPH_6),ISBLANK(SPH_12)),0,1)</f>
    </nc>
  </rcc>
  <rcc rId="2958" sId="1">
    <oc r="BV52">
      <f>IF(AND(ISBLANK($AN52),ISBLANK($BF52)),0,1)</f>
    </oc>
    <nc r="BV52">
      <f>IF(AND(ISBLANK(SPH_6),ISBLANK(SPH_12)),0,1)</f>
    </nc>
  </rcc>
  <rcc rId="2959" sId="1">
    <oc r="BV71">
      <f>IF(AND(ISBLANK($AN71),ISBLANK($BF71)),0,1)</f>
    </oc>
    <nc r="BV71">
      <f>IF(AND(ISBLANK(SPH_6),ISBLANK(SPH_12)),0,1)</f>
    </nc>
  </rcc>
  <rcc rId="2960" sId="1">
    <oc r="BV62">
      <f>IF(AND(ISBLANK($AN62),ISBLANK($BF62)),0,1)</f>
    </oc>
    <nc r="BV62">
      <f>IF(AND(ISBLANK(SPH_6),ISBLANK(SPH_12)),0,1)</f>
    </nc>
  </rcc>
  <rcc rId="2961" sId="1">
    <oc r="BV35">
      <f>IF(AND(ISBLANK($AN35),ISBLANK($BF35)),0,1)</f>
    </oc>
    <nc r="BV35">
      <f>IF(AND(ISBLANK(SPH_6),ISBLANK(SPH_12)),0,1)</f>
    </nc>
  </rcc>
  <rcc rId="2962" sId="1">
    <oc r="BV40">
      <f>IF(AND(ISBLANK($AN40),ISBLANK($BF40)),0,1)</f>
    </oc>
    <nc r="BV40">
      <f>IF(AND(ISBLANK(SPH_6),ISBLANK(SPH_12)),0,1)</f>
    </nc>
  </rcc>
  <rcc rId="2963" sId="1">
    <oc r="BV2">
      <f>IF(AND(ISBLANK($AN2),ISBLANK($BF2)),0,1)</f>
    </oc>
    <nc r="BV2">
      <f>IF(AND(ISBLANK(SPH_6),ISBLANK(SPH_12)),0,1)</f>
    </nc>
  </rcc>
  <rcc rId="2964" sId="1">
    <oc r="BV32">
      <f>IF(AND(ISBLANK($AN32),ISBLANK($BF32)),0,1)</f>
    </oc>
    <nc r="BV32">
      <f>IF(AND(ISBLANK(SPH_6),ISBLANK(SPH_12)),0,1)</f>
    </nc>
  </rcc>
  <rcc rId="2965" sId="1">
    <oc r="BV8">
      <f>IF(AND(ISBLANK($AN8),ISBLANK($BF8)),0,1)</f>
    </oc>
    <nc r="BV8">
      <f>IF(AND(ISBLANK(SPH_6),ISBLANK(SPH_12)),0,1)</f>
    </nc>
  </rcc>
  <rcc rId="2966" sId="1">
    <oc r="BV12">
      <f>IF(AND(ISBLANK($AN12),ISBLANK($BF12)),0,1)</f>
    </oc>
    <nc r="BV12">
      <f>IF(AND(ISBLANK(SPH_6),ISBLANK(SPH_12)),0,1)</f>
    </nc>
  </rcc>
  <rcc rId="2967" sId="1">
    <oc r="BV10">
      <f>IF(AND(ISBLANK($AN10),ISBLANK($BF10)),0,1)</f>
    </oc>
    <nc r="BV10">
      <f>IF(AND(ISBLANK(SPH_6),ISBLANK(SPH_12)),0,1)</f>
    </nc>
  </rcc>
  <rcc rId="2968" sId="1">
    <oc r="BV20">
      <f>IF(AND(ISBLANK($AN20),ISBLANK($BF20)),0,1)</f>
    </oc>
    <nc r="BV20">
      <f>IF(AND(ISBLANK(SPH_6),ISBLANK(SPH_12)),0,1)</f>
    </nc>
  </rcc>
  <rcc rId="2969" sId="1">
    <oc r="BV21">
      <f>IF(AND(ISBLANK($AN21),ISBLANK($BF21)),0,1)</f>
    </oc>
    <nc r="BV21">
      <f>IF(AND(ISBLANK(SPH_6),ISBLANK(SPH_12)),0,1)</f>
    </nc>
  </rcc>
  <rcc rId="2970" sId="1">
    <oc r="BV26">
      <f>IF(AND(ISBLANK($AN26),ISBLANK($BF26)),0,1)</f>
    </oc>
    <nc r="BV26">
      <f>IF(AND(ISBLANK(SPH_6),ISBLANK(SPH_12)),0,1)</f>
    </nc>
  </rcc>
  <rcc rId="2971" sId="1">
    <oc r="BV41">
      <f>IF(AND(ISBLANK($AN41),ISBLANK($BF41)),0,1)</f>
    </oc>
    <nc r="BV41">
      <f>IF(AND(ISBLANK(SPH_6),ISBLANK(SPH_12)),0,1)</f>
    </nc>
  </rcc>
  <rcc rId="2972" sId="1">
    <oc r="BV34">
      <f>IF(AND(ISBLANK($AN34),ISBLANK($BF34)),0,1)</f>
    </oc>
    <nc r="BV34">
      <f>IF(AND(ISBLANK(SPH_6),ISBLANK(SPH_12)),0,1)</f>
    </nc>
  </rcc>
  <rcc rId="2973" sId="1">
    <oc r="BV66">
      <f>IF(AND(ISBLANK($AN66),ISBLANK($BF66)),0,1)</f>
    </oc>
    <nc r="BV66">
      <f>IF(AND(ISBLANK(SPH_6),ISBLANK(SPH_12)),0,1)</f>
    </nc>
  </rcc>
  <rcc rId="2974" sId="1">
    <oc r="BV9">
      <f>IF(AND(ISBLANK($AN9),ISBLANK($BF9)),0,1)</f>
    </oc>
    <nc r="BV9">
      <f>IF(AND(ISBLANK(SPH_6),ISBLANK(SPH_12)),0,1)</f>
    </nc>
  </rcc>
  <rcc rId="2975" sId="1">
    <oc r="BV36">
      <f>IF(AND(ISBLANK($AN36),ISBLANK($BF36)),0,1)</f>
    </oc>
    <nc r="BV36">
      <f>IF(AND(ISBLANK(SPH_6),ISBLANK(SPH_12)),0,1)</f>
    </nc>
  </rcc>
  <rcc rId="2976" sId="1">
    <oc r="BV76">
      <f>IF(AND(ISBLANK($AN76),ISBLANK($BF76)),0,1)</f>
    </oc>
    <nc r="BV76">
      <f>IF(AND(ISBLANK(SPH_6),ISBLANK(SPH_12)),0,1)</f>
    </nc>
  </rcc>
  <rcc rId="2977" sId="1">
    <oc r="BV79">
      <f>IF(AND(ISBLANK($AN79),ISBLANK($BF79)),0,1)</f>
    </oc>
    <nc r="BV79">
      <f>IF(AND(ISBLANK(SPH_6),ISBLANK(SPH_12)),0,1)</f>
    </nc>
  </rcc>
  <rcc rId="2978" sId="1">
    <oc r="BV28">
      <f>IF(AND(ISBLANK($AN28),ISBLANK($BF28)),0,1)</f>
    </oc>
    <nc r="BV28">
      <f>IF(AND(ISBLANK(SPH_6),ISBLANK(SPH_12)),0,1)</f>
    </nc>
  </rcc>
  <rcc rId="2979" sId="1">
    <oc r="BV25">
      <f>IF(AND(ISBLANK($AN25),ISBLANK($BF25)),0,1)</f>
    </oc>
    <nc r="BV25">
      <f>IF(AND(ISBLANK(SPH_6),ISBLANK(SPH_12)),0,1)</f>
    </nc>
  </rcc>
  <rcc rId="2980" sId="1">
    <oc r="BV5">
      <f>IF(AND(ISBLANK($AN5),ISBLANK($BF5)),0,1)</f>
    </oc>
    <nc r="BV5">
      <f>IF(AND(ISBLANK(SPH_6),ISBLANK(SPH_12)),0,1)</f>
    </nc>
  </rcc>
  <rcc rId="2981" sId="1">
    <oc r="BV6">
      <f>IF(AND(ISBLANK($AN6),ISBLANK($BF6)),0,1)</f>
    </oc>
    <nc r="BV6">
      <f>IF(AND(ISBLANK(SPH_6),ISBLANK(SPH_12)),0,1)</f>
    </nc>
  </rcc>
  <rcc rId="2982" sId="1">
    <oc r="BV53">
      <f>IF(AND(ISBLANK($AN53),ISBLANK($BF53)),0,1)</f>
    </oc>
    <nc r="BV53">
      <f>IF(AND(ISBLANK(SPH_6),ISBLANK(SPH_12)),0,1)</f>
    </nc>
  </rcc>
  <rcc rId="2983" sId="1">
    <oc r="BV14">
      <f>IF(AND(ISBLANK($AN14),ISBLANK($BF14)),0,1)</f>
    </oc>
    <nc r="BV14">
      <f>IF(AND(ISBLANK(SPH_6),ISBLANK(SPH_12)),0,1)</f>
    </nc>
  </rcc>
  <rcc rId="2984" sId="1">
    <oc r="BV55">
      <f>IF(AND(ISBLANK($AN55),ISBLANK($BF55)),0,1)</f>
    </oc>
    <nc r="BV55">
      <f>IF(AND(ISBLANK(SPH_6),ISBLANK(SPH_12)),0,1)</f>
    </nc>
  </rcc>
  <rcc rId="2985" sId="1">
    <oc r="BV15">
      <f>IF(AND(ISBLANK($AN15),ISBLANK($BF15)),0,1)</f>
    </oc>
    <nc r="BV15">
      <f>IF(AND(ISBLANK(SPH_6),ISBLANK(SPH_12)),0,1)</f>
    </nc>
  </rcc>
  <rcc rId="2986" sId="1">
    <oc r="BV72">
      <f>IF(AND(ISBLANK($AN72),ISBLANK($BF72)),0,1)</f>
    </oc>
    <nc r="BV72">
      <f>IF(AND(ISBLANK(SPH_6),ISBLANK(SPH_12)),0,1)</f>
    </nc>
  </rcc>
  <rcc rId="2987" sId="1">
    <oc r="BV50">
      <f>IF(AND(ISBLANK($AN50),ISBLANK($BF50)),0,1)</f>
    </oc>
    <nc r="BV50">
      <f>IF(AND(ISBLANK(SPH_6),ISBLANK(SPH_12)),0,1)</f>
    </nc>
  </rcc>
  <rcc rId="2988" sId="1">
    <oc r="BV47">
      <f>IF(AND(ISBLANK($AN47),ISBLANK($BF47)),0,1)</f>
    </oc>
    <nc r="BV47">
      <f>IF(AND(ISBLANK(SPH_6),ISBLANK(SPH_12)),0,1)</f>
    </nc>
  </rcc>
  <rcc rId="2989" sId="1">
    <oc r="BV46">
      <f>IF(AND(ISBLANK($AN46),ISBLANK($BF46)),0,1)</f>
    </oc>
    <nc r="BV46">
      <f>IF(AND(ISBLANK(SPH_6),ISBLANK(SPH_12)),0,1)</f>
    </nc>
  </rcc>
  <rcc rId="2990" sId="1">
    <oc r="BV80">
      <f>IF(AND(ISBLANK($AN80),ISBLANK($BF80)),0,1)</f>
    </oc>
    <nc r="BV80">
      <f>IF(AND(ISBLANK(SPH_6),ISBLANK(SPH_12)),0,1)</f>
    </nc>
  </rcc>
  <rcc rId="2991" sId="1">
    <oc r="BV81">
      <f>IF(AND(ISBLANK($AN81),ISBLANK($BF81)),0,1)</f>
    </oc>
    <nc r="BV81">
      <f>IF(AND(ISBLANK(SPH_6),ISBLANK(SPH_12)),0,1)</f>
    </nc>
  </rcc>
  <rcc rId="2992" sId="1">
    <oc r="BV33">
      <f>IF(AND(ISBLANK($AN33),ISBLANK($BF33)),0,1)</f>
    </oc>
    <nc r="BV33">
      <f>IF(AND(ISBLANK(SPH_6),ISBLANK(SPH_12)),0,1)</f>
    </nc>
  </rcc>
  <rcc rId="2993" sId="1">
    <oc r="BV37">
      <f>IF(AND(ISBLANK($AN37),ISBLANK($BF37)),0,1)</f>
    </oc>
    <nc r="BV37">
      <f>IF(AND(ISBLANK(SPH_6),ISBLANK(SPH_12)),0,1)</f>
    </nc>
  </rcc>
  <rcc rId="2994" sId="1">
    <oc r="BV44">
      <f>IF(AND(ISBLANK($AN44),ISBLANK($BF44)),0,1)</f>
    </oc>
    <nc r="BV44">
      <f>IF(AND(ISBLANK(SPH_6),ISBLANK(SPH_12)),0,1)</f>
    </nc>
  </rcc>
  <rcc rId="2995" sId="1">
    <oc r="BV58">
      <f>IF(AND(ISBLANK($AN58),ISBLANK($BF58)),0,1)</f>
    </oc>
    <nc r="BV58">
      <f>IF(AND(ISBLANK(SPH_6),ISBLANK(SPH_12)),0,1)</f>
    </nc>
  </rcc>
  <rcc rId="2996" sId="1">
    <oc r="BV17">
      <f>IF(AND(ISBLANK($AN17),ISBLANK($BF17)),0,1)</f>
    </oc>
    <nc r="BV17">
      <f>IF(AND(ISBLANK(SPH_6),ISBLANK(SPH_12)),0,1)</f>
    </nc>
  </rcc>
  <rcc rId="2997" sId="1">
    <oc r="BV42">
      <f>IF(AND(ISBLANK($AN42),ISBLANK($BF42)),0,1)</f>
    </oc>
    <nc r="BV42">
      <f>IF(AND(ISBLANK(SPH_6),ISBLANK(SPH_12)),0,1)</f>
    </nc>
  </rcc>
  <rcc rId="2998" sId="1">
    <oc r="BV45">
      <f>IF(AND(ISBLANK($AN45),ISBLANK($BF45)),0,1)</f>
    </oc>
    <nc r="BV45">
      <f>IF(AND(ISBLANK(SPH_6),ISBLANK(SPH_12)),0,1)</f>
    </nc>
  </rcc>
  <rcc rId="2999" sId="1">
    <oc r="BV70">
      <f>IF(AND(ISBLANK($AN70),ISBLANK($BF70)),0,1)</f>
    </oc>
    <nc r="BV70">
      <f>IF(AND(ISBLANK(SPH_6),ISBLANK(SPH_12)),0,1)</f>
    </nc>
  </rcc>
  <rcc rId="3000" sId="1">
    <oc r="BV57">
      <f>IF(AND(ISBLANK($AN57),ISBLANK($BF57)),0,1)</f>
    </oc>
    <nc r="BV57">
      <f>IF(AND(ISBLANK(SPH_6),ISBLANK(SPH_12)),0,1)</f>
    </nc>
  </rcc>
  <rcc rId="3001" sId="1">
    <oc r="BV73">
      <f>IF(AND(ISBLANK($AN73),ISBLANK($BF73)),0,1)</f>
    </oc>
    <nc r="BV73">
      <f>IF(AND(ISBLANK(SPH_6),ISBLANK(SPH_12)),0,1)</f>
    </nc>
  </rcc>
  <rcc rId="3002" sId="1">
    <oc r="BV63">
      <f>IF(AND(ISBLANK($AN63),ISBLANK($BF63)),0,1)</f>
    </oc>
    <nc r="BV63">
      <f>IF(AND(ISBLANK(SPH_6),ISBLANK(SPH_12)),0,1)</f>
    </nc>
  </rcc>
  <rcc rId="3003" sId="1">
    <oc r="BV74">
      <f>IF(AND(ISBLANK($AN74),ISBLANK($BF74)),0,1)</f>
    </oc>
    <nc r="BV74">
      <f>IF(AND(ISBLANK(SPH_6),ISBLANK(SPH_12)),0,1)</f>
    </nc>
  </rcc>
  <rcc rId="3004" sId="1">
    <oc r="BV65">
      <f>IF(AND(ISBLANK($AN65),ISBLANK($BF65)),0,1)</f>
    </oc>
    <nc r="BV65">
      <f>IF(AND(ISBLANK(SPH_6),ISBLANK(SPH_12)),0,1)</f>
    </nc>
  </rcc>
  <rcc rId="3005" sId="1">
    <oc r="BV75">
      <f>IF(AND(ISBLANK($AN75),ISBLANK($BF75)),0,1)</f>
    </oc>
    <nc r="BV75">
      <f>IF(AND(ISBLANK(SPH_6),ISBLANK(SPH_12)),0,1)</f>
    </nc>
  </rcc>
  <rcc rId="3006" sId="1">
    <oc r="BV78">
      <f>IF(AND(ISBLANK($AN78),ISBLANK($BF78)),0,1)</f>
    </oc>
    <nc r="BV78">
      <f>IF(AND(ISBLANK(SPH_6),ISBLANK(SPH_12)),0,1)</f>
    </nc>
  </rcc>
  <rcc rId="3007" sId="1">
    <oc r="BV114">
      <f>IF(AND(ISBLANK($AN114),ISBLANK($BF114)),0,1)</f>
    </oc>
    <nc r="BV114">
      <f>IF(AND(ISBLANK(SPH_6),ISBLANK(SPH_12)),0,1)</f>
    </nc>
  </rcc>
  <rcc rId="3008" sId="1">
    <oc r="BV117">
      <f>IF(AND(ISBLANK($AN117),ISBLANK($BF117)),0,1)</f>
    </oc>
    <nc r="BV117">
      <f>IF(AND(ISBLANK(SPH_6),ISBLANK(SPH_12)),0,1)</f>
    </nc>
  </rcc>
  <rcc rId="3009" sId="1">
    <oc r="BV51">
      <f>IF(AND(ISBLANK($AN51),ISBLANK($BF51)),0,1)</f>
    </oc>
    <nc r="BV51">
      <f>IF(AND(ISBLANK(SPH_6),ISBLANK(SPH_12)),0,1)</f>
    </nc>
  </rcc>
  <rcc rId="3010" sId="1">
    <oc r="BV59">
      <f>IF(AND(ISBLANK($AN59),ISBLANK($BF59)),0,1)</f>
    </oc>
    <nc r="BV59">
      <f>IF(AND(ISBLANK(SPH_6),ISBLANK(SPH_12)),0,1)</f>
    </nc>
  </rcc>
  <rcc rId="3011" sId="1">
    <oc r="BV31">
      <f>IF(AND(ISBLANK($AN31),ISBLANK($BF31)),0,1)</f>
    </oc>
    <nc r="BV31">
      <f>IF(AND(ISBLANK(SPH_6),ISBLANK(SPH_12)),0,1)</f>
    </nc>
  </rcc>
  <rcc rId="3012" sId="1">
    <oc r="BV82">
      <f>IF(AND(ISBLANK($AN82),ISBLANK($BF82)),0,1)</f>
    </oc>
    <nc r="BV82">
      <f>IF(AND(ISBLANK(SPH_6),ISBLANK(SPH_12)),0,1)</f>
    </nc>
  </rcc>
  <rcc rId="3013" sId="1">
    <oc r="BV64">
      <f>IF(AND(ISBLANK($AN64),ISBLANK($BF64)),0,1)</f>
    </oc>
    <nc r="BV64">
      <f>IF(AND(ISBLANK(SPH_6),ISBLANK(SPH_12)),0,1)</f>
    </nc>
  </rcc>
  <rcc rId="3014" sId="1">
    <oc r="BV119">
      <f>SUM(BV107:BV116)</f>
    </oc>
    <nc r="BV119">
      <f>IF(AND(ISBLANK(SPH_6),ISBLANK(SPH_12)),0,1)</f>
    </nc>
  </rcc>
  <rcc rId="3015" sId="1">
    <nc r="BV54">
      <f>IF(AND(ISBLANK(SPH_6),ISBLANK(SPH_12)),0,1)</f>
    </nc>
  </rcc>
  <rcc rId="3016" sId="1">
    <nc r="BV90">
      <f>IF(AND(ISBLANK(SPH_6),ISBLANK(SPH_12)),0,1)</f>
    </nc>
  </rcc>
  <rcc rId="3017" sId="1">
    <nc r="BV96">
      <f>IF(AND(ISBLANK(SPH_6),ISBLANK(SPH_12)),0,1)</f>
    </nc>
  </rcc>
  <rcc rId="3018" sId="1">
    <nc r="BV67">
      <f>IF(AND(ISBLANK(SPH_6),ISBLANK(SPH_12)),0,1)</f>
    </nc>
  </rcc>
  <rcc rId="3019" sId="1">
    <nc r="BV120">
      <f>IF(AND(ISBLANK(SPH_6),ISBLANK(SPH_12)),0,1)</f>
    </nc>
  </rcc>
  <rcc rId="3020" sId="1">
    <nc r="BV123">
      <f>IF(AND(ISBLANK(SPH_6),ISBLANK(SPH_12)),0,1)</f>
    </nc>
  </rcc>
  <rcc rId="3021" sId="1">
    <nc r="BV125">
      <f>IF(AND(ISBLANK(SPH_6),ISBLANK(SPH_12)),0,1)</f>
    </nc>
  </rcc>
  <rcc rId="3022" sId="1">
    <nc r="BV126">
      <f>IF(AND(ISBLANK(SPH_6),ISBLANK(SPH_12)),0,1)</f>
    </nc>
  </rcc>
  <rcc rId="3023" sId="1">
    <nc r="BV127">
      <f>IF(AND(ISBLANK(SPH_6),ISBLANK(SPH_12)),0,1)</f>
    </nc>
  </rcc>
  <rcc rId="3024" sId="1" odxf="1" dxf="1">
    <nc r="CA127">
      <f>IF(AND(ISNUMBER(BD127),ISNUMBER(BF127)),BD127-A127,IF(ISNUMBER(AL127),AL127-A127,0))</f>
    </nc>
    <odxf>
      <numFmt numFmtId="0" formatCode="General"/>
    </odxf>
    <ndxf>
      <numFmt numFmtId="2" formatCode="0.00"/>
    </ndxf>
  </rcc>
  <rcc rId="3025" sId="1" odxf="1" dxf="1">
    <nc r="CB127">
      <f>IF(CA127&gt;0,CA127/30,"")</f>
    </nc>
    <odxf>
      <numFmt numFmtId="0" formatCode="General"/>
    </odxf>
    <ndxf>
      <numFmt numFmtId="165" formatCode="0.0"/>
    </ndxf>
  </rcc>
  <rcc rId="3026" sId="1">
    <nc r="CG127">
      <f>IF(AND(ISNUMBER(SPH_PREOP),ISNUMBER(SE_LAST_)),SPH_PREOP+CYL_PREOP/2,"")</f>
    </nc>
  </rcc>
  <rcc rId="3027" sId="1">
    <nc r="CJ127">
      <f>IF(ISNUMBER(Z127),IF(ISNUMBER(BK127),BK127-Z127,IF(ISNUMBER(AS127),AS127-Z127,"")),"")</f>
    </nc>
  </rcc>
  <rcc rId="3028" sId="1">
    <nc r="CK127">
      <f>IF(ISNUMBER(AA127),IF(ISNUMBER(AU127),AU127-AA127,IF(ISNUMBER(BM127),BM127-AA127,"")),"")</f>
    </nc>
  </rcc>
  <rcc rId="3029" sId="1">
    <nc r="CC127">
      <f>IF(AND(ISNUMBER(BA127),ISNUMBER(BS127)),(BS127-BA127),"")</f>
    </nc>
  </rcc>
  <rcc rId="3030" sId="1">
    <nc r="CD127">
      <f>IF(AND(ISNUMBER(AY127), ISNUMBER(AE127)), AVERAGE(AY127,AW127)-AVERAGE(AE127,AG127),"")</f>
    </nc>
  </rcc>
  <rcc rId="3031" sId="1">
    <nc r="CE127">
      <f>IF(AND(ISNUMBER(BO127), ISNUMBER(AE127)), AVERAGE(BO127,BQ127)-AVERAGE(AE127,AG127),"")</f>
    </nc>
  </rcc>
  <rcc rId="3032" sId="1">
    <nc r="CF127">
      <f>IF(ISNUMBER(CE127),CE127,IF(ISNUMBER(CD127),CD127,""))</f>
    </nc>
  </rcc>
  <rcc rId="3033" sId="1" xfDxf="1" dxf="1" numFmtId="4">
    <nc r="S125">
      <v>15.25</v>
    </nc>
    <ndxf>
      <numFmt numFmtId="166" formatCode="\+#0.00;\-#0.00;0;@"/>
      <alignment horizontal="center" readingOrder="0"/>
      <border outline="0">
        <left style="thin">
          <color indexed="64"/>
        </left>
        <right style="thin">
          <color indexed="64"/>
        </right>
        <top style="thin">
          <color indexed="64"/>
        </top>
        <bottom style="thin">
          <color indexed="64"/>
        </bottom>
      </border>
    </ndxf>
  </rcc>
  <rcc rId="3034" sId="1">
    <nc r="R125" t="inlineStr">
      <is>
        <t>SOFTEC HD</t>
      </is>
    </nc>
  </rcc>
  <rcc rId="3035" sId="1" xfDxf="1" dxf="1" numFmtId="4">
    <nc r="S77">
      <v>18.5</v>
    </nc>
    <ndxf>
      <numFmt numFmtId="166" formatCode="\+#0.00;\-#0.00;0;@"/>
      <alignment horizontal="center" readingOrder="0"/>
      <border outline="0">
        <left style="thin">
          <color indexed="64"/>
        </left>
        <right style="thin">
          <color indexed="64"/>
        </right>
        <top style="thin">
          <color indexed="64"/>
        </top>
        <bottom style="thin">
          <color indexed="64"/>
        </bottom>
      </border>
    </ndxf>
  </rcc>
  <rcc rId="3036" sId="1" xfDxf="1" dxf="1" numFmtId="4">
    <nc r="S54">
      <v>16.75</v>
    </nc>
    <ndxf>
      <numFmt numFmtId="166" formatCode="\+#0.00;\-#0.00;0;@"/>
      <alignment horizontal="center" readingOrder="0"/>
      <border outline="0">
        <left style="thin">
          <color indexed="64"/>
        </left>
        <right style="thin">
          <color indexed="64"/>
        </right>
        <top style="thin">
          <color indexed="64"/>
        </top>
        <bottom style="thin">
          <color indexed="64"/>
        </bottom>
      </border>
    </ndxf>
  </rcc>
  <rcc rId="3037" sId="1" xfDxf="1" dxf="1" numFmtId="4">
    <nc r="S4">
      <v>14.5</v>
    </nc>
    <ndxf>
      <numFmt numFmtId="166" formatCode="\+#0.00;\-#0.00;0;@"/>
      <alignment horizontal="center" readingOrder="0"/>
      <border outline="0">
        <left style="thin">
          <color indexed="64"/>
        </left>
        <right style="thin">
          <color indexed="64"/>
        </right>
        <top style="thin">
          <color indexed="64"/>
        </top>
        <bottom style="thin">
          <color indexed="64"/>
        </bottom>
      </border>
    </ndxf>
  </rcc>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38" sId="1" numFmtId="4">
    <nc r="S87">
      <v>15.5</v>
    </nc>
  </rcc>
  <rcc rId="3039" sId="1" numFmtId="4">
    <nc r="S88">
      <v>15</v>
    </nc>
  </rcc>
  <rcc rId="3040" sId="1" numFmtId="4">
    <nc r="S89">
      <v>23</v>
    </nc>
  </rcc>
  <rcc rId="3041" sId="1" numFmtId="4">
    <nc r="S91">
      <v>20.25</v>
    </nc>
  </rcc>
  <rcc rId="3042" sId="1" numFmtId="4">
    <nc r="S92">
      <v>10</v>
    </nc>
  </rcc>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43" sId="1" numFmtId="4">
    <nc r="S93">
      <v>23.75</v>
    </nc>
  </rcc>
  <rfmt sheetId="1" sqref="R94" start="0" length="0">
    <dxf>
      <font>
        <sz val="10"/>
        <color auto="1"/>
        <name val="Arial"/>
        <scheme val="none"/>
      </font>
    </dxf>
  </rfmt>
  <rcc rId="3044" sId="1" odxf="1" dxf="1">
    <nc r="R94" t="inlineStr">
      <is>
        <t>SOFTEC HD</t>
      </is>
    </nc>
    <ndxf>
      <font>
        <sz val="10"/>
        <color auto="1"/>
        <name val="Arial"/>
        <scheme val="none"/>
      </font>
    </ndxf>
  </rcc>
  <rcc rId="3045" sId="1" numFmtId="4">
    <nc r="S94">
      <v>19.5</v>
    </nc>
  </rcc>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46" sId="1" numFmtId="4">
    <nc r="S95">
      <v>16.25</v>
    </nc>
  </rcc>
  <rcc rId="3047" sId="1" numFmtId="4">
    <nc r="S97">
      <v>15</v>
    </nc>
  </rcc>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48" sId="1" numFmtId="4">
    <nc r="S99">
      <v>14.5</v>
    </nc>
  </rcc>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49" sId="1" numFmtId="4">
    <nc r="S100">
      <v>20.75</v>
    </nc>
  </rcc>
  <rcc rId="3050" sId="1" numFmtId="4">
    <nc r="S101">
      <v>21.25</v>
    </nc>
  </rcc>
  <rcc rId="3051" sId="1" numFmtId="4">
    <nc r="S102">
      <v>21.25</v>
    </nc>
  </rcc>
  <rcc rId="3052" sId="1" numFmtId="4">
    <nc r="S103">
      <v>22.25</v>
    </nc>
  </rcc>
  <rcc rId="3053" sId="1" numFmtId="4">
    <nc r="S104">
      <v>21.25</v>
    </nc>
  </rcc>
  <rcc rId="3054" sId="1" numFmtId="4">
    <nc r="S105">
      <v>19.25</v>
    </nc>
  </rcc>
  <rcc rId="3055" sId="1" numFmtId="4">
    <nc r="S106">
      <v>19</v>
    </nc>
  </rcc>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56" sId="1" numFmtId="4">
    <nc r="S108">
      <v>19.75</v>
    </nc>
  </rcc>
  <rcc rId="3057" sId="1" numFmtId="4">
    <nc r="S109">
      <v>17.25</v>
    </nc>
  </rcc>
  <rcc rId="3058" sId="1" numFmtId="4">
    <nc r="S110">
      <v>18</v>
    </nc>
  </rcc>
  <rcc rId="3059" sId="1" numFmtId="4">
    <nc r="S111">
      <v>20.5</v>
    </nc>
  </rcc>
  <rcc rId="3060" sId="1" numFmtId="4">
    <nc r="S112">
      <v>18.25</v>
    </nc>
  </rcc>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61" sId="1" numFmtId="4">
    <nc r="S113">
      <v>28</v>
    </nc>
  </rcc>
  <rcc rId="3062" sId="1" odxf="1" dxf="1">
    <oc r="R113" t="inlineStr">
      <is>
        <t>SOFTEC HD</t>
      </is>
    </oc>
    <nc r="R113" t="inlineStr">
      <is>
        <t>SN6AT5</t>
      </is>
    </nc>
    <odxf>
      <font>
        <sz val="10"/>
        <color auto="1"/>
        <name val="Arial"/>
        <scheme val="none"/>
      </font>
    </odxf>
    <ndxf>
      <font>
        <sz val="10"/>
        <color auto="1"/>
        <name val="Arial"/>
        <scheme val="none"/>
      </font>
    </ndxf>
  </rcc>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R115" start="0" length="0">
    <dxf>
      <font>
        <sz val="10"/>
        <color auto="1"/>
        <name val="Arial"/>
        <scheme val="none"/>
      </font>
    </dxf>
  </rfmt>
  <rcc rId="3063" sId="1" odxf="1" dxf="1">
    <nc r="R115" t="inlineStr">
      <is>
        <t>SOFTEC HD</t>
      </is>
    </nc>
    <ndxf>
      <font>
        <sz val="10"/>
        <color auto="1"/>
        <name val="Arial"/>
        <scheme val="none"/>
      </font>
    </ndxf>
  </rcc>
  <rcc rId="3064" sId="1" odxf="1" dxf="1">
    <nc r="R116" t="inlineStr">
      <is>
        <t>SOFTEC HD</t>
      </is>
    </nc>
    <odxf/>
    <ndxf/>
  </rcc>
  <rcc rId="3065" sId="1" numFmtId="4">
    <nc r="S115">
      <v>20.25</v>
    </nc>
  </rcc>
  <rcc rId="3066" sId="1" numFmtId="4">
    <nc r="S116">
      <v>20.75</v>
    </nc>
  </rcc>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67" sId="1" odxf="1" dxf="1">
    <nc r="R118" t="inlineStr">
      <is>
        <t>SOFTEC HD</t>
      </is>
    </nc>
    <odxf/>
    <ndxf/>
  </rcc>
  <rcc rId="3068" sId="1" numFmtId="4">
    <nc r="S118">
      <v>26</v>
    </nc>
  </rcc>
  <rcc rId="3069" sId="1" odxf="1" dxf="1">
    <nc r="R121" t="inlineStr">
      <is>
        <t>SOFTEC HD</t>
      </is>
    </nc>
    <odxf/>
    <ndxf/>
  </rcc>
  <rcc rId="3070" sId="1" numFmtId="4">
    <nc r="S121">
      <v>22.5</v>
    </nc>
  </rcc>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71" sId="1" odxf="1" dxf="1">
    <nc r="R122" t="inlineStr">
      <is>
        <t>SOFTEC HD</t>
      </is>
    </nc>
    <odxf/>
    <ndxf/>
  </rcc>
  <rcc rId="3072" sId="1" numFmtId="4">
    <nc r="S122">
      <v>22.5</v>
    </nc>
  </rcc>
  <rcc rId="3073" sId="1" odxf="1" dxf="1">
    <nc r="R124" t="inlineStr">
      <is>
        <t>SOFTEC HD</t>
      </is>
    </nc>
    <odxf/>
    <ndxf/>
  </rcc>
  <rcc rId="3074" sId="1" numFmtId="4">
    <nc r="S124">
      <v>22.5</v>
    </nc>
  </rcc>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75" sId="1" numFmtId="4">
    <nc r="S18">
      <v>17</v>
    </nc>
  </rcc>
  <rcc rId="3076" sId="1" numFmtId="4">
    <nc r="S38">
      <v>19.25</v>
    </nc>
  </rcc>
  <rcc rId="3077" sId="1" numFmtId="4">
    <nc r="S19">
      <v>23.75</v>
    </nc>
  </rcc>
  <rcc rId="3078" sId="1" numFmtId="4">
    <nc r="S24">
      <v>24.5</v>
    </nc>
  </rcc>
  <rcc rId="3079" sId="1" numFmtId="4">
    <nc r="S60">
      <v>25.5</v>
    </nc>
  </rcc>
  <rcc rId="3080" sId="1" numFmtId="4">
    <nc r="S61">
      <v>21.5</v>
    </nc>
  </rcc>
  <rcc rId="3081" sId="1" numFmtId="4">
    <nc r="S22">
      <v>23.25</v>
    </nc>
  </rcc>
  <rcc rId="3082" sId="1" numFmtId="4">
    <nc r="S39">
      <v>17.5</v>
    </nc>
  </rcc>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83" sId="1" numFmtId="4">
    <nc r="S30">
      <v>11</v>
    </nc>
  </rcc>
  <rcc rId="3084" sId="1" numFmtId="4">
    <nc r="S27">
      <v>22.75</v>
    </nc>
  </rcc>
  <rcc rId="3085" sId="1" numFmtId="4">
    <nc r="S3">
      <v>14</v>
    </nc>
  </rcc>
  <rcc rId="3086" sId="1" numFmtId="4">
    <nc r="S16">
      <v>17.75</v>
    </nc>
  </rcc>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87" sId="1" numFmtId="4">
    <nc r="S49">
      <v>23.75</v>
    </nc>
  </rcc>
  <rcc rId="3088" sId="1" numFmtId="4">
    <nc r="S23">
      <v>21.25</v>
    </nc>
  </rcc>
  <rcc rId="3089" sId="1" odxf="1" dxf="1">
    <nc r="AK23" t="inlineStr">
      <is>
        <t>Astigmatism management</t>
      </is>
    </nc>
    <odxf>
      <font>
        <sz val="10"/>
        <color auto="1"/>
        <name val="Arial"/>
        <scheme val="none"/>
      </font>
    </odxf>
    <ndxf>
      <font>
        <sz val="10"/>
        <color auto="1"/>
        <name val="Arial"/>
        <scheme val="none"/>
      </font>
    </ndxf>
  </rcc>
  <rcc rId="3090" sId="1">
    <oc r="AK11" t="inlineStr">
      <is>
        <t>Astigmatism management</t>
      </is>
    </oc>
    <nc r="AK11"/>
  </rcc>
  <rcc rId="3091" sId="1" numFmtId="4">
    <nc r="S11">
      <v>21.5</v>
    </nc>
  </rcc>
  <rcc rId="3092" sId="1" numFmtId="4">
    <nc r="S48">
      <v>20.5</v>
    </nc>
  </rcc>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93" sId="1" numFmtId="4">
    <nc r="S43">
      <v>19</v>
    </nc>
  </rcc>
  <rcc rId="3094" sId="1" numFmtId="4">
    <nc r="S69">
      <v>20</v>
    </nc>
  </rcc>
  <rcc rId="3095" sId="1" odxf="1" dxf="1">
    <oc r="R69" t="inlineStr">
      <is>
        <t>SOFTEC HD</t>
      </is>
    </oc>
    <nc r="R69" t="inlineStr">
      <is>
        <t>SN6AT6</t>
      </is>
    </nc>
    <odxf/>
    <ndxf/>
  </rcc>
  <rcc rId="3096" sId="1" numFmtId="4">
    <nc r="S29">
      <v>18.25</v>
    </nc>
  </rcc>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97" sId="1" numFmtId="4">
    <nc r="S7">
      <v>18.25</v>
    </nc>
  </rcc>
  <rcc rId="3098" sId="1" numFmtId="4">
    <nc r="S52">
      <v>27</v>
    </nc>
  </rcc>
  <rcc rId="3099" sId="1" numFmtId="4">
    <nc r="S71">
      <v>11.5</v>
    </nc>
  </rcc>
  <rcc rId="3100" sId="1" numFmtId="4">
    <nc r="S62">
      <v>20.25</v>
    </nc>
  </rcc>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01" sId="1" numFmtId="4">
    <nc r="S35">
      <v>21.5</v>
    </nc>
  </rcc>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02" sId="1" numFmtId="4">
    <nc r="S40">
      <v>20.5</v>
    </nc>
  </rcc>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03" sId="1" numFmtId="4">
    <nc r="S2">
      <v>33</v>
    </nc>
  </rcc>
  <rcc rId="3104" sId="1" numFmtId="4">
    <nc r="S8">
      <v>24.5</v>
    </nc>
  </rcc>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05" sId="1" numFmtId="4">
    <nc r="S12">
      <v>19.25</v>
    </nc>
  </rcc>
  <rcc rId="3106" sId="1" numFmtId="4">
    <nc r="S10">
      <v>18.75</v>
    </nc>
  </rcc>
  <rcc rId="3107" sId="1" numFmtId="4">
    <nc r="S20">
      <v>22.5</v>
    </nc>
  </rcc>
  <rcc rId="3108" sId="1" numFmtId="4">
    <nc r="S21">
      <v>10</v>
    </nc>
  </rcc>
  <rcc rId="3109" sId="1" numFmtId="4">
    <nc r="S26">
      <v>10.5</v>
    </nc>
  </rcc>
  <rcc rId="3110" sId="1" numFmtId="4">
    <nc r="S66">
      <v>23.25</v>
    </nc>
  </rcc>
  <rcc rId="3111" sId="1" numFmtId="4">
    <nc r="S9">
      <v>19.5</v>
    </nc>
  </rcc>
  <rcc rId="3112" sId="1" numFmtId="4">
    <nc r="S36">
      <v>15</v>
    </nc>
  </rcc>
  <rcc rId="3113" sId="1" numFmtId="4">
    <nc r="S76">
      <v>21.75</v>
    </nc>
  </rcc>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4" sId="1" numFmtId="4">
    <nc r="S28">
      <v>28.5</v>
    </nc>
  </rcc>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5" sId="1" numFmtId="4">
    <nc r="S25">
      <v>21</v>
    </nc>
  </rcc>
  <rcc rId="3116" sId="1" numFmtId="4">
    <nc r="S5">
      <v>13.5</v>
    </nc>
  </rcc>
  <rcc rId="3117" sId="1" numFmtId="4">
    <nc r="S53">
      <v>23.5</v>
    </nc>
  </rcc>
  <rcc rId="3118" sId="1" numFmtId="4">
    <nc r="S6">
      <v>24.25</v>
    </nc>
  </rcc>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19" sId="1" numFmtId="4">
    <nc r="S14">
      <v>19.25</v>
    </nc>
  </rcc>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20" sId="1" numFmtId="4">
    <nc r="S72">
      <v>17.75</v>
    </nc>
  </rcc>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21" sId="1" numFmtId="4">
    <nc r="S81">
      <v>22</v>
    </nc>
  </rcc>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22" sId="1" numFmtId="4">
    <nc r="S37">
      <v>19.75</v>
    </nc>
  </rcc>
  <rcc rId="3123" sId="1" numFmtId="4">
    <nc r="S33">
      <v>19.5</v>
    </nc>
  </rcc>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24" sId="1" numFmtId="4">
    <nc r="S45">
      <v>17.75</v>
    </nc>
  </rcc>
  <rcc rId="3125" sId="1" numFmtId="4">
    <nc r="S63">
      <v>21.75</v>
    </nc>
  </rcc>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26" sId="1" numFmtId="4">
    <nc r="S65">
      <v>23</v>
    </nc>
  </rcc>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27" sId="1" numFmtId="4">
    <nc r="S114">
      <v>8</v>
    </nc>
  </rcc>
  <rcc rId="3128" sId="1" numFmtId="4">
    <nc r="S51">
      <v>18</v>
    </nc>
  </rcc>
  <rcc rId="3129" sId="1" odxf="1" dxf="1">
    <oc r="R59" t="inlineStr">
      <is>
        <t>SOFTEC HD</t>
      </is>
    </oc>
    <nc r="R59" t="inlineStr">
      <is>
        <t>SN6AT6</t>
      </is>
    </nc>
    <odxf>
      <font>
        <sz val="10"/>
        <color auto="1"/>
        <name val="Arial"/>
        <scheme val="none"/>
      </font>
    </odxf>
    <ndxf>
      <font>
        <sz val="10"/>
        <color auto="1"/>
        <name val="Arial"/>
        <scheme val="none"/>
      </font>
    </ndxf>
  </rcc>
  <rcc rId="3130" sId="1" numFmtId="4">
    <nc r="S59">
      <v>12</v>
    </nc>
  </rcc>
  <rcc rId="3131" sId="1" numFmtId="4">
    <nc r="S31">
      <v>21.25</v>
    </nc>
  </rcc>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32" sId="1" numFmtId="4">
    <nc r="S64">
      <v>20.25</v>
    </nc>
  </rcc>
  <rcc rId="3133" sId="1" odxf="1" dxf="1">
    <nc r="R119" t="inlineStr">
      <is>
        <t>SOFTEC HD</t>
      </is>
    </nc>
    <odxf/>
    <ndxf/>
  </rcc>
  <rcc rId="3134" sId="1" numFmtId="4">
    <nc r="S119">
      <v>22.25</v>
    </nc>
  </rcc>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35" sId="1" numFmtId="4">
    <nc r="S90">
      <v>21.5</v>
    </nc>
  </rcc>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36" sId="1" numFmtId="4">
    <nc r="S96">
      <v>20.5</v>
    </nc>
  </rcc>
  <rcc rId="3137" sId="1" odxf="1" dxf="1">
    <nc r="R96" t="inlineStr">
      <is>
        <t>SOFTEC HD</t>
      </is>
    </nc>
    <odxf/>
    <ndxf/>
  </rcc>
  <rcc rId="3138" sId="1" numFmtId="4">
    <nc r="S120">
      <v>19.75</v>
    </nc>
  </rcc>
  <rcc rId="3139" sId="1" odxf="1" dxf="1">
    <nc r="R120" t="inlineStr">
      <is>
        <t>SOFTEC HD</t>
      </is>
    </nc>
    <odxf/>
    <ndxf/>
  </rcc>
  <rcc rId="3140" sId="1" numFmtId="4">
    <nc r="S123">
      <v>20.25</v>
    </nc>
  </rcc>
  <rcc rId="3141" sId="1" odxf="1" dxf="1">
    <nc r="R123" t="inlineStr">
      <is>
        <t>SOFTEC HD</t>
      </is>
    </nc>
    <odxf/>
    <ndxf/>
  </rcc>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42" sId="1" numFmtId="4">
    <nc r="S79">
      <v>12.5</v>
    </nc>
  </rcc>
  <rcc rId="3143" sId="1" numFmtId="4">
    <nc r="S13">
      <v>15</v>
    </nc>
  </rcc>
  <rcc rId="3144" sId="1" numFmtId="4">
    <nc r="S98">
      <v>11.5</v>
    </nc>
  </rcc>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45" sId="1">
    <nc r="AB126">
      <v>11.9</v>
    </nc>
  </rcc>
  <rcc rId="3146" sId="1">
    <nc r="AC126">
      <v>4.87</v>
    </nc>
  </rcc>
  <rcc rId="3147" sId="1">
    <nc r="AD126">
      <v>3.57</v>
    </nc>
  </rcc>
  <rcc rId="3148" sId="1">
    <nc r="AA126">
      <v>25.51</v>
    </nc>
  </rcc>
  <rcc rId="3149" sId="1">
    <nc r="AE126">
      <v>42.51</v>
    </nc>
  </rcc>
  <rcc rId="3150" sId="1">
    <nc r="AF126">
      <v>178</v>
    </nc>
  </rcc>
  <rcc rId="3151" sId="1">
    <nc r="AG126">
      <v>44.53</v>
    </nc>
  </rcc>
  <rcc rId="3152" sId="1">
    <nc r="AH126">
      <v>88</v>
    </nc>
  </rcc>
  <rcc rId="3153" sId="1">
    <nc r="AA125">
      <v>25.03</v>
    </nc>
  </rcc>
  <rcc rId="3154" sId="1">
    <nc r="AB125">
      <v>11.7</v>
    </nc>
  </rcc>
  <rcc rId="3155" sId="1">
    <nc r="AC125">
      <v>4.38</v>
    </nc>
  </rcc>
  <rcc rId="3156" sId="1">
    <nc r="AD125">
      <v>3.54</v>
    </nc>
  </rcc>
  <rcc rId="3157" sId="1">
    <nc r="AE125">
      <v>44.18</v>
    </nc>
  </rcc>
  <rcc rId="3158" sId="1">
    <nc r="AF125">
      <v>106</v>
    </nc>
  </rcc>
  <rcc rId="3159" sId="1">
    <nc r="AG125">
      <v>44.88</v>
    </nc>
  </rcc>
  <rcc rId="3160" sId="1">
    <nc r="AH125">
      <v>16</v>
    </nc>
  </rcc>
  <rcc rId="3161" sId="1">
    <nc r="AA123">
      <v>22.93</v>
    </nc>
  </rcc>
  <rcc rId="3162" sId="1">
    <nc r="AB123">
      <v>12.1</v>
    </nc>
  </rcc>
  <rcc rId="3163" sId="1">
    <nc r="AC123">
      <v>4.26</v>
    </nc>
  </rcc>
  <rcc rId="3164" sId="1">
    <nc r="AD123">
      <v>3.83</v>
    </nc>
  </rcc>
  <rcc rId="3165" sId="1">
    <nc r="AE123">
      <v>45.92</v>
    </nc>
  </rcc>
  <rcc rId="3166" sId="1">
    <nc r="AF123">
      <v>136</v>
    </nc>
  </rcc>
  <rcc rId="3167" sId="1">
    <nc r="AG123">
      <v>46.68</v>
    </nc>
  </rcc>
  <rcc rId="3168" sId="1">
    <nc r="AH123">
      <v>46</v>
    </nc>
  </rcc>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69" sId="1">
    <nc r="AA120">
      <v>23.51</v>
    </nc>
  </rcc>
  <rcc rId="3170" sId="1">
    <nc r="AB120">
      <v>11.8</v>
    </nc>
  </rcc>
  <rcc rId="3171" sId="1">
    <nc r="AC120">
      <v>4.54</v>
    </nc>
  </rcc>
  <rcc rId="3172" sId="1">
    <nc r="AD120">
      <v>3.49</v>
    </nc>
  </rcc>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73" sId="1">
    <nc r="AD78">
      <v>2.61</v>
    </nc>
  </rcc>
  <rcc rId="3174" sId="1">
    <nc r="AE78">
      <v>44.18</v>
    </nc>
  </rcc>
  <rcc rId="3175" sId="1">
    <nc r="AF78">
      <v>179</v>
    </nc>
  </rcc>
  <rcc rId="3176" sId="1">
    <nc r="AG78">
      <v>45.06</v>
    </nc>
  </rcc>
  <rcc rId="3177" sId="1">
    <nc r="AH78">
      <v>89</v>
    </nc>
  </rcc>
  <rcc rId="3178" sId="1">
    <nc r="AC78">
      <v>4.6399999999999997</v>
    </nc>
  </rcc>
  <rcc rId="3179" sId="1">
    <nc r="AD75">
      <v>2.6</v>
    </nc>
  </rcc>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80" sId="1">
    <nc r="AB48">
      <v>12.1</v>
    </nc>
  </rcc>
  <rcc rId="3181" sId="1">
    <nc r="AC48">
      <v>5.31</v>
    </nc>
  </rcc>
  <rcc rId="3182" sId="1">
    <nc r="AA48">
      <v>23.51</v>
    </nc>
  </rcc>
  <rcc rId="3183" sId="1">
    <nc r="AD48">
      <v>2.91</v>
    </nc>
  </rcc>
  <rcc rId="3184" sId="1">
    <nc r="AE48">
      <v>44.12</v>
    </nc>
  </rcc>
  <rcc rId="3185" sId="1">
    <nc r="AF48">
      <v>164</v>
    </nc>
  </rcc>
  <rcc rId="3186" sId="1">
    <nc r="AG48">
      <v>47</v>
    </nc>
  </rcc>
  <rcc rId="3187" sId="1">
    <nc r="AH48">
      <v>74</v>
    </nc>
  </rcc>
  <rcc rId="3188" sId="1">
    <nc r="AU48">
      <v>23.3</v>
    </nc>
  </rcc>
  <rcc rId="3189" sId="1">
    <nc r="AV48">
      <v>4.2300000000000004</v>
    </nc>
  </rcc>
  <rcc rId="3190" sId="1">
    <nc r="AW48">
      <v>41.16</v>
    </nc>
  </rcc>
  <rcc rId="3191" sId="1">
    <nc r="AX48">
      <v>163</v>
    </nc>
  </rcc>
  <rcc rId="3192" sId="1">
    <nc r="AY48">
      <v>45.12</v>
    </nc>
  </rcc>
  <rcc rId="3193" sId="1">
    <nc r="AZ48">
      <v>73</v>
    </nc>
  </rcc>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94" sId="1" numFmtId="4">
    <nc r="BE9">
      <v>50</v>
    </nc>
  </rcc>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95" sId="1">
    <nc r="AB4">
      <v>12</v>
    </nc>
  </rcc>
  <rcc rId="3196" sId="1">
    <nc r="AC4">
      <v>4.4400000000000004</v>
    </nc>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3">
  <userInfo guid="{0CFDE381-9D11-4C71-9DF1-325191B09E4F}" name="Evan D. Schoenberg, M.D." id="-904519166" dateTime="2014-02-11T12:44:49"/>
  <userInfo guid="{18F2BE00-DADD-4B81-8C08-EC7D279EECC6}" name="Evan D. Schoenberg, M.D." id="-904482310" dateTime="2014-02-20T09:43:09"/>
  <userInfo guid="{C43FEDBC-E7D8-4E9B-B4E0-2DA8F785A7F7}" name="Jalee Miller" id="-515045351" dateTime="2014-02-25T09:31:37"/>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mailto:CF@3ft" TargetMode="External"/><Relationship Id="rId299" Type="http://schemas.openxmlformats.org/officeDocument/2006/relationships/hyperlink" Target="mailto:CF@3ft" TargetMode="External"/><Relationship Id="rId21" Type="http://schemas.openxmlformats.org/officeDocument/2006/relationships/hyperlink" Target="mailto:CF@3ft" TargetMode="External"/><Relationship Id="rId63" Type="http://schemas.openxmlformats.org/officeDocument/2006/relationships/hyperlink" Target="mailto:HM@6in" TargetMode="External"/><Relationship Id="rId159" Type="http://schemas.openxmlformats.org/officeDocument/2006/relationships/hyperlink" Target="mailto:CF@3ft" TargetMode="External"/><Relationship Id="rId324" Type="http://schemas.openxmlformats.org/officeDocument/2006/relationships/hyperlink" Target="mailto:HM@6in" TargetMode="External"/><Relationship Id="rId366" Type="http://schemas.openxmlformats.org/officeDocument/2006/relationships/hyperlink" Target="mailto:CF@6in" TargetMode="External"/><Relationship Id="rId170" Type="http://schemas.openxmlformats.org/officeDocument/2006/relationships/hyperlink" Target="mailto:Cf@4ft" TargetMode="External"/><Relationship Id="rId226" Type="http://schemas.openxmlformats.org/officeDocument/2006/relationships/hyperlink" Target="mailto:HM@6in" TargetMode="External"/><Relationship Id="rId433" Type="http://schemas.openxmlformats.org/officeDocument/2006/relationships/hyperlink" Target="mailto:CF@6in" TargetMode="External"/><Relationship Id="rId268" Type="http://schemas.openxmlformats.org/officeDocument/2006/relationships/hyperlink" Target="mailto:CF@3ft" TargetMode="External"/><Relationship Id="rId32" Type="http://schemas.openxmlformats.org/officeDocument/2006/relationships/hyperlink" Target="mailto:CF@3ft" TargetMode="External"/><Relationship Id="rId74" Type="http://schemas.openxmlformats.org/officeDocument/2006/relationships/hyperlink" Target="mailto:CF@2ft" TargetMode="External"/><Relationship Id="rId128" Type="http://schemas.openxmlformats.org/officeDocument/2006/relationships/hyperlink" Target="mailto:CF@6in" TargetMode="External"/><Relationship Id="rId335" Type="http://schemas.openxmlformats.org/officeDocument/2006/relationships/hyperlink" Target="mailto:CF@3ft" TargetMode="External"/><Relationship Id="rId377" Type="http://schemas.openxmlformats.org/officeDocument/2006/relationships/hyperlink" Target="mailto:HM@6in" TargetMode="External"/><Relationship Id="rId5" Type="http://schemas.openxmlformats.org/officeDocument/2006/relationships/hyperlink" Target="mailto:CF@3ft" TargetMode="External"/><Relationship Id="rId181" Type="http://schemas.openxmlformats.org/officeDocument/2006/relationships/hyperlink" Target="mailto:HM@6in" TargetMode="External"/><Relationship Id="rId237" Type="http://schemas.openxmlformats.org/officeDocument/2006/relationships/hyperlink" Target="mailto:CF@6in" TargetMode="External"/><Relationship Id="rId402" Type="http://schemas.openxmlformats.org/officeDocument/2006/relationships/hyperlink" Target="mailto:CF@6in" TargetMode="External"/><Relationship Id="rId279" Type="http://schemas.openxmlformats.org/officeDocument/2006/relationships/hyperlink" Target="mailto:CF@3ft" TargetMode="External"/><Relationship Id="rId444" Type="http://schemas.openxmlformats.org/officeDocument/2006/relationships/hyperlink" Target="mailto:CF@3ft" TargetMode="External"/><Relationship Id="rId43" Type="http://schemas.openxmlformats.org/officeDocument/2006/relationships/hyperlink" Target="mailto:CF@6in" TargetMode="External"/><Relationship Id="rId139" Type="http://schemas.openxmlformats.org/officeDocument/2006/relationships/hyperlink" Target="mailto:CF@3ft" TargetMode="External"/><Relationship Id="rId290" Type="http://schemas.openxmlformats.org/officeDocument/2006/relationships/hyperlink" Target="mailto:Cf@4ft" TargetMode="External"/><Relationship Id="rId304" Type="http://schemas.openxmlformats.org/officeDocument/2006/relationships/hyperlink" Target="mailto:CF@%202%20ft" TargetMode="External"/><Relationship Id="rId346" Type="http://schemas.openxmlformats.org/officeDocument/2006/relationships/hyperlink" Target="mailto:CF@6in" TargetMode="External"/><Relationship Id="rId388" Type="http://schemas.openxmlformats.org/officeDocument/2006/relationships/hyperlink" Target="mailto:HM@6in" TargetMode="External"/><Relationship Id="rId85" Type="http://schemas.openxmlformats.org/officeDocument/2006/relationships/hyperlink" Target="mailto:HM@6in" TargetMode="External"/><Relationship Id="rId150" Type="http://schemas.openxmlformats.org/officeDocument/2006/relationships/hyperlink" Target="mailto:HM@6in" TargetMode="External"/><Relationship Id="rId192" Type="http://schemas.openxmlformats.org/officeDocument/2006/relationships/hyperlink" Target="mailto:CF@3ft" TargetMode="External"/><Relationship Id="rId206" Type="http://schemas.openxmlformats.org/officeDocument/2006/relationships/hyperlink" Target="mailto:CF@6in" TargetMode="External"/><Relationship Id="rId413" Type="http://schemas.openxmlformats.org/officeDocument/2006/relationships/hyperlink" Target="mailto:HM@6in" TargetMode="External"/><Relationship Id="rId248" Type="http://schemas.openxmlformats.org/officeDocument/2006/relationships/hyperlink" Target="mailto:CF@2ft" TargetMode="External"/><Relationship Id="rId455" Type="http://schemas.openxmlformats.org/officeDocument/2006/relationships/hyperlink" Target="mailto:CF@2ft" TargetMode="External"/><Relationship Id="rId12" Type="http://schemas.openxmlformats.org/officeDocument/2006/relationships/hyperlink" Target="mailto:HM@6in" TargetMode="External"/><Relationship Id="rId108" Type="http://schemas.openxmlformats.org/officeDocument/2006/relationships/hyperlink" Target="mailto:CF@2ft" TargetMode="External"/><Relationship Id="rId315" Type="http://schemas.openxmlformats.org/officeDocument/2006/relationships/hyperlink" Target="mailto:CF@%202%20ft" TargetMode="External"/><Relationship Id="rId357" Type="http://schemas.openxmlformats.org/officeDocument/2006/relationships/hyperlink" Target="mailto:CF@3ft" TargetMode="External"/><Relationship Id="rId54" Type="http://schemas.openxmlformats.org/officeDocument/2006/relationships/hyperlink" Target="mailto:CF@6in" TargetMode="External"/><Relationship Id="rId96" Type="http://schemas.openxmlformats.org/officeDocument/2006/relationships/hyperlink" Target="mailto:CF@3ft" TargetMode="External"/><Relationship Id="rId161" Type="http://schemas.openxmlformats.org/officeDocument/2006/relationships/hyperlink" Target="mailto:CF@3ft" TargetMode="External"/><Relationship Id="rId217" Type="http://schemas.openxmlformats.org/officeDocument/2006/relationships/hyperlink" Target="mailto:CF@3ft" TargetMode="External"/><Relationship Id="rId399" Type="http://schemas.openxmlformats.org/officeDocument/2006/relationships/hyperlink" Target="mailto:CF@3ft" TargetMode="External"/><Relationship Id="rId259" Type="http://schemas.openxmlformats.org/officeDocument/2006/relationships/hyperlink" Target="mailto:CF@3ft" TargetMode="External"/><Relationship Id="rId424" Type="http://schemas.openxmlformats.org/officeDocument/2006/relationships/hyperlink" Target="mailto:CF@2ft" TargetMode="External"/><Relationship Id="rId466" Type="http://schemas.openxmlformats.org/officeDocument/2006/relationships/hyperlink" Target="mailto:CF@3ft" TargetMode="External"/><Relationship Id="rId23" Type="http://schemas.openxmlformats.org/officeDocument/2006/relationships/hyperlink" Target="mailto:CF@3ft" TargetMode="External"/><Relationship Id="rId119" Type="http://schemas.openxmlformats.org/officeDocument/2006/relationships/hyperlink" Target="mailto:CF@3ft" TargetMode="External"/><Relationship Id="rId270" Type="http://schemas.openxmlformats.org/officeDocument/2006/relationships/hyperlink" Target="mailto:CF@%202%20ft" TargetMode="External"/><Relationship Id="rId326" Type="http://schemas.openxmlformats.org/officeDocument/2006/relationships/hyperlink" Target="mailto:CF@3ft" TargetMode="External"/><Relationship Id="rId65" Type="http://schemas.openxmlformats.org/officeDocument/2006/relationships/hyperlink" Target="mailto:HM@6in" TargetMode="External"/><Relationship Id="rId130" Type="http://schemas.openxmlformats.org/officeDocument/2006/relationships/hyperlink" Target="mailto:CF@3ft" TargetMode="External"/><Relationship Id="rId368" Type="http://schemas.openxmlformats.org/officeDocument/2006/relationships/hyperlink" Target="mailto:CF@3ft" TargetMode="External"/><Relationship Id="rId172" Type="http://schemas.openxmlformats.org/officeDocument/2006/relationships/hyperlink" Target="mailto:CF@3ft" TargetMode="External"/><Relationship Id="rId193" Type="http://schemas.openxmlformats.org/officeDocument/2006/relationships/hyperlink" Target="mailto:CF@6in" TargetMode="External"/><Relationship Id="rId207" Type="http://schemas.openxmlformats.org/officeDocument/2006/relationships/hyperlink" Target="mailto:HM@6in" TargetMode="External"/><Relationship Id="rId228" Type="http://schemas.openxmlformats.org/officeDocument/2006/relationships/hyperlink" Target="mailto:CF@3ft" TargetMode="External"/><Relationship Id="rId249" Type="http://schemas.openxmlformats.org/officeDocument/2006/relationships/hyperlink" Target="mailto:CF@3ft" TargetMode="External"/><Relationship Id="rId414" Type="http://schemas.openxmlformats.org/officeDocument/2006/relationships/hyperlink" Target="mailto:CF@3ft" TargetMode="External"/><Relationship Id="rId435" Type="http://schemas.openxmlformats.org/officeDocument/2006/relationships/hyperlink" Target="mailto:CF@3ft" TargetMode="External"/><Relationship Id="rId456" Type="http://schemas.openxmlformats.org/officeDocument/2006/relationships/hyperlink" Target="mailto:CF@3ft" TargetMode="External"/><Relationship Id="rId13" Type="http://schemas.openxmlformats.org/officeDocument/2006/relationships/hyperlink" Target="mailto:CF@3ft" TargetMode="External"/><Relationship Id="rId109" Type="http://schemas.openxmlformats.org/officeDocument/2006/relationships/hyperlink" Target="mailto:CF@3ft" TargetMode="External"/><Relationship Id="rId260" Type="http://schemas.openxmlformats.org/officeDocument/2006/relationships/hyperlink" Target="mailto:CF@2ft" TargetMode="External"/><Relationship Id="rId281" Type="http://schemas.openxmlformats.org/officeDocument/2006/relationships/hyperlink" Target="mailto:CF@3ft" TargetMode="External"/><Relationship Id="rId316" Type="http://schemas.openxmlformats.org/officeDocument/2006/relationships/hyperlink" Target="mailto:CF@3ft" TargetMode="External"/><Relationship Id="rId337" Type="http://schemas.openxmlformats.org/officeDocument/2006/relationships/hyperlink" Target="mailto:CF@%202%20ft" TargetMode="External"/><Relationship Id="rId34" Type="http://schemas.openxmlformats.org/officeDocument/2006/relationships/hyperlink" Target="mailto:CF@%202%20ft" TargetMode="External"/><Relationship Id="rId55" Type="http://schemas.openxmlformats.org/officeDocument/2006/relationships/hyperlink" Target="mailto:HM@6in" TargetMode="External"/><Relationship Id="rId76" Type="http://schemas.openxmlformats.org/officeDocument/2006/relationships/hyperlink" Target="mailto:CF@6in" TargetMode="External"/><Relationship Id="rId97" Type="http://schemas.openxmlformats.org/officeDocument/2006/relationships/hyperlink" Target="mailto:CF@6in" TargetMode="External"/><Relationship Id="rId120" Type="http://schemas.openxmlformats.org/officeDocument/2006/relationships/hyperlink" Target="mailto:CF@3ft" TargetMode="External"/><Relationship Id="rId141" Type="http://schemas.openxmlformats.org/officeDocument/2006/relationships/hyperlink" Target="mailto:CF@6in" TargetMode="External"/><Relationship Id="rId358" Type="http://schemas.openxmlformats.org/officeDocument/2006/relationships/hyperlink" Target="mailto:CF@6in" TargetMode="External"/><Relationship Id="rId379" Type="http://schemas.openxmlformats.org/officeDocument/2006/relationships/hyperlink" Target="mailto:CF@6in" TargetMode="External"/><Relationship Id="rId7" Type="http://schemas.openxmlformats.org/officeDocument/2006/relationships/hyperlink" Target="mailto:CF@%202%20ft" TargetMode="External"/><Relationship Id="rId162" Type="http://schemas.openxmlformats.org/officeDocument/2006/relationships/hyperlink" Target="mailto:CF@6in" TargetMode="External"/><Relationship Id="rId183" Type="http://schemas.openxmlformats.org/officeDocument/2006/relationships/hyperlink" Target="mailto:Cf@4ft" TargetMode="External"/><Relationship Id="rId218" Type="http://schemas.openxmlformats.org/officeDocument/2006/relationships/hyperlink" Target="mailto:CF@6in" TargetMode="External"/><Relationship Id="rId239" Type="http://schemas.openxmlformats.org/officeDocument/2006/relationships/hyperlink" Target="mailto:CF@2ft" TargetMode="External"/><Relationship Id="rId390" Type="http://schemas.openxmlformats.org/officeDocument/2006/relationships/hyperlink" Target="mailto:CF@3ft" TargetMode="External"/><Relationship Id="rId404" Type="http://schemas.openxmlformats.org/officeDocument/2006/relationships/hyperlink" Target="mailto:CF@6in" TargetMode="External"/><Relationship Id="rId425" Type="http://schemas.openxmlformats.org/officeDocument/2006/relationships/hyperlink" Target="mailto:CF@6in" TargetMode="External"/><Relationship Id="rId446" Type="http://schemas.openxmlformats.org/officeDocument/2006/relationships/hyperlink" Target="mailto:HM@6in" TargetMode="External"/><Relationship Id="rId467" Type="http://schemas.openxmlformats.org/officeDocument/2006/relationships/hyperlink" Target="mailto:CF@6in" TargetMode="External"/><Relationship Id="rId250" Type="http://schemas.openxmlformats.org/officeDocument/2006/relationships/hyperlink" Target="mailto:CF@6in" TargetMode="External"/><Relationship Id="rId271" Type="http://schemas.openxmlformats.org/officeDocument/2006/relationships/hyperlink" Target="mailto:CF@3ft" TargetMode="External"/><Relationship Id="rId292" Type="http://schemas.openxmlformats.org/officeDocument/2006/relationships/hyperlink" Target="mailto:CF@3ft" TargetMode="External"/><Relationship Id="rId306" Type="http://schemas.openxmlformats.org/officeDocument/2006/relationships/hyperlink" Target="mailto:CF@2ft" TargetMode="External"/><Relationship Id="rId24" Type="http://schemas.openxmlformats.org/officeDocument/2006/relationships/hyperlink" Target="mailto:HM@6in" TargetMode="External"/><Relationship Id="rId45" Type="http://schemas.openxmlformats.org/officeDocument/2006/relationships/hyperlink" Target="mailto:CF@3ft" TargetMode="External"/><Relationship Id="rId66" Type="http://schemas.openxmlformats.org/officeDocument/2006/relationships/hyperlink" Target="mailto:CF@3ft" TargetMode="External"/><Relationship Id="rId87" Type="http://schemas.openxmlformats.org/officeDocument/2006/relationships/hyperlink" Target="mailto:CF@2ft" TargetMode="External"/><Relationship Id="rId110" Type="http://schemas.openxmlformats.org/officeDocument/2006/relationships/hyperlink" Target="mailto:CF@6in" TargetMode="External"/><Relationship Id="rId131" Type="http://schemas.openxmlformats.org/officeDocument/2006/relationships/hyperlink" Target="mailto:Cf@4ft" TargetMode="External"/><Relationship Id="rId327" Type="http://schemas.openxmlformats.org/officeDocument/2006/relationships/hyperlink" Target="mailto:CF@2ft" TargetMode="External"/><Relationship Id="rId348" Type="http://schemas.openxmlformats.org/officeDocument/2006/relationships/hyperlink" Target="mailto:CF@3ft" TargetMode="External"/><Relationship Id="rId369" Type="http://schemas.openxmlformats.org/officeDocument/2006/relationships/hyperlink" Target="mailto:CF@3ft" TargetMode="External"/><Relationship Id="rId152" Type="http://schemas.openxmlformats.org/officeDocument/2006/relationships/hyperlink" Target="mailto:CF@3ft" TargetMode="External"/><Relationship Id="rId173" Type="http://schemas.openxmlformats.org/officeDocument/2006/relationships/hyperlink" Target="mailto:CF@2ft" TargetMode="External"/><Relationship Id="rId194" Type="http://schemas.openxmlformats.org/officeDocument/2006/relationships/hyperlink" Target="mailto:HM@6in" TargetMode="External"/><Relationship Id="rId208" Type="http://schemas.openxmlformats.org/officeDocument/2006/relationships/hyperlink" Target="mailto:CF@3ft" TargetMode="External"/><Relationship Id="rId229" Type="http://schemas.openxmlformats.org/officeDocument/2006/relationships/hyperlink" Target="mailto:CF@3ft" TargetMode="External"/><Relationship Id="rId380" Type="http://schemas.openxmlformats.org/officeDocument/2006/relationships/hyperlink" Target="mailto:HM@6in" TargetMode="External"/><Relationship Id="rId415" Type="http://schemas.openxmlformats.org/officeDocument/2006/relationships/hyperlink" Target="mailto:CF@3ft" TargetMode="External"/><Relationship Id="rId436" Type="http://schemas.openxmlformats.org/officeDocument/2006/relationships/hyperlink" Target="mailto:CF@3ft" TargetMode="External"/><Relationship Id="rId457" Type="http://schemas.openxmlformats.org/officeDocument/2006/relationships/hyperlink" Target="mailto:CF@6in" TargetMode="External"/><Relationship Id="rId240" Type="http://schemas.openxmlformats.org/officeDocument/2006/relationships/hyperlink" Target="mailto:CF@3ft" TargetMode="External"/><Relationship Id="rId261" Type="http://schemas.openxmlformats.org/officeDocument/2006/relationships/hyperlink" Target="mailto:CF@3ft" TargetMode="External"/><Relationship Id="rId14" Type="http://schemas.openxmlformats.org/officeDocument/2006/relationships/hyperlink" Target="mailto:CF@3ft" TargetMode="External"/><Relationship Id="rId35" Type="http://schemas.openxmlformats.org/officeDocument/2006/relationships/hyperlink" Target="mailto:CF@3ft" TargetMode="External"/><Relationship Id="rId56" Type="http://schemas.openxmlformats.org/officeDocument/2006/relationships/hyperlink" Target="mailto:CF@3ft" TargetMode="External"/><Relationship Id="rId77" Type="http://schemas.openxmlformats.org/officeDocument/2006/relationships/hyperlink" Target="mailto:HM@6in" TargetMode="External"/><Relationship Id="rId100" Type="http://schemas.openxmlformats.org/officeDocument/2006/relationships/hyperlink" Target="mailto:CF@3ft" TargetMode="External"/><Relationship Id="rId282" Type="http://schemas.openxmlformats.org/officeDocument/2006/relationships/hyperlink" Target="mailto:CF@2ft" TargetMode="External"/><Relationship Id="rId317" Type="http://schemas.openxmlformats.org/officeDocument/2006/relationships/hyperlink" Target="mailto:CF@2ft" TargetMode="External"/><Relationship Id="rId338" Type="http://schemas.openxmlformats.org/officeDocument/2006/relationships/hyperlink" Target="mailto:CF@3ft" TargetMode="External"/><Relationship Id="rId359" Type="http://schemas.openxmlformats.org/officeDocument/2006/relationships/hyperlink" Target="mailto:HM@6in" TargetMode="External"/><Relationship Id="rId8" Type="http://schemas.openxmlformats.org/officeDocument/2006/relationships/hyperlink" Target="mailto:CF@3ft" TargetMode="External"/><Relationship Id="rId98" Type="http://schemas.openxmlformats.org/officeDocument/2006/relationships/hyperlink" Target="mailto:HM@6in" TargetMode="External"/><Relationship Id="rId121" Type="http://schemas.openxmlformats.org/officeDocument/2006/relationships/hyperlink" Target="mailto:CF@2ft" TargetMode="External"/><Relationship Id="rId142" Type="http://schemas.openxmlformats.org/officeDocument/2006/relationships/hyperlink" Target="mailto:HM@6in" TargetMode="External"/><Relationship Id="rId163" Type="http://schemas.openxmlformats.org/officeDocument/2006/relationships/hyperlink" Target="mailto:HM@6in" TargetMode="External"/><Relationship Id="rId184" Type="http://schemas.openxmlformats.org/officeDocument/2006/relationships/hyperlink" Target="mailto:CF@%202%20ft" TargetMode="External"/><Relationship Id="rId219" Type="http://schemas.openxmlformats.org/officeDocument/2006/relationships/hyperlink" Target="mailto:HM@6in" TargetMode="External"/><Relationship Id="rId370" Type="http://schemas.openxmlformats.org/officeDocument/2006/relationships/hyperlink" Target="mailto:HM@6in" TargetMode="External"/><Relationship Id="rId391" Type="http://schemas.openxmlformats.org/officeDocument/2006/relationships/hyperlink" Target="mailto:CF@3ft" TargetMode="External"/><Relationship Id="rId405" Type="http://schemas.openxmlformats.org/officeDocument/2006/relationships/hyperlink" Target="mailto:HM@6in" TargetMode="External"/><Relationship Id="rId426" Type="http://schemas.openxmlformats.org/officeDocument/2006/relationships/hyperlink" Target="mailto:HM@6in" TargetMode="External"/><Relationship Id="rId447" Type="http://schemas.openxmlformats.org/officeDocument/2006/relationships/hyperlink" Target="mailto:CF@6in" TargetMode="External"/><Relationship Id="rId230" Type="http://schemas.openxmlformats.org/officeDocument/2006/relationships/hyperlink" Target="mailto:CF@6in" TargetMode="External"/><Relationship Id="rId251" Type="http://schemas.openxmlformats.org/officeDocument/2006/relationships/hyperlink" Target="mailto:HM@6in" TargetMode="External"/><Relationship Id="rId468" Type="http://schemas.openxmlformats.org/officeDocument/2006/relationships/hyperlink" Target="mailto:HM@6in" TargetMode="External"/><Relationship Id="rId25" Type="http://schemas.openxmlformats.org/officeDocument/2006/relationships/hyperlink" Target="mailto:CF@3ft" TargetMode="External"/><Relationship Id="rId46" Type="http://schemas.openxmlformats.org/officeDocument/2006/relationships/hyperlink" Target="mailto:Cf@4ft" TargetMode="External"/><Relationship Id="rId67" Type="http://schemas.openxmlformats.org/officeDocument/2006/relationships/hyperlink" Target="mailto:CF@2ft" TargetMode="External"/><Relationship Id="rId272" Type="http://schemas.openxmlformats.org/officeDocument/2006/relationships/hyperlink" Target="mailto:CF@2ft" TargetMode="External"/><Relationship Id="rId293" Type="http://schemas.openxmlformats.org/officeDocument/2006/relationships/hyperlink" Target="mailto:CF@2ft" TargetMode="External"/><Relationship Id="rId307" Type="http://schemas.openxmlformats.org/officeDocument/2006/relationships/hyperlink" Target="mailto:CF@3ft" TargetMode="External"/><Relationship Id="rId328" Type="http://schemas.openxmlformats.org/officeDocument/2006/relationships/hyperlink" Target="mailto:CF@3ft" TargetMode="External"/><Relationship Id="rId349" Type="http://schemas.openxmlformats.org/officeDocument/2006/relationships/hyperlink" Target="mailto:Cf@4ft" TargetMode="External"/><Relationship Id="rId88" Type="http://schemas.openxmlformats.org/officeDocument/2006/relationships/hyperlink" Target="mailto:HM@6in" TargetMode="External"/><Relationship Id="rId111" Type="http://schemas.openxmlformats.org/officeDocument/2006/relationships/hyperlink" Target="mailto:HM@6in" TargetMode="External"/><Relationship Id="rId132" Type="http://schemas.openxmlformats.org/officeDocument/2006/relationships/hyperlink" Target="mailto:CF@%202%20ft" TargetMode="External"/><Relationship Id="rId153" Type="http://schemas.openxmlformats.org/officeDocument/2006/relationships/hyperlink" Target="mailto:CF@3ft" TargetMode="External"/><Relationship Id="rId174" Type="http://schemas.openxmlformats.org/officeDocument/2006/relationships/hyperlink" Target="mailto:CF@3ft" TargetMode="External"/><Relationship Id="rId195" Type="http://schemas.openxmlformats.org/officeDocument/2006/relationships/hyperlink" Target="mailto:CF@3ft" TargetMode="External"/><Relationship Id="rId209" Type="http://schemas.openxmlformats.org/officeDocument/2006/relationships/hyperlink" Target="mailto:Cf@4ft" TargetMode="External"/><Relationship Id="rId360" Type="http://schemas.openxmlformats.org/officeDocument/2006/relationships/hyperlink" Target="mailto:CF@3ft" TargetMode="External"/><Relationship Id="rId381" Type="http://schemas.openxmlformats.org/officeDocument/2006/relationships/hyperlink" Target="mailto:CF@3ft" TargetMode="External"/><Relationship Id="rId416" Type="http://schemas.openxmlformats.org/officeDocument/2006/relationships/hyperlink" Target="mailto:HM@6in" TargetMode="External"/><Relationship Id="rId220" Type="http://schemas.openxmlformats.org/officeDocument/2006/relationships/hyperlink" Target="mailto:CF@3ft" TargetMode="External"/><Relationship Id="rId241" Type="http://schemas.openxmlformats.org/officeDocument/2006/relationships/hyperlink" Target="mailto:CF@3ft" TargetMode="External"/><Relationship Id="rId437" Type="http://schemas.openxmlformats.org/officeDocument/2006/relationships/hyperlink" Target="mailto:CF@6in" TargetMode="External"/><Relationship Id="rId458" Type="http://schemas.openxmlformats.org/officeDocument/2006/relationships/hyperlink" Target="mailto:HM@6in" TargetMode="External"/><Relationship Id="rId15" Type="http://schemas.openxmlformats.org/officeDocument/2006/relationships/hyperlink" Target="mailto:CF@3ft" TargetMode="External"/><Relationship Id="rId36" Type="http://schemas.openxmlformats.org/officeDocument/2006/relationships/hyperlink" Target="mailto:CF@2ft" TargetMode="External"/><Relationship Id="rId57" Type="http://schemas.openxmlformats.org/officeDocument/2006/relationships/hyperlink" Target="mailto:Cf@4ft" TargetMode="External"/><Relationship Id="rId262" Type="http://schemas.openxmlformats.org/officeDocument/2006/relationships/hyperlink" Target="mailto:CF@6in" TargetMode="External"/><Relationship Id="rId283" Type="http://schemas.openxmlformats.org/officeDocument/2006/relationships/hyperlink" Target="mailto:CF@3ft" TargetMode="External"/><Relationship Id="rId318" Type="http://schemas.openxmlformats.org/officeDocument/2006/relationships/hyperlink" Target="mailto:CF@3ft" TargetMode="External"/><Relationship Id="rId339" Type="http://schemas.openxmlformats.org/officeDocument/2006/relationships/hyperlink" Target="mailto:CF@2ft" TargetMode="External"/><Relationship Id="rId78" Type="http://schemas.openxmlformats.org/officeDocument/2006/relationships/hyperlink" Target="mailto:CF@2ft" TargetMode="External"/><Relationship Id="rId99" Type="http://schemas.openxmlformats.org/officeDocument/2006/relationships/hyperlink" Target="mailto:CF@2ft" TargetMode="External"/><Relationship Id="rId101" Type="http://schemas.openxmlformats.org/officeDocument/2006/relationships/hyperlink" Target="mailto:CF@3ft" TargetMode="External"/><Relationship Id="rId122" Type="http://schemas.openxmlformats.org/officeDocument/2006/relationships/hyperlink" Target="mailto:CF@3ft" TargetMode="External"/><Relationship Id="rId143" Type="http://schemas.openxmlformats.org/officeDocument/2006/relationships/hyperlink" Target="mailto:CF@3ft" TargetMode="External"/><Relationship Id="rId164" Type="http://schemas.openxmlformats.org/officeDocument/2006/relationships/hyperlink" Target="mailto:CF@2ft" TargetMode="External"/><Relationship Id="rId185" Type="http://schemas.openxmlformats.org/officeDocument/2006/relationships/hyperlink" Target="mailto:CF@3ft" TargetMode="External"/><Relationship Id="rId350" Type="http://schemas.openxmlformats.org/officeDocument/2006/relationships/hyperlink" Target="mailto:CF@%202%20ft" TargetMode="External"/><Relationship Id="rId371" Type="http://schemas.openxmlformats.org/officeDocument/2006/relationships/hyperlink" Target="mailto:CF@3ft" TargetMode="External"/><Relationship Id="rId406" Type="http://schemas.openxmlformats.org/officeDocument/2006/relationships/hyperlink" Target="mailto:CF@3ft" TargetMode="External"/><Relationship Id="rId9" Type="http://schemas.openxmlformats.org/officeDocument/2006/relationships/hyperlink" Target="mailto:CF@2ft" TargetMode="External"/><Relationship Id="rId210" Type="http://schemas.openxmlformats.org/officeDocument/2006/relationships/hyperlink" Target="mailto:CF@%202%20ft" TargetMode="External"/><Relationship Id="rId392" Type="http://schemas.openxmlformats.org/officeDocument/2006/relationships/hyperlink" Target="mailto:CF@6in" TargetMode="External"/><Relationship Id="rId427" Type="http://schemas.openxmlformats.org/officeDocument/2006/relationships/hyperlink" Target="mailto:CF@3ft" TargetMode="External"/><Relationship Id="rId448" Type="http://schemas.openxmlformats.org/officeDocument/2006/relationships/hyperlink" Target="mailto:CF@3ft" TargetMode="External"/><Relationship Id="rId469" Type="http://schemas.openxmlformats.org/officeDocument/2006/relationships/printerSettings" Target="../printerSettings/printerSettings3.bin"/><Relationship Id="rId26" Type="http://schemas.openxmlformats.org/officeDocument/2006/relationships/hyperlink" Target="mailto:Cf@4ft" TargetMode="External"/><Relationship Id="rId231" Type="http://schemas.openxmlformats.org/officeDocument/2006/relationships/hyperlink" Target="mailto:HM@6in" TargetMode="External"/><Relationship Id="rId252" Type="http://schemas.openxmlformats.org/officeDocument/2006/relationships/hyperlink" Target="mailto:CF@3ft" TargetMode="External"/><Relationship Id="rId273" Type="http://schemas.openxmlformats.org/officeDocument/2006/relationships/hyperlink" Target="mailto:CF@3ft" TargetMode="External"/><Relationship Id="rId294" Type="http://schemas.openxmlformats.org/officeDocument/2006/relationships/hyperlink" Target="mailto:CF@3ft" TargetMode="External"/><Relationship Id="rId308" Type="http://schemas.openxmlformats.org/officeDocument/2006/relationships/hyperlink" Target="mailto:CF@6in" TargetMode="External"/><Relationship Id="rId329" Type="http://schemas.openxmlformats.org/officeDocument/2006/relationships/hyperlink" Target="mailto:CF@%202%20ft" TargetMode="External"/><Relationship Id="rId47" Type="http://schemas.openxmlformats.org/officeDocument/2006/relationships/hyperlink" Target="mailto:CF@%202%20ft" TargetMode="External"/><Relationship Id="rId68" Type="http://schemas.openxmlformats.org/officeDocument/2006/relationships/hyperlink" Target="mailto:CF@3ft" TargetMode="External"/><Relationship Id="rId89" Type="http://schemas.openxmlformats.org/officeDocument/2006/relationships/hyperlink" Target="mailto:CF@6in" TargetMode="External"/><Relationship Id="rId112" Type="http://schemas.openxmlformats.org/officeDocument/2006/relationships/hyperlink" Target="mailto:CF@2ft" TargetMode="External"/><Relationship Id="rId133" Type="http://schemas.openxmlformats.org/officeDocument/2006/relationships/hyperlink" Target="mailto:CF@3ft" TargetMode="External"/><Relationship Id="rId154" Type="http://schemas.openxmlformats.org/officeDocument/2006/relationships/hyperlink" Target="mailto:CF@6in" TargetMode="External"/><Relationship Id="rId175" Type="http://schemas.openxmlformats.org/officeDocument/2006/relationships/hyperlink" Target="mailto:CF@6in" TargetMode="External"/><Relationship Id="rId340" Type="http://schemas.openxmlformats.org/officeDocument/2006/relationships/hyperlink" Target="mailto:CF@3ft" TargetMode="External"/><Relationship Id="rId361" Type="http://schemas.openxmlformats.org/officeDocument/2006/relationships/hyperlink" Target="mailto:Cf@4ft" TargetMode="External"/><Relationship Id="rId196" Type="http://schemas.openxmlformats.org/officeDocument/2006/relationships/hyperlink" Target="mailto:Cf@4ft" TargetMode="External"/><Relationship Id="rId200" Type="http://schemas.openxmlformats.org/officeDocument/2006/relationships/hyperlink" Target="mailto:CF@3ft" TargetMode="External"/><Relationship Id="rId382" Type="http://schemas.openxmlformats.org/officeDocument/2006/relationships/hyperlink" Target="mailto:Cf@4ft" TargetMode="External"/><Relationship Id="rId417" Type="http://schemas.openxmlformats.org/officeDocument/2006/relationships/hyperlink" Target="mailto:CF@3ft" TargetMode="External"/><Relationship Id="rId438" Type="http://schemas.openxmlformats.org/officeDocument/2006/relationships/hyperlink" Target="mailto:HM@6in" TargetMode="External"/><Relationship Id="rId459" Type="http://schemas.openxmlformats.org/officeDocument/2006/relationships/hyperlink" Target="mailto:CF@3ft" TargetMode="External"/><Relationship Id="rId16" Type="http://schemas.openxmlformats.org/officeDocument/2006/relationships/hyperlink" Target="mailto:CF@3ft" TargetMode="External"/><Relationship Id="rId221" Type="http://schemas.openxmlformats.org/officeDocument/2006/relationships/hyperlink" Target="mailto:Cf@4ft" TargetMode="External"/><Relationship Id="rId242" Type="http://schemas.openxmlformats.org/officeDocument/2006/relationships/hyperlink" Target="mailto:CF@6in" TargetMode="External"/><Relationship Id="rId263" Type="http://schemas.openxmlformats.org/officeDocument/2006/relationships/hyperlink" Target="mailto:HM@6in" TargetMode="External"/><Relationship Id="rId284" Type="http://schemas.openxmlformats.org/officeDocument/2006/relationships/hyperlink" Target="mailto:CF@6in" TargetMode="External"/><Relationship Id="rId319" Type="http://schemas.openxmlformats.org/officeDocument/2006/relationships/hyperlink" Target="mailto:CF@6in" TargetMode="External"/><Relationship Id="rId470" Type="http://schemas.microsoft.com/office/2006/relationships/wsSortMap" Target="wsSortMap1.xml"/><Relationship Id="rId37" Type="http://schemas.openxmlformats.org/officeDocument/2006/relationships/hyperlink" Target="mailto:CF@3ft" TargetMode="External"/><Relationship Id="rId58" Type="http://schemas.openxmlformats.org/officeDocument/2006/relationships/hyperlink" Target="mailto:CF@%202%20ft" TargetMode="External"/><Relationship Id="rId79" Type="http://schemas.openxmlformats.org/officeDocument/2006/relationships/hyperlink" Target="mailto:CF@3ft" TargetMode="External"/><Relationship Id="rId102" Type="http://schemas.openxmlformats.org/officeDocument/2006/relationships/hyperlink" Target="mailto:CF@6in" TargetMode="External"/><Relationship Id="rId123" Type="http://schemas.openxmlformats.org/officeDocument/2006/relationships/hyperlink" Target="mailto:CF@6in" TargetMode="External"/><Relationship Id="rId144" Type="http://schemas.openxmlformats.org/officeDocument/2006/relationships/hyperlink" Target="mailto:Cf@4ft" TargetMode="External"/><Relationship Id="rId330" Type="http://schemas.openxmlformats.org/officeDocument/2006/relationships/hyperlink" Target="mailto:CF@3ft" TargetMode="External"/><Relationship Id="rId90" Type="http://schemas.openxmlformats.org/officeDocument/2006/relationships/hyperlink" Target="mailto:HM@6in" TargetMode="External"/><Relationship Id="rId165" Type="http://schemas.openxmlformats.org/officeDocument/2006/relationships/hyperlink" Target="mailto:CF@3ft" TargetMode="External"/><Relationship Id="rId186" Type="http://schemas.openxmlformats.org/officeDocument/2006/relationships/hyperlink" Target="mailto:CF@2ft" TargetMode="External"/><Relationship Id="rId351" Type="http://schemas.openxmlformats.org/officeDocument/2006/relationships/hyperlink" Target="mailto:CF@3ft" TargetMode="External"/><Relationship Id="rId372" Type="http://schemas.openxmlformats.org/officeDocument/2006/relationships/hyperlink" Target="mailto:CF@%202%20ft" TargetMode="External"/><Relationship Id="rId393" Type="http://schemas.openxmlformats.org/officeDocument/2006/relationships/hyperlink" Target="mailto:HM@6in" TargetMode="External"/><Relationship Id="rId407" Type="http://schemas.openxmlformats.org/officeDocument/2006/relationships/hyperlink" Target="mailto:Cf@4ft" TargetMode="External"/><Relationship Id="rId428" Type="http://schemas.openxmlformats.org/officeDocument/2006/relationships/hyperlink" Target="mailto:Cf@4ft" TargetMode="External"/><Relationship Id="rId449" Type="http://schemas.openxmlformats.org/officeDocument/2006/relationships/hyperlink" Target="mailto:CF@6in" TargetMode="External"/><Relationship Id="rId211" Type="http://schemas.openxmlformats.org/officeDocument/2006/relationships/hyperlink" Target="mailto:CF@2ft" TargetMode="External"/><Relationship Id="rId232" Type="http://schemas.openxmlformats.org/officeDocument/2006/relationships/hyperlink" Target="mailto:CF@3ft" TargetMode="External"/><Relationship Id="rId253" Type="http://schemas.openxmlformats.org/officeDocument/2006/relationships/hyperlink" Target="mailto:CF@3ft" TargetMode="External"/><Relationship Id="rId274" Type="http://schemas.openxmlformats.org/officeDocument/2006/relationships/hyperlink" Target="mailto:CF@6in" TargetMode="External"/><Relationship Id="rId295" Type="http://schemas.openxmlformats.org/officeDocument/2006/relationships/hyperlink" Target="mailto:CF@6in" TargetMode="External"/><Relationship Id="rId309" Type="http://schemas.openxmlformats.org/officeDocument/2006/relationships/hyperlink" Target="mailto:HM@6in" TargetMode="External"/><Relationship Id="rId460" Type="http://schemas.openxmlformats.org/officeDocument/2006/relationships/hyperlink" Target="mailto:CF@3ft" TargetMode="External"/><Relationship Id="rId27" Type="http://schemas.openxmlformats.org/officeDocument/2006/relationships/hyperlink" Target="mailto:CF@3ft" TargetMode="External"/><Relationship Id="rId48" Type="http://schemas.openxmlformats.org/officeDocument/2006/relationships/hyperlink" Target="mailto:CF@3ft" TargetMode="External"/><Relationship Id="rId69" Type="http://schemas.openxmlformats.org/officeDocument/2006/relationships/hyperlink" Target="mailto:CF@6in" TargetMode="External"/><Relationship Id="rId113" Type="http://schemas.openxmlformats.org/officeDocument/2006/relationships/hyperlink" Target="mailto:CF@3ft" TargetMode="External"/><Relationship Id="rId134" Type="http://schemas.openxmlformats.org/officeDocument/2006/relationships/hyperlink" Target="mailto:CF@2ft" TargetMode="External"/><Relationship Id="rId320" Type="http://schemas.openxmlformats.org/officeDocument/2006/relationships/hyperlink" Target="mailto:HM@6in" TargetMode="External"/><Relationship Id="rId80" Type="http://schemas.openxmlformats.org/officeDocument/2006/relationships/hyperlink" Target="mailto:CF@3ft" TargetMode="External"/><Relationship Id="rId155" Type="http://schemas.openxmlformats.org/officeDocument/2006/relationships/hyperlink" Target="mailto:HM@6in" TargetMode="External"/><Relationship Id="rId176" Type="http://schemas.openxmlformats.org/officeDocument/2006/relationships/hyperlink" Target="mailto:HM@6in" TargetMode="External"/><Relationship Id="rId197" Type="http://schemas.openxmlformats.org/officeDocument/2006/relationships/hyperlink" Target="mailto:CF@%202%20ft" TargetMode="External"/><Relationship Id="rId341" Type="http://schemas.openxmlformats.org/officeDocument/2006/relationships/hyperlink" Target="mailto:CF@6in" TargetMode="External"/><Relationship Id="rId362" Type="http://schemas.openxmlformats.org/officeDocument/2006/relationships/hyperlink" Target="mailto:CF@%202%20ft" TargetMode="External"/><Relationship Id="rId383" Type="http://schemas.openxmlformats.org/officeDocument/2006/relationships/hyperlink" Target="mailto:CF@%202%20ft" TargetMode="External"/><Relationship Id="rId418" Type="http://schemas.openxmlformats.org/officeDocument/2006/relationships/hyperlink" Target="mailto:CF@%202%20ft" TargetMode="External"/><Relationship Id="rId439" Type="http://schemas.openxmlformats.org/officeDocument/2006/relationships/hyperlink" Target="mailto:CF@3ft" TargetMode="External"/><Relationship Id="rId201" Type="http://schemas.openxmlformats.org/officeDocument/2006/relationships/hyperlink" Target="mailto:CF@6in" TargetMode="External"/><Relationship Id="rId222" Type="http://schemas.openxmlformats.org/officeDocument/2006/relationships/hyperlink" Target="mailto:CF@%202%20ft" TargetMode="External"/><Relationship Id="rId243" Type="http://schemas.openxmlformats.org/officeDocument/2006/relationships/hyperlink" Target="mailto:HM@6in" TargetMode="External"/><Relationship Id="rId264" Type="http://schemas.openxmlformats.org/officeDocument/2006/relationships/hyperlink" Target="mailto:CF@6in" TargetMode="External"/><Relationship Id="rId285" Type="http://schemas.openxmlformats.org/officeDocument/2006/relationships/hyperlink" Target="mailto:HM@6in" TargetMode="External"/><Relationship Id="rId450" Type="http://schemas.openxmlformats.org/officeDocument/2006/relationships/hyperlink" Target="mailto:HM@6in" TargetMode="External"/><Relationship Id="rId17" Type="http://schemas.openxmlformats.org/officeDocument/2006/relationships/hyperlink" Target="mailto:CF@3ft" TargetMode="External"/><Relationship Id="rId38" Type="http://schemas.openxmlformats.org/officeDocument/2006/relationships/hyperlink" Target="mailto:CF@6in" TargetMode="External"/><Relationship Id="rId59" Type="http://schemas.openxmlformats.org/officeDocument/2006/relationships/hyperlink" Target="mailto:CF@3ft" TargetMode="External"/><Relationship Id="rId103" Type="http://schemas.openxmlformats.org/officeDocument/2006/relationships/hyperlink" Target="mailto:HM@6in" TargetMode="External"/><Relationship Id="rId124" Type="http://schemas.openxmlformats.org/officeDocument/2006/relationships/hyperlink" Target="mailto:HM@6in" TargetMode="External"/><Relationship Id="rId310" Type="http://schemas.openxmlformats.org/officeDocument/2006/relationships/hyperlink" Target="mailto:CF@3ft" TargetMode="External"/><Relationship Id="rId70" Type="http://schemas.openxmlformats.org/officeDocument/2006/relationships/hyperlink" Target="mailto:HM@6in" TargetMode="External"/><Relationship Id="rId91" Type="http://schemas.openxmlformats.org/officeDocument/2006/relationships/hyperlink" Target="mailto:CF@3ft" TargetMode="External"/><Relationship Id="rId145" Type="http://schemas.openxmlformats.org/officeDocument/2006/relationships/hyperlink" Target="mailto:CF@%202%20ft" TargetMode="External"/><Relationship Id="rId166" Type="http://schemas.openxmlformats.org/officeDocument/2006/relationships/hyperlink" Target="mailto:CF@3ft" TargetMode="External"/><Relationship Id="rId187" Type="http://schemas.openxmlformats.org/officeDocument/2006/relationships/hyperlink" Target="mailto:CF@3ft" TargetMode="External"/><Relationship Id="rId331" Type="http://schemas.openxmlformats.org/officeDocument/2006/relationships/hyperlink" Target="mailto:HM@6in" TargetMode="External"/><Relationship Id="rId352" Type="http://schemas.openxmlformats.org/officeDocument/2006/relationships/hyperlink" Target="mailto:CF@2ft" TargetMode="External"/><Relationship Id="rId373" Type="http://schemas.openxmlformats.org/officeDocument/2006/relationships/hyperlink" Target="mailto:CF@3ft" TargetMode="External"/><Relationship Id="rId394" Type="http://schemas.openxmlformats.org/officeDocument/2006/relationships/hyperlink" Target="mailto:CF@3ft" TargetMode="External"/><Relationship Id="rId408" Type="http://schemas.openxmlformats.org/officeDocument/2006/relationships/hyperlink" Target="mailto:CF@%202%20ft" TargetMode="External"/><Relationship Id="rId429" Type="http://schemas.openxmlformats.org/officeDocument/2006/relationships/hyperlink" Target="mailto:CF@%202%20ft" TargetMode="External"/><Relationship Id="rId1" Type="http://schemas.openxmlformats.org/officeDocument/2006/relationships/printerSettings" Target="../printerSettings/printerSettings1.bin"/><Relationship Id="rId212" Type="http://schemas.openxmlformats.org/officeDocument/2006/relationships/hyperlink" Target="mailto:CF@3ft" TargetMode="External"/><Relationship Id="rId233" Type="http://schemas.openxmlformats.org/officeDocument/2006/relationships/hyperlink" Target="mailto:Cf@4ft" TargetMode="External"/><Relationship Id="rId254" Type="http://schemas.openxmlformats.org/officeDocument/2006/relationships/hyperlink" Target="mailto:CF@6in" TargetMode="External"/><Relationship Id="rId440" Type="http://schemas.openxmlformats.org/officeDocument/2006/relationships/hyperlink" Target="mailto:Cf@4ft" TargetMode="External"/><Relationship Id="rId28" Type="http://schemas.openxmlformats.org/officeDocument/2006/relationships/hyperlink" Target="mailto:HM@6in" TargetMode="External"/><Relationship Id="rId49" Type="http://schemas.openxmlformats.org/officeDocument/2006/relationships/hyperlink" Target="mailto:CF@2ft" TargetMode="External"/><Relationship Id="rId114" Type="http://schemas.openxmlformats.org/officeDocument/2006/relationships/hyperlink" Target="mailto:CF@3ft" TargetMode="External"/><Relationship Id="rId275" Type="http://schemas.openxmlformats.org/officeDocument/2006/relationships/hyperlink" Target="mailto:HM@6in" TargetMode="External"/><Relationship Id="rId296" Type="http://schemas.openxmlformats.org/officeDocument/2006/relationships/hyperlink" Target="mailto:HM@6in" TargetMode="External"/><Relationship Id="rId300" Type="http://schemas.openxmlformats.org/officeDocument/2006/relationships/hyperlink" Target="mailto:CF@6in" TargetMode="External"/><Relationship Id="rId461" Type="http://schemas.openxmlformats.org/officeDocument/2006/relationships/hyperlink" Target="mailto:HM@6in" TargetMode="External"/><Relationship Id="rId60" Type="http://schemas.openxmlformats.org/officeDocument/2006/relationships/hyperlink" Target="mailto:CF@2ft" TargetMode="External"/><Relationship Id="rId81" Type="http://schemas.openxmlformats.org/officeDocument/2006/relationships/hyperlink" Target="mailto:CF@3ft" TargetMode="External"/><Relationship Id="rId135" Type="http://schemas.openxmlformats.org/officeDocument/2006/relationships/hyperlink" Target="mailto:CF@3ft" TargetMode="External"/><Relationship Id="rId156" Type="http://schemas.openxmlformats.org/officeDocument/2006/relationships/hyperlink" Target="mailto:CF@3ft" TargetMode="External"/><Relationship Id="rId177" Type="http://schemas.openxmlformats.org/officeDocument/2006/relationships/hyperlink" Target="mailto:CF@2ft" TargetMode="External"/><Relationship Id="rId198" Type="http://schemas.openxmlformats.org/officeDocument/2006/relationships/hyperlink" Target="mailto:CF@3ft" TargetMode="External"/><Relationship Id="rId321" Type="http://schemas.openxmlformats.org/officeDocument/2006/relationships/hyperlink" Target="mailto:CF@3ft" TargetMode="External"/><Relationship Id="rId342" Type="http://schemas.openxmlformats.org/officeDocument/2006/relationships/hyperlink" Target="mailto:HM@6in" TargetMode="External"/><Relationship Id="rId363" Type="http://schemas.openxmlformats.org/officeDocument/2006/relationships/hyperlink" Target="mailto:CF@3ft" TargetMode="External"/><Relationship Id="rId384" Type="http://schemas.openxmlformats.org/officeDocument/2006/relationships/hyperlink" Target="mailto:CF@3ft" TargetMode="External"/><Relationship Id="rId419" Type="http://schemas.openxmlformats.org/officeDocument/2006/relationships/hyperlink" Target="mailto:CF@3ft" TargetMode="External"/><Relationship Id="rId202" Type="http://schemas.openxmlformats.org/officeDocument/2006/relationships/hyperlink" Target="mailto:HM@6in" TargetMode="External"/><Relationship Id="rId223" Type="http://schemas.openxmlformats.org/officeDocument/2006/relationships/hyperlink" Target="mailto:CF@2ft" TargetMode="External"/><Relationship Id="rId244" Type="http://schemas.openxmlformats.org/officeDocument/2006/relationships/hyperlink" Target="mailto:CF@3ft" TargetMode="External"/><Relationship Id="rId430" Type="http://schemas.openxmlformats.org/officeDocument/2006/relationships/hyperlink" Target="mailto:CF@3ft" TargetMode="External"/><Relationship Id="rId18" Type="http://schemas.openxmlformats.org/officeDocument/2006/relationships/hyperlink" Target="mailto:HM@6in" TargetMode="External"/><Relationship Id="rId39" Type="http://schemas.openxmlformats.org/officeDocument/2006/relationships/hyperlink" Target="mailto:HM@6in" TargetMode="External"/><Relationship Id="rId265" Type="http://schemas.openxmlformats.org/officeDocument/2006/relationships/hyperlink" Target="mailto:CF@3ft" TargetMode="External"/><Relationship Id="rId286" Type="http://schemas.openxmlformats.org/officeDocument/2006/relationships/hyperlink" Target="mailto:CF@2ft" TargetMode="External"/><Relationship Id="rId451" Type="http://schemas.openxmlformats.org/officeDocument/2006/relationships/hyperlink" Target="mailto:CF@3ft" TargetMode="External"/><Relationship Id="rId50" Type="http://schemas.openxmlformats.org/officeDocument/2006/relationships/hyperlink" Target="mailto:CF@3ft" TargetMode="External"/><Relationship Id="rId104" Type="http://schemas.openxmlformats.org/officeDocument/2006/relationships/hyperlink" Target="mailto:CF@3ft" TargetMode="External"/><Relationship Id="rId125" Type="http://schemas.openxmlformats.org/officeDocument/2006/relationships/hyperlink" Target="mailto:CF@2ft" TargetMode="External"/><Relationship Id="rId146" Type="http://schemas.openxmlformats.org/officeDocument/2006/relationships/hyperlink" Target="mailto:CF@3ft" TargetMode="External"/><Relationship Id="rId167" Type="http://schemas.openxmlformats.org/officeDocument/2006/relationships/hyperlink" Target="mailto:CF@6in" TargetMode="External"/><Relationship Id="rId188" Type="http://schemas.openxmlformats.org/officeDocument/2006/relationships/hyperlink" Target="mailto:CF@6in" TargetMode="External"/><Relationship Id="rId311" Type="http://schemas.openxmlformats.org/officeDocument/2006/relationships/hyperlink" Target="mailto:CF@6in" TargetMode="External"/><Relationship Id="rId332" Type="http://schemas.openxmlformats.org/officeDocument/2006/relationships/hyperlink" Target="mailto:CF@6in" TargetMode="External"/><Relationship Id="rId353" Type="http://schemas.openxmlformats.org/officeDocument/2006/relationships/hyperlink" Target="mailto:CF@3ft" TargetMode="External"/><Relationship Id="rId374" Type="http://schemas.openxmlformats.org/officeDocument/2006/relationships/hyperlink" Target="mailto:CF@2ft" TargetMode="External"/><Relationship Id="rId395" Type="http://schemas.openxmlformats.org/officeDocument/2006/relationships/hyperlink" Target="mailto:Cf@4ft" TargetMode="External"/><Relationship Id="rId409" Type="http://schemas.openxmlformats.org/officeDocument/2006/relationships/hyperlink" Target="mailto:CF@3ft" TargetMode="External"/><Relationship Id="rId71" Type="http://schemas.openxmlformats.org/officeDocument/2006/relationships/hyperlink" Target="mailto:CF@2ft" TargetMode="External"/><Relationship Id="rId92" Type="http://schemas.openxmlformats.org/officeDocument/2006/relationships/hyperlink" Target="mailto:Cf@4ft" TargetMode="External"/><Relationship Id="rId213" Type="http://schemas.openxmlformats.org/officeDocument/2006/relationships/hyperlink" Target="mailto:CF@6in" TargetMode="External"/><Relationship Id="rId234" Type="http://schemas.openxmlformats.org/officeDocument/2006/relationships/hyperlink" Target="mailto:CF@%202%20ft" TargetMode="External"/><Relationship Id="rId420" Type="http://schemas.openxmlformats.org/officeDocument/2006/relationships/hyperlink" Target="mailto:CF@2ft" TargetMode="External"/><Relationship Id="rId2" Type="http://schemas.openxmlformats.org/officeDocument/2006/relationships/printerSettings" Target="../printerSettings/printerSettings2.bin"/><Relationship Id="rId29" Type="http://schemas.openxmlformats.org/officeDocument/2006/relationships/hyperlink" Target="mailto:CF@3ft" TargetMode="External"/><Relationship Id="rId255" Type="http://schemas.openxmlformats.org/officeDocument/2006/relationships/hyperlink" Target="mailto:HM@6in" TargetMode="External"/><Relationship Id="rId276" Type="http://schemas.openxmlformats.org/officeDocument/2006/relationships/hyperlink" Target="mailto:CF@3ft" TargetMode="External"/><Relationship Id="rId297" Type="http://schemas.openxmlformats.org/officeDocument/2006/relationships/hyperlink" Target="mailto:CF@2ft" TargetMode="External"/><Relationship Id="rId441" Type="http://schemas.openxmlformats.org/officeDocument/2006/relationships/hyperlink" Target="mailto:CF@%202%20ft" TargetMode="External"/><Relationship Id="rId462" Type="http://schemas.openxmlformats.org/officeDocument/2006/relationships/hyperlink" Target="mailto:CF@3ft" TargetMode="External"/><Relationship Id="rId40" Type="http://schemas.openxmlformats.org/officeDocument/2006/relationships/hyperlink" Target="mailto:CF@3ft" TargetMode="External"/><Relationship Id="rId115" Type="http://schemas.openxmlformats.org/officeDocument/2006/relationships/hyperlink" Target="mailto:CF@6in" TargetMode="External"/><Relationship Id="rId136" Type="http://schemas.openxmlformats.org/officeDocument/2006/relationships/hyperlink" Target="mailto:CF@6in" TargetMode="External"/><Relationship Id="rId157" Type="http://schemas.openxmlformats.org/officeDocument/2006/relationships/hyperlink" Target="mailto:Cf@4ft" TargetMode="External"/><Relationship Id="rId178" Type="http://schemas.openxmlformats.org/officeDocument/2006/relationships/hyperlink" Target="mailto:CF@3ft" TargetMode="External"/><Relationship Id="rId301" Type="http://schemas.openxmlformats.org/officeDocument/2006/relationships/hyperlink" Target="mailto:HM@6in" TargetMode="External"/><Relationship Id="rId322" Type="http://schemas.openxmlformats.org/officeDocument/2006/relationships/hyperlink" Target="mailto:CF@3ft" TargetMode="External"/><Relationship Id="rId343" Type="http://schemas.openxmlformats.org/officeDocument/2006/relationships/hyperlink" Target="mailto:CF@2ft" TargetMode="External"/><Relationship Id="rId364" Type="http://schemas.openxmlformats.org/officeDocument/2006/relationships/hyperlink" Target="mailto:CF@2ft" TargetMode="External"/><Relationship Id="rId61" Type="http://schemas.openxmlformats.org/officeDocument/2006/relationships/hyperlink" Target="mailto:CF@3ft" TargetMode="External"/><Relationship Id="rId82" Type="http://schemas.openxmlformats.org/officeDocument/2006/relationships/hyperlink" Target="mailto:HM@6in" TargetMode="External"/><Relationship Id="rId199" Type="http://schemas.openxmlformats.org/officeDocument/2006/relationships/hyperlink" Target="mailto:CF@2ft" TargetMode="External"/><Relationship Id="rId203" Type="http://schemas.openxmlformats.org/officeDocument/2006/relationships/hyperlink" Target="mailto:CF@2ft" TargetMode="External"/><Relationship Id="rId385" Type="http://schemas.openxmlformats.org/officeDocument/2006/relationships/hyperlink" Target="mailto:CF@2ft" TargetMode="External"/><Relationship Id="rId19" Type="http://schemas.openxmlformats.org/officeDocument/2006/relationships/hyperlink" Target="mailto:CF@3ft" TargetMode="External"/><Relationship Id="rId224" Type="http://schemas.openxmlformats.org/officeDocument/2006/relationships/hyperlink" Target="mailto:CF@3ft" TargetMode="External"/><Relationship Id="rId245" Type="http://schemas.openxmlformats.org/officeDocument/2006/relationships/hyperlink" Target="mailto:Cf@4ft" TargetMode="External"/><Relationship Id="rId266" Type="http://schemas.openxmlformats.org/officeDocument/2006/relationships/hyperlink" Target="mailto:CF@6in" TargetMode="External"/><Relationship Id="rId287" Type="http://schemas.openxmlformats.org/officeDocument/2006/relationships/hyperlink" Target="mailto:CF@6in" TargetMode="External"/><Relationship Id="rId410" Type="http://schemas.openxmlformats.org/officeDocument/2006/relationships/hyperlink" Target="mailto:CF@2ft" TargetMode="External"/><Relationship Id="rId431" Type="http://schemas.openxmlformats.org/officeDocument/2006/relationships/hyperlink" Target="mailto:CF@2ft" TargetMode="External"/><Relationship Id="rId452" Type="http://schemas.openxmlformats.org/officeDocument/2006/relationships/hyperlink" Target="mailto:Cf@4ft" TargetMode="External"/><Relationship Id="rId30" Type="http://schemas.openxmlformats.org/officeDocument/2006/relationships/hyperlink" Target="mailto:CF@6in" TargetMode="External"/><Relationship Id="rId105" Type="http://schemas.openxmlformats.org/officeDocument/2006/relationships/hyperlink" Target="mailto:Cf@4ft" TargetMode="External"/><Relationship Id="rId126" Type="http://schemas.openxmlformats.org/officeDocument/2006/relationships/hyperlink" Target="mailto:CF@3ft" TargetMode="External"/><Relationship Id="rId147" Type="http://schemas.openxmlformats.org/officeDocument/2006/relationships/hyperlink" Target="mailto:CF@2ft" TargetMode="External"/><Relationship Id="rId168" Type="http://schemas.openxmlformats.org/officeDocument/2006/relationships/hyperlink" Target="mailto:HM@6in" TargetMode="External"/><Relationship Id="rId312" Type="http://schemas.openxmlformats.org/officeDocument/2006/relationships/hyperlink" Target="mailto:HM@6in" TargetMode="External"/><Relationship Id="rId333" Type="http://schemas.openxmlformats.org/officeDocument/2006/relationships/hyperlink" Target="mailto:CF@6in" TargetMode="External"/><Relationship Id="rId354" Type="http://schemas.openxmlformats.org/officeDocument/2006/relationships/hyperlink" Target="mailto:CF@6in" TargetMode="External"/><Relationship Id="rId51" Type="http://schemas.openxmlformats.org/officeDocument/2006/relationships/hyperlink" Target="mailto:CF@6in" TargetMode="External"/><Relationship Id="rId72" Type="http://schemas.openxmlformats.org/officeDocument/2006/relationships/hyperlink" Target="mailto:CF@3ft" TargetMode="External"/><Relationship Id="rId93" Type="http://schemas.openxmlformats.org/officeDocument/2006/relationships/hyperlink" Target="mailto:CF@3ft" TargetMode="External"/><Relationship Id="rId189" Type="http://schemas.openxmlformats.org/officeDocument/2006/relationships/hyperlink" Target="mailto:HM@6in" TargetMode="External"/><Relationship Id="rId375" Type="http://schemas.openxmlformats.org/officeDocument/2006/relationships/hyperlink" Target="mailto:CF@3ft" TargetMode="External"/><Relationship Id="rId396" Type="http://schemas.openxmlformats.org/officeDocument/2006/relationships/hyperlink" Target="mailto:CF@%202%20ft" TargetMode="External"/><Relationship Id="rId3" Type="http://schemas.openxmlformats.org/officeDocument/2006/relationships/hyperlink" Target="mailto:CF@6in" TargetMode="External"/><Relationship Id="rId214" Type="http://schemas.openxmlformats.org/officeDocument/2006/relationships/hyperlink" Target="mailto:HM@6in" TargetMode="External"/><Relationship Id="rId235" Type="http://schemas.openxmlformats.org/officeDocument/2006/relationships/hyperlink" Target="mailto:CF@2ft" TargetMode="External"/><Relationship Id="rId256" Type="http://schemas.openxmlformats.org/officeDocument/2006/relationships/hyperlink" Target="mailto:CF@3ft" TargetMode="External"/><Relationship Id="rId277" Type="http://schemas.openxmlformats.org/officeDocument/2006/relationships/hyperlink" Target="mailto:CF@3ft" TargetMode="External"/><Relationship Id="rId298" Type="http://schemas.openxmlformats.org/officeDocument/2006/relationships/hyperlink" Target="mailto:CF@3ft" TargetMode="External"/><Relationship Id="rId400" Type="http://schemas.openxmlformats.org/officeDocument/2006/relationships/hyperlink" Target="mailto:CF@6in" TargetMode="External"/><Relationship Id="rId421" Type="http://schemas.openxmlformats.org/officeDocument/2006/relationships/hyperlink" Target="mailto:CF@3ft" TargetMode="External"/><Relationship Id="rId442" Type="http://schemas.openxmlformats.org/officeDocument/2006/relationships/hyperlink" Target="mailto:CF@3ft" TargetMode="External"/><Relationship Id="rId463" Type="http://schemas.openxmlformats.org/officeDocument/2006/relationships/hyperlink" Target="mailto:CF@%202%20ft" TargetMode="External"/><Relationship Id="rId116" Type="http://schemas.openxmlformats.org/officeDocument/2006/relationships/hyperlink" Target="mailto:HM@6in" TargetMode="External"/><Relationship Id="rId137" Type="http://schemas.openxmlformats.org/officeDocument/2006/relationships/hyperlink" Target="mailto:HM@6in" TargetMode="External"/><Relationship Id="rId158" Type="http://schemas.openxmlformats.org/officeDocument/2006/relationships/hyperlink" Target="mailto:CF@%202%20ft" TargetMode="External"/><Relationship Id="rId302" Type="http://schemas.openxmlformats.org/officeDocument/2006/relationships/hyperlink" Target="mailto:CF@3ft" TargetMode="External"/><Relationship Id="rId323" Type="http://schemas.openxmlformats.org/officeDocument/2006/relationships/hyperlink" Target="mailto:CF@2ft" TargetMode="External"/><Relationship Id="rId344" Type="http://schemas.openxmlformats.org/officeDocument/2006/relationships/hyperlink" Target="mailto:CF@3ft" TargetMode="External"/><Relationship Id="rId20" Type="http://schemas.openxmlformats.org/officeDocument/2006/relationships/hyperlink" Target="mailto:Cf@4ft" TargetMode="External"/><Relationship Id="rId41" Type="http://schemas.openxmlformats.org/officeDocument/2006/relationships/hyperlink" Target="mailto:CF@3ft" TargetMode="External"/><Relationship Id="rId62" Type="http://schemas.openxmlformats.org/officeDocument/2006/relationships/hyperlink" Target="mailto:CF@6in" TargetMode="External"/><Relationship Id="rId83" Type="http://schemas.openxmlformats.org/officeDocument/2006/relationships/hyperlink" Target="mailto:CF@3ft" TargetMode="External"/><Relationship Id="rId179" Type="http://schemas.openxmlformats.org/officeDocument/2006/relationships/hyperlink" Target="mailto:CF@3ft" TargetMode="External"/><Relationship Id="rId365" Type="http://schemas.openxmlformats.org/officeDocument/2006/relationships/hyperlink" Target="mailto:CF@3ft" TargetMode="External"/><Relationship Id="rId386" Type="http://schemas.openxmlformats.org/officeDocument/2006/relationships/hyperlink" Target="mailto:CF@3ft" TargetMode="External"/><Relationship Id="rId190" Type="http://schemas.openxmlformats.org/officeDocument/2006/relationships/hyperlink" Target="mailto:CF@2ft" TargetMode="External"/><Relationship Id="rId204" Type="http://schemas.openxmlformats.org/officeDocument/2006/relationships/hyperlink" Target="mailto:CF@3ft" TargetMode="External"/><Relationship Id="rId225" Type="http://schemas.openxmlformats.org/officeDocument/2006/relationships/hyperlink" Target="mailto:CF@6in" TargetMode="External"/><Relationship Id="rId246" Type="http://schemas.openxmlformats.org/officeDocument/2006/relationships/hyperlink" Target="mailto:CF@%202%20ft" TargetMode="External"/><Relationship Id="rId267" Type="http://schemas.openxmlformats.org/officeDocument/2006/relationships/hyperlink" Target="mailto:HM@6in" TargetMode="External"/><Relationship Id="rId288" Type="http://schemas.openxmlformats.org/officeDocument/2006/relationships/hyperlink" Target="mailto:HM@6in" TargetMode="External"/><Relationship Id="rId411" Type="http://schemas.openxmlformats.org/officeDocument/2006/relationships/hyperlink" Target="mailto:CF@3ft" TargetMode="External"/><Relationship Id="rId432" Type="http://schemas.openxmlformats.org/officeDocument/2006/relationships/hyperlink" Target="mailto:CF@3ft" TargetMode="External"/><Relationship Id="rId453" Type="http://schemas.openxmlformats.org/officeDocument/2006/relationships/hyperlink" Target="mailto:CF@%202%20ft" TargetMode="External"/><Relationship Id="rId106" Type="http://schemas.openxmlformats.org/officeDocument/2006/relationships/hyperlink" Target="mailto:CF@3ft" TargetMode="External"/><Relationship Id="rId127" Type="http://schemas.openxmlformats.org/officeDocument/2006/relationships/hyperlink" Target="mailto:CF@3ft" TargetMode="External"/><Relationship Id="rId313" Type="http://schemas.openxmlformats.org/officeDocument/2006/relationships/hyperlink" Target="mailto:CF@3ft" TargetMode="External"/><Relationship Id="rId10" Type="http://schemas.openxmlformats.org/officeDocument/2006/relationships/hyperlink" Target="mailto:CF@3ft" TargetMode="External"/><Relationship Id="rId31" Type="http://schemas.openxmlformats.org/officeDocument/2006/relationships/hyperlink" Target="mailto:HM@6in" TargetMode="External"/><Relationship Id="rId52" Type="http://schemas.openxmlformats.org/officeDocument/2006/relationships/hyperlink" Target="mailto:HM@6in" TargetMode="External"/><Relationship Id="rId73" Type="http://schemas.openxmlformats.org/officeDocument/2006/relationships/hyperlink" Target="mailto:HM@6in" TargetMode="External"/><Relationship Id="rId94" Type="http://schemas.openxmlformats.org/officeDocument/2006/relationships/hyperlink" Target="mailto:CF@3ft" TargetMode="External"/><Relationship Id="rId148" Type="http://schemas.openxmlformats.org/officeDocument/2006/relationships/hyperlink" Target="mailto:CF@3ft" TargetMode="External"/><Relationship Id="rId169" Type="http://schemas.openxmlformats.org/officeDocument/2006/relationships/hyperlink" Target="mailto:CF@3ft" TargetMode="External"/><Relationship Id="rId334" Type="http://schemas.openxmlformats.org/officeDocument/2006/relationships/hyperlink" Target="mailto:HM@6in" TargetMode="External"/><Relationship Id="rId355" Type="http://schemas.openxmlformats.org/officeDocument/2006/relationships/hyperlink" Target="mailto:HM@6in" TargetMode="External"/><Relationship Id="rId376" Type="http://schemas.openxmlformats.org/officeDocument/2006/relationships/hyperlink" Target="mailto:CF@6in" TargetMode="External"/><Relationship Id="rId397" Type="http://schemas.openxmlformats.org/officeDocument/2006/relationships/hyperlink" Target="mailto:CF@3ft" TargetMode="External"/><Relationship Id="rId4" Type="http://schemas.openxmlformats.org/officeDocument/2006/relationships/hyperlink" Target="mailto:HM@6in" TargetMode="External"/><Relationship Id="rId180" Type="http://schemas.openxmlformats.org/officeDocument/2006/relationships/hyperlink" Target="mailto:CF@6in" TargetMode="External"/><Relationship Id="rId215" Type="http://schemas.openxmlformats.org/officeDocument/2006/relationships/hyperlink" Target="mailto:CF@2ft" TargetMode="External"/><Relationship Id="rId236" Type="http://schemas.openxmlformats.org/officeDocument/2006/relationships/hyperlink" Target="mailto:CF@3ft" TargetMode="External"/><Relationship Id="rId257" Type="http://schemas.openxmlformats.org/officeDocument/2006/relationships/hyperlink" Target="mailto:Cf@4ft" TargetMode="External"/><Relationship Id="rId278" Type="http://schemas.openxmlformats.org/officeDocument/2006/relationships/hyperlink" Target="mailto:HM@6in" TargetMode="External"/><Relationship Id="rId401" Type="http://schemas.openxmlformats.org/officeDocument/2006/relationships/hyperlink" Target="mailto:HM@6in" TargetMode="External"/><Relationship Id="rId422" Type="http://schemas.openxmlformats.org/officeDocument/2006/relationships/hyperlink" Target="mailto:CF@6in" TargetMode="External"/><Relationship Id="rId443" Type="http://schemas.openxmlformats.org/officeDocument/2006/relationships/hyperlink" Target="mailto:CF@2ft" TargetMode="External"/><Relationship Id="rId464" Type="http://schemas.openxmlformats.org/officeDocument/2006/relationships/hyperlink" Target="mailto:CF@3ft" TargetMode="External"/><Relationship Id="rId303" Type="http://schemas.openxmlformats.org/officeDocument/2006/relationships/hyperlink" Target="mailto:Cf@4ft" TargetMode="External"/><Relationship Id="rId42" Type="http://schemas.openxmlformats.org/officeDocument/2006/relationships/hyperlink" Target="mailto:CF@3ft" TargetMode="External"/><Relationship Id="rId84" Type="http://schemas.openxmlformats.org/officeDocument/2006/relationships/hyperlink" Target="mailto:CF@3ft" TargetMode="External"/><Relationship Id="rId138" Type="http://schemas.openxmlformats.org/officeDocument/2006/relationships/hyperlink" Target="mailto:CF@2ft" TargetMode="External"/><Relationship Id="rId345" Type="http://schemas.openxmlformats.org/officeDocument/2006/relationships/hyperlink" Target="mailto:CF@3ft" TargetMode="External"/><Relationship Id="rId387" Type="http://schemas.openxmlformats.org/officeDocument/2006/relationships/hyperlink" Target="mailto:CF@6in" TargetMode="External"/><Relationship Id="rId191" Type="http://schemas.openxmlformats.org/officeDocument/2006/relationships/hyperlink" Target="mailto:CF@3ft" TargetMode="External"/><Relationship Id="rId205" Type="http://schemas.openxmlformats.org/officeDocument/2006/relationships/hyperlink" Target="mailto:CF@3ft" TargetMode="External"/><Relationship Id="rId247" Type="http://schemas.openxmlformats.org/officeDocument/2006/relationships/hyperlink" Target="mailto:CF@3ft" TargetMode="External"/><Relationship Id="rId412" Type="http://schemas.openxmlformats.org/officeDocument/2006/relationships/hyperlink" Target="mailto:CF@6in" TargetMode="External"/><Relationship Id="rId107" Type="http://schemas.openxmlformats.org/officeDocument/2006/relationships/hyperlink" Target="mailto:CF@3ft" TargetMode="External"/><Relationship Id="rId289" Type="http://schemas.openxmlformats.org/officeDocument/2006/relationships/hyperlink" Target="mailto:CF@3ft" TargetMode="External"/><Relationship Id="rId454" Type="http://schemas.openxmlformats.org/officeDocument/2006/relationships/hyperlink" Target="mailto:CF@3ft" TargetMode="External"/><Relationship Id="rId11" Type="http://schemas.openxmlformats.org/officeDocument/2006/relationships/hyperlink" Target="mailto:CF@6in" TargetMode="External"/><Relationship Id="rId53" Type="http://schemas.openxmlformats.org/officeDocument/2006/relationships/hyperlink" Target="mailto:CF@3ft" TargetMode="External"/><Relationship Id="rId149" Type="http://schemas.openxmlformats.org/officeDocument/2006/relationships/hyperlink" Target="mailto:CF@6in" TargetMode="External"/><Relationship Id="rId314" Type="http://schemas.openxmlformats.org/officeDocument/2006/relationships/hyperlink" Target="mailto:Cf@4ft" TargetMode="External"/><Relationship Id="rId356" Type="http://schemas.openxmlformats.org/officeDocument/2006/relationships/hyperlink" Target="mailto:CF@6in" TargetMode="External"/><Relationship Id="rId398" Type="http://schemas.openxmlformats.org/officeDocument/2006/relationships/hyperlink" Target="mailto:CF@2ft" TargetMode="External"/><Relationship Id="rId95" Type="http://schemas.openxmlformats.org/officeDocument/2006/relationships/hyperlink" Target="mailto:CF@2ft" TargetMode="External"/><Relationship Id="rId160" Type="http://schemas.openxmlformats.org/officeDocument/2006/relationships/hyperlink" Target="mailto:CF@2ft" TargetMode="External"/><Relationship Id="rId216" Type="http://schemas.openxmlformats.org/officeDocument/2006/relationships/hyperlink" Target="mailto:CF@3ft" TargetMode="External"/><Relationship Id="rId423" Type="http://schemas.openxmlformats.org/officeDocument/2006/relationships/hyperlink" Target="mailto:HM@6in" TargetMode="External"/><Relationship Id="rId258" Type="http://schemas.openxmlformats.org/officeDocument/2006/relationships/hyperlink" Target="mailto:CF@%202%20ft" TargetMode="External"/><Relationship Id="rId465" Type="http://schemas.openxmlformats.org/officeDocument/2006/relationships/hyperlink" Target="mailto:CF@2ft" TargetMode="External"/><Relationship Id="rId22" Type="http://schemas.openxmlformats.org/officeDocument/2006/relationships/hyperlink" Target="mailto:HM@6in" TargetMode="External"/><Relationship Id="rId64" Type="http://schemas.openxmlformats.org/officeDocument/2006/relationships/hyperlink" Target="mailto:CF@3ft" TargetMode="External"/><Relationship Id="rId118" Type="http://schemas.openxmlformats.org/officeDocument/2006/relationships/hyperlink" Target="mailto:Cf@4ft" TargetMode="External"/><Relationship Id="rId325" Type="http://schemas.openxmlformats.org/officeDocument/2006/relationships/hyperlink" Target="mailto:CF@6in" TargetMode="External"/><Relationship Id="rId367" Type="http://schemas.openxmlformats.org/officeDocument/2006/relationships/hyperlink" Target="mailto:HM@6in" TargetMode="External"/><Relationship Id="rId171" Type="http://schemas.openxmlformats.org/officeDocument/2006/relationships/hyperlink" Target="mailto:CF@%202%20ft" TargetMode="External"/><Relationship Id="rId227" Type="http://schemas.openxmlformats.org/officeDocument/2006/relationships/hyperlink" Target="mailto:CF@2ft" TargetMode="External"/><Relationship Id="rId269" Type="http://schemas.openxmlformats.org/officeDocument/2006/relationships/hyperlink" Target="mailto:Cf@4ft" TargetMode="External"/><Relationship Id="rId434" Type="http://schemas.openxmlformats.org/officeDocument/2006/relationships/hyperlink" Target="mailto:HM@6in" TargetMode="External"/><Relationship Id="rId33" Type="http://schemas.openxmlformats.org/officeDocument/2006/relationships/hyperlink" Target="mailto:Cf@4ft" TargetMode="External"/><Relationship Id="rId129" Type="http://schemas.openxmlformats.org/officeDocument/2006/relationships/hyperlink" Target="mailto:HM@6in" TargetMode="External"/><Relationship Id="rId280" Type="http://schemas.openxmlformats.org/officeDocument/2006/relationships/hyperlink" Target="mailto:CF@%202%20ft" TargetMode="External"/><Relationship Id="rId336" Type="http://schemas.openxmlformats.org/officeDocument/2006/relationships/hyperlink" Target="mailto:Cf@4ft" TargetMode="External"/><Relationship Id="rId75" Type="http://schemas.openxmlformats.org/officeDocument/2006/relationships/hyperlink" Target="mailto:CF@3ft" TargetMode="External"/><Relationship Id="rId140" Type="http://schemas.openxmlformats.org/officeDocument/2006/relationships/hyperlink" Target="mailto:CF@3ft" TargetMode="External"/><Relationship Id="rId182" Type="http://schemas.openxmlformats.org/officeDocument/2006/relationships/hyperlink" Target="mailto:CF@3ft" TargetMode="External"/><Relationship Id="rId378" Type="http://schemas.openxmlformats.org/officeDocument/2006/relationships/hyperlink" Target="mailto:CF@2ft" TargetMode="External"/><Relationship Id="rId403" Type="http://schemas.openxmlformats.org/officeDocument/2006/relationships/hyperlink" Target="mailto:CF@3ft" TargetMode="External"/><Relationship Id="rId6" Type="http://schemas.openxmlformats.org/officeDocument/2006/relationships/hyperlink" Target="mailto:Cf@4ft" TargetMode="External"/><Relationship Id="rId238" Type="http://schemas.openxmlformats.org/officeDocument/2006/relationships/hyperlink" Target="mailto:HM@6in" TargetMode="External"/><Relationship Id="rId445" Type="http://schemas.openxmlformats.org/officeDocument/2006/relationships/hyperlink" Target="mailto:CF@6in" TargetMode="External"/><Relationship Id="rId291" Type="http://schemas.openxmlformats.org/officeDocument/2006/relationships/hyperlink" Target="mailto:CF@%202%20ft" TargetMode="External"/><Relationship Id="rId305" Type="http://schemas.openxmlformats.org/officeDocument/2006/relationships/hyperlink" Target="mailto:CF@3ft" TargetMode="External"/><Relationship Id="rId347" Type="http://schemas.openxmlformats.org/officeDocument/2006/relationships/hyperlink" Target="mailto:HM@6in" TargetMode="External"/><Relationship Id="rId44" Type="http://schemas.openxmlformats.org/officeDocument/2006/relationships/hyperlink" Target="mailto:HM@6in" TargetMode="External"/><Relationship Id="rId86" Type="http://schemas.openxmlformats.org/officeDocument/2006/relationships/hyperlink" Target="mailto:CF@3ft" TargetMode="External"/><Relationship Id="rId151" Type="http://schemas.openxmlformats.org/officeDocument/2006/relationships/hyperlink" Target="mailto:CF@2ft" TargetMode="External"/><Relationship Id="rId389" Type="http://schemas.openxmlformats.org/officeDocument/2006/relationships/hyperlink" Target="mailto:CF@2ft"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mailto:HM@6in" TargetMode="External"/><Relationship Id="rId18" Type="http://schemas.openxmlformats.org/officeDocument/2006/relationships/hyperlink" Target="mailto:CF@6in" TargetMode="External"/><Relationship Id="rId26" Type="http://schemas.openxmlformats.org/officeDocument/2006/relationships/hyperlink" Target="mailto:CF@6in" TargetMode="External"/><Relationship Id="rId39" Type="http://schemas.openxmlformats.org/officeDocument/2006/relationships/hyperlink" Target="mailto:CF@%202%20ft" TargetMode="External"/><Relationship Id="rId21" Type="http://schemas.openxmlformats.org/officeDocument/2006/relationships/hyperlink" Target="mailto:CF@3ft" TargetMode="External"/><Relationship Id="rId34" Type="http://schemas.openxmlformats.org/officeDocument/2006/relationships/hyperlink" Target="mailto:CF@3ft" TargetMode="External"/><Relationship Id="rId42" Type="http://schemas.openxmlformats.org/officeDocument/2006/relationships/hyperlink" Target="mailto:CF@2ft" TargetMode="External"/><Relationship Id="rId47" Type="http://schemas.openxmlformats.org/officeDocument/2006/relationships/hyperlink" Target="mailto:CF@6in" TargetMode="External"/><Relationship Id="rId50" Type="http://schemas.openxmlformats.org/officeDocument/2006/relationships/hyperlink" Target="mailto:CF@3ft" TargetMode="External"/><Relationship Id="rId55" Type="http://schemas.openxmlformats.org/officeDocument/2006/relationships/hyperlink" Target="mailto:CF@%202%20ft" TargetMode="External"/><Relationship Id="rId63" Type="http://schemas.openxmlformats.org/officeDocument/2006/relationships/hyperlink" Target="mailto:CF@2ft" TargetMode="External"/><Relationship Id="rId68" Type="http://schemas.openxmlformats.org/officeDocument/2006/relationships/hyperlink" Target="mailto:CF@3ft" TargetMode="External"/><Relationship Id="rId7" Type="http://schemas.openxmlformats.org/officeDocument/2006/relationships/hyperlink" Target="mailto:HM@6in" TargetMode="External"/><Relationship Id="rId71" Type="http://schemas.openxmlformats.org/officeDocument/2006/relationships/hyperlink" Target="mailto:CF@2ft" TargetMode="External"/><Relationship Id="rId2" Type="http://schemas.openxmlformats.org/officeDocument/2006/relationships/hyperlink" Target="mailto:Cf@4ft" TargetMode="External"/><Relationship Id="rId16" Type="http://schemas.openxmlformats.org/officeDocument/2006/relationships/hyperlink" Target="mailto:HM@6in" TargetMode="External"/><Relationship Id="rId29" Type="http://schemas.openxmlformats.org/officeDocument/2006/relationships/hyperlink" Target="mailto:CF@2ft" TargetMode="External"/><Relationship Id="rId1" Type="http://schemas.openxmlformats.org/officeDocument/2006/relationships/hyperlink" Target="mailto:Cf@4ft" TargetMode="External"/><Relationship Id="rId6" Type="http://schemas.openxmlformats.org/officeDocument/2006/relationships/hyperlink" Target="mailto:HM@6in" TargetMode="External"/><Relationship Id="rId11" Type="http://schemas.openxmlformats.org/officeDocument/2006/relationships/hyperlink" Target="mailto:HM@6in" TargetMode="External"/><Relationship Id="rId24" Type="http://schemas.openxmlformats.org/officeDocument/2006/relationships/hyperlink" Target="mailto:CF@6in" TargetMode="External"/><Relationship Id="rId32" Type="http://schemas.openxmlformats.org/officeDocument/2006/relationships/hyperlink" Target="mailto:CF@6in" TargetMode="External"/><Relationship Id="rId37" Type="http://schemas.openxmlformats.org/officeDocument/2006/relationships/hyperlink" Target="mailto:CF@2ft" TargetMode="External"/><Relationship Id="rId40" Type="http://schemas.openxmlformats.org/officeDocument/2006/relationships/hyperlink" Target="mailto:CF@2ft" TargetMode="External"/><Relationship Id="rId45" Type="http://schemas.openxmlformats.org/officeDocument/2006/relationships/hyperlink" Target="mailto:CF@3ft" TargetMode="External"/><Relationship Id="rId53" Type="http://schemas.openxmlformats.org/officeDocument/2006/relationships/hyperlink" Target="mailto:CF@2ft" TargetMode="External"/><Relationship Id="rId58" Type="http://schemas.openxmlformats.org/officeDocument/2006/relationships/hyperlink" Target="mailto:CF@6in" TargetMode="External"/><Relationship Id="rId66" Type="http://schemas.openxmlformats.org/officeDocument/2006/relationships/hyperlink" Target="mailto:CF@6in" TargetMode="External"/><Relationship Id="rId5" Type="http://schemas.openxmlformats.org/officeDocument/2006/relationships/hyperlink" Target="mailto:HM@6in" TargetMode="External"/><Relationship Id="rId15" Type="http://schemas.openxmlformats.org/officeDocument/2006/relationships/hyperlink" Target="mailto:HM@6in" TargetMode="External"/><Relationship Id="rId23" Type="http://schemas.openxmlformats.org/officeDocument/2006/relationships/hyperlink" Target="mailto:CF@2ft" TargetMode="External"/><Relationship Id="rId28" Type="http://schemas.openxmlformats.org/officeDocument/2006/relationships/hyperlink" Target="mailto:CF@3ft" TargetMode="External"/><Relationship Id="rId36" Type="http://schemas.openxmlformats.org/officeDocument/2006/relationships/hyperlink" Target="mailto:CF@6in" TargetMode="External"/><Relationship Id="rId49" Type="http://schemas.openxmlformats.org/officeDocument/2006/relationships/hyperlink" Target="mailto:CF@%202%20ft" TargetMode="External"/><Relationship Id="rId57" Type="http://schemas.openxmlformats.org/officeDocument/2006/relationships/hyperlink" Target="mailto:CF@2ft" TargetMode="External"/><Relationship Id="rId61" Type="http://schemas.openxmlformats.org/officeDocument/2006/relationships/hyperlink" Target="mailto:CF@%202%20ft" TargetMode="External"/><Relationship Id="rId10" Type="http://schemas.openxmlformats.org/officeDocument/2006/relationships/hyperlink" Target="mailto:HM@6in" TargetMode="External"/><Relationship Id="rId19" Type="http://schemas.openxmlformats.org/officeDocument/2006/relationships/hyperlink" Target="mailto:CF@2ft" TargetMode="External"/><Relationship Id="rId31" Type="http://schemas.openxmlformats.org/officeDocument/2006/relationships/hyperlink" Target="mailto:CF@2ft" TargetMode="External"/><Relationship Id="rId44" Type="http://schemas.openxmlformats.org/officeDocument/2006/relationships/hyperlink" Target="mailto:CF@%202%20ft" TargetMode="External"/><Relationship Id="rId52" Type="http://schemas.openxmlformats.org/officeDocument/2006/relationships/hyperlink" Target="mailto:CF@6in" TargetMode="External"/><Relationship Id="rId60" Type="http://schemas.openxmlformats.org/officeDocument/2006/relationships/hyperlink" Target="mailto:CF@6in" TargetMode="External"/><Relationship Id="rId65" Type="http://schemas.openxmlformats.org/officeDocument/2006/relationships/hyperlink" Target="mailto:CF@2ft" TargetMode="External"/><Relationship Id="rId4" Type="http://schemas.openxmlformats.org/officeDocument/2006/relationships/hyperlink" Target="mailto:HM@6in" TargetMode="External"/><Relationship Id="rId9" Type="http://schemas.openxmlformats.org/officeDocument/2006/relationships/hyperlink" Target="mailto:HM@6in" TargetMode="External"/><Relationship Id="rId14" Type="http://schemas.openxmlformats.org/officeDocument/2006/relationships/hyperlink" Target="mailto:HM@6in" TargetMode="External"/><Relationship Id="rId22" Type="http://schemas.openxmlformats.org/officeDocument/2006/relationships/hyperlink" Target="mailto:CF@3ft" TargetMode="External"/><Relationship Id="rId27" Type="http://schemas.openxmlformats.org/officeDocument/2006/relationships/hyperlink" Target="mailto:CF@%202%20ft" TargetMode="External"/><Relationship Id="rId30" Type="http://schemas.openxmlformats.org/officeDocument/2006/relationships/hyperlink" Target="mailto:CF@6in" TargetMode="External"/><Relationship Id="rId35" Type="http://schemas.openxmlformats.org/officeDocument/2006/relationships/hyperlink" Target="mailto:CF@2ft" TargetMode="External"/><Relationship Id="rId43" Type="http://schemas.openxmlformats.org/officeDocument/2006/relationships/hyperlink" Target="mailto:CF@6in" TargetMode="External"/><Relationship Id="rId48" Type="http://schemas.openxmlformats.org/officeDocument/2006/relationships/hyperlink" Target="mailto:CF@6in" TargetMode="External"/><Relationship Id="rId56" Type="http://schemas.openxmlformats.org/officeDocument/2006/relationships/hyperlink" Target="mailto:CF@3ft" TargetMode="External"/><Relationship Id="rId64" Type="http://schemas.openxmlformats.org/officeDocument/2006/relationships/hyperlink" Target="mailto:CF@6in" TargetMode="External"/><Relationship Id="rId69" Type="http://schemas.openxmlformats.org/officeDocument/2006/relationships/hyperlink" Target="mailto:CF@2ft" TargetMode="External"/><Relationship Id="rId8" Type="http://schemas.openxmlformats.org/officeDocument/2006/relationships/hyperlink" Target="mailto:HM@6in" TargetMode="External"/><Relationship Id="rId51" Type="http://schemas.openxmlformats.org/officeDocument/2006/relationships/hyperlink" Target="mailto:CF@2ft" TargetMode="External"/><Relationship Id="rId72" Type="http://schemas.openxmlformats.org/officeDocument/2006/relationships/drawing" Target="../drawings/drawing1.xml"/><Relationship Id="rId3" Type="http://schemas.openxmlformats.org/officeDocument/2006/relationships/hyperlink" Target="mailto:HM@6in" TargetMode="External"/><Relationship Id="rId12" Type="http://schemas.openxmlformats.org/officeDocument/2006/relationships/hyperlink" Target="mailto:HM@6in" TargetMode="External"/><Relationship Id="rId17" Type="http://schemas.openxmlformats.org/officeDocument/2006/relationships/hyperlink" Target="mailto:CF@2ft" TargetMode="External"/><Relationship Id="rId25" Type="http://schemas.openxmlformats.org/officeDocument/2006/relationships/hyperlink" Target="mailto:CF@2ft" TargetMode="External"/><Relationship Id="rId33" Type="http://schemas.openxmlformats.org/officeDocument/2006/relationships/hyperlink" Target="mailto:CF@%202%20ft" TargetMode="External"/><Relationship Id="rId38" Type="http://schemas.openxmlformats.org/officeDocument/2006/relationships/hyperlink" Target="mailto:CF@6in" TargetMode="External"/><Relationship Id="rId46" Type="http://schemas.openxmlformats.org/officeDocument/2006/relationships/hyperlink" Target="mailto:CF@2ft" TargetMode="External"/><Relationship Id="rId59" Type="http://schemas.openxmlformats.org/officeDocument/2006/relationships/hyperlink" Target="mailto:CF@2ft" TargetMode="External"/><Relationship Id="rId67" Type="http://schemas.openxmlformats.org/officeDocument/2006/relationships/hyperlink" Target="mailto:CF@%202%20ft" TargetMode="External"/><Relationship Id="rId20" Type="http://schemas.openxmlformats.org/officeDocument/2006/relationships/hyperlink" Target="mailto:CF@6in" TargetMode="External"/><Relationship Id="rId41" Type="http://schemas.openxmlformats.org/officeDocument/2006/relationships/hyperlink" Target="mailto:CF@6in" TargetMode="External"/><Relationship Id="rId54" Type="http://schemas.openxmlformats.org/officeDocument/2006/relationships/hyperlink" Target="mailto:CF@6in" TargetMode="External"/><Relationship Id="rId62" Type="http://schemas.openxmlformats.org/officeDocument/2006/relationships/hyperlink" Target="mailto:CF@3ft" TargetMode="External"/><Relationship Id="rId70" Type="http://schemas.openxmlformats.org/officeDocument/2006/relationships/hyperlink" Target="mailto:CF@6in"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E141"/>
  <sheetViews>
    <sheetView tabSelected="1" workbookViewId="0">
      <pane xSplit="5265" ySplit="2160" topLeftCell="AA32" activePane="bottomRight"/>
      <selection activeCell="J1" sqref="J1:J1048576"/>
      <selection pane="topRight" activeCell="S1" sqref="S1"/>
      <selection pane="bottomLeft" activeCell="C111" sqref="C111"/>
      <selection pane="bottomRight" activeCell="AD37" sqref="AD37"/>
    </sheetView>
  </sheetViews>
  <sheetFormatPr defaultRowHeight="26.25" customHeight="1" x14ac:dyDescent="0.2"/>
  <cols>
    <col min="1" max="1" width="10.42578125" style="36" customWidth="1"/>
    <col min="2" max="2" width="12" style="36" customWidth="1"/>
    <col min="3" max="3" width="10.28515625" style="36" customWidth="1"/>
    <col min="4" max="4" width="4.5703125" style="34" customWidth="1"/>
    <col min="5" max="5" width="9.140625" style="4" hidden="1" customWidth="1"/>
    <col min="6" max="6" width="10.5703125" style="4" hidden="1" customWidth="1"/>
    <col min="7" max="7" width="9.5703125" style="4" hidden="1" customWidth="1"/>
    <col min="8" max="8" width="9.140625" style="4" hidden="1" customWidth="1"/>
    <col min="9" max="10" width="9.140625" style="4" customWidth="1"/>
    <col min="11" max="11" width="19.85546875" style="77" customWidth="1"/>
    <col min="12" max="12" width="23" style="77" customWidth="1"/>
    <col min="13" max="13" width="27.85546875" style="77" customWidth="1"/>
    <col min="14" max="14" width="22.140625" style="77" customWidth="1"/>
    <col min="15" max="15" width="35.5703125" style="77" customWidth="1"/>
    <col min="16" max="16" width="10.28515625" style="4" customWidth="1"/>
    <col min="17" max="17" width="9.140625" style="4" customWidth="1"/>
    <col min="18" max="18" width="11.42578125" style="4" customWidth="1"/>
    <col min="19" max="19" width="11.42578125" style="67" customWidth="1"/>
    <col min="20" max="20" width="10.28515625" style="138" customWidth="1"/>
    <col min="21" max="22" width="9.140625" style="67" customWidth="1"/>
    <col min="23" max="27" width="9.140625" style="4" customWidth="1"/>
    <col min="28" max="28" width="10.85546875" style="4" customWidth="1"/>
    <col min="29" max="29" width="10.28515625" style="4" customWidth="1"/>
    <col min="30" max="34" width="9.140625" style="4" customWidth="1"/>
    <col min="35" max="36" width="11.7109375" style="4" customWidth="1"/>
    <col min="37" max="37" width="16.140625" style="43" customWidth="1"/>
    <col min="38" max="38" width="10" style="4" customWidth="1"/>
    <col min="39" max="39" width="12.42578125" style="56" customWidth="1"/>
    <col min="40" max="41" width="9.140625" style="67" customWidth="1"/>
    <col min="42" max="55" width="9.140625" style="4" customWidth="1"/>
    <col min="56" max="56" width="15.5703125" style="4" customWidth="1"/>
    <col min="57" max="57" width="11.85546875" style="56" customWidth="1"/>
    <col min="58" max="59" width="9.140625" style="67" customWidth="1"/>
    <col min="60" max="78" width="9.140625" style="4" customWidth="1"/>
    <col min="79" max="79" width="11.42578125" style="4" customWidth="1"/>
    <col min="80" max="80" width="9.140625" style="4" customWidth="1"/>
    <col min="81" max="81" width="15.85546875" style="4" customWidth="1"/>
    <col min="82" max="83" width="9.140625" style="4" customWidth="1"/>
    <col min="84" max="86" width="9.140625" style="4"/>
    <col min="87" max="87" width="9.140625" style="104" customWidth="1"/>
    <col min="88" max="88" width="9.140625" style="94" hidden="1" customWidth="1"/>
    <col min="89" max="89" width="9.140625" style="4" hidden="1" customWidth="1"/>
    <col min="90" max="92" width="9.140625" style="107" customWidth="1"/>
    <col min="93" max="93" width="10.28515625" style="139" customWidth="1"/>
    <col min="94" max="96" width="10.28515625" style="149" customWidth="1"/>
    <col min="97" max="97" width="10" style="152" customWidth="1"/>
    <col min="98" max="98" width="10.5703125" style="107" customWidth="1"/>
    <col min="99" max="99" width="13.85546875" style="156" customWidth="1"/>
    <col min="100" max="100" width="9.140625" customWidth="1"/>
    <col min="101" max="131" width="9.140625" style="4" customWidth="1"/>
    <col min="132" max="132" width="9.140625" style="100" customWidth="1"/>
    <col min="133" max="146" width="9.140625" style="122"/>
    <col min="147" max="147" width="9.140625" style="126"/>
    <col min="148" max="148" width="9.140625" style="94" hidden="1" customWidth="1"/>
    <col min="149" max="155" width="9.140625" style="4" hidden="1" customWidth="1"/>
    <col min="156" max="156" width="6.140625" style="4" hidden="1" customWidth="1"/>
    <col min="157" max="168" width="9.140625" style="4" hidden="1" customWidth="1"/>
    <col min="169" max="169" width="10.140625" style="4" hidden="1" customWidth="1"/>
    <col min="170" max="170" width="9.7109375" style="4" hidden="1" customWidth="1"/>
    <col min="171" max="171" width="9.85546875" style="4" hidden="1" customWidth="1"/>
    <col min="172" max="176" width="9.140625" style="4" hidden="1" customWidth="1"/>
    <col min="177" max="177" width="9.85546875" style="4" hidden="1" customWidth="1"/>
    <col min="178" max="179" width="10.140625" style="4" hidden="1" customWidth="1"/>
    <col min="180" max="180" width="9.140625" style="97" hidden="1" customWidth="1"/>
    <col min="181" max="194" width="9.140625" style="122" hidden="1" customWidth="1"/>
    <col min="195" max="195" width="9.140625" style="131" hidden="1" customWidth="1"/>
    <col min="196" max="196" width="9.140625" style="94" hidden="1" customWidth="1"/>
    <col min="197" max="209" width="9.140625" style="4" hidden="1" customWidth="1"/>
    <col min="210" max="210" width="10.7109375" style="4" hidden="1" customWidth="1"/>
    <col min="211" max="227" width="9.140625" style="4" hidden="1" customWidth="1"/>
    <col min="228" max="228" width="9.140625" style="104" hidden="1" customWidth="1"/>
    <col min="229" max="242" width="9.140625" style="122" customWidth="1"/>
    <col min="243" max="243" width="9.140625" style="133" customWidth="1"/>
    <col min="244" max="244" width="9.140625" style="94"/>
    <col min="245" max="274" width="9.140625" style="4"/>
    <col min="275" max="275" width="9.140625" style="129"/>
    <col min="276" max="276" width="9.140625" style="133"/>
    <col min="277" max="290" width="9.140625" style="122"/>
    <col min="291" max="291" width="9.140625" style="133"/>
    <col min="292" max="292" width="9.140625" style="94"/>
    <col min="293" max="16384" width="9.140625" style="4"/>
  </cols>
  <sheetData>
    <row r="1" spans="1:343" s="43" customFormat="1" ht="95.25" customHeight="1" thickBot="1" x14ac:dyDescent="0.3">
      <c r="A1" s="41" t="s">
        <v>106</v>
      </c>
      <c r="B1" s="41" t="s">
        <v>101</v>
      </c>
      <c r="C1" s="41" t="s">
        <v>100</v>
      </c>
      <c r="D1" s="5" t="s">
        <v>109</v>
      </c>
      <c r="E1" s="52" t="s">
        <v>105</v>
      </c>
      <c r="F1" s="85" t="s">
        <v>103</v>
      </c>
      <c r="G1" s="52" t="s">
        <v>107</v>
      </c>
      <c r="H1" s="52" t="s">
        <v>104</v>
      </c>
      <c r="I1" s="86" t="s">
        <v>68</v>
      </c>
      <c r="J1" s="86" t="s">
        <v>309</v>
      </c>
      <c r="K1" s="87" t="s">
        <v>315</v>
      </c>
      <c r="L1" s="88" t="s">
        <v>316</v>
      </c>
      <c r="M1" s="88" t="s">
        <v>317</v>
      </c>
      <c r="N1" s="88" t="s">
        <v>318</v>
      </c>
      <c r="O1" s="88" t="s">
        <v>319</v>
      </c>
      <c r="P1" s="7" t="s">
        <v>252</v>
      </c>
      <c r="Q1" s="7" t="s">
        <v>253</v>
      </c>
      <c r="R1" s="7" t="s">
        <v>248</v>
      </c>
      <c r="S1" s="71" t="s">
        <v>612</v>
      </c>
      <c r="T1" s="135" t="s">
        <v>607</v>
      </c>
      <c r="U1" s="71" t="s">
        <v>71</v>
      </c>
      <c r="V1" s="71" t="s">
        <v>92</v>
      </c>
      <c r="W1" s="89" t="s">
        <v>93</v>
      </c>
      <c r="X1" s="90" t="s">
        <v>0</v>
      </c>
      <c r="Y1" s="90" t="s">
        <v>64</v>
      </c>
      <c r="Z1" s="14" t="s">
        <v>65</v>
      </c>
      <c r="AA1" s="14" t="s">
        <v>58</v>
      </c>
      <c r="AB1" s="14" t="s">
        <v>273</v>
      </c>
      <c r="AC1" s="14" t="s">
        <v>272</v>
      </c>
      <c r="AD1" s="14" t="s">
        <v>271</v>
      </c>
      <c r="AE1" s="14" t="s">
        <v>59</v>
      </c>
      <c r="AF1" s="14" t="s">
        <v>60</v>
      </c>
      <c r="AG1" s="14" t="s">
        <v>61</v>
      </c>
      <c r="AH1" s="14" t="s">
        <v>62</v>
      </c>
      <c r="AI1" s="14" t="s">
        <v>304</v>
      </c>
      <c r="AJ1" s="14" t="s">
        <v>504</v>
      </c>
      <c r="AK1" s="14" t="s">
        <v>274</v>
      </c>
      <c r="AL1" s="83" t="s">
        <v>503</v>
      </c>
      <c r="AM1" s="21" t="s">
        <v>278</v>
      </c>
      <c r="AN1" s="68" t="s">
        <v>85</v>
      </c>
      <c r="AO1" s="68" t="s">
        <v>73</v>
      </c>
      <c r="AP1" s="91" t="s">
        <v>93</v>
      </c>
      <c r="AQ1" s="20" t="s">
        <v>74</v>
      </c>
      <c r="AR1" s="20" t="s">
        <v>75</v>
      </c>
      <c r="AS1" s="20" t="s">
        <v>76</v>
      </c>
      <c r="AT1" s="20" t="s">
        <v>77</v>
      </c>
      <c r="AU1" s="21" t="s">
        <v>58</v>
      </c>
      <c r="AV1" s="21" t="s">
        <v>242</v>
      </c>
      <c r="AW1" s="21" t="s">
        <v>59</v>
      </c>
      <c r="AX1" s="21" t="s">
        <v>60</v>
      </c>
      <c r="AY1" s="21" t="s">
        <v>61</v>
      </c>
      <c r="AZ1" s="21" t="s">
        <v>62</v>
      </c>
      <c r="BA1" s="21" t="s">
        <v>290</v>
      </c>
      <c r="BB1" s="21" t="s">
        <v>254</v>
      </c>
      <c r="BC1" s="21" t="s">
        <v>303</v>
      </c>
      <c r="BD1" s="65" t="s">
        <v>297</v>
      </c>
      <c r="BE1" s="30" t="s">
        <v>279</v>
      </c>
      <c r="BF1" s="66" t="s">
        <v>84</v>
      </c>
      <c r="BG1" s="66" t="s">
        <v>83</v>
      </c>
      <c r="BH1" s="92" t="s">
        <v>93</v>
      </c>
      <c r="BI1" s="28" t="s">
        <v>89</v>
      </c>
      <c r="BJ1" s="28" t="s">
        <v>70</v>
      </c>
      <c r="BK1" s="28" t="s">
        <v>72</v>
      </c>
      <c r="BL1" s="30" t="s">
        <v>295</v>
      </c>
      <c r="BM1" s="30" t="s">
        <v>58</v>
      </c>
      <c r="BN1" s="30" t="s">
        <v>242</v>
      </c>
      <c r="BO1" s="30" t="s">
        <v>59</v>
      </c>
      <c r="BP1" s="30" t="s">
        <v>60</v>
      </c>
      <c r="BQ1" s="30" t="s">
        <v>61</v>
      </c>
      <c r="BR1" s="30" t="s">
        <v>62</v>
      </c>
      <c r="BS1" s="30" t="s">
        <v>291</v>
      </c>
      <c r="BT1" s="30" t="s">
        <v>491</v>
      </c>
      <c r="BU1" s="30" t="s">
        <v>302</v>
      </c>
      <c r="BV1" s="52" t="s">
        <v>255</v>
      </c>
      <c r="BW1" s="52" t="s">
        <v>493</v>
      </c>
      <c r="BX1" s="52" t="s">
        <v>494</v>
      </c>
      <c r="BY1" s="52" t="s">
        <v>495</v>
      </c>
      <c r="BZ1" s="52" t="s">
        <v>496</v>
      </c>
      <c r="CA1" s="52" t="s">
        <v>280</v>
      </c>
      <c r="CB1" s="52" t="s">
        <v>281</v>
      </c>
      <c r="CC1" s="52" t="s">
        <v>283</v>
      </c>
      <c r="CD1" s="52" t="s">
        <v>284</v>
      </c>
      <c r="CE1" s="52" t="s">
        <v>285</v>
      </c>
      <c r="CF1" s="52" t="s">
        <v>324</v>
      </c>
      <c r="CG1" s="52" t="s">
        <v>492</v>
      </c>
      <c r="CH1" s="52" t="s">
        <v>322</v>
      </c>
      <c r="CI1" s="103" t="s">
        <v>321</v>
      </c>
      <c r="CJ1" s="102" t="s">
        <v>320</v>
      </c>
      <c r="CK1" s="52" t="s">
        <v>323</v>
      </c>
      <c r="CL1" s="118" t="s">
        <v>500</v>
      </c>
      <c r="CM1" s="118" t="s">
        <v>441</v>
      </c>
      <c r="CN1" s="118" t="s">
        <v>488</v>
      </c>
      <c r="CO1" s="140" t="s">
        <v>489</v>
      </c>
      <c r="CP1" s="147" t="s">
        <v>498</v>
      </c>
      <c r="CQ1" s="147" t="s">
        <v>506</v>
      </c>
      <c r="CR1" s="147" t="s">
        <v>490</v>
      </c>
      <c r="CS1" s="151" t="s">
        <v>608</v>
      </c>
      <c r="CT1" s="118" t="s">
        <v>609</v>
      </c>
      <c r="CU1" s="154" t="s">
        <v>610</v>
      </c>
      <c r="CV1" s="93" t="s">
        <v>325</v>
      </c>
      <c r="CW1" s="93" t="s">
        <v>326</v>
      </c>
      <c r="CX1" s="93" t="s">
        <v>327</v>
      </c>
      <c r="CY1" s="93" t="s">
        <v>328</v>
      </c>
      <c r="CZ1" s="93" t="s">
        <v>329</v>
      </c>
      <c r="DA1" s="93" t="s">
        <v>330</v>
      </c>
      <c r="DB1" s="93" t="s">
        <v>331</v>
      </c>
      <c r="DC1" s="93" t="s">
        <v>332</v>
      </c>
      <c r="DD1" s="93" t="s">
        <v>333</v>
      </c>
      <c r="DE1" s="93" t="s">
        <v>334</v>
      </c>
      <c r="DF1" s="93" t="s">
        <v>335</v>
      </c>
      <c r="DG1" s="93" t="s">
        <v>336</v>
      </c>
      <c r="DH1" s="93" t="s">
        <v>337</v>
      </c>
      <c r="DI1" s="93" t="s">
        <v>338</v>
      </c>
      <c r="DJ1" s="93" t="s">
        <v>339</v>
      </c>
      <c r="DK1" s="93" t="s">
        <v>340</v>
      </c>
      <c r="DL1" s="93" t="s">
        <v>341</v>
      </c>
      <c r="DM1" s="93" t="s">
        <v>342</v>
      </c>
      <c r="DN1" s="93" t="s">
        <v>343</v>
      </c>
      <c r="DO1" s="93" t="s">
        <v>344</v>
      </c>
      <c r="DP1" s="93" t="s">
        <v>345</v>
      </c>
      <c r="DQ1" s="93" t="s">
        <v>346</v>
      </c>
      <c r="DR1" s="93" t="s">
        <v>347</v>
      </c>
      <c r="DS1" s="93" t="s">
        <v>348</v>
      </c>
      <c r="DT1" s="93" t="s">
        <v>349</v>
      </c>
      <c r="DU1" s="93" t="s">
        <v>350</v>
      </c>
      <c r="DV1" s="93" t="s">
        <v>351</v>
      </c>
      <c r="DW1" s="93" t="s">
        <v>352</v>
      </c>
      <c r="DX1" s="93" t="s">
        <v>353</v>
      </c>
      <c r="DY1" s="93" t="s">
        <v>354</v>
      </c>
      <c r="DZ1" s="93" t="s">
        <v>355</v>
      </c>
      <c r="EA1" s="93" t="s">
        <v>356</v>
      </c>
      <c r="EB1" s="99" t="s">
        <v>357</v>
      </c>
      <c r="EC1" s="121" t="s">
        <v>444</v>
      </c>
      <c r="ED1" s="121" t="s">
        <v>445</v>
      </c>
      <c r="EE1" s="121" t="s">
        <v>446</v>
      </c>
      <c r="EF1" s="121" t="s">
        <v>447</v>
      </c>
      <c r="EG1" s="121" t="s">
        <v>448</v>
      </c>
      <c r="EH1" s="121" t="s">
        <v>449</v>
      </c>
      <c r="EI1" s="121" t="s">
        <v>450</v>
      </c>
      <c r="EJ1" s="121" t="s">
        <v>451</v>
      </c>
      <c r="EK1" s="121" t="s">
        <v>452</v>
      </c>
      <c r="EL1" s="121" t="s">
        <v>453</v>
      </c>
      <c r="EM1" s="121" t="s">
        <v>454</v>
      </c>
      <c r="EN1" s="121" t="s">
        <v>455</v>
      </c>
      <c r="EO1" s="121" t="s">
        <v>456</v>
      </c>
      <c r="EP1" s="121" t="s">
        <v>457</v>
      </c>
      <c r="EQ1" s="125" t="s">
        <v>458</v>
      </c>
      <c r="ER1" s="93" t="s">
        <v>358</v>
      </c>
      <c r="ES1" s="93" t="s">
        <v>359</v>
      </c>
      <c r="ET1" s="93" t="s">
        <v>360</v>
      </c>
      <c r="EU1" s="93" t="s">
        <v>361</v>
      </c>
      <c r="EV1" s="93" t="s">
        <v>362</v>
      </c>
      <c r="EW1" s="93" t="s">
        <v>363</v>
      </c>
      <c r="EX1" s="93" t="s">
        <v>364</v>
      </c>
      <c r="EY1" s="93" t="s">
        <v>365</v>
      </c>
      <c r="EZ1" s="93" t="s">
        <v>366</v>
      </c>
      <c r="FA1" s="93" t="s">
        <v>367</v>
      </c>
      <c r="FB1" s="93" t="s">
        <v>368</v>
      </c>
      <c r="FC1" s="93" t="s">
        <v>369</v>
      </c>
      <c r="FD1" s="93" t="s">
        <v>370</v>
      </c>
      <c r="FE1" s="93" t="s">
        <v>371</v>
      </c>
      <c r="FF1" s="93" t="s">
        <v>372</v>
      </c>
      <c r="FG1" s="93" t="s">
        <v>373</v>
      </c>
      <c r="FH1" s="93" t="s">
        <v>374</v>
      </c>
      <c r="FI1" s="93" t="s">
        <v>375</v>
      </c>
      <c r="FJ1" s="93" t="s">
        <v>376</v>
      </c>
      <c r="FK1" s="93" t="s">
        <v>377</v>
      </c>
      <c r="FL1" s="93" t="s">
        <v>378</v>
      </c>
      <c r="FM1" s="93" t="s">
        <v>379</v>
      </c>
      <c r="FN1" s="93" t="s">
        <v>380</v>
      </c>
      <c r="FO1" s="93" t="s">
        <v>381</v>
      </c>
      <c r="FP1" s="93" t="s">
        <v>382</v>
      </c>
      <c r="FQ1" s="93" t="s">
        <v>383</v>
      </c>
      <c r="FR1" s="93" t="s">
        <v>384</v>
      </c>
      <c r="FS1" s="93" t="s">
        <v>385</v>
      </c>
      <c r="FT1" s="93" t="s">
        <v>386</v>
      </c>
      <c r="FU1" s="93" t="s">
        <v>387</v>
      </c>
      <c r="FV1" s="93" t="s">
        <v>388</v>
      </c>
      <c r="FW1" s="93" t="s">
        <v>389</v>
      </c>
      <c r="FX1" s="96" t="s">
        <v>390</v>
      </c>
      <c r="FY1" s="121" t="s">
        <v>459</v>
      </c>
      <c r="FZ1" s="121" t="s">
        <v>460</v>
      </c>
      <c r="GA1" s="121" t="s">
        <v>611</v>
      </c>
      <c r="GB1" s="121" t="s">
        <v>461</v>
      </c>
      <c r="GC1" s="121" t="s">
        <v>462</v>
      </c>
      <c r="GD1" s="121" t="s">
        <v>463</v>
      </c>
      <c r="GE1" s="121" t="s">
        <v>464</v>
      </c>
      <c r="GF1" s="121" t="s">
        <v>465</v>
      </c>
      <c r="GG1" s="121" t="s">
        <v>466</v>
      </c>
      <c r="GH1" s="121" t="s">
        <v>467</v>
      </c>
      <c r="GI1" s="121" t="s">
        <v>468</v>
      </c>
      <c r="GJ1" s="121" t="s">
        <v>469</v>
      </c>
      <c r="GK1" s="121" t="s">
        <v>470</v>
      </c>
      <c r="GL1" s="121" t="s">
        <v>471</v>
      </c>
      <c r="GM1" s="130" t="s">
        <v>472</v>
      </c>
      <c r="GN1" s="93" t="s">
        <v>391</v>
      </c>
      <c r="GO1" s="93" t="s">
        <v>392</v>
      </c>
      <c r="GP1" s="93" t="s">
        <v>393</v>
      </c>
      <c r="GQ1" s="93" t="s">
        <v>394</v>
      </c>
      <c r="GR1" s="93" t="s">
        <v>395</v>
      </c>
      <c r="GS1" s="93" t="s">
        <v>396</v>
      </c>
      <c r="GT1" s="93" t="s">
        <v>397</v>
      </c>
      <c r="GU1" s="93" t="s">
        <v>398</v>
      </c>
      <c r="GV1" s="93" t="s">
        <v>399</v>
      </c>
      <c r="GW1" s="93" t="s">
        <v>400</v>
      </c>
      <c r="GX1" s="93" t="s">
        <v>401</v>
      </c>
      <c r="GY1" s="93" t="s">
        <v>402</v>
      </c>
      <c r="GZ1" s="93" t="s">
        <v>403</v>
      </c>
      <c r="HA1" s="93" t="s">
        <v>404</v>
      </c>
      <c r="HB1" s="93" t="s">
        <v>405</v>
      </c>
      <c r="HC1" s="93" t="s">
        <v>406</v>
      </c>
      <c r="HD1" s="93" t="s">
        <v>407</v>
      </c>
      <c r="HE1" s="93" t="s">
        <v>408</v>
      </c>
      <c r="HF1" s="93" t="s">
        <v>409</v>
      </c>
      <c r="HG1" s="93" t="s">
        <v>410</v>
      </c>
      <c r="HH1" s="93" t="s">
        <v>411</v>
      </c>
      <c r="HI1" s="93" t="s">
        <v>412</v>
      </c>
      <c r="HJ1" s="93" t="s">
        <v>413</v>
      </c>
      <c r="HK1" s="93" t="s">
        <v>414</v>
      </c>
      <c r="HL1" s="93" t="s">
        <v>415</v>
      </c>
      <c r="HM1" s="93" t="s">
        <v>416</v>
      </c>
      <c r="HN1" s="93" t="s">
        <v>417</v>
      </c>
      <c r="HO1" s="93" t="s">
        <v>418</v>
      </c>
      <c r="HP1" s="93" t="s">
        <v>419</v>
      </c>
      <c r="HQ1" s="93" t="s">
        <v>420</v>
      </c>
      <c r="HR1" s="93" t="s">
        <v>421</v>
      </c>
      <c r="HS1" s="93" t="s">
        <v>422</v>
      </c>
      <c r="HT1" s="105" t="s">
        <v>423</v>
      </c>
      <c r="HU1" s="121" t="s">
        <v>473</v>
      </c>
      <c r="HV1" s="121" t="s">
        <v>474</v>
      </c>
      <c r="HW1" s="121" t="s">
        <v>475</v>
      </c>
      <c r="HX1" s="121" t="s">
        <v>476</v>
      </c>
      <c r="HY1" s="121" t="s">
        <v>477</v>
      </c>
      <c r="HZ1" s="121" t="s">
        <v>478</v>
      </c>
      <c r="IA1" s="121" t="s">
        <v>479</v>
      </c>
      <c r="IB1" s="121" t="s">
        <v>480</v>
      </c>
      <c r="IC1" s="121" t="s">
        <v>481</v>
      </c>
      <c r="ID1" s="121" t="s">
        <v>482</v>
      </c>
      <c r="IE1" s="121" t="s">
        <v>483</v>
      </c>
      <c r="IF1" s="121" t="s">
        <v>484</v>
      </c>
      <c r="IG1" s="121" t="s">
        <v>485</v>
      </c>
      <c r="IH1" s="121" t="s">
        <v>486</v>
      </c>
      <c r="II1" s="96" t="s">
        <v>487</v>
      </c>
      <c r="IJ1" s="93" t="s">
        <v>507</v>
      </c>
      <c r="IK1" s="93" t="s">
        <v>508</v>
      </c>
      <c r="IL1" s="93" t="s">
        <v>509</v>
      </c>
      <c r="IM1" s="93" t="s">
        <v>510</v>
      </c>
      <c r="IN1" s="93" t="s">
        <v>511</v>
      </c>
      <c r="IO1" s="93" t="s">
        <v>512</v>
      </c>
      <c r="IP1" s="93" t="s">
        <v>513</v>
      </c>
      <c r="IQ1" s="93" t="s">
        <v>514</v>
      </c>
      <c r="IR1" s="93" t="s">
        <v>515</v>
      </c>
      <c r="IS1" s="93" t="s">
        <v>516</v>
      </c>
      <c r="IT1" s="93" t="s">
        <v>517</v>
      </c>
      <c r="IU1" s="93" t="s">
        <v>518</v>
      </c>
      <c r="IV1" s="93" t="s">
        <v>519</v>
      </c>
      <c r="IW1" s="93" t="s">
        <v>520</v>
      </c>
      <c r="IX1" s="93" t="s">
        <v>521</v>
      </c>
      <c r="IY1" s="93" t="s">
        <v>522</v>
      </c>
      <c r="IZ1" s="93" t="s">
        <v>523</v>
      </c>
      <c r="JA1" s="93" t="s">
        <v>524</v>
      </c>
      <c r="JB1" s="93" t="s">
        <v>525</v>
      </c>
      <c r="JC1" s="93" t="s">
        <v>526</v>
      </c>
      <c r="JD1" s="93" t="s">
        <v>527</v>
      </c>
      <c r="JE1" s="93" t="s">
        <v>528</v>
      </c>
      <c r="JF1" s="93" t="s">
        <v>529</v>
      </c>
      <c r="JG1" s="93" t="s">
        <v>530</v>
      </c>
      <c r="JH1" s="93" t="s">
        <v>531</v>
      </c>
      <c r="JI1" s="93" t="s">
        <v>532</v>
      </c>
      <c r="JJ1" s="93" t="s">
        <v>533</v>
      </c>
      <c r="JK1" s="93" t="s">
        <v>534</v>
      </c>
      <c r="JL1" s="93" t="s">
        <v>535</v>
      </c>
      <c r="JM1" s="93" t="s">
        <v>536</v>
      </c>
      <c r="JN1" s="93" t="s">
        <v>537</v>
      </c>
      <c r="JO1" s="93" t="s">
        <v>538</v>
      </c>
      <c r="JP1" s="96" t="s">
        <v>539</v>
      </c>
      <c r="JQ1" s="121" t="s">
        <v>540</v>
      </c>
      <c r="JR1" s="121" t="s">
        <v>541</v>
      </c>
      <c r="JS1" s="121" t="s">
        <v>542</v>
      </c>
      <c r="JT1" s="121" t="s">
        <v>543</v>
      </c>
      <c r="JU1" s="121" t="s">
        <v>544</v>
      </c>
      <c r="JV1" s="121" t="s">
        <v>545</v>
      </c>
      <c r="JW1" s="121" t="s">
        <v>546</v>
      </c>
      <c r="JX1" s="121" t="s">
        <v>547</v>
      </c>
      <c r="JY1" s="121" t="s">
        <v>548</v>
      </c>
      <c r="JZ1" s="121" t="s">
        <v>549</v>
      </c>
      <c r="KA1" s="121" t="s">
        <v>550</v>
      </c>
      <c r="KB1" s="121" t="s">
        <v>551</v>
      </c>
      <c r="KC1" s="121" t="s">
        <v>552</v>
      </c>
      <c r="KD1" s="121" t="s">
        <v>553</v>
      </c>
      <c r="KE1" s="96" t="s">
        <v>554</v>
      </c>
      <c r="KF1" s="93" t="s">
        <v>555</v>
      </c>
      <c r="KG1" s="93" t="s">
        <v>556</v>
      </c>
      <c r="KH1" s="93" t="s">
        <v>557</v>
      </c>
      <c r="KI1" s="93" t="s">
        <v>558</v>
      </c>
      <c r="KJ1" s="93" t="s">
        <v>559</v>
      </c>
      <c r="KK1" s="93" t="s">
        <v>560</v>
      </c>
      <c r="KL1" s="93" t="s">
        <v>561</v>
      </c>
      <c r="KM1" s="93" t="s">
        <v>562</v>
      </c>
      <c r="KN1" s="93" t="s">
        <v>563</v>
      </c>
      <c r="KO1" s="93" t="s">
        <v>564</v>
      </c>
      <c r="KP1" s="93" t="s">
        <v>565</v>
      </c>
      <c r="KQ1" s="93" t="s">
        <v>566</v>
      </c>
      <c r="KR1" s="93" t="s">
        <v>567</v>
      </c>
      <c r="KS1" s="93" t="s">
        <v>568</v>
      </c>
      <c r="KT1" s="93" t="s">
        <v>569</v>
      </c>
      <c r="KU1" s="93" t="s">
        <v>570</v>
      </c>
      <c r="KV1" s="93" t="s">
        <v>571</v>
      </c>
      <c r="KW1" s="93" t="s">
        <v>572</v>
      </c>
      <c r="KX1" s="93" t="s">
        <v>573</v>
      </c>
      <c r="KY1" s="93" t="s">
        <v>574</v>
      </c>
      <c r="KZ1" s="93" t="s">
        <v>575</v>
      </c>
      <c r="LA1" s="93" t="s">
        <v>576</v>
      </c>
      <c r="LB1" s="93" t="s">
        <v>577</v>
      </c>
      <c r="LC1" s="93" t="s">
        <v>578</v>
      </c>
      <c r="LD1" s="93" t="s">
        <v>579</v>
      </c>
      <c r="LE1" s="93" t="s">
        <v>580</v>
      </c>
      <c r="LF1" s="93" t="s">
        <v>581</v>
      </c>
      <c r="LG1" s="93" t="s">
        <v>582</v>
      </c>
      <c r="LH1" s="93" t="s">
        <v>583</v>
      </c>
      <c r="LI1" s="93" t="s">
        <v>584</v>
      </c>
      <c r="LJ1" s="93" t="s">
        <v>585</v>
      </c>
      <c r="LK1" s="93" t="s">
        <v>586</v>
      </c>
      <c r="LL1" s="93" t="s">
        <v>587</v>
      </c>
      <c r="LM1" s="93" t="s">
        <v>588</v>
      </c>
      <c r="LN1" s="93" t="s">
        <v>589</v>
      </c>
      <c r="LO1" s="93" t="s">
        <v>590</v>
      </c>
      <c r="LP1" s="93" t="s">
        <v>591</v>
      </c>
      <c r="LQ1" s="93" t="s">
        <v>592</v>
      </c>
      <c r="LR1" s="93" t="s">
        <v>593</v>
      </c>
      <c r="LS1" s="93" t="s">
        <v>594</v>
      </c>
      <c r="LT1" s="93" t="s">
        <v>595</v>
      </c>
      <c r="LU1" s="93" t="s">
        <v>596</v>
      </c>
      <c r="LV1" s="93" t="s">
        <v>597</v>
      </c>
      <c r="LW1" s="93" t="s">
        <v>598</v>
      </c>
      <c r="LX1" s="93" t="s">
        <v>599</v>
      </c>
      <c r="LY1" s="93" t="s">
        <v>600</v>
      </c>
      <c r="LZ1" s="93" t="s">
        <v>601</v>
      </c>
      <c r="MA1" s="93" t="s">
        <v>602</v>
      </c>
      <c r="MB1" s="43" t="s">
        <v>603</v>
      </c>
      <c r="MC1" s="43" t="s">
        <v>604</v>
      </c>
      <c r="MD1" s="43" t="s">
        <v>605</v>
      </c>
      <c r="ME1" s="43" t="s">
        <v>606</v>
      </c>
    </row>
    <row r="2" spans="1:343" ht="26.25" customHeight="1" thickBot="1" x14ac:dyDescent="0.25">
      <c r="A2" s="35">
        <v>41150</v>
      </c>
      <c r="B2" s="36" t="s">
        <v>157</v>
      </c>
      <c r="C2" s="36" t="s">
        <v>4</v>
      </c>
      <c r="D2" s="31" t="s">
        <v>111</v>
      </c>
      <c r="E2" s="4">
        <v>90</v>
      </c>
      <c r="F2" s="3">
        <v>8164</v>
      </c>
      <c r="G2" s="4" t="s">
        <v>87</v>
      </c>
      <c r="H2" s="4" t="s">
        <v>108</v>
      </c>
      <c r="I2" s="4">
        <v>1823726</v>
      </c>
      <c r="J2" s="4" t="s">
        <v>310</v>
      </c>
      <c r="K2" s="80"/>
      <c r="L2" s="81"/>
      <c r="M2" s="81"/>
      <c r="N2" s="81"/>
      <c r="O2" s="81"/>
      <c r="P2" s="4">
        <v>-2</v>
      </c>
      <c r="Q2" s="4">
        <v>-2.0699999999999998</v>
      </c>
      <c r="R2" s="4" t="s">
        <v>249</v>
      </c>
      <c r="S2" s="67">
        <v>22.25</v>
      </c>
      <c r="T2" s="136">
        <v>41148</v>
      </c>
      <c r="U2" s="67">
        <v>1.75</v>
      </c>
      <c r="V2" s="67">
        <v>0.5</v>
      </c>
      <c r="W2" s="4">
        <v>172</v>
      </c>
      <c r="X2" s="4">
        <v>40</v>
      </c>
      <c r="Y2" s="4">
        <v>17</v>
      </c>
      <c r="Z2" s="4">
        <v>630</v>
      </c>
      <c r="AA2" s="4">
        <v>22.5</v>
      </c>
      <c r="AB2" s="4">
        <v>12</v>
      </c>
      <c r="AC2" s="4">
        <v>4.92</v>
      </c>
      <c r="AD2" s="4">
        <v>3.22</v>
      </c>
      <c r="AE2" s="4">
        <v>44</v>
      </c>
      <c r="AF2" s="4">
        <v>78</v>
      </c>
      <c r="AG2" s="4">
        <v>45</v>
      </c>
      <c r="AH2" s="4">
        <v>168</v>
      </c>
      <c r="AI2" s="4">
        <v>0</v>
      </c>
      <c r="AJ2" s="4" t="b">
        <f t="shared" ref="AJ2:AJ33" si="0">IF(AND(ISNUMBER(SK),SK&gt;0),TRUE,FALSE)</f>
        <v>0</v>
      </c>
      <c r="AL2" s="4" t="s">
        <v>78</v>
      </c>
      <c r="BA2" s="4" t="str">
        <f t="shared" ref="BA2:BA33" si="1">IF(ISNUMBER(AN2),AN2+0.5*AO2,"")</f>
        <v/>
      </c>
      <c r="BB2" s="4" t="str">
        <f t="shared" ref="BB2:BB33" si="2">IF(ISNUMBER(BA2),IF(ISNUMBER(Q2),BA2-Q2,"MISSING"),"")</f>
        <v/>
      </c>
      <c r="BC2" s="4" t="str">
        <f t="shared" ref="BC2:BC33" si="3">IF(AND(ISNUMBER(AS2),ISNUMBER(Z2)),AS2-Z2,IF(ISNUMBER(AS2),"MISSING",""))</f>
        <v/>
      </c>
      <c r="BD2" s="51" t="s">
        <v>505</v>
      </c>
      <c r="BE2" s="59"/>
      <c r="BS2" s="4" t="str">
        <f t="shared" ref="BS2:BS33" si="4">IF(ISNUMBER(BF2),BF2+0.5*BG2,"")</f>
        <v/>
      </c>
      <c r="BT2" s="4" t="str">
        <f t="shared" ref="BT2:BT33" si="5">IF(ISNUMBER(BS2),IF(ISNUMBER($Q2),BS2-$Q2,"MISSING"),"")</f>
        <v/>
      </c>
      <c r="BU2" s="4" t="str">
        <f t="shared" ref="BU2:BU33" si="6">IF(AND(ISNUMBER(BK2),ISNUMBER($Z2)),BK2-$Z2,IF(ISNUMBER(BK2),"MISSING",""))</f>
        <v/>
      </c>
      <c r="BV2" s="4">
        <f t="shared" ref="BV2:BV33" si="7">IF(AND(ISBLANK($AN2),ISBLANK($BF2)),0,1)</f>
        <v>0</v>
      </c>
      <c r="BW2" s="4">
        <f t="shared" ref="BW2:BW33" si="8">IF(AND(ISNUMBER($AN2),ISNUMBER($BF2)),1,0)</f>
        <v>0</v>
      </c>
      <c r="BX2" s="4" t="str">
        <f t="shared" ref="BX2:BX33" si="9">IF(BW2,SE_PREOP,"")</f>
        <v/>
      </c>
      <c r="BY2" s="4" t="str">
        <f t="shared" ref="BY2:BY33" si="10">IF(FU_6_AND_12,SE_6,"")</f>
        <v/>
      </c>
      <c r="BZ2" s="4" t="str">
        <f t="shared" ref="BZ2:BZ33" si="11">IF(FU_6_AND_12,SE_12,"")</f>
        <v/>
      </c>
      <c r="CA2" s="53">
        <f t="shared" ref="CA2:CA33" si="12">IF(AND(ISNUMBER(BD2),ISNUMBER(BF2)),BD2-A2,IF(ISNUMBER(AL2),AL2-A2,0))</f>
        <v>0</v>
      </c>
      <c r="CB2" s="55" t="str">
        <f t="shared" ref="CB2:CB33" si="13">IF(CA2&gt;0,CA2/30,"")</f>
        <v/>
      </c>
      <c r="CC2" s="4" t="str">
        <f t="shared" ref="CC2:CC33" si="14">IF(AND(ISNUMBER(BA2),ISNUMBER(BS2)),(BS2-BA2),"")</f>
        <v/>
      </c>
      <c r="CD2" s="4" t="str">
        <f t="shared" ref="CD2:CD33" si="15">IF(AND(ISNUMBER(AY2), ISNUMBER(AE2)), AVERAGE(AY2,AW2)-AVERAGE(AE2,AG2),"")</f>
        <v/>
      </c>
      <c r="CE2" s="4" t="str">
        <f t="shared" ref="CE2:CE33" si="16">IF(AND(ISNUMBER(BO2), ISNUMBER(AE2)), AVERAGE(BO2,BQ2)-AVERAGE(AE2,AG2),"")</f>
        <v/>
      </c>
      <c r="CF2" s="4" t="str">
        <f t="shared" ref="CF2:CF33" si="17">IF(ISNUMBER(CE2),CE2,IF(ISNUMBER(CD2),CD2,""))</f>
        <v/>
      </c>
      <c r="CG2" s="4" t="str">
        <f t="shared" ref="CG2:CG31" si="18">IF(AND(ISNUMBER(SPH_PREOP),ISNUMBER(SE_LAST_)),SPH_PREOP+CYL_PREOP/2,"")</f>
        <v/>
      </c>
      <c r="CH2" s="4" t="str">
        <f t="shared" ref="CH2:CH33" si="19">IF(ISNUMBER(SE_12),SE_12,IF(ISNUMBER(SE_6),SE_6,""))</f>
        <v/>
      </c>
      <c r="CI2" s="104" t="str">
        <f t="shared" ref="CI2:CI33" si="20">IF(AND(ISNUMBER(SE_LAST_),ISNUMBER(REF_TARGET)),SE_LAST_-REF_TARGET,"")</f>
        <v/>
      </c>
      <c r="CJ2" s="94" t="str">
        <f t="shared" ref="CJ2:CJ33" si="21">IF(ISNUMBER(Z2),IF(ISNUMBER(BK2),BK2-Z2,IF(ISNUMBER(AS2),AS2-Z2,"")),"")</f>
        <v/>
      </c>
      <c r="CK2" s="4" t="str">
        <f t="shared" ref="CK2:CK33" si="22">IF(ISNUMBER(AA2),IF(ISNUMBER(AU2),AU2-AA2,IF(ISNUMBER(BM2),BM2-AA2,"")),"")</f>
        <v/>
      </c>
      <c r="CL2" s="107" t="str">
        <f t="shared" ref="CL2:CL33" si="23">IF(ISNUMBER(LAST_SE_ERROR),REF_TARGET,"")</f>
        <v/>
      </c>
      <c r="CM2" s="107" t="str">
        <f t="shared" ref="CM2:CM36" si="24">IF(AND(OR(ISNUMBER(BI2),ISNUMBER(AQ2)),ISNUMBER(X2)),-LOG(20/X2)--LOG(20/IF(ISNUMBER(BI2),BI2,AQ2)),"")</f>
        <v/>
      </c>
      <c r="CN2" s="139" t="str">
        <f t="shared" ref="CN2:CN33" si="25">IF(ISNUMBER(BG2),BG2,IF(ISNUMBER(AO2),AO2,""))</f>
        <v/>
      </c>
      <c r="CO2" s="139" t="str">
        <f t="shared" ref="CO2:CO33" si="26">IF(AND(ISNUMBER(CN2),ISNUMBER(V2)),CN2-V2,"")</f>
        <v/>
      </c>
      <c r="CP2" s="149" t="str">
        <f t="shared" ref="CP2:CP33" si="27">IF(ISNUMBER(BCVA_12),BCVA_12,IF(ISNUMBER(BCVA_6),BCVA_6,""))</f>
        <v/>
      </c>
      <c r="CQ2" s="149" t="str">
        <f t="shared" ref="CQ2:CQ33" si="28">IF(ISNUMBER(CP2),PREOP_BCVA,"")</f>
        <v/>
      </c>
      <c r="CR2" s="148" t="str">
        <f t="shared" ref="CR2:CR33" si="29">IF(AND(REF_TARGET&lt;=0,REF_TARGET&gt;-1),IF(ISNUMBER(UDVA_12),UDVA_12,IF(ISNUMBER(UDVA_6),UDVA_6,"")),"")</f>
        <v/>
      </c>
      <c r="CS2" s="152" t="str">
        <f t="shared" ref="CS2:CS33" si="30">IF(ISNUMBER(PREOP_PENTACAM_RV),IF(ISNUMBER(SPH_6),IF(ISNUMBER($ER2),0,1),""),"")</f>
        <v/>
      </c>
      <c r="CT2" s="107" t="str">
        <f t="shared" ref="CT2:CT33" si="31">IF(ISNUMBER(PREOP_PENTACAM_RV),IF(ISNUMBER(SPH_12),IF(ISNUMBER($GN2),0,1),""),"")</f>
        <v/>
      </c>
      <c r="CU2" s="155" t="str">
        <f t="shared" ref="CU2:CU33" si="32">IF(OR(ISNUMBER(MISSING_PENT_6),ISNUMBER(MISSING_PENT_12)),IF(AND(ISNUMBER(MISSING_PENT_6),ISNUMBER(MISSING_PENT_12)),AND(MISSING_PENT_6,MISSING_PENT_12),IF(ISNUMBER(MISSING_PENT_6),INT(MISSING_PENT_6)&gt;0,INT(MISSING_PENT_12)&gt;0)),"")</f>
        <v/>
      </c>
      <c r="IJ2" s="94" t="str">
        <f t="shared" ref="IJ2:IJ33" si="33">IF(ISNUMBER(GN2),GN2,IF(ISNUMBER(ER2),ER2,""))</f>
        <v/>
      </c>
      <c r="IK2" s="4" t="str">
        <f t="shared" ref="IK2:IK33" si="34">IF(ISNUMBER(GO2),GO2,IF(ISNUMBER(ES2),ES2,""))</f>
        <v/>
      </c>
      <c r="IL2" s="4" t="str">
        <f t="shared" ref="IL2:IL33" si="35">IF(ISNUMBER(GP2),GP2,IF(ISNUMBER(ET2),ET2,""))</f>
        <v/>
      </c>
      <c r="IM2" s="4" t="str">
        <f t="shared" ref="IM2:IM33" si="36">IF(ISNUMBER(GQ2),GQ2,IF(ISNUMBER(EU2),EU2,""))</f>
        <v/>
      </c>
      <c r="IN2" s="4" t="str">
        <f t="shared" ref="IN2:IN33" si="37">IF(ISNUMBER(GR2),GR2,IF(ISNUMBER(EV2),EV2,""))</f>
        <v/>
      </c>
      <c r="IO2" s="4" t="str">
        <f t="shared" ref="IO2:IO33" si="38">IF(ISNUMBER(GS2),GS2,IF(ISNUMBER(EW2),EW2,""))</f>
        <v/>
      </c>
      <c r="IP2" s="4" t="str">
        <f t="shared" ref="IP2:IP33" si="39">IF(ISNUMBER(GT2),GT2,IF(ISNUMBER(EX2),EX2,""))</f>
        <v/>
      </c>
      <c r="IQ2" s="4" t="str">
        <f t="shared" ref="IQ2:IQ33" si="40">IF(ISNUMBER(GU2),GU2,IF(ISNUMBER(EY2),EY2,""))</f>
        <v/>
      </c>
      <c r="IR2" s="4" t="str">
        <f t="shared" ref="IR2:IR33" si="41">IF(ISNUMBER(GV2),GV2,IF(ISNUMBER(EZ2),EZ2,""))</f>
        <v/>
      </c>
      <c r="IS2" s="4" t="str">
        <f t="shared" ref="IS2:IS33" si="42">IF(ISNUMBER(GW2),GW2,IF(ISNUMBER(FA2),FA2,""))</f>
        <v/>
      </c>
      <c r="IT2" s="4" t="str">
        <f t="shared" ref="IT2:IT33" si="43">IF(ISNUMBER(GX2),GX2,IF(ISNUMBER(FB2),FB2,""))</f>
        <v/>
      </c>
      <c r="IU2" s="4" t="str">
        <f t="shared" ref="IU2:IU33" si="44">IF(ISNUMBER(GY2),GY2,IF(ISNUMBER(FC2),FC2,""))</f>
        <v/>
      </c>
      <c r="IV2" s="4" t="str">
        <f t="shared" ref="IV2:IV33" si="45">IF(ISNUMBER(GZ2),GZ2,IF(ISNUMBER(FD2),FD2,""))</f>
        <v/>
      </c>
      <c r="IW2" s="4" t="str">
        <f t="shared" ref="IW2:IW33" si="46">IF(ISNUMBER(HA2),HA2,IF(ISNUMBER(FE2),FE2,""))</f>
        <v/>
      </c>
      <c r="IX2" s="4" t="str">
        <f t="shared" ref="IX2:IX33" si="47">IF(ISNUMBER(HB2),HB2,IF(ISNUMBER(FF2),FF2,""))</f>
        <v/>
      </c>
      <c r="IY2" s="4" t="str">
        <f t="shared" ref="IY2:IY33" si="48">IF(ISNUMBER(HC2),HC2,IF(ISNUMBER(FG2),FG2,""))</f>
        <v/>
      </c>
      <c r="IZ2" s="4" t="str">
        <f t="shared" ref="IZ2:IZ33" si="49">IF(ISNUMBER(HD2),HD2,IF(ISNUMBER(FH2),FH2,""))</f>
        <v/>
      </c>
      <c r="JA2" s="4" t="str">
        <f t="shared" ref="JA2:JA33" si="50">IF(ISNUMBER(HE2),HE2,IF(ISNUMBER(FI2),FI2,""))</f>
        <v/>
      </c>
      <c r="JB2" s="4" t="str">
        <f t="shared" ref="JB2:JB33" si="51">IF(ISNUMBER(HF2),HF2,IF(ISNUMBER(FJ2),FJ2,""))</f>
        <v/>
      </c>
      <c r="JC2" s="4" t="str">
        <f t="shared" ref="JC2:JC33" si="52">IF(ISNUMBER(HG2),HG2,IF(ISNUMBER(FK2),FK2,""))</f>
        <v/>
      </c>
      <c r="JD2" s="4" t="str">
        <f t="shared" ref="JD2:JD33" si="53">IF(ISNUMBER(HH2),HH2,IF(ISNUMBER(FL2),FL2,""))</f>
        <v/>
      </c>
      <c r="JE2" s="4" t="str">
        <f t="shared" ref="JE2:JE33" si="54">IF(ISNUMBER(HI2),HI2,IF(ISNUMBER(FM2),FM2,""))</f>
        <v/>
      </c>
      <c r="JF2" s="4" t="str">
        <f t="shared" ref="JF2:JF33" si="55">IF(ISNUMBER(HJ2),HJ2,IF(ISNUMBER(FN2),FN2,""))</f>
        <v/>
      </c>
      <c r="JG2" s="4" t="str">
        <f t="shared" ref="JG2:JG33" si="56">IF(ISNUMBER(HK2),HK2,IF(ISNUMBER(FO2),FO2,""))</f>
        <v/>
      </c>
      <c r="JH2" s="4" t="str">
        <f t="shared" ref="JH2:JH33" si="57">IF(ISNUMBER(HL2),HL2,IF(ISNUMBER(FP2),FP2,""))</f>
        <v/>
      </c>
      <c r="JI2" s="4" t="str">
        <f t="shared" ref="JI2:JI33" si="58">IF(ISNUMBER(HM2),HM2,IF(ISNUMBER(FQ2),FQ2,""))</f>
        <v/>
      </c>
      <c r="JJ2" s="4" t="str">
        <f t="shared" ref="JJ2:JJ33" si="59">IF(ISNUMBER(HN2),HN2,IF(ISNUMBER(FR2),FR2,""))</f>
        <v/>
      </c>
      <c r="JK2" s="4" t="str">
        <f t="shared" ref="JK2:JK33" si="60">IF(ISNUMBER(HO2),HO2,IF(ISNUMBER(FS2),FS2,""))</f>
        <v/>
      </c>
      <c r="JL2" s="4" t="str">
        <f t="shared" ref="JL2:JL33" si="61">IF(ISNUMBER(HP2),HP2,IF(ISNUMBER(FT2),FT2,""))</f>
        <v/>
      </c>
      <c r="JM2" s="4" t="str">
        <f t="shared" ref="JM2:JM33" si="62">IF(ISNUMBER(HQ2),HQ2,IF(ISNUMBER(FU2),FU2,""))</f>
        <v/>
      </c>
      <c r="JN2" s="4" t="str">
        <f t="shared" ref="JN2:JN33" si="63">IF(ISNUMBER(HR2),HR2,IF(ISNUMBER(FV2),FV2,""))</f>
        <v/>
      </c>
      <c r="JO2" s="129" t="str">
        <f t="shared" ref="JO2:JO33" si="64">IF(ISNUMBER(HS2),HS2,IF(ISNUMBER(FW2),FW2,""))</f>
        <v/>
      </c>
      <c r="JP2" s="122" t="str">
        <f t="shared" ref="JP2:JP33" si="65">IF(ISNUMBER(HT2),HT2,IF(ISNUMBER(FX2),FX2,""))</f>
        <v/>
      </c>
      <c r="JQ2" s="122" t="str">
        <f t="shared" ref="JQ2:JQ33" si="66">IF(ISNUMBER(HU2),HU2,IF(ISNUMBER(FY2),FY2,""))</f>
        <v/>
      </c>
      <c r="JR2" s="122" t="str">
        <f t="shared" ref="JR2:JR33" si="67">IF(ISNUMBER(HV2),HV2,IF(ISNUMBER(FZ2),FZ2,""))</f>
        <v/>
      </c>
      <c r="JS2" s="122" t="str">
        <f t="shared" ref="JS2:JS33" si="68">IF(ISNUMBER(HW2),HW2,IF(ISNUMBER(GA2),GA2,""))</f>
        <v/>
      </c>
      <c r="JT2" s="122" t="str">
        <f t="shared" ref="JT2:JT33" si="69">IF(ISNUMBER(HX2),HX2,IF(ISNUMBER(GB2),GB2,""))</f>
        <v/>
      </c>
      <c r="JU2" s="122" t="str">
        <f t="shared" ref="JU2:JU33" si="70">IF(ISNUMBER(HY2),HY2,IF(ISNUMBER(GC2),GC2,""))</f>
        <v/>
      </c>
      <c r="JV2" s="122" t="str">
        <f t="shared" ref="JV2:JV33" si="71">IF(ISNUMBER(HZ2),HZ2,IF(ISNUMBER(GD2),GD2,""))</f>
        <v/>
      </c>
      <c r="JW2" s="122" t="str">
        <f t="shared" ref="JW2:JW33" si="72">IF(ISNUMBER(IA2),IA2,IF(ISNUMBER(GE2),GE2,""))</f>
        <v/>
      </c>
      <c r="JX2" s="122" t="str">
        <f t="shared" ref="JX2:JX33" si="73">IF(ISNUMBER(IB2),IB2,IF(ISNUMBER(GF2),GF2,""))</f>
        <v/>
      </c>
      <c r="JY2" s="122" t="str">
        <f t="shared" ref="JY2:JY33" si="74">IF(ISNUMBER(IC2),IC2,IF(ISNUMBER(GG2),GG2,""))</f>
        <v/>
      </c>
      <c r="JZ2" s="122" t="str">
        <f t="shared" ref="JZ2:JZ33" si="75">IF(ISNUMBER(ID2),ID2,IF(ISNUMBER(GH2),GH2,""))</f>
        <v/>
      </c>
      <c r="KA2" s="122" t="str">
        <f t="shared" ref="KA2:KA33" si="76">IF(ISNUMBER(IE2),IE2,IF(ISNUMBER(GI2),GI2,""))</f>
        <v/>
      </c>
      <c r="KB2" s="122" t="str">
        <f t="shared" ref="KB2:KB33" si="77">IF(ISNUMBER(IF2),IF2,IF(ISNUMBER(GJ2),GJ2,""))</f>
        <v/>
      </c>
      <c r="KC2" s="122" t="str">
        <f t="shared" ref="KC2:KC33" si="78">IF(ISNUMBER(IG2),IG2,IF(ISNUMBER(GK2),GK2,""))</f>
        <v/>
      </c>
      <c r="KD2" s="122" t="str">
        <f t="shared" ref="KD2:KD33" si="79">IF(ISNUMBER(IH2),IH2,IF(ISNUMBER(GL2),GL2,""))</f>
        <v/>
      </c>
      <c r="KE2" s="133" t="str">
        <f t="shared" ref="KE2:KE33" si="80">IF(ISNUMBER(II2),II2,IF(ISNUMBER(GM2),GM2,""))</f>
        <v/>
      </c>
      <c r="KF2" s="94" t="str">
        <f t="shared" ref="KF2:KF33" si="81">IF(AND(ISNUMBER(IJ2),ISNUMBER(CV2)),IJ2-CV2,"")</f>
        <v/>
      </c>
      <c r="KG2" s="4" t="str">
        <f t="shared" ref="KG2:KG33" si="82">IF(AND(ISNUMBER(IK2),ISNUMBER(CW2)),IK2-CW2,"")</f>
        <v/>
      </c>
      <c r="KH2" s="4" t="str">
        <f t="shared" ref="KH2:KH33" si="83">IF(AND(ISNUMBER(IL2),ISNUMBER(CX2)),IL2-CX2,"")</f>
        <v/>
      </c>
      <c r="KI2" s="4" t="str">
        <f t="shared" ref="KI2:KI33" si="84">IF(AND(ISNUMBER(IM2),ISNUMBER(CY2)),IM2-CY2,"")</f>
        <v/>
      </c>
      <c r="KJ2" s="4" t="str">
        <f t="shared" ref="KJ2:KJ33" si="85">IF(AND(ISNUMBER(IN2),ISNUMBER(CZ2)),IN2-CZ2,"")</f>
        <v/>
      </c>
      <c r="KK2" s="4" t="str">
        <f t="shared" ref="KK2:KK33" si="86">IF(AND(ISNUMBER(IO2),ISNUMBER(DA2)),IO2-DA2,"")</f>
        <v/>
      </c>
      <c r="KL2" s="4" t="str">
        <f t="shared" ref="KL2:KL33" si="87">IF(AND(ISNUMBER(IP2),ISNUMBER(DB2)),IP2-DB2,"")</f>
        <v/>
      </c>
      <c r="KM2" s="4" t="str">
        <f t="shared" ref="KM2:KM33" si="88">IF(AND(ISNUMBER(IQ2),ISNUMBER(DC2)),IQ2-DC2,"")</f>
        <v/>
      </c>
      <c r="KN2" s="4" t="str">
        <f t="shared" ref="KN2:KN33" si="89">IF(AND(ISNUMBER(IR2),ISNUMBER(DD2)),IR2-DD2,"")</f>
        <v/>
      </c>
      <c r="KO2" s="4" t="str">
        <f t="shared" ref="KO2:KO33" si="90">IF(AND(ISNUMBER(IS2),ISNUMBER(DE2)),IS2-DE2,"")</f>
        <v/>
      </c>
      <c r="KP2" s="4" t="str">
        <f t="shared" ref="KP2:KP33" si="91">IF(AND(ISNUMBER(IT2),ISNUMBER(DF2)),IT2-DF2,"")</f>
        <v/>
      </c>
      <c r="KQ2" s="4" t="str">
        <f t="shared" ref="KQ2:KQ33" si="92">IF(AND(ISNUMBER(IU2),ISNUMBER(DG2)),IU2-DG2,"")</f>
        <v/>
      </c>
      <c r="KR2" s="4" t="str">
        <f t="shared" ref="KR2:KR33" si="93">IF(AND(ISNUMBER(IV2),ISNUMBER(DH2)),IV2-DH2,"")</f>
        <v/>
      </c>
      <c r="KS2" s="4" t="str">
        <f t="shared" ref="KS2:KS33" si="94">IF(AND(ISNUMBER(IW2),ISNUMBER(DI2)),IW2-DI2,"")</f>
        <v/>
      </c>
      <c r="KT2" s="4" t="str">
        <f t="shared" ref="KT2:KT33" si="95">IF(AND(ISNUMBER(IX2),ISNUMBER(DJ2)),IX2-DJ2,"")</f>
        <v/>
      </c>
      <c r="KU2" s="4" t="str">
        <f t="shared" ref="KU2:KU33" si="96">IF(AND(ISNUMBER(IY2),ISNUMBER(DK2)),IY2-DK2,"")</f>
        <v/>
      </c>
      <c r="KV2" s="4" t="str">
        <f t="shared" ref="KV2:KV33" si="97">IF(AND(ISNUMBER(IZ2),ISNUMBER(DL2)),IZ2-DL2,"")</f>
        <v/>
      </c>
      <c r="KW2" s="4" t="str">
        <f t="shared" ref="KW2:KW33" si="98">IF(AND(ISNUMBER(JA2),ISNUMBER(DM2)),JA2-DM2,"")</f>
        <v/>
      </c>
      <c r="KX2" s="4" t="str">
        <f t="shared" ref="KX2:KX33" si="99">IF(AND(ISNUMBER(JB2),ISNUMBER(DN2)),JB2-DN2,"")</f>
        <v/>
      </c>
      <c r="KY2" s="4" t="str">
        <f t="shared" ref="KY2:KY33" si="100">IF(AND(ISNUMBER(JC2),ISNUMBER(DO2)),JC2-DO2,"")</f>
        <v/>
      </c>
      <c r="KZ2" s="4" t="str">
        <f t="shared" ref="KZ2:KZ33" si="101">IF(AND(ISNUMBER(JD2),ISNUMBER(DP2)),JD2-DP2,"")</f>
        <v/>
      </c>
      <c r="LA2" s="4" t="str">
        <f t="shared" ref="LA2:LA33" si="102">IF(AND(ISNUMBER(JE2),ISNUMBER(DQ2)),JE2-DQ2,"")</f>
        <v/>
      </c>
      <c r="LB2" s="4" t="str">
        <f t="shared" ref="LB2:LB33" si="103">IF(AND(ISNUMBER(JF2),ISNUMBER(DR2)),JF2-DR2,"")</f>
        <v/>
      </c>
      <c r="LC2" s="4" t="str">
        <f t="shared" ref="LC2:LC33" si="104">IF(AND(ISNUMBER(JG2),ISNUMBER(DS2)),JG2-DS2,"")</f>
        <v/>
      </c>
      <c r="LD2" s="4" t="str">
        <f t="shared" ref="LD2:LD33" si="105">IF(AND(ISNUMBER(JH2),ISNUMBER(DT2)),JH2-DT2,"")</f>
        <v/>
      </c>
      <c r="LE2" s="4" t="str">
        <f t="shared" ref="LE2:LE33" si="106">IF(AND(ISNUMBER(JI2),ISNUMBER(DU2)),JI2-DU2,"")</f>
        <v/>
      </c>
      <c r="LF2" s="4" t="str">
        <f t="shared" ref="LF2:LF33" si="107">IF(AND(ISNUMBER(JJ2),ISNUMBER(DV2)),JJ2-DV2,"")</f>
        <v/>
      </c>
      <c r="LG2" s="4" t="str">
        <f t="shared" ref="LG2:LG33" si="108">IF(AND(ISNUMBER(JK2),ISNUMBER(DW2)),JK2-DW2,"")</f>
        <v/>
      </c>
      <c r="LH2" s="4" t="str">
        <f t="shared" ref="LH2:LH33" si="109">IF(AND(ISNUMBER(JL2),ISNUMBER(DX2)),JL2-DX2,"")</f>
        <v/>
      </c>
      <c r="LI2" s="4" t="str">
        <f t="shared" ref="LI2:LI33" si="110">IF(AND(ISNUMBER(JM2),ISNUMBER(DY2)),JM2-DY2,"")</f>
        <v/>
      </c>
      <c r="LJ2" s="4" t="str">
        <f t="shared" ref="LJ2:LJ33" si="111">IF(AND(ISNUMBER(JN2),ISNUMBER(DZ2)),JN2-DZ2,"")</f>
        <v/>
      </c>
      <c r="LK2" s="4" t="str">
        <f t="shared" ref="LK2:LK33" si="112">IF(AND(ISNUMBER(JO2),ISNUMBER(EA2)),JO2-EA2,"")</f>
        <v/>
      </c>
      <c r="LL2" s="4" t="str">
        <f t="shared" ref="LL2:LL33" si="113">IF(AND(ISNUMBER(JP2),ISNUMBER(EB2)),JP2-EB2,"")</f>
        <v/>
      </c>
      <c r="LM2" s="4" t="str">
        <f t="shared" ref="LM2:LM33" si="114">IF(AND(ISNUMBER(JQ2),ISNUMBER(EC2)),JQ2-EC2,"")</f>
        <v/>
      </c>
      <c r="LN2" s="4" t="str">
        <f t="shared" ref="LN2:LN33" si="115">IF(AND(ISNUMBER(JR2),ISNUMBER(ED2)),JR2-ED2,"")</f>
        <v/>
      </c>
      <c r="LO2" s="4" t="str">
        <f t="shared" ref="LO2:LO33" si="116">IF(AND(ISNUMBER(JS2),ISNUMBER(EE2)),JS2-EE2,"")</f>
        <v/>
      </c>
      <c r="LP2" s="4" t="str">
        <f t="shared" ref="LP2:LP33" si="117">IF(AND(ISNUMBER(JT2),ISNUMBER(EF2)),JT2-EF2,"")</f>
        <v/>
      </c>
      <c r="LQ2" s="4" t="str">
        <f t="shared" ref="LQ2:LQ33" si="118">IF(AND(ISNUMBER(JU2),ISNUMBER(EG2)),JU2-EG2,"")</f>
        <v/>
      </c>
      <c r="LR2" s="4" t="str">
        <f t="shared" ref="LR2:LR33" si="119">IF(AND(ISNUMBER(JV2),ISNUMBER(EH2)),JV2-EH2,"")</f>
        <v/>
      </c>
      <c r="LS2" s="4" t="str">
        <f t="shared" ref="LS2:LS33" si="120">IF(AND(ISNUMBER(JW2),ISNUMBER(EI2)),JW2-EI2,"")</f>
        <v/>
      </c>
      <c r="LT2" s="4" t="str">
        <f t="shared" ref="LT2:LT33" si="121">IF(AND(ISNUMBER(JX2),ISNUMBER(EJ2)),JX2-EJ2,"")</f>
        <v/>
      </c>
      <c r="LU2" s="4" t="str">
        <f t="shared" ref="LU2:LU33" si="122">IF(AND(ISNUMBER(JY2),ISNUMBER(EK2)),JY2-EK2,"")</f>
        <v/>
      </c>
      <c r="LV2" s="4" t="str">
        <f t="shared" ref="LV2:LV33" si="123">IF(AND(ISNUMBER(JZ2),ISNUMBER(EL2)),JZ2-EL2,"")</f>
        <v/>
      </c>
      <c r="LW2" s="4" t="str">
        <f t="shared" ref="LW2:LW33" si="124">IF(AND(ISNUMBER(KA2),ISNUMBER(EM2)),KA2-EM2,"")</f>
        <v/>
      </c>
      <c r="LX2" s="4" t="str">
        <f t="shared" ref="LX2:LX33" si="125">IF(AND(ISNUMBER(KB2),ISNUMBER(EN2)),KB2-EN2,"")</f>
        <v/>
      </c>
      <c r="LY2" s="4" t="str">
        <f t="shared" ref="LY2:LY33" si="126">IF(AND(ISNUMBER(KC2),ISNUMBER(EO2)),KC2-EO2,"")</f>
        <v/>
      </c>
      <c r="LZ2" s="4" t="str">
        <f t="shared" ref="LZ2:LZ33" si="127">IF(AND(ISNUMBER(KD2),ISNUMBER(EP2)),KD2-EP2,"")</f>
        <v/>
      </c>
      <c r="MA2" s="4" t="str">
        <f t="shared" ref="MA2:MA33" si="128">IF(AND(ISNUMBER(KE2),ISNUMBER(EQ2)),KE2-EQ2,"")</f>
        <v/>
      </c>
      <c r="MB2" s="4" t="str">
        <f t="shared" ref="MB2:MB33" si="129">IF(AND(ISNUMBER(HU2),ISNUMBER(FY2)),HU2-FY2,"")</f>
        <v/>
      </c>
      <c r="MC2" s="4" t="str">
        <f t="shared" ref="MC2:MC33" si="130">IF(AND(ISNUMBER(HV2),ISNUMBER(FZ2)),HV2-FZ2,"")</f>
        <v/>
      </c>
      <c r="MD2" s="4" t="str">
        <f t="shared" ref="MD2:MD33" si="131">IF(AND(ISNUMBER(HZ2),ISNUMBER(GD2)),HZ2-GD2,"")</f>
        <v/>
      </c>
      <c r="ME2" s="4">
        <f t="shared" ref="ME2:ME33" si="132">IA2-GE2</f>
        <v>0</v>
      </c>
    </row>
    <row r="3" spans="1:343" ht="26.25" customHeight="1" thickBot="1" x14ac:dyDescent="0.25">
      <c r="A3" s="35">
        <v>41346</v>
      </c>
      <c r="B3" s="36" t="s">
        <v>195</v>
      </c>
      <c r="C3" s="36" t="s">
        <v>96</v>
      </c>
      <c r="D3" s="31" t="s">
        <v>111</v>
      </c>
      <c r="E3" s="4">
        <v>70</v>
      </c>
      <c r="F3" s="3">
        <v>15681</v>
      </c>
      <c r="G3" s="4" t="s">
        <v>87</v>
      </c>
      <c r="H3" s="4" t="s">
        <v>108</v>
      </c>
      <c r="I3" s="4">
        <v>1830080</v>
      </c>
      <c r="J3" s="4" t="s">
        <v>310</v>
      </c>
      <c r="P3" s="4">
        <v>-0.5</v>
      </c>
      <c r="Q3" s="4">
        <v>-0.59</v>
      </c>
      <c r="R3" s="4" t="s">
        <v>249</v>
      </c>
      <c r="S3" s="67">
        <v>21</v>
      </c>
      <c r="T3" s="136">
        <v>41282</v>
      </c>
      <c r="U3" s="67">
        <v>1.5</v>
      </c>
      <c r="V3" s="67">
        <v>0.75</v>
      </c>
      <c r="W3" s="4">
        <v>29</v>
      </c>
      <c r="X3" s="4">
        <v>50</v>
      </c>
      <c r="Y3" s="4">
        <v>10</v>
      </c>
      <c r="Z3" s="4">
        <v>617</v>
      </c>
      <c r="AA3" s="4">
        <v>23.92</v>
      </c>
      <c r="AB3" s="4">
        <v>12.3</v>
      </c>
      <c r="AC3" s="4">
        <v>5.05</v>
      </c>
      <c r="AD3" s="4">
        <v>2.89</v>
      </c>
      <c r="AE3" s="4">
        <v>42.72</v>
      </c>
      <c r="AF3" s="4">
        <v>131</v>
      </c>
      <c r="AG3" s="4">
        <v>43.21</v>
      </c>
      <c r="AH3" s="4">
        <v>41</v>
      </c>
      <c r="AI3" s="4">
        <v>0</v>
      </c>
      <c r="AJ3" s="4" t="b">
        <f t="shared" si="0"/>
        <v>0</v>
      </c>
      <c r="AL3" s="3" t="s">
        <v>78</v>
      </c>
      <c r="BA3" s="4" t="str">
        <f t="shared" si="1"/>
        <v/>
      </c>
      <c r="BB3" s="4" t="str">
        <f t="shared" si="2"/>
        <v/>
      </c>
      <c r="BC3" s="4" t="str">
        <f t="shared" si="3"/>
        <v/>
      </c>
      <c r="BD3" s="4" t="s">
        <v>78</v>
      </c>
      <c r="BE3" s="59"/>
      <c r="BS3" s="4" t="str">
        <f t="shared" si="4"/>
        <v/>
      </c>
      <c r="BT3" s="4" t="str">
        <f t="shared" si="5"/>
        <v/>
      </c>
      <c r="BU3" s="4" t="str">
        <f t="shared" si="6"/>
        <v/>
      </c>
      <c r="BV3" s="4">
        <f t="shared" si="7"/>
        <v>0</v>
      </c>
      <c r="BW3" s="4">
        <f t="shared" si="8"/>
        <v>0</v>
      </c>
      <c r="BX3" s="4" t="str">
        <f t="shared" si="9"/>
        <v/>
      </c>
      <c r="BY3" s="4" t="str">
        <f t="shared" si="10"/>
        <v/>
      </c>
      <c r="BZ3" s="4" t="str">
        <f t="shared" si="11"/>
        <v/>
      </c>
      <c r="CA3" s="53">
        <f t="shared" si="12"/>
        <v>0</v>
      </c>
      <c r="CB3" s="55" t="str">
        <f t="shared" si="13"/>
        <v/>
      </c>
      <c r="CC3" s="4" t="str">
        <f t="shared" si="14"/>
        <v/>
      </c>
      <c r="CD3" s="4" t="str">
        <f t="shared" si="15"/>
        <v/>
      </c>
      <c r="CE3" s="4" t="str">
        <f t="shared" si="16"/>
        <v/>
      </c>
      <c r="CF3" s="4" t="str">
        <f t="shared" si="17"/>
        <v/>
      </c>
      <c r="CG3" s="4" t="str">
        <f t="shared" si="18"/>
        <v/>
      </c>
      <c r="CH3" s="4" t="str">
        <f t="shared" si="19"/>
        <v/>
      </c>
      <c r="CI3" s="104" t="str">
        <f t="shared" si="20"/>
        <v/>
      </c>
      <c r="CJ3" s="94" t="str">
        <f t="shared" si="21"/>
        <v/>
      </c>
      <c r="CK3" s="4" t="str">
        <f t="shared" si="22"/>
        <v/>
      </c>
      <c r="CL3" s="107" t="str">
        <f t="shared" si="23"/>
        <v/>
      </c>
      <c r="CM3" s="107" t="str">
        <f t="shared" si="24"/>
        <v/>
      </c>
      <c r="CN3" s="139" t="str">
        <f t="shared" si="25"/>
        <v/>
      </c>
      <c r="CO3" s="139" t="str">
        <f t="shared" si="26"/>
        <v/>
      </c>
      <c r="CP3" s="149" t="str">
        <f t="shared" si="27"/>
        <v/>
      </c>
      <c r="CQ3" s="149" t="str">
        <f t="shared" si="28"/>
        <v/>
      </c>
      <c r="CR3" s="148" t="str">
        <f t="shared" si="29"/>
        <v/>
      </c>
      <c r="CS3" s="152" t="str">
        <f t="shared" si="30"/>
        <v/>
      </c>
      <c r="CT3" s="107" t="str">
        <f t="shared" si="31"/>
        <v/>
      </c>
      <c r="CU3" s="155" t="str">
        <f t="shared" si="32"/>
        <v/>
      </c>
      <c r="IJ3" s="94" t="str">
        <f t="shared" si="33"/>
        <v/>
      </c>
      <c r="IK3" s="4" t="str">
        <f t="shared" si="34"/>
        <v/>
      </c>
      <c r="IL3" s="4" t="str">
        <f t="shared" si="35"/>
        <v/>
      </c>
      <c r="IM3" s="4" t="str">
        <f t="shared" si="36"/>
        <v/>
      </c>
      <c r="IN3" s="4" t="str">
        <f t="shared" si="37"/>
        <v/>
      </c>
      <c r="IO3" s="4" t="str">
        <f t="shared" si="38"/>
        <v/>
      </c>
      <c r="IP3" s="4" t="str">
        <f t="shared" si="39"/>
        <v/>
      </c>
      <c r="IQ3" s="4" t="str">
        <f t="shared" si="40"/>
        <v/>
      </c>
      <c r="IR3" s="4" t="str">
        <f t="shared" si="41"/>
        <v/>
      </c>
      <c r="IS3" s="4" t="str">
        <f t="shared" si="42"/>
        <v/>
      </c>
      <c r="IT3" s="4" t="str">
        <f t="shared" si="43"/>
        <v/>
      </c>
      <c r="IU3" s="4" t="str">
        <f t="shared" si="44"/>
        <v/>
      </c>
      <c r="IV3" s="4" t="str">
        <f t="shared" si="45"/>
        <v/>
      </c>
      <c r="IW3" s="4" t="str">
        <f t="shared" si="46"/>
        <v/>
      </c>
      <c r="IX3" s="4" t="str">
        <f t="shared" si="47"/>
        <v/>
      </c>
      <c r="IY3" s="4" t="str">
        <f t="shared" si="48"/>
        <v/>
      </c>
      <c r="IZ3" s="4" t="str">
        <f t="shared" si="49"/>
        <v/>
      </c>
      <c r="JA3" s="4" t="str">
        <f t="shared" si="50"/>
        <v/>
      </c>
      <c r="JB3" s="4" t="str">
        <f t="shared" si="51"/>
        <v/>
      </c>
      <c r="JC3" s="4" t="str">
        <f t="shared" si="52"/>
        <v/>
      </c>
      <c r="JD3" s="4" t="str">
        <f t="shared" si="53"/>
        <v/>
      </c>
      <c r="JE3" s="4" t="str">
        <f t="shared" si="54"/>
        <v/>
      </c>
      <c r="JF3" s="4" t="str">
        <f t="shared" si="55"/>
        <v/>
      </c>
      <c r="JG3" s="4" t="str">
        <f t="shared" si="56"/>
        <v/>
      </c>
      <c r="JH3" s="4" t="str">
        <f t="shared" si="57"/>
        <v/>
      </c>
      <c r="JI3" s="4" t="str">
        <f t="shared" si="58"/>
        <v/>
      </c>
      <c r="JJ3" s="4" t="str">
        <f t="shared" si="59"/>
        <v/>
      </c>
      <c r="JK3" s="4" t="str">
        <f t="shared" si="60"/>
        <v/>
      </c>
      <c r="JL3" s="4" t="str">
        <f t="shared" si="61"/>
        <v/>
      </c>
      <c r="JM3" s="4" t="str">
        <f t="shared" si="62"/>
        <v/>
      </c>
      <c r="JN3" s="4" t="str">
        <f t="shared" si="63"/>
        <v/>
      </c>
      <c r="JO3" s="129" t="str">
        <f t="shared" si="64"/>
        <v/>
      </c>
      <c r="JP3" s="122" t="str">
        <f t="shared" si="65"/>
        <v/>
      </c>
      <c r="JQ3" s="122" t="str">
        <f t="shared" si="66"/>
        <v/>
      </c>
      <c r="JR3" s="122" t="str">
        <f t="shared" si="67"/>
        <v/>
      </c>
      <c r="JS3" s="122" t="str">
        <f t="shared" si="68"/>
        <v/>
      </c>
      <c r="JT3" s="122" t="str">
        <f t="shared" si="69"/>
        <v/>
      </c>
      <c r="JU3" s="122" t="str">
        <f t="shared" si="70"/>
        <v/>
      </c>
      <c r="JV3" s="122" t="str">
        <f t="shared" si="71"/>
        <v/>
      </c>
      <c r="JW3" s="122" t="str">
        <f t="shared" si="72"/>
        <v/>
      </c>
      <c r="JX3" s="122" t="str">
        <f t="shared" si="73"/>
        <v/>
      </c>
      <c r="JY3" s="122" t="str">
        <f t="shared" si="74"/>
        <v/>
      </c>
      <c r="JZ3" s="122" t="str">
        <f t="shared" si="75"/>
        <v/>
      </c>
      <c r="KA3" s="122" t="str">
        <f t="shared" si="76"/>
        <v/>
      </c>
      <c r="KB3" s="122" t="str">
        <f t="shared" si="77"/>
        <v/>
      </c>
      <c r="KC3" s="122" t="str">
        <f t="shared" si="78"/>
        <v/>
      </c>
      <c r="KD3" s="122" t="str">
        <f t="shared" si="79"/>
        <v/>
      </c>
      <c r="KE3" s="133" t="str">
        <f t="shared" si="80"/>
        <v/>
      </c>
      <c r="KF3" s="94" t="str">
        <f t="shared" si="81"/>
        <v/>
      </c>
      <c r="KG3" s="4" t="str">
        <f t="shared" si="82"/>
        <v/>
      </c>
      <c r="KH3" s="4" t="str">
        <f t="shared" si="83"/>
        <v/>
      </c>
      <c r="KI3" s="4" t="str">
        <f t="shared" si="84"/>
        <v/>
      </c>
      <c r="KJ3" s="4" t="str">
        <f t="shared" si="85"/>
        <v/>
      </c>
      <c r="KK3" s="4" t="str">
        <f t="shared" si="86"/>
        <v/>
      </c>
      <c r="KL3" s="4" t="str">
        <f t="shared" si="87"/>
        <v/>
      </c>
      <c r="KM3" s="4" t="str">
        <f t="shared" si="88"/>
        <v/>
      </c>
      <c r="KN3" s="4" t="str">
        <f t="shared" si="89"/>
        <v/>
      </c>
      <c r="KO3" s="4" t="str">
        <f t="shared" si="90"/>
        <v/>
      </c>
      <c r="KP3" s="4" t="str">
        <f t="shared" si="91"/>
        <v/>
      </c>
      <c r="KQ3" s="4" t="str">
        <f t="shared" si="92"/>
        <v/>
      </c>
      <c r="KR3" s="4" t="str">
        <f t="shared" si="93"/>
        <v/>
      </c>
      <c r="KS3" s="4" t="str">
        <f t="shared" si="94"/>
        <v/>
      </c>
      <c r="KT3" s="4" t="str">
        <f t="shared" si="95"/>
        <v/>
      </c>
      <c r="KU3" s="4" t="str">
        <f t="shared" si="96"/>
        <v/>
      </c>
      <c r="KV3" s="4" t="str">
        <f t="shared" si="97"/>
        <v/>
      </c>
      <c r="KW3" s="4" t="str">
        <f t="shared" si="98"/>
        <v/>
      </c>
      <c r="KX3" s="4" t="str">
        <f t="shared" si="99"/>
        <v/>
      </c>
      <c r="KY3" s="4" t="str">
        <f t="shared" si="100"/>
        <v/>
      </c>
      <c r="KZ3" s="4" t="str">
        <f t="shared" si="101"/>
        <v/>
      </c>
      <c r="LA3" s="4" t="str">
        <f t="shared" si="102"/>
        <v/>
      </c>
      <c r="LB3" s="4" t="str">
        <f t="shared" si="103"/>
        <v/>
      </c>
      <c r="LC3" s="4" t="str">
        <f t="shared" si="104"/>
        <v/>
      </c>
      <c r="LD3" s="4" t="str">
        <f t="shared" si="105"/>
        <v/>
      </c>
      <c r="LE3" s="4" t="str">
        <f t="shared" si="106"/>
        <v/>
      </c>
      <c r="LF3" s="4" t="str">
        <f t="shared" si="107"/>
        <v/>
      </c>
      <c r="LG3" s="4" t="str">
        <f t="shared" si="108"/>
        <v/>
      </c>
      <c r="LH3" s="4" t="str">
        <f t="shared" si="109"/>
        <v/>
      </c>
      <c r="LI3" s="4" t="str">
        <f t="shared" si="110"/>
        <v/>
      </c>
      <c r="LJ3" s="4" t="str">
        <f t="shared" si="111"/>
        <v/>
      </c>
      <c r="LK3" s="4" t="str">
        <f t="shared" si="112"/>
        <v/>
      </c>
      <c r="LL3" s="4" t="str">
        <f t="shared" si="113"/>
        <v/>
      </c>
      <c r="LM3" s="4" t="str">
        <f t="shared" si="114"/>
        <v/>
      </c>
      <c r="LN3" s="4" t="str">
        <f t="shared" si="115"/>
        <v/>
      </c>
      <c r="LO3" s="4" t="str">
        <f t="shared" si="116"/>
        <v/>
      </c>
      <c r="LP3" s="4" t="str">
        <f t="shared" si="117"/>
        <v/>
      </c>
      <c r="LQ3" s="4" t="str">
        <f t="shared" si="118"/>
        <v/>
      </c>
      <c r="LR3" s="4" t="str">
        <f t="shared" si="119"/>
        <v/>
      </c>
      <c r="LS3" s="4" t="str">
        <f t="shared" si="120"/>
        <v/>
      </c>
      <c r="LT3" s="4" t="str">
        <f t="shared" si="121"/>
        <v/>
      </c>
      <c r="LU3" s="4" t="str">
        <f t="shared" si="122"/>
        <v/>
      </c>
      <c r="LV3" s="4" t="str">
        <f t="shared" si="123"/>
        <v/>
      </c>
      <c r="LW3" s="4" t="str">
        <f t="shared" si="124"/>
        <v/>
      </c>
      <c r="LX3" s="4" t="str">
        <f t="shared" si="125"/>
        <v/>
      </c>
      <c r="LY3" s="4" t="str">
        <f t="shared" si="126"/>
        <v/>
      </c>
      <c r="LZ3" s="4" t="str">
        <f t="shared" si="127"/>
        <v/>
      </c>
      <c r="MA3" s="4" t="str">
        <f t="shared" si="128"/>
        <v/>
      </c>
      <c r="MB3" s="4" t="str">
        <f t="shared" si="129"/>
        <v/>
      </c>
      <c r="MC3" s="4" t="str">
        <f t="shared" si="130"/>
        <v/>
      </c>
      <c r="MD3" s="4" t="str">
        <f t="shared" si="131"/>
        <v/>
      </c>
      <c r="ME3" s="4">
        <f t="shared" si="132"/>
        <v>0</v>
      </c>
    </row>
    <row r="4" spans="1:343" ht="26.25" customHeight="1" thickBot="1" x14ac:dyDescent="0.25">
      <c r="A4" s="35">
        <v>41150</v>
      </c>
      <c r="B4" s="36" t="s">
        <v>156</v>
      </c>
      <c r="C4" s="36" t="s">
        <v>2</v>
      </c>
      <c r="D4" s="31" t="s">
        <v>111</v>
      </c>
      <c r="E4" s="4">
        <v>75</v>
      </c>
      <c r="F4" s="3">
        <v>13667</v>
      </c>
      <c r="G4" s="4" t="s">
        <v>102</v>
      </c>
      <c r="H4" s="4" t="s">
        <v>108</v>
      </c>
      <c r="I4" s="4">
        <v>1833735</v>
      </c>
      <c r="J4" s="4" t="s">
        <v>310</v>
      </c>
      <c r="K4" s="74"/>
      <c r="L4" s="75"/>
      <c r="M4" s="75"/>
      <c r="N4" s="75"/>
      <c r="O4" s="75"/>
      <c r="P4" s="33">
        <v>-0.5</v>
      </c>
      <c r="Q4" s="4">
        <v>-0.44</v>
      </c>
      <c r="R4" s="4" t="s">
        <v>249</v>
      </c>
      <c r="S4" s="67">
        <v>16.25</v>
      </c>
      <c r="T4" s="136">
        <v>41148</v>
      </c>
      <c r="U4" s="67">
        <v>-4.5</v>
      </c>
      <c r="V4" s="67">
        <v>1.5</v>
      </c>
      <c r="W4" s="4">
        <v>150</v>
      </c>
      <c r="X4" s="4">
        <v>60</v>
      </c>
      <c r="Y4" s="4">
        <v>15</v>
      </c>
      <c r="Z4" s="4">
        <v>586</v>
      </c>
      <c r="AA4" s="4">
        <v>23.31</v>
      </c>
      <c r="AB4" s="4">
        <v>11.4</v>
      </c>
      <c r="AC4" s="4">
        <v>3.87</v>
      </c>
      <c r="AD4" s="4">
        <v>3.16</v>
      </c>
      <c r="AE4" s="4">
        <v>44.88</v>
      </c>
      <c r="AF4" s="4">
        <v>56</v>
      </c>
      <c r="AG4" s="4">
        <v>47.2</v>
      </c>
      <c r="AH4" s="4">
        <v>146</v>
      </c>
      <c r="AI4" s="4">
        <v>0</v>
      </c>
      <c r="AJ4" s="4" t="b">
        <f t="shared" si="0"/>
        <v>0</v>
      </c>
      <c r="AK4" s="43" t="s">
        <v>308</v>
      </c>
      <c r="AL4" s="4" t="s">
        <v>78</v>
      </c>
      <c r="AM4" s="146"/>
      <c r="BA4" s="4" t="str">
        <f t="shared" si="1"/>
        <v/>
      </c>
      <c r="BB4" s="4" t="str">
        <f t="shared" si="2"/>
        <v/>
      </c>
      <c r="BC4" s="4" t="str">
        <f t="shared" si="3"/>
        <v/>
      </c>
      <c r="BD4" s="51" t="s">
        <v>505</v>
      </c>
      <c r="BE4" s="59"/>
      <c r="BS4" s="4" t="str">
        <f t="shared" si="4"/>
        <v/>
      </c>
      <c r="BT4" s="4" t="str">
        <f t="shared" si="5"/>
        <v/>
      </c>
      <c r="BU4" s="4" t="str">
        <f t="shared" si="6"/>
        <v/>
      </c>
      <c r="BV4" s="4">
        <f t="shared" si="7"/>
        <v>0</v>
      </c>
      <c r="BW4" s="4">
        <f t="shared" si="8"/>
        <v>0</v>
      </c>
      <c r="BX4" s="4" t="str">
        <f t="shared" si="9"/>
        <v/>
      </c>
      <c r="BY4" s="4" t="str">
        <f t="shared" si="10"/>
        <v/>
      </c>
      <c r="BZ4" s="4" t="str">
        <f t="shared" si="11"/>
        <v/>
      </c>
      <c r="CA4" s="53">
        <f t="shared" si="12"/>
        <v>0</v>
      </c>
      <c r="CB4" s="55" t="str">
        <f t="shared" si="13"/>
        <v/>
      </c>
      <c r="CC4" s="4" t="str">
        <f t="shared" si="14"/>
        <v/>
      </c>
      <c r="CD4" s="4" t="str">
        <f t="shared" si="15"/>
        <v/>
      </c>
      <c r="CE4" s="4" t="str">
        <f t="shared" si="16"/>
        <v/>
      </c>
      <c r="CF4" s="4" t="str">
        <f t="shared" si="17"/>
        <v/>
      </c>
      <c r="CG4" s="4" t="str">
        <f t="shared" si="18"/>
        <v/>
      </c>
      <c r="CH4" s="4" t="str">
        <f t="shared" si="19"/>
        <v/>
      </c>
      <c r="CI4" s="104" t="str">
        <f t="shared" si="20"/>
        <v/>
      </c>
      <c r="CJ4" s="94" t="str">
        <f t="shared" si="21"/>
        <v/>
      </c>
      <c r="CK4" s="4" t="str">
        <f t="shared" si="22"/>
        <v/>
      </c>
      <c r="CL4" s="107" t="str">
        <f t="shared" si="23"/>
        <v/>
      </c>
      <c r="CM4" s="107" t="str">
        <f t="shared" si="24"/>
        <v/>
      </c>
      <c r="CN4" s="139" t="str">
        <f t="shared" si="25"/>
        <v/>
      </c>
      <c r="CO4" s="139" t="str">
        <f t="shared" si="26"/>
        <v/>
      </c>
      <c r="CP4" s="149" t="str">
        <f t="shared" si="27"/>
        <v/>
      </c>
      <c r="CQ4" s="149" t="str">
        <f t="shared" si="28"/>
        <v/>
      </c>
      <c r="CR4" s="148" t="str">
        <f t="shared" si="29"/>
        <v/>
      </c>
      <c r="CS4" s="152" t="str">
        <f t="shared" si="30"/>
        <v/>
      </c>
      <c r="CT4" s="107" t="str">
        <f t="shared" si="31"/>
        <v/>
      </c>
      <c r="CU4" s="155" t="str">
        <f t="shared" si="32"/>
        <v/>
      </c>
      <c r="IJ4" s="94" t="str">
        <f t="shared" si="33"/>
        <v/>
      </c>
      <c r="IK4" s="4" t="str">
        <f t="shared" si="34"/>
        <v/>
      </c>
      <c r="IL4" s="4" t="str">
        <f t="shared" si="35"/>
        <v/>
      </c>
      <c r="IM4" s="4" t="str">
        <f t="shared" si="36"/>
        <v/>
      </c>
      <c r="IN4" s="4" t="str">
        <f t="shared" si="37"/>
        <v/>
      </c>
      <c r="IO4" s="4" t="str">
        <f t="shared" si="38"/>
        <v/>
      </c>
      <c r="IP4" s="4" t="str">
        <f t="shared" si="39"/>
        <v/>
      </c>
      <c r="IQ4" s="4" t="str">
        <f t="shared" si="40"/>
        <v/>
      </c>
      <c r="IR4" s="4" t="str">
        <f t="shared" si="41"/>
        <v/>
      </c>
      <c r="IS4" s="4" t="str">
        <f t="shared" si="42"/>
        <v/>
      </c>
      <c r="IT4" s="4" t="str">
        <f t="shared" si="43"/>
        <v/>
      </c>
      <c r="IU4" s="4" t="str">
        <f t="shared" si="44"/>
        <v/>
      </c>
      <c r="IV4" s="4" t="str">
        <f t="shared" si="45"/>
        <v/>
      </c>
      <c r="IW4" s="4" t="str">
        <f t="shared" si="46"/>
        <v/>
      </c>
      <c r="IX4" s="4" t="str">
        <f t="shared" si="47"/>
        <v/>
      </c>
      <c r="IY4" s="4" t="str">
        <f t="shared" si="48"/>
        <v/>
      </c>
      <c r="IZ4" s="4" t="str">
        <f t="shared" si="49"/>
        <v/>
      </c>
      <c r="JA4" s="4" t="str">
        <f t="shared" si="50"/>
        <v/>
      </c>
      <c r="JB4" s="4" t="str">
        <f t="shared" si="51"/>
        <v/>
      </c>
      <c r="JC4" s="4" t="str">
        <f t="shared" si="52"/>
        <v/>
      </c>
      <c r="JD4" s="4" t="str">
        <f t="shared" si="53"/>
        <v/>
      </c>
      <c r="JE4" s="4" t="str">
        <f t="shared" si="54"/>
        <v/>
      </c>
      <c r="JF4" s="4" t="str">
        <f t="shared" si="55"/>
        <v/>
      </c>
      <c r="JG4" s="4" t="str">
        <f t="shared" si="56"/>
        <v/>
      </c>
      <c r="JH4" s="4" t="str">
        <f t="shared" si="57"/>
        <v/>
      </c>
      <c r="JI4" s="4" t="str">
        <f t="shared" si="58"/>
        <v/>
      </c>
      <c r="JJ4" s="4" t="str">
        <f t="shared" si="59"/>
        <v/>
      </c>
      <c r="JK4" s="4" t="str">
        <f t="shared" si="60"/>
        <v/>
      </c>
      <c r="JL4" s="4" t="str">
        <f t="shared" si="61"/>
        <v/>
      </c>
      <c r="JM4" s="4" t="str">
        <f t="shared" si="62"/>
        <v/>
      </c>
      <c r="JN4" s="4" t="str">
        <f t="shared" si="63"/>
        <v/>
      </c>
      <c r="JO4" s="129" t="str">
        <f t="shared" si="64"/>
        <v/>
      </c>
      <c r="JP4" s="122" t="str">
        <f t="shared" si="65"/>
        <v/>
      </c>
      <c r="JQ4" s="122" t="str">
        <f t="shared" si="66"/>
        <v/>
      </c>
      <c r="JR4" s="122" t="str">
        <f t="shared" si="67"/>
        <v/>
      </c>
      <c r="JS4" s="122" t="str">
        <f t="shared" si="68"/>
        <v/>
      </c>
      <c r="JT4" s="122" t="str">
        <f t="shared" si="69"/>
        <v/>
      </c>
      <c r="JU4" s="122" t="str">
        <f t="shared" si="70"/>
        <v/>
      </c>
      <c r="JV4" s="122" t="str">
        <f t="shared" si="71"/>
        <v/>
      </c>
      <c r="JW4" s="122" t="str">
        <f t="shared" si="72"/>
        <v/>
      </c>
      <c r="JX4" s="122" t="str">
        <f t="shared" si="73"/>
        <v/>
      </c>
      <c r="JY4" s="122" t="str">
        <f t="shared" si="74"/>
        <v/>
      </c>
      <c r="JZ4" s="122" t="str">
        <f t="shared" si="75"/>
        <v/>
      </c>
      <c r="KA4" s="122" t="str">
        <f t="shared" si="76"/>
        <v/>
      </c>
      <c r="KB4" s="122" t="str">
        <f t="shared" si="77"/>
        <v/>
      </c>
      <c r="KC4" s="122" t="str">
        <f t="shared" si="78"/>
        <v/>
      </c>
      <c r="KD4" s="122" t="str">
        <f t="shared" si="79"/>
        <v/>
      </c>
      <c r="KE4" s="133" t="str">
        <f t="shared" si="80"/>
        <v/>
      </c>
      <c r="KF4" s="94" t="str">
        <f t="shared" si="81"/>
        <v/>
      </c>
      <c r="KG4" s="4" t="str">
        <f t="shared" si="82"/>
        <v/>
      </c>
      <c r="KH4" s="4" t="str">
        <f t="shared" si="83"/>
        <v/>
      </c>
      <c r="KI4" s="4" t="str">
        <f t="shared" si="84"/>
        <v/>
      </c>
      <c r="KJ4" s="4" t="str">
        <f t="shared" si="85"/>
        <v/>
      </c>
      <c r="KK4" s="4" t="str">
        <f t="shared" si="86"/>
        <v/>
      </c>
      <c r="KL4" s="4" t="str">
        <f t="shared" si="87"/>
        <v/>
      </c>
      <c r="KM4" s="4" t="str">
        <f t="shared" si="88"/>
        <v/>
      </c>
      <c r="KN4" s="4" t="str">
        <f t="shared" si="89"/>
        <v/>
      </c>
      <c r="KO4" s="4" t="str">
        <f t="shared" si="90"/>
        <v/>
      </c>
      <c r="KP4" s="4" t="str">
        <f t="shared" si="91"/>
        <v/>
      </c>
      <c r="KQ4" s="4" t="str">
        <f t="shared" si="92"/>
        <v/>
      </c>
      <c r="KR4" s="4" t="str">
        <f t="shared" si="93"/>
        <v/>
      </c>
      <c r="KS4" s="4" t="str">
        <f t="shared" si="94"/>
        <v/>
      </c>
      <c r="KT4" s="4" t="str">
        <f t="shared" si="95"/>
        <v/>
      </c>
      <c r="KU4" s="4" t="str">
        <f t="shared" si="96"/>
        <v/>
      </c>
      <c r="KV4" s="4" t="str">
        <f t="shared" si="97"/>
        <v/>
      </c>
      <c r="KW4" s="4" t="str">
        <f t="shared" si="98"/>
        <v/>
      </c>
      <c r="KX4" s="4" t="str">
        <f t="shared" si="99"/>
        <v/>
      </c>
      <c r="KY4" s="4" t="str">
        <f t="shared" si="100"/>
        <v/>
      </c>
      <c r="KZ4" s="4" t="str">
        <f t="shared" si="101"/>
        <v/>
      </c>
      <c r="LA4" s="4" t="str">
        <f t="shared" si="102"/>
        <v/>
      </c>
      <c r="LB4" s="4" t="str">
        <f t="shared" si="103"/>
        <v/>
      </c>
      <c r="LC4" s="4" t="str">
        <f t="shared" si="104"/>
        <v/>
      </c>
      <c r="LD4" s="4" t="str">
        <f t="shared" si="105"/>
        <v/>
      </c>
      <c r="LE4" s="4" t="str">
        <f t="shared" si="106"/>
        <v/>
      </c>
      <c r="LF4" s="4" t="str">
        <f t="shared" si="107"/>
        <v/>
      </c>
      <c r="LG4" s="4" t="str">
        <f t="shared" si="108"/>
        <v/>
      </c>
      <c r="LH4" s="4" t="str">
        <f t="shared" si="109"/>
        <v/>
      </c>
      <c r="LI4" s="4" t="str">
        <f t="shared" si="110"/>
        <v/>
      </c>
      <c r="LJ4" s="4" t="str">
        <f t="shared" si="111"/>
        <v/>
      </c>
      <c r="LK4" s="4" t="str">
        <f t="shared" si="112"/>
        <v/>
      </c>
      <c r="LL4" s="4" t="str">
        <f t="shared" si="113"/>
        <v/>
      </c>
      <c r="LM4" s="4" t="str">
        <f t="shared" si="114"/>
        <v/>
      </c>
      <c r="LN4" s="4" t="str">
        <f t="shared" si="115"/>
        <v/>
      </c>
      <c r="LO4" s="4" t="str">
        <f t="shared" si="116"/>
        <v/>
      </c>
      <c r="LP4" s="4" t="str">
        <f t="shared" si="117"/>
        <v/>
      </c>
      <c r="LQ4" s="4" t="str">
        <f t="shared" si="118"/>
        <v/>
      </c>
      <c r="LR4" s="4" t="str">
        <f t="shared" si="119"/>
        <v/>
      </c>
      <c r="LS4" s="4" t="str">
        <f t="shared" si="120"/>
        <v/>
      </c>
      <c r="LT4" s="4" t="str">
        <f t="shared" si="121"/>
        <v/>
      </c>
      <c r="LU4" s="4" t="str">
        <f t="shared" si="122"/>
        <v/>
      </c>
      <c r="LV4" s="4" t="str">
        <f t="shared" si="123"/>
        <v/>
      </c>
      <c r="LW4" s="4" t="str">
        <f t="shared" si="124"/>
        <v/>
      </c>
      <c r="LX4" s="4" t="str">
        <f t="shared" si="125"/>
        <v/>
      </c>
      <c r="LY4" s="4" t="str">
        <f t="shared" si="126"/>
        <v/>
      </c>
      <c r="LZ4" s="4" t="str">
        <f t="shared" si="127"/>
        <v/>
      </c>
      <c r="MA4" s="4" t="str">
        <f t="shared" si="128"/>
        <v/>
      </c>
      <c r="MB4" s="4" t="str">
        <f t="shared" si="129"/>
        <v/>
      </c>
      <c r="MC4" s="4" t="str">
        <f t="shared" si="130"/>
        <v/>
      </c>
      <c r="MD4" s="4" t="str">
        <f t="shared" si="131"/>
        <v/>
      </c>
      <c r="ME4" s="4">
        <f t="shared" si="132"/>
        <v>0</v>
      </c>
    </row>
    <row r="5" spans="1:343" ht="26.25" customHeight="1" thickBot="1" x14ac:dyDescent="0.25">
      <c r="A5" s="35">
        <v>41185</v>
      </c>
      <c r="B5" s="36" t="s">
        <v>181</v>
      </c>
      <c r="C5" s="36" t="s">
        <v>94</v>
      </c>
      <c r="D5" s="31" t="s">
        <v>110</v>
      </c>
      <c r="E5" s="4">
        <v>65</v>
      </c>
      <c r="F5" s="3">
        <v>17150</v>
      </c>
      <c r="G5" s="4" t="s">
        <v>87</v>
      </c>
      <c r="H5" s="4" t="s">
        <v>108</v>
      </c>
      <c r="I5" s="4">
        <v>1834065</v>
      </c>
      <c r="J5" s="4" t="s">
        <v>311</v>
      </c>
      <c r="K5" s="74"/>
      <c r="L5" s="75"/>
      <c r="M5" s="75"/>
      <c r="N5" s="75"/>
      <c r="O5" s="75"/>
      <c r="P5" s="4">
        <v>-0.75</v>
      </c>
      <c r="Q5" s="4">
        <v>-0.95</v>
      </c>
      <c r="R5" s="4" t="s">
        <v>249</v>
      </c>
      <c r="S5" s="67">
        <v>26.5</v>
      </c>
      <c r="T5" s="136">
        <v>41184</v>
      </c>
      <c r="U5" s="67">
        <v>2</v>
      </c>
      <c r="V5" s="67">
        <v>1.25</v>
      </c>
      <c r="W5" s="4">
        <v>20</v>
      </c>
      <c r="X5" s="4">
        <v>50</v>
      </c>
      <c r="Y5" s="4">
        <v>14</v>
      </c>
      <c r="AA5" s="4">
        <v>21.54</v>
      </c>
      <c r="AB5" s="4">
        <v>11.7</v>
      </c>
      <c r="AC5" s="4">
        <v>5.33</v>
      </c>
      <c r="AD5" s="4">
        <v>2.97</v>
      </c>
      <c r="AE5" s="4">
        <v>45.49</v>
      </c>
      <c r="AF5" s="4">
        <v>97</v>
      </c>
      <c r="AG5" s="4">
        <v>45.92</v>
      </c>
      <c r="AH5" s="4">
        <v>7</v>
      </c>
      <c r="AI5" s="4">
        <v>2</v>
      </c>
      <c r="AJ5" s="4" t="b">
        <f t="shared" si="0"/>
        <v>1</v>
      </c>
      <c r="AL5" s="4" t="s">
        <v>78</v>
      </c>
      <c r="AM5" s="59"/>
      <c r="BA5" s="4" t="str">
        <f t="shared" si="1"/>
        <v/>
      </c>
      <c r="BB5" s="4" t="str">
        <f t="shared" si="2"/>
        <v/>
      </c>
      <c r="BC5" s="4" t="str">
        <f t="shared" si="3"/>
        <v/>
      </c>
      <c r="BD5" s="51" t="s">
        <v>505</v>
      </c>
      <c r="BE5" s="59"/>
      <c r="BS5" s="4" t="str">
        <f t="shared" si="4"/>
        <v/>
      </c>
      <c r="BT5" s="4" t="str">
        <f t="shared" si="5"/>
        <v/>
      </c>
      <c r="BU5" s="4" t="str">
        <f t="shared" si="6"/>
        <v/>
      </c>
      <c r="BV5" s="4">
        <f t="shared" si="7"/>
        <v>0</v>
      </c>
      <c r="BW5" s="4">
        <f t="shared" si="8"/>
        <v>0</v>
      </c>
      <c r="BX5" s="4" t="str">
        <f t="shared" si="9"/>
        <v/>
      </c>
      <c r="BY5" s="4" t="str">
        <f t="shared" si="10"/>
        <v/>
      </c>
      <c r="BZ5" s="4" t="str">
        <f t="shared" si="11"/>
        <v/>
      </c>
      <c r="CA5" s="53">
        <f t="shared" si="12"/>
        <v>0</v>
      </c>
      <c r="CB5" s="55" t="str">
        <f t="shared" si="13"/>
        <v/>
      </c>
      <c r="CC5" s="4" t="str">
        <f t="shared" si="14"/>
        <v/>
      </c>
      <c r="CD5" s="4" t="str">
        <f t="shared" si="15"/>
        <v/>
      </c>
      <c r="CE5" s="4" t="str">
        <f t="shared" si="16"/>
        <v/>
      </c>
      <c r="CF5" s="4" t="str">
        <f t="shared" si="17"/>
        <v/>
      </c>
      <c r="CG5" s="4" t="str">
        <f t="shared" si="18"/>
        <v/>
      </c>
      <c r="CH5" s="4" t="str">
        <f t="shared" si="19"/>
        <v/>
      </c>
      <c r="CI5" s="104" t="str">
        <f t="shared" si="20"/>
        <v/>
      </c>
      <c r="CJ5" s="94" t="str">
        <f t="shared" si="21"/>
        <v/>
      </c>
      <c r="CK5" s="4" t="str">
        <f t="shared" si="22"/>
        <v/>
      </c>
      <c r="CL5" s="107" t="str">
        <f t="shared" si="23"/>
        <v/>
      </c>
      <c r="CM5" s="107" t="str">
        <f t="shared" si="24"/>
        <v/>
      </c>
      <c r="CN5" s="139" t="str">
        <f t="shared" si="25"/>
        <v/>
      </c>
      <c r="CO5" s="139" t="str">
        <f t="shared" si="26"/>
        <v/>
      </c>
      <c r="CP5" s="149" t="str">
        <f t="shared" si="27"/>
        <v/>
      </c>
      <c r="CQ5" s="149" t="str">
        <f t="shared" si="28"/>
        <v/>
      </c>
      <c r="CR5" s="148" t="str">
        <f t="shared" si="29"/>
        <v/>
      </c>
      <c r="CS5" s="152" t="str">
        <f t="shared" si="30"/>
        <v/>
      </c>
      <c r="CT5" s="107" t="str">
        <f t="shared" si="31"/>
        <v/>
      </c>
      <c r="CU5" s="155" t="str">
        <f t="shared" si="32"/>
        <v/>
      </c>
      <c r="EC5" s="107"/>
      <c r="ED5" s="107"/>
      <c r="EE5" s="107"/>
      <c r="EF5" s="107"/>
      <c r="EG5" s="107"/>
      <c r="EH5" s="107"/>
      <c r="EI5" s="107"/>
      <c r="EJ5" s="107"/>
      <c r="EK5" s="107"/>
      <c r="EL5" s="107"/>
      <c r="EM5" s="107"/>
      <c r="EN5" s="107"/>
      <c r="EO5" s="107"/>
      <c r="EP5" s="107"/>
      <c r="EQ5" s="127"/>
      <c r="ER5" s="107"/>
      <c r="FX5" s="100"/>
      <c r="IJ5" s="94" t="str">
        <f t="shared" si="33"/>
        <v/>
      </c>
      <c r="IK5" s="4" t="str">
        <f t="shared" si="34"/>
        <v/>
      </c>
      <c r="IL5" s="4" t="str">
        <f t="shared" si="35"/>
        <v/>
      </c>
      <c r="IM5" s="4" t="str">
        <f t="shared" si="36"/>
        <v/>
      </c>
      <c r="IN5" s="4" t="str">
        <f t="shared" si="37"/>
        <v/>
      </c>
      <c r="IO5" s="4" t="str">
        <f t="shared" si="38"/>
        <v/>
      </c>
      <c r="IP5" s="4" t="str">
        <f t="shared" si="39"/>
        <v/>
      </c>
      <c r="IQ5" s="4" t="str">
        <f t="shared" si="40"/>
        <v/>
      </c>
      <c r="IR5" s="4" t="str">
        <f t="shared" si="41"/>
        <v/>
      </c>
      <c r="IS5" s="4" t="str">
        <f t="shared" si="42"/>
        <v/>
      </c>
      <c r="IT5" s="4" t="str">
        <f t="shared" si="43"/>
        <v/>
      </c>
      <c r="IU5" s="4" t="str">
        <f t="shared" si="44"/>
        <v/>
      </c>
      <c r="IV5" s="4" t="str">
        <f t="shared" si="45"/>
        <v/>
      </c>
      <c r="IW5" s="4" t="str">
        <f t="shared" si="46"/>
        <v/>
      </c>
      <c r="IX5" s="4" t="str">
        <f t="shared" si="47"/>
        <v/>
      </c>
      <c r="IY5" s="4" t="str">
        <f t="shared" si="48"/>
        <v/>
      </c>
      <c r="IZ5" s="4" t="str">
        <f t="shared" si="49"/>
        <v/>
      </c>
      <c r="JA5" s="4" t="str">
        <f t="shared" si="50"/>
        <v/>
      </c>
      <c r="JB5" s="4" t="str">
        <f t="shared" si="51"/>
        <v/>
      </c>
      <c r="JC5" s="4" t="str">
        <f t="shared" si="52"/>
        <v/>
      </c>
      <c r="JD5" s="4" t="str">
        <f t="shared" si="53"/>
        <v/>
      </c>
      <c r="JE5" s="4" t="str">
        <f t="shared" si="54"/>
        <v/>
      </c>
      <c r="JF5" s="4" t="str">
        <f t="shared" si="55"/>
        <v/>
      </c>
      <c r="JG5" s="4" t="str">
        <f t="shared" si="56"/>
        <v/>
      </c>
      <c r="JH5" s="4" t="str">
        <f t="shared" si="57"/>
        <v/>
      </c>
      <c r="JI5" s="4" t="str">
        <f t="shared" si="58"/>
        <v/>
      </c>
      <c r="JJ5" s="4" t="str">
        <f t="shared" si="59"/>
        <v/>
      </c>
      <c r="JK5" s="4" t="str">
        <f t="shared" si="60"/>
        <v/>
      </c>
      <c r="JL5" s="4" t="str">
        <f t="shared" si="61"/>
        <v/>
      </c>
      <c r="JM5" s="4" t="str">
        <f t="shared" si="62"/>
        <v/>
      </c>
      <c r="JN5" s="4" t="str">
        <f t="shared" si="63"/>
        <v/>
      </c>
      <c r="JO5" s="129" t="str">
        <f t="shared" si="64"/>
        <v/>
      </c>
      <c r="JP5" s="122" t="str">
        <f t="shared" si="65"/>
        <v/>
      </c>
      <c r="JQ5" s="122" t="str">
        <f t="shared" si="66"/>
        <v/>
      </c>
      <c r="JR5" s="122" t="str">
        <f t="shared" si="67"/>
        <v/>
      </c>
      <c r="JS5" s="122" t="str">
        <f t="shared" si="68"/>
        <v/>
      </c>
      <c r="JT5" s="122" t="str">
        <f t="shared" si="69"/>
        <v/>
      </c>
      <c r="JU5" s="122" t="str">
        <f t="shared" si="70"/>
        <v/>
      </c>
      <c r="JV5" s="122" t="str">
        <f t="shared" si="71"/>
        <v/>
      </c>
      <c r="JW5" s="122" t="str">
        <f t="shared" si="72"/>
        <v/>
      </c>
      <c r="JX5" s="122" t="str">
        <f t="shared" si="73"/>
        <v/>
      </c>
      <c r="JY5" s="122" t="str">
        <f t="shared" si="74"/>
        <v/>
      </c>
      <c r="JZ5" s="122" t="str">
        <f t="shared" si="75"/>
        <v/>
      </c>
      <c r="KA5" s="122" t="str">
        <f t="shared" si="76"/>
        <v/>
      </c>
      <c r="KB5" s="122" t="str">
        <f t="shared" si="77"/>
        <v/>
      </c>
      <c r="KC5" s="122" t="str">
        <f t="shared" si="78"/>
        <v/>
      </c>
      <c r="KD5" s="122" t="str">
        <f t="shared" si="79"/>
        <v/>
      </c>
      <c r="KE5" s="133" t="str">
        <f t="shared" si="80"/>
        <v/>
      </c>
      <c r="KF5" s="94" t="str">
        <f t="shared" si="81"/>
        <v/>
      </c>
      <c r="KG5" s="4" t="str">
        <f t="shared" si="82"/>
        <v/>
      </c>
      <c r="KH5" s="4" t="str">
        <f t="shared" si="83"/>
        <v/>
      </c>
      <c r="KI5" s="4" t="str">
        <f t="shared" si="84"/>
        <v/>
      </c>
      <c r="KJ5" s="4" t="str">
        <f t="shared" si="85"/>
        <v/>
      </c>
      <c r="KK5" s="4" t="str">
        <f t="shared" si="86"/>
        <v/>
      </c>
      <c r="KL5" s="4" t="str">
        <f t="shared" si="87"/>
        <v/>
      </c>
      <c r="KM5" s="4" t="str">
        <f t="shared" si="88"/>
        <v/>
      </c>
      <c r="KN5" s="4" t="str">
        <f t="shared" si="89"/>
        <v/>
      </c>
      <c r="KO5" s="4" t="str">
        <f t="shared" si="90"/>
        <v/>
      </c>
      <c r="KP5" s="4" t="str">
        <f t="shared" si="91"/>
        <v/>
      </c>
      <c r="KQ5" s="4" t="str">
        <f t="shared" si="92"/>
        <v/>
      </c>
      <c r="KR5" s="4" t="str">
        <f t="shared" si="93"/>
        <v/>
      </c>
      <c r="KS5" s="4" t="str">
        <f t="shared" si="94"/>
        <v/>
      </c>
      <c r="KT5" s="4" t="str">
        <f t="shared" si="95"/>
        <v/>
      </c>
      <c r="KU5" s="4" t="str">
        <f t="shared" si="96"/>
        <v/>
      </c>
      <c r="KV5" s="4" t="str">
        <f t="shared" si="97"/>
        <v/>
      </c>
      <c r="KW5" s="4" t="str">
        <f t="shared" si="98"/>
        <v/>
      </c>
      <c r="KX5" s="4" t="str">
        <f t="shared" si="99"/>
        <v/>
      </c>
      <c r="KY5" s="4" t="str">
        <f t="shared" si="100"/>
        <v/>
      </c>
      <c r="KZ5" s="4" t="str">
        <f t="shared" si="101"/>
        <v/>
      </c>
      <c r="LA5" s="4" t="str">
        <f t="shared" si="102"/>
        <v/>
      </c>
      <c r="LB5" s="4" t="str">
        <f t="shared" si="103"/>
        <v/>
      </c>
      <c r="LC5" s="4" t="str">
        <f t="shared" si="104"/>
        <v/>
      </c>
      <c r="LD5" s="4" t="str">
        <f t="shared" si="105"/>
        <v/>
      </c>
      <c r="LE5" s="4" t="str">
        <f t="shared" si="106"/>
        <v/>
      </c>
      <c r="LF5" s="4" t="str">
        <f t="shared" si="107"/>
        <v/>
      </c>
      <c r="LG5" s="4" t="str">
        <f t="shared" si="108"/>
        <v/>
      </c>
      <c r="LH5" s="4" t="str">
        <f t="shared" si="109"/>
        <v/>
      </c>
      <c r="LI5" s="4" t="str">
        <f t="shared" si="110"/>
        <v/>
      </c>
      <c r="LJ5" s="4" t="str">
        <f t="shared" si="111"/>
        <v/>
      </c>
      <c r="LK5" s="4" t="str">
        <f t="shared" si="112"/>
        <v/>
      </c>
      <c r="LL5" s="4" t="str">
        <f t="shared" si="113"/>
        <v/>
      </c>
      <c r="LM5" s="4" t="str">
        <f t="shared" si="114"/>
        <v/>
      </c>
      <c r="LN5" s="4" t="str">
        <f t="shared" si="115"/>
        <v/>
      </c>
      <c r="LO5" s="4" t="str">
        <f t="shared" si="116"/>
        <v/>
      </c>
      <c r="LP5" s="4" t="str">
        <f t="shared" si="117"/>
        <v/>
      </c>
      <c r="LQ5" s="4" t="str">
        <f t="shared" si="118"/>
        <v/>
      </c>
      <c r="LR5" s="4" t="str">
        <f t="shared" si="119"/>
        <v/>
      </c>
      <c r="LS5" s="4" t="str">
        <f t="shared" si="120"/>
        <v/>
      </c>
      <c r="LT5" s="4" t="str">
        <f t="shared" si="121"/>
        <v/>
      </c>
      <c r="LU5" s="4" t="str">
        <f t="shared" si="122"/>
        <v/>
      </c>
      <c r="LV5" s="4" t="str">
        <f t="shared" si="123"/>
        <v/>
      </c>
      <c r="LW5" s="4" t="str">
        <f t="shared" si="124"/>
        <v/>
      </c>
      <c r="LX5" s="4" t="str">
        <f t="shared" si="125"/>
        <v/>
      </c>
      <c r="LY5" s="4" t="str">
        <f t="shared" si="126"/>
        <v/>
      </c>
      <c r="LZ5" s="4" t="str">
        <f t="shared" si="127"/>
        <v/>
      </c>
      <c r="MA5" s="4" t="str">
        <f t="shared" si="128"/>
        <v/>
      </c>
      <c r="MB5" s="4" t="str">
        <f t="shared" si="129"/>
        <v/>
      </c>
      <c r="MC5" s="4" t="str">
        <f t="shared" si="130"/>
        <v/>
      </c>
      <c r="MD5" s="4" t="str">
        <f t="shared" si="131"/>
        <v/>
      </c>
      <c r="ME5" s="4">
        <f t="shared" si="132"/>
        <v>0</v>
      </c>
    </row>
    <row r="6" spans="1:343" ht="26.25" customHeight="1" thickBot="1" x14ac:dyDescent="0.25">
      <c r="A6" s="35">
        <v>41192</v>
      </c>
      <c r="B6" s="36" t="s">
        <v>224</v>
      </c>
      <c r="C6" s="36" t="s">
        <v>113</v>
      </c>
      <c r="D6" s="31" t="s">
        <v>111</v>
      </c>
      <c r="E6" s="4">
        <v>56</v>
      </c>
      <c r="F6" s="3">
        <v>20406</v>
      </c>
      <c r="G6" s="4" t="s">
        <v>87</v>
      </c>
      <c r="H6" s="4" t="s">
        <v>112</v>
      </c>
      <c r="I6" s="4">
        <v>1834930</v>
      </c>
      <c r="K6" s="74"/>
      <c r="L6" s="75"/>
      <c r="M6" s="75"/>
      <c r="N6" s="75"/>
      <c r="O6" s="75"/>
      <c r="P6" s="33">
        <v>-0.5</v>
      </c>
      <c r="Q6" s="4">
        <v>-0.55000000000000004</v>
      </c>
      <c r="R6" s="33" t="s">
        <v>249</v>
      </c>
      <c r="S6" s="67">
        <v>15.5</v>
      </c>
      <c r="T6" s="136">
        <v>41120</v>
      </c>
      <c r="U6" s="67">
        <v>-4</v>
      </c>
      <c r="V6" s="67">
        <v>1</v>
      </c>
      <c r="W6" s="4">
        <v>15</v>
      </c>
      <c r="X6" s="4">
        <v>60</v>
      </c>
      <c r="Y6" s="4">
        <v>13</v>
      </c>
      <c r="Z6" s="4">
        <v>603</v>
      </c>
      <c r="AA6" s="4">
        <v>25.19</v>
      </c>
      <c r="AB6" s="4">
        <v>12</v>
      </c>
      <c r="AC6" s="4">
        <v>4.05</v>
      </c>
      <c r="AD6" s="4">
        <v>4.24</v>
      </c>
      <c r="AE6" s="4">
        <v>45.06</v>
      </c>
      <c r="AF6" s="4">
        <v>158</v>
      </c>
      <c r="AG6" s="4">
        <v>46.04</v>
      </c>
      <c r="AH6" s="4">
        <v>68</v>
      </c>
      <c r="AI6" s="4">
        <v>0</v>
      </c>
      <c r="AJ6" s="4" t="b">
        <f t="shared" si="0"/>
        <v>0</v>
      </c>
      <c r="AL6" s="4" t="s">
        <v>78</v>
      </c>
      <c r="BA6" s="4" t="str">
        <f t="shared" si="1"/>
        <v/>
      </c>
      <c r="BB6" s="4" t="str">
        <f t="shared" si="2"/>
        <v/>
      </c>
      <c r="BC6" s="4" t="str">
        <f t="shared" si="3"/>
        <v/>
      </c>
      <c r="BD6" s="51" t="s">
        <v>505</v>
      </c>
      <c r="BE6" s="59"/>
      <c r="BS6" s="4" t="str">
        <f t="shared" si="4"/>
        <v/>
      </c>
      <c r="BT6" s="4" t="str">
        <f t="shared" si="5"/>
        <v/>
      </c>
      <c r="BU6" s="4" t="str">
        <f t="shared" si="6"/>
        <v/>
      </c>
      <c r="BV6" s="4">
        <f t="shared" si="7"/>
        <v>0</v>
      </c>
      <c r="BW6" s="4">
        <f t="shared" si="8"/>
        <v>0</v>
      </c>
      <c r="BX6" s="4" t="str">
        <f t="shared" si="9"/>
        <v/>
      </c>
      <c r="BY6" s="4" t="str">
        <f t="shared" si="10"/>
        <v/>
      </c>
      <c r="BZ6" s="4" t="str">
        <f t="shared" si="11"/>
        <v/>
      </c>
      <c r="CA6" s="53">
        <f t="shared" si="12"/>
        <v>0</v>
      </c>
      <c r="CB6" s="55" t="str">
        <f t="shared" si="13"/>
        <v/>
      </c>
      <c r="CC6" s="4" t="str">
        <f t="shared" si="14"/>
        <v/>
      </c>
      <c r="CD6" s="4" t="str">
        <f t="shared" si="15"/>
        <v/>
      </c>
      <c r="CE6" s="4" t="str">
        <f t="shared" si="16"/>
        <v/>
      </c>
      <c r="CF6" s="4" t="str">
        <f t="shared" si="17"/>
        <v/>
      </c>
      <c r="CG6" s="4" t="str">
        <f t="shared" si="18"/>
        <v/>
      </c>
      <c r="CH6" s="4" t="str">
        <f t="shared" si="19"/>
        <v/>
      </c>
      <c r="CI6" s="104" t="str">
        <f t="shared" si="20"/>
        <v/>
      </c>
      <c r="CJ6" s="94" t="str">
        <f t="shared" si="21"/>
        <v/>
      </c>
      <c r="CK6" s="4" t="str">
        <f t="shared" si="22"/>
        <v/>
      </c>
      <c r="CL6" s="107" t="str">
        <f t="shared" si="23"/>
        <v/>
      </c>
      <c r="CM6" s="107" t="str">
        <f t="shared" si="24"/>
        <v/>
      </c>
      <c r="CN6" s="139" t="str">
        <f t="shared" si="25"/>
        <v/>
      </c>
      <c r="CO6" s="139" t="str">
        <f t="shared" si="26"/>
        <v/>
      </c>
      <c r="CP6" s="149" t="str">
        <f t="shared" si="27"/>
        <v/>
      </c>
      <c r="CQ6" s="149" t="str">
        <f t="shared" si="28"/>
        <v/>
      </c>
      <c r="CR6" s="148" t="str">
        <f t="shared" si="29"/>
        <v/>
      </c>
      <c r="CS6" s="152" t="str">
        <f t="shared" si="30"/>
        <v/>
      </c>
      <c r="CT6" s="107" t="str">
        <f t="shared" si="31"/>
        <v/>
      </c>
      <c r="CU6" s="155" t="str">
        <f t="shared" si="32"/>
        <v/>
      </c>
      <c r="IJ6" s="94" t="str">
        <f t="shared" si="33"/>
        <v/>
      </c>
      <c r="IK6" s="4" t="str">
        <f t="shared" si="34"/>
        <v/>
      </c>
      <c r="IL6" s="4" t="str">
        <f t="shared" si="35"/>
        <v/>
      </c>
      <c r="IM6" s="4" t="str">
        <f t="shared" si="36"/>
        <v/>
      </c>
      <c r="IN6" s="4" t="str">
        <f t="shared" si="37"/>
        <v/>
      </c>
      <c r="IO6" s="4" t="str">
        <f t="shared" si="38"/>
        <v/>
      </c>
      <c r="IP6" s="4" t="str">
        <f t="shared" si="39"/>
        <v/>
      </c>
      <c r="IQ6" s="4" t="str">
        <f t="shared" si="40"/>
        <v/>
      </c>
      <c r="IR6" s="4" t="str">
        <f t="shared" si="41"/>
        <v/>
      </c>
      <c r="IS6" s="4" t="str">
        <f t="shared" si="42"/>
        <v/>
      </c>
      <c r="IT6" s="4" t="str">
        <f t="shared" si="43"/>
        <v/>
      </c>
      <c r="IU6" s="4" t="str">
        <f t="shared" si="44"/>
        <v/>
      </c>
      <c r="IV6" s="4" t="str">
        <f t="shared" si="45"/>
        <v/>
      </c>
      <c r="IW6" s="4" t="str">
        <f t="shared" si="46"/>
        <v/>
      </c>
      <c r="IX6" s="4" t="str">
        <f t="shared" si="47"/>
        <v/>
      </c>
      <c r="IY6" s="4" t="str">
        <f t="shared" si="48"/>
        <v/>
      </c>
      <c r="IZ6" s="4" t="str">
        <f t="shared" si="49"/>
        <v/>
      </c>
      <c r="JA6" s="4" t="str">
        <f t="shared" si="50"/>
        <v/>
      </c>
      <c r="JB6" s="4" t="str">
        <f t="shared" si="51"/>
        <v/>
      </c>
      <c r="JC6" s="4" t="str">
        <f t="shared" si="52"/>
        <v/>
      </c>
      <c r="JD6" s="4" t="str">
        <f t="shared" si="53"/>
        <v/>
      </c>
      <c r="JE6" s="4" t="str">
        <f t="shared" si="54"/>
        <v/>
      </c>
      <c r="JF6" s="4" t="str">
        <f t="shared" si="55"/>
        <v/>
      </c>
      <c r="JG6" s="4" t="str">
        <f t="shared" si="56"/>
        <v/>
      </c>
      <c r="JH6" s="4" t="str">
        <f t="shared" si="57"/>
        <v/>
      </c>
      <c r="JI6" s="4" t="str">
        <f t="shared" si="58"/>
        <v/>
      </c>
      <c r="JJ6" s="4" t="str">
        <f t="shared" si="59"/>
        <v/>
      </c>
      <c r="JK6" s="4" t="str">
        <f t="shared" si="60"/>
        <v/>
      </c>
      <c r="JL6" s="4" t="str">
        <f t="shared" si="61"/>
        <v/>
      </c>
      <c r="JM6" s="4" t="str">
        <f t="shared" si="62"/>
        <v/>
      </c>
      <c r="JN6" s="4" t="str">
        <f t="shared" si="63"/>
        <v/>
      </c>
      <c r="JO6" s="129" t="str">
        <f t="shared" si="64"/>
        <v/>
      </c>
      <c r="JP6" s="122" t="str">
        <f t="shared" si="65"/>
        <v/>
      </c>
      <c r="JQ6" s="122" t="str">
        <f t="shared" si="66"/>
        <v/>
      </c>
      <c r="JR6" s="122" t="str">
        <f t="shared" si="67"/>
        <v/>
      </c>
      <c r="JS6" s="122" t="str">
        <f t="shared" si="68"/>
        <v/>
      </c>
      <c r="JT6" s="122" t="str">
        <f t="shared" si="69"/>
        <v/>
      </c>
      <c r="JU6" s="122" t="str">
        <f t="shared" si="70"/>
        <v/>
      </c>
      <c r="JV6" s="122" t="str">
        <f t="shared" si="71"/>
        <v/>
      </c>
      <c r="JW6" s="122" t="str">
        <f t="shared" si="72"/>
        <v/>
      </c>
      <c r="JX6" s="122" t="str">
        <f t="shared" si="73"/>
        <v/>
      </c>
      <c r="JY6" s="122" t="str">
        <f t="shared" si="74"/>
        <v/>
      </c>
      <c r="JZ6" s="122" t="str">
        <f t="shared" si="75"/>
        <v/>
      </c>
      <c r="KA6" s="122" t="str">
        <f t="shared" si="76"/>
        <v/>
      </c>
      <c r="KB6" s="122" t="str">
        <f t="shared" si="77"/>
        <v/>
      </c>
      <c r="KC6" s="122" t="str">
        <f t="shared" si="78"/>
        <v/>
      </c>
      <c r="KD6" s="122" t="str">
        <f t="shared" si="79"/>
        <v/>
      </c>
      <c r="KE6" s="133" t="str">
        <f t="shared" si="80"/>
        <v/>
      </c>
      <c r="KF6" s="94" t="str">
        <f t="shared" si="81"/>
        <v/>
      </c>
      <c r="KG6" s="4" t="str">
        <f t="shared" si="82"/>
        <v/>
      </c>
      <c r="KH6" s="4" t="str">
        <f t="shared" si="83"/>
        <v/>
      </c>
      <c r="KI6" s="4" t="str">
        <f t="shared" si="84"/>
        <v/>
      </c>
      <c r="KJ6" s="4" t="str">
        <f t="shared" si="85"/>
        <v/>
      </c>
      <c r="KK6" s="4" t="str">
        <f t="shared" si="86"/>
        <v/>
      </c>
      <c r="KL6" s="4" t="str">
        <f t="shared" si="87"/>
        <v/>
      </c>
      <c r="KM6" s="4" t="str">
        <f t="shared" si="88"/>
        <v/>
      </c>
      <c r="KN6" s="4" t="str">
        <f t="shared" si="89"/>
        <v/>
      </c>
      <c r="KO6" s="4" t="str">
        <f t="shared" si="90"/>
        <v/>
      </c>
      <c r="KP6" s="4" t="str">
        <f t="shared" si="91"/>
        <v/>
      </c>
      <c r="KQ6" s="4" t="str">
        <f t="shared" si="92"/>
        <v/>
      </c>
      <c r="KR6" s="4" t="str">
        <f t="shared" si="93"/>
        <v/>
      </c>
      <c r="KS6" s="4" t="str">
        <f t="shared" si="94"/>
        <v/>
      </c>
      <c r="KT6" s="4" t="str">
        <f t="shared" si="95"/>
        <v/>
      </c>
      <c r="KU6" s="4" t="str">
        <f t="shared" si="96"/>
        <v/>
      </c>
      <c r="KV6" s="4" t="str">
        <f t="shared" si="97"/>
        <v/>
      </c>
      <c r="KW6" s="4" t="str">
        <f t="shared" si="98"/>
        <v/>
      </c>
      <c r="KX6" s="4" t="str">
        <f t="shared" si="99"/>
        <v/>
      </c>
      <c r="KY6" s="4" t="str">
        <f t="shared" si="100"/>
        <v/>
      </c>
      <c r="KZ6" s="4" t="str">
        <f t="shared" si="101"/>
        <v/>
      </c>
      <c r="LA6" s="4" t="str">
        <f t="shared" si="102"/>
        <v/>
      </c>
      <c r="LB6" s="4" t="str">
        <f t="shared" si="103"/>
        <v/>
      </c>
      <c r="LC6" s="4" t="str">
        <f t="shared" si="104"/>
        <v/>
      </c>
      <c r="LD6" s="4" t="str">
        <f t="shared" si="105"/>
        <v/>
      </c>
      <c r="LE6" s="4" t="str">
        <f t="shared" si="106"/>
        <v/>
      </c>
      <c r="LF6" s="4" t="str">
        <f t="shared" si="107"/>
        <v/>
      </c>
      <c r="LG6" s="4" t="str">
        <f t="shared" si="108"/>
        <v/>
      </c>
      <c r="LH6" s="4" t="str">
        <f t="shared" si="109"/>
        <v/>
      </c>
      <c r="LI6" s="4" t="str">
        <f t="shared" si="110"/>
        <v/>
      </c>
      <c r="LJ6" s="4" t="str">
        <f t="shared" si="111"/>
        <v/>
      </c>
      <c r="LK6" s="4" t="str">
        <f t="shared" si="112"/>
        <v/>
      </c>
      <c r="LL6" s="4" t="str">
        <f t="shared" si="113"/>
        <v/>
      </c>
      <c r="LM6" s="4" t="str">
        <f t="shared" si="114"/>
        <v/>
      </c>
      <c r="LN6" s="4" t="str">
        <f t="shared" si="115"/>
        <v/>
      </c>
      <c r="LO6" s="4" t="str">
        <f t="shared" si="116"/>
        <v/>
      </c>
      <c r="LP6" s="4" t="str">
        <f t="shared" si="117"/>
        <v/>
      </c>
      <c r="LQ6" s="4" t="str">
        <f t="shared" si="118"/>
        <v/>
      </c>
      <c r="LR6" s="4" t="str">
        <f t="shared" si="119"/>
        <v/>
      </c>
      <c r="LS6" s="4" t="str">
        <f t="shared" si="120"/>
        <v/>
      </c>
      <c r="LT6" s="4" t="str">
        <f t="shared" si="121"/>
        <v/>
      </c>
      <c r="LU6" s="4" t="str">
        <f t="shared" si="122"/>
        <v/>
      </c>
      <c r="LV6" s="4" t="str">
        <f t="shared" si="123"/>
        <v/>
      </c>
      <c r="LW6" s="4" t="str">
        <f t="shared" si="124"/>
        <v/>
      </c>
      <c r="LX6" s="4" t="str">
        <f t="shared" si="125"/>
        <v/>
      </c>
      <c r="LY6" s="4" t="str">
        <f t="shared" si="126"/>
        <v/>
      </c>
      <c r="LZ6" s="4" t="str">
        <f t="shared" si="127"/>
        <v/>
      </c>
      <c r="MA6" s="4" t="str">
        <f t="shared" si="128"/>
        <v/>
      </c>
      <c r="MB6" s="4" t="str">
        <f t="shared" si="129"/>
        <v/>
      </c>
      <c r="MC6" s="4" t="str">
        <f t="shared" si="130"/>
        <v/>
      </c>
      <c r="MD6" s="4" t="str">
        <f t="shared" si="131"/>
        <v/>
      </c>
      <c r="ME6" s="4">
        <f t="shared" si="132"/>
        <v>0</v>
      </c>
    </row>
    <row r="7" spans="1:343" ht="26.25" customHeight="1" thickBot="1" x14ac:dyDescent="0.25">
      <c r="A7" s="35">
        <v>41262</v>
      </c>
      <c r="B7" s="36" t="s">
        <v>214</v>
      </c>
      <c r="C7" s="36" t="s">
        <v>211</v>
      </c>
      <c r="D7" s="31" t="s">
        <v>111</v>
      </c>
      <c r="E7" s="4">
        <v>65</v>
      </c>
      <c r="F7" s="3">
        <v>17213</v>
      </c>
      <c r="G7" s="4" t="s">
        <v>87</v>
      </c>
      <c r="H7" s="4" t="s">
        <v>112</v>
      </c>
      <c r="I7" s="4">
        <v>1834953</v>
      </c>
      <c r="K7" s="80"/>
      <c r="L7" s="81"/>
      <c r="M7" s="81"/>
      <c r="N7" s="81"/>
      <c r="O7" s="81"/>
      <c r="P7" s="33">
        <v>-0.5</v>
      </c>
      <c r="Q7" s="33">
        <v>-0.51</v>
      </c>
      <c r="R7" s="33" t="s">
        <v>249</v>
      </c>
      <c r="S7" s="67">
        <v>15</v>
      </c>
      <c r="T7" s="136">
        <v>41239</v>
      </c>
      <c r="U7" s="67">
        <v>-1.75</v>
      </c>
      <c r="V7" s="67">
        <v>1</v>
      </c>
      <c r="W7" s="4">
        <v>85</v>
      </c>
      <c r="X7" s="4">
        <v>40</v>
      </c>
      <c r="Y7" s="4">
        <v>15</v>
      </c>
      <c r="Z7" s="4">
        <v>587</v>
      </c>
      <c r="AA7" s="4">
        <v>25.02</v>
      </c>
      <c r="AB7" s="4">
        <v>11.9</v>
      </c>
      <c r="AC7" s="4">
        <v>4.72</v>
      </c>
      <c r="AD7" s="4">
        <v>3.59</v>
      </c>
      <c r="AE7" s="4">
        <v>44.47</v>
      </c>
      <c r="AF7" s="4">
        <v>179</v>
      </c>
      <c r="AG7" s="4">
        <v>45.73</v>
      </c>
      <c r="AH7" s="4">
        <v>89</v>
      </c>
      <c r="AI7" s="4">
        <v>0</v>
      </c>
      <c r="AJ7" s="4" t="b">
        <f t="shared" si="0"/>
        <v>0</v>
      </c>
      <c r="AL7" s="4" t="s">
        <v>78</v>
      </c>
      <c r="BA7" s="4" t="str">
        <f t="shared" si="1"/>
        <v/>
      </c>
      <c r="BB7" s="4" t="str">
        <f t="shared" si="2"/>
        <v/>
      </c>
      <c r="BC7" s="4" t="str">
        <f t="shared" si="3"/>
        <v/>
      </c>
      <c r="BD7" s="51" t="s">
        <v>505</v>
      </c>
      <c r="BE7" s="59"/>
      <c r="BS7" s="4" t="str">
        <f t="shared" si="4"/>
        <v/>
      </c>
      <c r="BT7" s="4" t="str">
        <f t="shared" si="5"/>
        <v/>
      </c>
      <c r="BU7" s="4" t="str">
        <f t="shared" si="6"/>
        <v/>
      </c>
      <c r="BV7" s="4">
        <f t="shared" si="7"/>
        <v>0</v>
      </c>
      <c r="BW7" s="4">
        <f t="shared" si="8"/>
        <v>0</v>
      </c>
      <c r="BX7" s="4" t="str">
        <f t="shared" si="9"/>
        <v/>
      </c>
      <c r="BY7" s="4" t="str">
        <f t="shared" si="10"/>
        <v/>
      </c>
      <c r="BZ7" s="4" t="str">
        <f t="shared" si="11"/>
        <v/>
      </c>
      <c r="CA7" s="53">
        <f t="shared" si="12"/>
        <v>0</v>
      </c>
      <c r="CB7" s="55" t="str">
        <f t="shared" si="13"/>
        <v/>
      </c>
      <c r="CC7" s="4" t="str">
        <f t="shared" si="14"/>
        <v/>
      </c>
      <c r="CD7" s="4" t="str">
        <f t="shared" si="15"/>
        <v/>
      </c>
      <c r="CE7" s="4" t="str">
        <f t="shared" si="16"/>
        <v/>
      </c>
      <c r="CF7" s="4" t="str">
        <f t="shared" si="17"/>
        <v/>
      </c>
      <c r="CG7" s="4" t="str">
        <f t="shared" si="18"/>
        <v/>
      </c>
      <c r="CH7" s="4" t="str">
        <f t="shared" si="19"/>
        <v/>
      </c>
      <c r="CI7" s="104" t="str">
        <f t="shared" si="20"/>
        <v/>
      </c>
      <c r="CJ7" s="94" t="str">
        <f t="shared" si="21"/>
        <v/>
      </c>
      <c r="CK7" s="4" t="str">
        <f t="shared" si="22"/>
        <v/>
      </c>
      <c r="CL7" s="107" t="str">
        <f t="shared" si="23"/>
        <v/>
      </c>
      <c r="CM7" s="107" t="str">
        <f t="shared" si="24"/>
        <v/>
      </c>
      <c r="CN7" s="139" t="str">
        <f t="shared" si="25"/>
        <v/>
      </c>
      <c r="CO7" s="139" t="str">
        <f t="shared" si="26"/>
        <v/>
      </c>
      <c r="CP7" s="149" t="str">
        <f t="shared" si="27"/>
        <v/>
      </c>
      <c r="CQ7" s="149" t="str">
        <f t="shared" si="28"/>
        <v/>
      </c>
      <c r="CR7" s="148" t="str">
        <f t="shared" si="29"/>
        <v/>
      </c>
      <c r="CS7" s="152" t="str">
        <f t="shared" si="30"/>
        <v/>
      </c>
      <c r="CT7" s="107" t="str">
        <f t="shared" si="31"/>
        <v/>
      </c>
      <c r="CU7" s="155" t="str">
        <f t="shared" si="32"/>
        <v/>
      </c>
      <c r="IJ7" s="94" t="str">
        <f t="shared" si="33"/>
        <v/>
      </c>
      <c r="IK7" s="4" t="str">
        <f t="shared" si="34"/>
        <v/>
      </c>
      <c r="IL7" s="4" t="str">
        <f t="shared" si="35"/>
        <v/>
      </c>
      <c r="IM7" s="4" t="str">
        <f t="shared" si="36"/>
        <v/>
      </c>
      <c r="IN7" s="4" t="str">
        <f t="shared" si="37"/>
        <v/>
      </c>
      <c r="IO7" s="4" t="str">
        <f t="shared" si="38"/>
        <v/>
      </c>
      <c r="IP7" s="4" t="str">
        <f t="shared" si="39"/>
        <v/>
      </c>
      <c r="IQ7" s="4" t="str">
        <f t="shared" si="40"/>
        <v/>
      </c>
      <c r="IR7" s="4" t="str">
        <f t="shared" si="41"/>
        <v/>
      </c>
      <c r="IS7" s="4" t="str">
        <f t="shared" si="42"/>
        <v/>
      </c>
      <c r="IT7" s="4" t="str">
        <f t="shared" si="43"/>
        <v/>
      </c>
      <c r="IU7" s="4" t="str">
        <f t="shared" si="44"/>
        <v/>
      </c>
      <c r="IV7" s="4" t="str">
        <f t="shared" si="45"/>
        <v/>
      </c>
      <c r="IW7" s="4" t="str">
        <f t="shared" si="46"/>
        <v/>
      </c>
      <c r="IX7" s="4" t="str">
        <f t="shared" si="47"/>
        <v/>
      </c>
      <c r="IY7" s="4" t="str">
        <f t="shared" si="48"/>
        <v/>
      </c>
      <c r="IZ7" s="4" t="str">
        <f t="shared" si="49"/>
        <v/>
      </c>
      <c r="JA7" s="4" t="str">
        <f t="shared" si="50"/>
        <v/>
      </c>
      <c r="JB7" s="4" t="str">
        <f t="shared" si="51"/>
        <v/>
      </c>
      <c r="JC7" s="4" t="str">
        <f t="shared" si="52"/>
        <v/>
      </c>
      <c r="JD7" s="4" t="str">
        <f t="shared" si="53"/>
        <v/>
      </c>
      <c r="JE7" s="4" t="str">
        <f t="shared" si="54"/>
        <v/>
      </c>
      <c r="JF7" s="4" t="str">
        <f t="shared" si="55"/>
        <v/>
      </c>
      <c r="JG7" s="4" t="str">
        <f t="shared" si="56"/>
        <v/>
      </c>
      <c r="JH7" s="4" t="str">
        <f t="shared" si="57"/>
        <v/>
      </c>
      <c r="JI7" s="4" t="str">
        <f t="shared" si="58"/>
        <v/>
      </c>
      <c r="JJ7" s="4" t="str">
        <f t="shared" si="59"/>
        <v/>
      </c>
      <c r="JK7" s="4" t="str">
        <f t="shared" si="60"/>
        <v/>
      </c>
      <c r="JL7" s="4" t="str">
        <f t="shared" si="61"/>
        <v/>
      </c>
      <c r="JM7" s="4" t="str">
        <f t="shared" si="62"/>
        <v/>
      </c>
      <c r="JN7" s="4" t="str">
        <f t="shared" si="63"/>
        <v/>
      </c>
      <c r="JO7" s="129" t="str">
        <f t="shared" si="64"/>
        <v/>
      </c>
      <c r="JP7" s="122" t="str">
        <f t="shared" si="65"/>
        <v/>
      </c>
      <c r="JQ7" s="122" t="str">
        <f t="shared" si="66"/>
        <v/>
      </c>
      <c r="JR7" s="122" t="str">
        <f t="shared" si="67"/>
        <v/>
      </c>
      <c r="JS7" s="122" t="str">
        <f t="shared" si="68"/>
        <v/>
      </c>
      <c r="JT7" s="122" t="str">
        <f t="shared" si="69"/>
        <v/>
      </c>
      <c r="JU7" s="122" t="str">
        <f t="shared" si="70"/>
        <v/>
      </c>
      <c r="JV7" s="122" t="str">
        <f t="shared" si="71"/>
        <v/>
      </c>
      <c r="JW7" s="122" t="str">
        <f t="shared" si="72"/>
        <v/>
      </c>
      <c r="JX7" s="122" t="str">
        <f t="shared" si="73"/>
        <v/>
      </c>
      <c r="JY7" s="122" t="str">
        <f t="shared" si="74"/>
        <v/>
      </c>
      <c r="JZ7" s="122" t="str">
        <f t="shared" si="75"/>
        <v/>
      </c>
      <c r="KA7" s="122" t="str">
        <f t="shared" si="76"/>
        <v/>
      </c>
      <c r="KB7" s="122" t="str">
        <f t="shared" si="77"/>
        <v/>
      </c>
      <c r="KC7" s="122" t="str">
        <f t="shared" si="78"/>
        <v/>
      </c>
      <c r="KD7" s="122" t="str">
        <f t="shared" si="79"/>
        <v/>
      </c>
      <c r="KE7" s="133" t="str">
        <f t="shared" si="80"/>
        <v/>
      </c>
      <c r="KF7" s="94" t="str">
        <f t="shared" si="81"/>
        <v/>
      </c>
      <c r="KG7" s="4" t="str">
        <f t="shared" si="82"/>
        <v/>
      </c>
      <c r="KH7" s="4" t="str">
        <f t="shared" si="83"/>
        <v/>
      </c>
      <c r="KI7" s="4" t="str">
        <f t="shared" si="84"/>
        <v/>
      </c>
      <c r="KJ7" s="4" t="str">
        <f t="shared" si="85"/>
        <v/>
      </c>
      <c r="KK7" s="4" t="str">
        <f t="shared" si="86"/>
        <v/>
      </c>
      <c r="KL7" s="4" t="str">
        <f t="shared" si="87"/>
        <v/>
      </c>
      <c r="KM7" s="4" t="str">
        <f t="shared" si="88"/>
        <v/>
      </c>
      <c r="KN7" s="4" t="str">
        <f t="shared" si="89"/>
        <v/>
      </c>
      <c r="KO7" s="4" t="str">
        <f t="shared" si="90"/>
        <v/>
      </c>
      <c r="KP7" s="4" t="str">
        <f t="shared" si="91"/>
        <v/>
      </c>
      <c r="KQ7" s="4" t="str">
        <f t="shared" si="92"/>
        <v/>
      </c>
      <c r="KR7" s="4" t="str">
        <f t="shared" si="93"/>
        <v/>
      </c>
      <c r="KS7" s="4" t="str">
        <f t="shared" si="94"/>
        <v/>
      </c>
      <c r="KT7" s="4" t="str">
        <f t="shared" si="95"/>
        <v/>
      </c>
      <c r="KU7" s="4" t="str">
        <f t="shared" si="96"/>
        <v/>
      </c>
      <c r="KV7" s="4" t="str">
        <f t="shared" si="97"/>
        <v/>
      </c>
      <c r="KW7" s="4" t="str">
        <f t="shared" si="98"/>
        <v/>
      </c>
      <c r="KX7" s="4" t="str">
        <f t="shared" si="99"/>
        <v/>
      </c>
      <c r="KY7" s="4" t="str">
        <f t="shared" si="100"/>
        <v/>
      </c>
      <c r="KZ7" s="4" t="str">
        <f t="shared" si="101"/>
        <v/>
      </c>
      <c r="LA7" s="4" t="str">
        <f t="shared" si="102"/>
        <v/>
      </c>
      <c r="LB7" s="4" t="str">
        <f t="shared" si="103"/>
        <v/>
      </c>
      <c r="LC7" s="4" t="str">
        <f t="shared" si="104"/>
        <v/>
      </c>
      <c r="LD7" s="4" t="str">
        <f t="shared" si="105"/>
        <v/>
      </c>
      <c r="LE7" s="4" t="str">
        <f t="shared" si="106"/>
        <v/>
      </c>
      <c r="LF7" s="4" t="str">
        <f t="shared" si="107"/>
        <v/>
      </c>
      <c r="LG7" s="4" t="str">
        <f t="shared" si="108"/>
        <v/>
      </c>
      <c r="LH7" s="4" t="str">
        <f t="shared" si="109"/>
        <v/>
      </c>
      <c r="LI7" s="4" t="str">
        <f t="shared" si="110"/>
        <v/>
      </c>
      <c r="LJ7" s="4" t="str">
        <f t="shared" si="111"/>
        <v/>
      </c>
      <c r="LK7" s="4" t="str">
        <f t="shared" si="112"/>
        <v/>
      </c>
      <c r="LL7" s="4" t="str">
        <f t="shared" si="113"/>
        <v/>
      </c>
      <c r="LM7" s="4" t="str">
        <f t="shared" si="114"/>
        <v/>
      </c>
      <c r="LN7" s="4" t="str">
        <f t="shared" si="115"/>
        <v/>
      </c>
      <c r="LO7" s="4" t="str">
        <f t="shared" si="116"/>
        <v/>
      </c>
      <c r="LP7" s="4" t="str">
        <f t="shared" si="117"/>
        <v/>
      </c>
      <c r="LQ7" s="4" t="str">
        <f t="shared" si="118"/>
        <v/>
      </c>
      <c r="LR7" s="4" t="str">
        <f t="shared" si="119"/>
        <v/>
      </c>
      <c r="LS7" s="4" t="str">
        <f t="shared" si="120"/>
        <v/>
      </c>
      <c r="LT7" s="4" t="str">
        <f t="shared" si="121"/>
        <v/>
      </c>
      <c r="LU7" s="4" t="str">
        <f t="shared" si="122"/>
        <v/>
      </c>
      <c r="LV7" s="4" t="str">
        <f t="shared" si="123"/>
        <v/>
      </c>
      <c r="LW7" s="4" t="str">
        <f t="shared" si="124"/>
        <v/>
      </c>
      <c r="LX7" s="4" t="str">
        <f t="shared" si="125"/>
        <v/>
      </c>
      <c r="LY7" s="4" t="str">
        <f t="shared" si="126"/>
        <v/>
      </c>
      <c r="LZ7" s="4" t="str">
        <f t="shared" si="127"/>
        <v/>
      </c>
      <c r="MA7" s="4" t="str">
        <f t="shared" si="128"/>
        <v/>
      </c>
      <c r="MB7" s="4" t="str">
        <f t="shared" si="129"/>
        <v/>
      </c>
      <c r="MC7" s="4" t="str">
        <f t="shared" si="130"/>
        <v/>
      </c>
      <c r="MD7" s="4" t="str">
        <f t="shared" si="131"/>
        <v/>
      </c>
      <c r="ME7" s="4">
        <f t="shared" si="132"/>
        <v>0</v>
      </c>
    </row>
    <row r="8" spans="1:343" ht="26.25" customHeight="1" thickBot="1" x14ac:dyDescent="0.25">
      <c r="A8" s="35">
        <v>41395</v>
      </c>
      <c r="B8" s="36" t="s">
        <v>189</v>
      </c>
      <c r="C8" s="36" t="s">
        <v>52</v>
      </c>
      <c r="D8" s="31" t="s">
        <v>111</v>
      </c>
      <c r="E8" s="4">
        <v>76</v>
      </c>
      <c r="F8" s="3">
        <v>13373</v>
      </c>
      <c r="G8" s="4" t="s">
        <v>87</v>
      </c>
      <c r="H8" s="4" t="s">
        <v>108</v>
      </c>
      <c r="I8" s="4">
        <v>1835010</v>
      </c>
      <c r="K8" s="74"/>
      <c r="L8" s="75"/>
      <c r="M8" s="75"/>
      <c r="N8" s="75"/>
      <c r="O8" s="75"/>
      <c r="P8" s="4">
        <v>-0.5</v>
      </c>
      <c r="Q8" s="4">
        <v>-0.67</v>
      </c>
      <c r="R8" s="4" t="s">
        <v>249</v>
      </c>
      <c r="S8" s="67">
        <v>23</v>
      </c>
      <c r="T8" s="136">
        <v>41375</v>
      </c>
      <c r="U8" s="67">
        <v>-1.25</v>
      </c>
      <c r="V8" s="67">
        <v>0.5</v>
      </c>
      <c r="W8" s="4">
        <v>30</v>
      </c>
      <c r="X8" s="4">
        <v>70</v>
      </c>
      <c r="Y8" s="4">
        <v>13</v>
      </c>
      <c r="Z8" s="4">
        <v>615</v>
      </c>
      <c r="AA8" s="4">
        <v>23.6</v>
      </c>
      <c r="AD8" s="4">
        <v>2.6</v>
      </c>
      <c r="AE8" s="4">
        <v>41.51</v>
      </c>
      <c r="AF8" s="4">
        <v>152</v>
      </c>
      <c r="AG8" s="4">
        <v>42.54</v>
      </c>
      <c r="AH8" s="4">
        <v>62</v>
      </c>
      <c r="AI8" s="4">
        <v>0</v>
      </c>
      <c r="AJ8" s="4" t="b">
        <f t="shared" si="0"/>
        <v>0</v>
      </c>
      <c r="AL8" s="32" t="s">
        <v>78</v>
      </c>
      <c r="AM8" s="60"/>
      <c r="BA8" s="4" t="str">
        <f t="shared" si="1"/>
        <v/>
      </c>
      <c r="BB8" s="4" t="str">
        <f t="shared" si="2"/>
        <v/>
      </c>
      <c r="BC8" s="4" t="str">
        <f t="shared" si="3"/>
        <v/>
      </c>
      <c r="BD8" s="51" t="s">
        <v>505</v>
      </c>
      <c r="BE8" s="59"/>
      <c r="BS8" s="4" t="str">
        <f t="shared" si="4"/>
        <v/>
      </c>
      <c r="BT8" s="4" t="str">
        <f t="shared" si="5"/>
        <v/>
      </c>
      <c r="BU8" s="4" t="str">
        <f t="shared" si="6"/>
        <v/>
      </c>
      <c r="BV8" s="4">
        <f>IF(AND(ISBLANK(SPH_6),ISBLANK(SPH_12)),0,1)</f>
        <v>0</v>
      </c>
      <c r="BW8" s="4">
        <f t="shared" si="8"/>
        <v>0</v>
      </c>
      <c r="BX8" s="4" t="str">
        <f t="shared" si="9"/>
        <v/>
      </c>
      <c r="BY8" s="4" t="str">
        <f t="shared" si="10"/>
        <v/>
      </c>
      <c r="BZ8" s="4" t="str">
        <f t="shared" si="11"/>
        <v/>
      </c>
      <c r="CA8" s="53">
        <f t="shared" si="12"/>
        <v>0</v>
      </c>
      <c r="CB8" s="55" t="str">
        <f t="shared" si="13"/>
        <v/>
      </c>
      <c r="CC8" s="4" t="str">
        <f t="shared" si="14"/>
        <v/>
      </c>
      <c r="CD8" s="4" t="str">
        <f t="shared" si="15"/>
        <v/>
      </c>
      <c r="CE8" s="4" t="str">
        <f t="shared" si="16"/>
        <v/>
      </c>
      <c r="CF8" s="4" t="str">
        <f t="shared" si="17"/>
        <v/>
      </c>
      <c r="CG8" s="4" t="str">
        <f t="shared" si="18"/>
        <v/>
      </c>
      <c r="CH8" s="4" t="str">
        <f t="shared" si="19"/>
        <v/>
      </c>
      <c r="CI8" s="104" t="str">
        <f t="shared" si="20"/>
        <v/>
      </c>
      <c r="CJ8" s="94" t="str">
        <f t="shared" si="21"/>
        <v/>
      </c>
      <c r="CK8" s="4" t="str">
        <f t="shared" si="22"/>
        <v/>
      </c>
      <c r="CL8" s="107" t="str">
        <f t="shared" si="23"/>
        <v/>
      </c>
      <c r="CM8" s="107" t="str">
        <f t="shared" si="24"/>
        <v/>
      </c>
      <c r="CN8" s="139" t="str">
        <f t="shared" si="25"/>
        <v/>
      </c>
      <c r="CO8" s="139" t="str">
        <f t="shared" si="26"/>
        <v/>
      </c>
      <c r="CP8" s="149" t="str">
        <f t="shared" si="27"/>
        <v/>
      </c>
      <c r="CQ8" s="149" t="str">
        <f t="shared" si="28"/>
        <v/>
      </c>
      <c r="CR8" s="148" t="str">
        <f t="shared" si="29"/>
        <v/>
      </c>
      <c r="CS8" s="152" t="str">
        <f t="shared" si="30"/>
        <v/>
      </c>
      <c r="CT8" s="107" t="str">
        <f t="shared" si="31"/>
        <v/>
      </c>
      <c r="CU8" s="155" t="str">
        <f t="shared" si="32"/>
        <v/>
      </c>
      <c r="IJ8" s="94" t="str">
        <f t="shared" si="33"/>
        <v/>
      </c>
      <c r="IK8" s="4" t="str">
        <f t="shared" si="34"/>
        <v/>
      </c>
      <c r="IL8" s="4" t="str">
        <f t="shared" si="35"/>
        <v/>
      </c>
      <c r="IM8" s="4" t="str">
        <f t="shared" si="36"/>
        <v/>
      </c>
      <c r="IN8" s="4" t="str">
        <f t="shared" si="37"/>
        <v/>
      </c>
      <c r="IO8" s="4" t="str">
        <f t="shared" si="38"/>
        <v/>
      </c>
      <c r="IP8" s="4" t="str">
        <f t="shared" si="39"/>
        <v/>
      </c>
      <c r="IQ8" s="4" t="str">
        <f t="shared" si="40"/>
        <v/>
      </c>
      <c r="IR8" s="4" t="str">
        <f t="shared" si="41"/>
        <v/>
      </c>
      <c r="IS8" s="4" t="str">
        <f t="shared" si="42"/>
        <v/>
      </c>
      <c r="IT8" s="4" t="str">
        <f t="shared" si="43"/>
        <v/>
      </c>
      <c r="IU8" s="4" t="str">
        <f t="shared" si="44"/>
        <v/>
      </c>
      <c r="IV8" s="4" t="str">
        <f t="shared" si="45"/>
        <v/>
      </c>
      <c r="IW8" s="4" t="str">
        <f t="shared" si="46"/>
        <v/>
      </c>
      <c r="IX8" s="4" t="str">
        <f t="shared" si="47"/>
        <v/>
      </c>
      <c r="IY8" s="4" t="str">
        <f t="shared" si="48"/>
        <v/>
      </c>
      <c r="IZ8" s="4" t="str">
        <f t="shared" si="49"/>
        <v/>
      </c>
      <c r="JA8" s="4" t="str">
        <f t="shared" si="50"/>
        <v/>
      </c>
      <c r="JB8" s="4" t="str">
        <f t="shared" si="51"/>
        <v/>
      </c>
      <c r="JC8" s="4" t="str">
        <f t="shared" si="52"/>
        <v/>
      </c>
      <c r="JD8" s="4" t="str">
        <f t="shared" si="53"/>
        <v/>
      </c>
      <c r="JE8" s="4" t="str">
        <f t="shared" si="54"/>
        <v/>
      </c>
      <c r="JF8" s="4" t="str">
        <f t="shared" si="55"/>
        <v/>
      </c>
      <c r="JG8" s="4" t="str">
        <f t="shared" si="56"/>
        <v/>
      </c>
      <c r="JH8" s="4" t="str">
        <f t="shared" si="57"/>
        <v/>
      </c>
      <c r="JI8" s="4" t="str">
        <f t="shared" si="58"/>
        <v/>
      </c>
      <c r="JJ8" s="4" t="str">
        <f t="shared" si="59"/>
        <v/>
      </c>
      <c r="JK8" s="4" t="str">
        <f t="shared" si="60"/>
        <v/>
      </c>
      <c r="JL8" s="4" t="str">
        <f t="shared" si="61"/>
        <v/>
      </c>
      <c r="JM8" s="4" t="str">
        <f t="shared" si="62"/>
        <v/>
      </c>
      <c r="JN8" s="4" t="str">
        <f t="shared" si="63"/>
        <v/>
      </c>
      <c r="JO8" s="129" t="str">
        <f t="shared" si="64"/>
        <v/>
      </c>
      <c r="JP8" s="122" t="str">
        <f t="shared" si="65"/>
        <v/>
      </c>
      <c r="JQ8" s="122" t="str">
        <f t="shared" si="66"/>
        <v/>
      </c>
      <c r="JR8" s="122" t="str">
        <f t="shared" si="67"/>
        <v/>
      </c>
      <c r="JS8" s="122" t="str">
        <f t="shared" si="68"/>
        <v/>
      </c>
      <c r="JT8" s="122" t="str">
        <f t="shared" si="69"/>
        <v/>
      </c>
      <c r="JU8" s="122" t="str">
        <f t="shared" si="70"/>
        <v/>
      </c>
      <c r="JV8" s="122" t="str">
        <f t="shared" si="71"/>
        <v/>
      </c>
      <c r="JW8" s="122" t="str">
        <f t="shared" si="72"/>
        <v/>
      </c>
      <c r="JX8" s="122" t="str">
        <f t="shared" si="73"/>
        <v/>
      </c>
      <c r="JY8" s="122" t="str">
        <f t="shared" si="74"/>
        <v/>
      </c>
      <c r="JZ8" s="122" t="str">
        <f t="shared" si="75"/>
        <v/>
      </c>
      <c r="KA8" s="122" t="str">
        <f t="shared" si="76"/>
        <v/>
      </c>
      <c r="KB8" s="122" t="str">
        <f t="shared" si="77"/>
        <v/>
      </c>
      <c r="KC8" s="122" t="str">
        <f t="shared" si="78"/>
        <v/>
      </c>
      <c r="KD8" s="122" t="str">
        <f t="shared" si="79"/>
        <v/>
      </c>
      <c r="KE8" s="133" t="str">
        <f t="shared" si="80"/>
        <v/>
      </c>
      <c r="KF8" s="94" t="str">
        <f t="shared" si="81"/>
        <v/>
      </c>
      <c r="KG8" s="4" t="str">
        <f t="shared" si="82"/>
        <v/>
      </c>
      <c r="KH8" s="4" t="str">
        <f t="shared" si="83"/>
        <v/>
      </c>
      <c r="KI8" s="4" t="str">
        <f t="shared" si="84"/>
        <v/>
      </c>
      <c r="KJ8" s="4" t="str">
        <f t="shared" si="85"/>
        <v/>
      </c>
      <c r="KK8" s="4" t="str">
        <f t="shared" si="86"/>
        <v/>
      </c>
      <c r="KL8" s="4" t="str">
        <f t="shared" si="87"/>
        <v/>
      </c>
      <c r="KM8" s="4" t="str">
        <f t="shared" si="88"/>
        <v/>
      </c>
      <c r="KN8" s="4" t="str">
        <f t="shared" si="89"/>
        <v/>
      </c>
      <c r="KO8" s="4" t="str">
        <f t="shared" si="90"/>
        <v/>
      </c>
      <c r="KP8" s="4" t="str">
        <f t="shared" si="91"/>
        <v/>
      </c>
      <c r="KQ8" s="4" t="str">
        <f t="shared" si="92"/>
        <v/>
      </c>
      <c r="KR8" s="4" t="str">
        <f t="shared" si="93"/>
        <v/>
      </c>
      <c r="KS8" s="4" t="str">
        <f t="shared" si="94"/>
        <v/>
      </c>
      <c r="KT8" s="4" t="str">
        <f t="shared" si="95"/>
        <v/>
      </c>
      <c r="KU8" s="4" t="str">
        <f t="shared" si="96"/>
        <v/>
      </c>
      <c r="KV8" s="4" t="str">
        <f t="shared" si="97"/>
        <v/>
      </c>
      <c r="KW8" s="4" t="str">
        <f t="shared" si="98"/>
        <v/>
      </c>
      <c r="KX8" s="4" t="str">
        <f t="shared" si="99"/>
        <v/>
      </c>
      <c r="KY8" s="4" t="str">
        <f t="shared" si="100"/>
        <v/>
      </c>
      <c r="KZ8" s="4" t="str">
        <f t="shared" si="101"/>
        <v/>
      </c>
      <c r="LA8" s="4" t="str">
        <f t="shared" si="102"/>
        <v/>
      </c>
      <c r="LB8" s="4" t="str">
        <f t="shared" si="103"/>
        <v/>
      </c>
      <c r="LC8" s="4" t="str">
        <f t="shared" si="104"/>
        <v/>
      </c>
      <c r="LD8" s="4" t="str">
        <f t="shared" si="105"/>
        <v/>
      </c>
      <c r="LE8" s="4" t="str">
        <f t="shared" si="106"/>
        <v/>
      </c>
      <c r="LF8" s="4" t="str">
        <f t="shared" si="107"/>
        <v/>
      </c>
      <c r="LG8" s="4" t="str">
        <f t="shared" si="108"/>
        <v/>
      </c>
      <c r="LH8" s="4" t="str">
        <f t="shared" si="109"/>
        <v/>
      </c>
      <c r="LI8" s="4" t="str">
        <f t="shared" si="110"/>
        <v/>
      </c>
      <c r="LJ8" s="4" t="str">
        <f t="shared" si="111"/>
        <v/>
      </c>
      <c r="LK8" s="4" t="str">
        <f t="shared" si="112"/>
        <v/>
      </c>
      <c r="LL8" s="4" t="str">
        <f t="shared" si="113"/>
        <v/>
      </c>
      <c r="LM8" s="4" t="str">
        <f t="shared" si="114"/>
        <v/>
      </c>
      <c r="LN8" s="4" t="str">
        <f t="shared" si="115"/>
        <v/>
      </c>
      <c r="LO8" s="4" t="str">
        <f t="shared" si="116"/>
        <v/>
      </c>
      <c r="LP8" s="4" t="str">
        <f t="shared" si="117"/>
        <v/>
      </c>
      <c r="LQ8" s="4" t="str">
        <f t="shared" si="118"/>
        <v/>
      </c>
      <c r="LR8" s="4" t="str">
        <f t="shared" si="119"/>
        <v/>
      </c>
      <c r="LS8" s="4" t="str">
        <f t="shared" si="120"/>
        <v/>
      </c>
      <c r="LT8" s="4" t="str">
        <f t="shared" si="121"/>
        <v/>
      </c>
      <c r="LU8" s="4" t="str">
        <f t="shared" si="122"/>
        <v/>
      </c>
      <c r="LV8" s="4" t="str">
        <f t="shared" si="123"/>
        <v/>
      </c>
      <c r="LW8" s="4" t="str">
        <f t="shared" si="124"/>
        <v/>
      </c>
      <c r="LX8" s="4" t="str">
        <f t="shared" si="125"/>
        <v/>
      </c>
      <c r="LY8" s="4" t="str">
        <f t="shared" si="126"/>
        <v/>
      </c>
      <c r="LZ8" s="4" t="str">
        <f t="shared" si="127"/>
        <v/>
      </c>
      <c r="MA8" s="4" t="str">
        <f t="shared" si="128"/>
        <v/>
      </c>
      <c r="MB8" s="4" t="str">
        <f t="shared" si="129"/>
        <v/>
      </c>
      <c r="MC8" s="4" t="str">
        <f t="shared" si="130"/>
        <v/>
      </c>
      <c r="MD8" s="4" t="str">
        <f t="shared" si="131"/>
        <v/>
      </c>
      <c r="ME8" s="4">
        <f t="shared" si="132"/>
        <v>0</v>
      </c>
    </row>
    <row r="9" spans="1:343" ht="26.25" customHeight="1" thickBot="1" x14ac:dyDescent="0.25">
      <c r="A9" s="35">
        <v>41227</v>
      </c>
      <c r="B9" s="36" t="s">
        <v>219</v>
      </c>
      <c r="C9" s="36" t="s">
        <v>17</v>
      </c>
      <c r="D9" s="31" t="s">
        <v>111</v>
      </c>
      <c r="E9" s="4">
        <v>77</v>
      </c>
      <c r="F9" s="3">
        <v>12744</v>
      </c>
      <c r="G9" s="4" t="s">
        <v>87</v>
      </c>
      <c r="H9" s="4" t="s">
        <v>108</v>
      </c>
      <c r="I9" s="4">
        <v>1835423</v>
      </c>
      <c r="K9" s="74"/>
      <c r="L9" s="75"/>
      <c r="M9" s="75"/>
      <c r="N9" s="75"/>
      <c r="O9" s="75"/>
      <c r="P9" s="33">
        <v>-0.5</v>
      </c>
      <c r="Q9" s="4">
        <v>-0.62</v>
      </c>
      <c r="R9" s="4" t="s">
        <v>249</v>
      </c>
      <c r="S9" s="67">
        <v>20.25</v>
      </c>
      <c r="T9" s="136">
        <v>41226</v>
      </c>
      <c r="U9" s="67">
        <v>-1.5</v>
      </c>
      <c r="V9" s="67">
        <v>2</v>
      </c>
      <c r="W9" s="4">
        <v>85</v>
      </c>
      <c r="X9" s="4">
        <v>50</v>
      </c>
      <c r="Y9" s="4">
        <v>12</v>
      </c>
      <c r="Z9" s="4">
        <v>617</v>
      </c>
      <c r="AA9" s="4">
        <v>24.27</v>
      </c>
      <c r="AB9" s="4">
        <v>11.8</v>
      </c>
      <c r="AC9" s="4">
        <v>4.6399999999999997</v>
      </c>
      <c r="AD9" s="4">
        <v>3.08</v>
      </c>
      <c r="AE9" s="4">
        <v>41.46</v>
      </c>
      <c r="AF9" s="4">
        <v>155</v>
      </c>
      <c r="AG9" s="4">
        <v>43.77</v>
      </c>
      <c r="AH9" s="4">
        <v>65</v>
      </c>
      <c r="AI9" s="4">
        <v>0</v>
      </c>
      <c r="AJ9" s="4" t="b">
        <f t="shared" si="0"/>
        <v>0</v>
      </c>
      <c r="AL9" s="4" t="s">
        <v>78</v>
      </c>
      <c r="BA9" s="4" t="str">
        <f t="shared" si="1"/>
        <v/>
      </c>
      <c r="BB9" s="4" t="str">
        <f t="shared" si="2"/>
        <v/>
      </c>
      <c r="BC9" s="4" t="str">
        <f t="shared" si="3"/>
        <v/>
      </c>
      <c r="BD9" s="51" t="s">
        <v>505</v>
      </c>
      <c r="BE9" s="59"/>
      <c r="BS9" s="4" t="str">
        <f t="shared" si="4"/>
        <v/>
      </c>
      <c r="BT9" s="4" t="str">
        <f t="shared" si="5"/>
        <v/>
      </c>
      <c r="BU9" s="4" t="str">
        <f t="shared" si="6"/>
        <v/>
      </c>
      <c r="BV9" s="4">
        <f>IF(AND(ISBLANK(SPH_6),ISBLANK(SPH_12)),0,1)</f>
        <v>0</v>
      </c>
      <c r="BW9" s="4">
        <f t="shared" si="8"/>
        <v>0</v>
      </c>
      <c r="BX9" s="4" t="str">
        <f t="shared" si="9"/>
        <v/>
      </c>
      <c r="BY9" s="4" t="str">
        <f t="shared" si="10"/>
        <v/>
      </c>
      <c r="BZ9" s="4" t="str">
        <f t="shared" si="11"/>
        <v/>
      </c>
      <c r="CA9" s="53">
        <f t="shared" si="12"/>
        <v>0</v>
      </c>
      <c r="CB9" s="55" t="str">
        <f t="shared" si="13"/>
        <v/>
      </c>
      <c r="CC9" s="4" t="str">
        <f t="shared" si="14"/>
        <v/>
      </c>
      <c r="CD9" s="4" t="str">
        <f t="shared" si="15"/>
        <v/>
      </c>
      <c r="CE9" s="4" t="str">
        <f t="shared" si="16"/>
        <v/>
      </c>
      <c r="CF9" s="4" t="str">
        <f t="shared" si="17"/>
        <v/>
      </c>
      <c r="CG9" s="4" t="str">
        <f t="shared" si="18"/>
        <v/>
      </c>
      <c r="CH9" s="4" t="str">
        <f t="shared" si="19"/>
        <v/>
      </c>
      <c r="CI9" s="104" t="str">
        <f t="shared" si="20"/>
        <v/>
      </c>
      <c r="CJ9" s="94" t="str">
        <f t="shared" si="21"/>
        <v/>
      </c>
      <c r="CK9" s="4" t="str">
        <f t="shared" si="22"/>
        <v/>
      </c>
      <c r="CL9" s="107" t="str">
        <f t="shared" si="23"/>
        <v/>
      </c>
      <c r="CM9" s="107" t="str">
        <f t="shared" si="24"/>
        <v/>
      </c>
      <c r="CN9" s="139" t="str">
        <f t="shared" si="25"/>
        <v/>
      </c>
      <c r="CO9" s="139" t="str">
        <f t="shared" si="26"/>
        <v/>
      </c>
      <c r="CP9" s="149" t="str">
        <f t="shared" si="27"/>
        <v/>
      </c>
      <c r="CQ9" s="149" t="str">
        <f t="shared" si="28"/>
        <v/>
      </c>
      <c r="CR9" s="148" t="str">
        <f t="shared" si="29"/>
        <v/>
      </c>
      <c r="CS9" s="152" t="str">
        <f t="shared" si="30"/>
        <v/>
      </c>
      <c r="CT9" s="107" t="str">
        <f t="shared" si="31"/>
        <v/>
      </c>
      <c r="CU9" s="155" t="str">
        <f t="shared" si="32"/>
        <v/>
      </c>
      <c r="CV9" s="120">
        <v>8.2200000000000006</v>
      </c>
      <c r="CW9" s="4">
        <v>7.95</v>
      </c>
      <c r="CX9" s="4">
        <v>168</v>
      </c>
      <c r="CY9" s="4">
        <v>-1.4</v>
      </c>
      <c r="CZ9" s="4">
        <v>0</v>
      </c>
      <c r="DA9" s="4">
        <v>0.48</v>
      </c>
      <c r="DB9" s="4">
        <v>2.5099999999999998</v>
      </c>
      <c r="DC9" s="4">
        <v>3.13</v>
      </c>
      <c r="DD9" s="4">
        <v>624</v>
      </c>
      <c r="DE9" s="4">
        <v>626</v>
      </c>
      <c r="DF9" s="4">
        <v>655</v>
      </c>
      <c r="DG9" s="4">
        <v>613</v>
      </c>
      <c r="DH9" s="4">
        <v>626</v>
      </c>
      <c r="DI9" s="4">
        <v>662</v>
      </c>
      <c r="DJ9" s="4">
        <v>609</v>
      </c>
      <c r="DK9" s="4">
        <v>0.14000000000000001</v>
      </c>
      <c r="DL9" s="4">
        <v>-3.37</v>
      </c>
      <c r="DM9" s="4">
        <v>8.11</v>
      </c>
      <c r="DN9" s="4">
        <v>7.99</v>
      </c>
      <c r="DO9" s="4">
        <v>7.91</v>
      </c>
      <c r="DP9" s="4">
        <v>8.1</v>
      </c>
      <c r="DQ9" s="4">
        <v>8.4600000000000009</v>
      </c>
      <c r="DR9" s="4">
        <v>8.67</v>
      </c>
      <c r="DS9" s="4">
        <v>0</v>
      </c>
      <c r="DT9" s="4">
        <v>0.9</v>
      </c>
      <c r="DU9" s="4">
        <v>7.18</v>
      </c>
      <c r="DV9" s="4">
        <v>7.24</v>
      </c>
      <c r="DW9" s="4">
        <v>7.14</v>
      </c>
      <c r="DX9" s="4">
        <v>7.11</v>
      </c>
      <c r="DY9" s="4">
        <v>7.25</v>
      </c>
      <c r="DZ9" s="4">
        <v>7.53</v>
      </c>
      <c r="EA9" s="4">
        <v>0</v>
      </c>
      <c r="EB9" s="100">
        <v>0.9</v>
      </c>
      <c r="EC9" s="122">
        <v>41</v>
      </c>
      <c r="ED9" s="122">
        <v>42.5</v>
      </c>
      <c r="EE9" s="122">
        <v>41.8</v>
      </c>
      <c r="EF9" s="122">
        <v>163.30000000000001</v>
      </c>
      <c r="EG9" s="122">
        <v>1.5</v>
      </c>
      <c r="EH9" s="122">
        <v>-5.3</v>
      </c>
      <c r="EI9" s="122">
        <v>-5.5</v>
      </c>
      <c r="EJ9" s="122">
        <v>-5.4</v>
      </c>
      <c r="EK9" s="122">
        <v>14.4</v>
      </c>
      <c r="EL9" s="122">
        <v>0.2</v>
      </c>
      <c r="EM9" s="122">
        <v>4.5999999999999996</v>
      </c>
      <c r="EN9" s="122">
        <v>13.1</v>
      </c>
      <c r="EO9" s="122">
        <v>26.6</v>
      </c>
      <c r="EP9" s="122">
        <v>59.6</v>
      </c>
      <c r="EQ9" s="126">
        <v>17</v>
      </c>
      <c r="IJ9" s="94" t="str">
        <f t="shared" si="33"/>
        <v/>
      </c>
      <c r="IK9" s="4" t="str">
        <f t="shared" si="34"/>
        <v/>
      </c>
      <c r="IL9" s="4" t="str">
        <f t="shared" si="35"/>
        <v/>
      </c>
      <c r="IM9" s="4" t="str">
        <f t="shared" si="36"/>
        <v/>
      </c>
      <c r="IN9" s="4" t="str">
        <f t="shared" si="37"/>
        <v/>
      </c>
      <c r="IO9" s="4" t="str">
        <f t="shared" si="38"/>
        <v/>
      </c>
      <c r="IP9" s="4" t="str">
        <f t="shared" si="39"/>
        <v/>
      </c>
      <c r="IQ9" s="4" t="str">
        <f t="shared" si="40"/>
        <v/>
      </c>
      <c r="IR9" s="4" t="str">
        <f t="shared" si="41"/>
        <v/>
      </c>
      <c r="IS9" s="4" t="str">
        <f t="shared" si="42"/>
        <v/>
      </c>
      <c r="IT9" s="4" t="str">
        <f t="shared" si="43"/>
        <v/>
      </c>
      <c r="IU9" s="4" t="str">
        <f t="shared" si="44"/>
        <v/>
      </c>
      <c r="IV9" s="4" t="str">
        <f t="shared" si="45"/>
        <v/>
      </c>
      <c r="IW9" s="4" t="str">
        <f t="shared" si="46"/>
        <v/>
      </c>
      <c r="IX9" s="4" t="str">
        <f t="shared" si="47"/>
        <v/>
      </c>
      <c r="IY9" s="4" t="str">
        <f t="shared" si="48"/>
        <v/>
      </c>
      <c r="IZ9" s="4" t="str">
        <f t="shared" si="49"/>
        <v/>
      </c>
      <c r="JA9" s="4" t="str">
        <f t="shared" si="50"/>
        <v/>
      </c>
      <c r="JB9" s="4" t="str">
        <f t="shared" si="51"/>
        <v/>
      </c>
      <c r="JC9" s="4" t="str">
        <f t="shared" si="52"/>
        <v/>
      </c>
      <c r="JD9" s="4" t="str">
        <f t="shared" si="53"/>
        <v/>
      </c>
      <c r="JE9" s="4" t="str">
        <f t="shared" si="54"/>
        <v/>
      </c>
      <c r="JF9" s="4" t="str">
        <f t="shared" si="55"/>
        <v/>
      </c>
      <c r="JG9" s="4" t="str">
        <f t="shared" si="56"/>
        <v/>
      </c>
      <c r="JH9" s="4" t="str">
        <f t="shared" si="57"/>
        <v/>
      </c>
      <c r="JI9" s="4" t="str">
        <f t="shared" si="58"/>
        <v/>
      </c>
      <c r="JJ9" s="4" t="str">
        <f t="shared" si="59"/>
        <v/>
      </c>
      <c r="JK9" s="4" t="str">
        <f t="shared" si="60"/>
        <v/>
      </c>
      <c r="JL9" s="4" t="str">
        <f t="shared" si="61"/>
        <v/>
      </c>
      <c r="JM9" s="4" t="str">
        <f t="shared" si="62"/>
        <v/>
      </c>
      <c r="JN9" s="4" t="str">
        <f t="shared" si="63"/>
        <v/>
      </c>
      <c r="JO9" s="129" t="str">
        <f t="shared" si="64"/>
        <v/>
      </c>
      <c r="JP9" s="122" t="str">
        <f t="shared" si="65"/>
        <v/>
      </c>
      <c r="JQ9" s="122" t="str">
        <f t="shared" si="66"/>
        <v/>
      </c>
      <c r="JR9" s="122" t="str">
        <f t="shared" si="67"/>
        <v/>
      </c>
      <c r="JS9" s="122" t="str">
        <f t="shared" si="68"/>
        <v/>
      </c>
      <c r="JT9" s="122" t="str">
        <f t="shared" si="69"/>
        <v/>
      </c>
      <c r="JU9" s="122" t="str">
        <f t="shared" si="70"/>
        <v/>
      </c>
      <c r="JV9" s="122" t="str">
        <f t="shared" si="71"/>
        <v/>
      </c>
      <c r="JW9" s="122" t="str">
        <f t="shared" si="72"/>
        <v/>
      </c>
      <c r="JX9" s="122" t="str">
        <f t="shared" si="73"/>
        <v/>
      </c>
      <c r="JY9" s="122" t="str">
        <f t="shared" si="74"/>
        <v/>
      </c>
      <c r="JZ9" s="122" t="str">
        <f t="shared" si="75"/>
        <v/>
      </c>
      <c r="KA9" s="122" t="str">
        <f t="shared" si="76"/>
        <v/>
      </c>
      <c r="KB9" s="122" t="str">
        <f t="shared" si="77"/>
        <v/>
      </c>
      <c r="KC9" s="122" t="str">
        <f t="shared" si="78"/>
        <v/>
      </c>
      <c r="KD9" s="122" t="str">
        <f t="shared" si="79"/>
        <v/>
      </c>
      <c r="KE9" s="133" t="str">
        <f t="shared" si="80"/>
        <v/>
      </c>
      <c r="KF9" s="94" t="str">
        <f t="shared" si="81"/>
        <v/>
      </c>
      <c r="KG9" s="4" t="str">
        <f t="shared" si="82"/>
        <v/>
      </c>
      <c r="KH9" s="4" t="str">
        <f t="shared" si="83"/>
        <v/>
      </c>
      <c r="KI9" s="4" t="str">
        <f t="shared" si="84"/>
        <v/>
      </c>
      <c r="KJ9" s="4" t="str">
        <f t="shared" si="85"/>
        <v/>
      </c>
      <c r="KK9" s="4" t="str">
        <f t="shared" si="86"/>
        <v/>
      </c>
      <c r="KL9" s="4" t="str">
        <f t="shared" si="87"/>
        <v/>
      </c>
      <c r="KM9" s="4" t="str">
        <f t="shared" si="88"/>
        <v/>
      </c>
      <c r="KN9" s="4" t="str">
        <f t="shared" si="89"/>
        <v/>
      </c>
      <c r="KO9" s="4" t="str">
        <f t="shared" si="90"/>
        <v/>
      </c>
      <c r="KP9" s="4" t="str">
        <f t="shared" si="91"/>
        <v/>
      </c>
      <c r="KQ9" s="4" t="str">
        <f t="shared" si="92"/>
        <v/>
      </c>
      <c r="KR9" s="4" t="str">
        <f t="shared" si="93"/>
        <v/>
      </c>
      <c r="KS9" s="4" t="str">
        <f t="shared" si="94"/>
        <v/>
      </c>
      <c r="KT9" s="4" t="str">
        <f t="shared" si="95"/>
        <v/>
      </c>
      <c r="KU9" s="4" t="str">
        <f t="shared" si="96"/>
        <v/>
      </c>
      <c r="KV9" s="4" t="str">
        <f t="shared" si="97"/>
        <v/>
      </c>
      <c r="KW9" s="4" t="str">
        <f t="shared" si="98"/>
        <v/>
      </c>
      <c r="KX9" s="4" t="str">
        <f t="shared" si="99"/>
        <v/>
      </c>
      <c r="KY9" s="4" t="str">
        <f t="shared" si="100"/>
        <v/>
      </c>
      <c r="KZ9" s="4" t="str">
        <f t="shared" si="101"/>
        <v/>
      </c>
      <c r="LA9" s="4" t="str">
        <f t="shared" si="102"/>
        <v/>
      </c>
      <c r="LB9" s="4" t="str">
        <f t="shared" si="103"/>
        <v/>
      </c>
      <c r="LC9" s="4" t="str">
        <f t="shared" si="104"/>
        <v/>
      </c>
      <c r="LD9" s="4" t="str">
        <f t="shared" si="105"/>
        <v/>
      </c>
      <c r="LE9" s="4" t="str">
        <f t="shared" si="106"/>
        <v/>
      </c>
      <c r="LF9" s="4" t="str">
        <f t="shared" si="107"/>
        <v/>
      </c>
      <c r="LG9" s="4" t="str">
        <f t="shared" si="108"/>
        <v/>
      </c>
      <c r="LH9" s="4" t="str">
        <f t="shared" si="109"/>
        <v/>
      </c>
      <c r="LI9" s="4" t="str">
        <f t="shared" si="110"/>
        <v/>
      </c>
      <c r="LJ9" s="4" t="str">
        <f t="shared" si="111"/>
        <v/>
      </c>
      <c r="LK9" s="4" t="str">
        <f t="shared" si="112"/>
        <v/>
      </c>
      <c r="LL9" s="4" t="str">
        <f t="shared" si="113"/>
        <v/>
      </c>
      <c r="LM9" s="4" t="str">
        <f t="shared" si="114"/>
        <v/>
      </c>
      <c r="LN9" s="4" t="str">
        <f t="shared" si="115"/>
        <v/>
      </c>
      <c r="LO9" s="4" t="str">
        <f t="shared" si="116"/>
        <v/>
      </c>
      <c r="LP9" s="4" t="str">
        <f t="shared" si="117"/>
        <v/>
      </c>
      <c r="LQ9" s="4" t="str">
        <f t="shared" si="118"/>
        <v/>
      </c>
      <c r="LR9" s="4" t="str">
        <f t="shared" si="119"/>
        <v/>
      </c>
      <c r="LS9" s="4" t="str">
        <f t="shared" si="120"/>
        <v/>
      </c>
      <c r="LT9" s="4" t="str">
        <f t="shared" si="121"/>
        <v/>
      </c>
      <c r="LU9" s="4" t="str">
        <f t="shared" si="122"/>
        <v/>
      </c>
      <c r="LV9" s="4" t="str">
        <f t="shared" si="123"/>
        <v/>
      </c>
      <c r="LW9" s="4" t="str">
        <f t="shared" si="124"/>
        <v/>
      </c>
      <c r="LX9" s="4" t="str">
        <f t="shared" si="125"/>
        <v/>
      </c>
      <c r="LY9" s="4" t="str">
        <f t="shared" si="126"/>
        <v/>
      </c>
      <c r="LZ9" s="4" t="str">
        <f t="shared" si="127"/>
        <v/>
      </c>
      <c r="MA9" s="4" t="str">
        <f t="shared" si="128"/>
        <v/>
      </c>
      <c r="MB9" s="4" t="str">
        <f t="shared" si="129"/>
        <v/>
      </c>
      <c r="MC9" s="4" t="str">
        <f t="shared" si="130"/>
        <v/>
      </c>
      <c r="MD9" s="4" t="str">
        <f t="shared" si="131"/>
        <v/>
      </c>
      <c r="ME9" s="4">
        <f t="shared" si="132"/>
        <v>0</v>
      </c>
    </row>
    <row r="10" spans="1:343" ht="26.25" customHeight="1" thickBot="1" x14ac:dyDescent="0.25">
      <c r="A10" s="35">
        <v>41206</v>
      </c>
      <c r="B10" s="36" t="s">
        <v>159</v>
      </c>
      <c r="C10" s="36" t="s">
        <v>216</v>
      </c>
      <c r="D10" s="31" t="s">
        <v>111</v>
      </c>
      <c r="E10" s="4">
        <v>61</v>
      </c>
      <c r="F10" s="3">
        <v>18808</v>
      </c>
      <c r="G10" s="4" t="s">
        <v>87</v>
      </c>
      <c r="H10" s="4" t="s">
        <v>108</v>
      </c>
      <c r="I10" s="4">
        <v>1835472</v>
      </c>
      <c r="K10" s="74"/>
      <c r="L10" s="75"/>
      <c r="M10" s="75"/>
      <c r="N10" s="75"/>
      <c r="O10" s="75"/>
      <c r="P10" s="4">
        <v>-0.5</v>
      </c>
      <c r="Q10" s="4">
        <v>-0.45</v>
      </c>
      <c r="R10" s="39" t="s">
        <v>249</v>
      </c>
      <c r="S10" s="70">
        <v>10</v>
      </c>
      <c r="T10" s="136">
        <v>41134</v>
      </c>
      <c r="U10" s="67">
        <v>-9.5</v>
      </c>
      <c r="V10" s="67">
        <v>0.75</v>
      </c>
      <c r="W10" s="4">
        <v>15</v>
      </c>
      <c r="X10" s="4">
        <v>80</v>
      </c>
      <c r="Y10" s="4">
        <v>13</v>
      </c>
      <c r="Z10" s="4">
        <v>741</v>
      </c>
      <c r="AA10" s="4">
        <v>27.6</v>
      </c>
      <c r="AB10" s="4">
        <v>11.8</v>
      </c>
      <c r="AC10" s="4">
        <v>4.38</v>
      </c>
      <c r="AD10" s="4">
        <v>4.1399999999999997</v>
      </c>
      <c r="AE10" s="4">
        <v>42.99</v>
      </c>
      <c r="AF10" s="4">
        <v>176</v>
      </c>
      <c r="AG10" s="4">
        <v>43.44</v>
      </c>
      <c r="AH10" s="4">
        <v>86</v>
      </c>
      <c r="AI10" s="4">
        <v>0</v>
      </c>
      <c r="AJ10" s="4" t="b">
        <f t="shared" si="0"/>
        <v>0</v>
      </c>
      <c r="AL10" s="4" t="s">
        <v>78</v>
      </c>
      <c r="BA10" s="4" t="str">
        <f t="shared" si="1"/>
        <v/>
      </c>
      <c r="BB10" s="4" t="str">
        <f t="shared" si="2"/>
        <v/>
      </c>
      <c r="BC10" s="4" t="str">
        <f t="shared" si="3"/>
        <v/>
      </c>
      <c r="BD10" s="51" t="s">
        <v>505</v>
      </c>
      <c r="BE10" s="59"/>
      <c r="BS10" s="4" t="str">
        <f t="shared" si="4"/>
        <v/>
      </c>
      <c r="BT10" s="4" t="str">
        <f t="shared" si="5"/>
        <v/>
      </c>
      <c r="BU10" s="4" t="str">
        <f t="shared" si="6"/>
        <v/>
      </c>
      <c r="BV10" s="4">
        <f>IF(AND(ISBLANK(SPH_6),ISBLANK(SPH_12)),0,1)</f>
        <v>0</v>
      </c>
      <c r="BW10" s="4">
        <f t="shared" si="8"/>
        <v>0</v>
      </c>
      <c r="BX10" s="4" t="str">
        <f t="shared" si="9"/>
        <v/>
      </c>
      <c r="BY10" s="4" t="str">
        <f t="shared" si="10"/>
        <v/>
      </c>
      <c r="BZ10" s="4" t="str">
        <f t="shared" si="11"/>
        <v/>
      </c>
      <c r="CA10" s="53">
        <f t="shared" si="12"/>
        <v>0</v>
      </c>
      <c r="CB10" s="55" t="str">
        <f t="shared" si="13"/>
        <v/>
      </c>
      <c r="CC10" s="4" t="str">
        <f t="shared" si="14"/>
        <v/>
      </c>
      <c r="CD10" s="4" t="str">
        <f t="shared" si="15"/>
        <v/>
      </c>
      <c r="CE10" s="4" t="str">
        <f t="shared" si="16"/>
        <v/>
      </c>
      <c r="CF10" s="4" t="str">
        <f t="shared" si="17"/>
        <v/>
      </c>
      <c r="CG10" s="4" t="str">
        <f t="shared" si="18"/>
        <v/>
      </c>
      <c r="CH10" s="4" t="str">
        <f t="shared" si="19"/>
        <v/>
      </c>
      <c r="CI10" s="104" t="str">
        <f t="shared" si="20"/>
        <v/>
      </c>
      <c r="CJ10" s="94" t="str">
        <f t="shared" si="21"/>
        <v/>
      </c>
      <c r="CK10" s="4" t="str">
        <f t="shared" si="22"/>
        <v/>
      </c>
      <c r="CL10" s="107" t="str">
        <f t="shared" si="23"/>
        <v/>
      </c>
      <c r="CM10" s="107" t="str">
        <f t="shared" si="24"/>
        <v/>
      </c>
      <c r="CN10" s="139" t="str">
        <f t="shared" si="25"/>
        <v/>
      </c>
      <c r="CO10" s="139" t="str">
        <f t="shared" si="26"/>
        <v/>
      </c>
      <c r="CP10" s="149" t="str">
        <f t="shared" si="27"/>
        <v/>
      </c>
      <c r="CQ10" s="149" t="str">
        <f t="shared" si="28"/>
        <v/>
      </c>
      <c r="CR10" s="148" t="str">
        <f t="shared" si="29"/>
        <v/>
      </c>
      <c r="CS10" s="152" t="str">
        <f t="shared" si="30"/>
        <v/>
      </c>
      <c r="CT10" s="107" t="str">
        <f t="shared" si="31"/>
        <v/>
      </c>
      <c r="CU10" s="155" t="str">
        <f t="shared" si="32"/>
        <v/>
      </c>
      <c r="IJ10" s="94" t="str">
        <f t="shared" si="33"/>
        <v/>
      </c>
      <c r="IK10" s="4" t="str">
        <f t="shared" si="34"/>
        <v/>
      </c>
      <c r="IL10" s="4" t="str">
        <f t="shared" si="35"/>
        <v/>
      </c>
      <c r="IM10" s="4" t="str">
        <f t="shared" si="36"/>
        <v/>
      </c>
      <c r="IN10" s="4" t="str">
        <f t="shared" si="37"/>
        <v/>
      </c>
      <c r="IO10" s="4" t="str">
        <f t="shared" si="38"/>
        <v/>
      </c>
      <c r="IP10" s="4" t="str">
        <f t="shared" si="39"/>
        <v/>
      </c>
      <c r="IQ10" s="4" t="str">
        <f t="shared" si="40"/>
        <v/>
      </c>
      <c r="IR10" s="4" t="str">
        <f t="shared" si="41"/>
        <v/>
      </c>
      <c r="IS10" s="4" t="str">
        <f t="shared" si="42"/>
        <v/>
      </c>
      <c r="IT10" s="4" t="str">
        <f t="shared" si="43"/>
        <v/>
      </c>
      <c r="IU10" s="4" t="str">
        <f t="shared" si="44"/>
        <v/>
      </c>
      <c r="IV10" s="4" t="str">
        <f t="shared" si="45"/>
        <v/>
      </c>
      <c r="IW10" s="4" t="str">
        <f t="shared" si="46"/>
        <v/>
      </c>
      <c r="IX10" s="4" t="str">
        <f t="shared" si="47"/>
        <v/>
      </c>
      <c r="IY10" s="4" t="str">
        <f t="shared" si="48"/>
        <v/>
      </c>
      <c r="IZ10" s="4" t="str">
        <f t="shared" si="49"/>
        <v/>
      </c>
      <c r="JA10" s="4" t="str">
        <f t="shared" si="50"/>
        <v/>
      </c>
      <c r="JB10" s="4" t="str">
        <f t="shared" si="51"/>
        <v/>
      </c>
      <c r="JC10" s="4" t="str">
        <f t="shared" si="52"/>
        <v/>
      </c>
      <c r="JD10" s="4" t="str">
        <f t="shared" si="53"/>
        <v/>
      </c>
      <c r="JE10" s="4" t="str">
        <f t="shared" si="54"/>
        <v/>
      </c>
      <c r="JF10" s="4" t="str">
        <f t="shared" si="55"/>
        <v/>
      </c>
      <c r="JG10" s="4" t="str">
        <f t="shared" si="56"/>
        <v/>
      </c>
      <c r="JH10" s="4" t="str">
        <f t="shared" si="57"/>
        <v/>
      </c>
      <c r="JI10" s="4" t="str">
        <f t="shared" si="58"/>
        <v/>
      </c>
      <c r="JJ10" s="4" t="str">
        <f t="shared" si="59"/>
        <v/>
      </c>
      <c r="JK10" s="4" t="str">
        <f t="shared" si="60"/>
        <v/>
      </c>
      <c r="JL10" s="4" t="str">
        <f t="shared" si="61"/>
        <v/>
      </c>
      <c r="JM10" s="4" t="str">
        <f t="shared" si="62"/>
        <v/>
      </c>
      <c r="JN10" s="4" t="str">
        <f t="shared" si="63"/>
        <v/>
      </c>
      <c r="JO10" s="129" t="str">
        <f t="shared" si="64"/>
        <v/>
      </c>
      <c r="JP10" s="122" t="str">
        <f t="shared" si="65"/>
        <v/>
      </c>
      <c r="JQ10" s="122" t="str">
        <f t="shared" si="66"/>
        <v/>
      </c>
      <c r="JR10" s="122" t="str">
        <f t="shared" si="67"/>
        <v/>
      </c>
      <c r="JS10" s="122" t="str">
        <f t="shared" si="68"/>
        <v/>
      </c>
      <c r="JT10" s="122" t="str">
        <f t="shared" si="69"/>
        <v/>
      </c>
      <c r="JU10" s="122" t="str">
        <f t="shared" si="70"/>
        <v/>
      </c>
      <c r="JV10" s="122" t="str">
        <f t="shared" si="71"/>
        <v/>
      </c>
      <c r="JW10" s="122" t="str">
        <f t="shared" si="72"/>
        <v/>
      </c>
      <c r="JX10" s="122" t="str">
        <f t="shared" si="73"/>
        <v/>
      </c>
      <c r="JY10" s="122" t="str">
        <f t="shared" si="74"/>
        <v/>
      </c>
      <c r="JZ10" s="122" t="str">
        <f t="shared" si="75"/>
        <v/>
      </c>
      <c r="KA10" s="122" t="str">
        <f t="shared" si="76"/>
        <v/>
      </c>
      <c r="KB10" s="122" t="str">
        <f t="shared" si="77"/>
        <v/>
      </c>
      <c r="KC10" s="122" t="str">
        <f t="shared" si="78"/>
        <v/>
      </c>
      <c r="KD10" s="122" t="str">
        <f t="shared" si="79"/>
        <v/>
      </c>
      <c r="KE10" s="133" t="str">
        <f t="shared" si="80"/>
        <v/>
      </c>
      <c r="KF10" s="94" t="str">
        <f t="shared" si="81"/>
        <v/>
      </c>
      <c r="KG10" s="4" t="str">
        <f t="shared" si="82"/>
        <v/>
      </c>
      <c r="KH10" s="4" t="str">
        <f t="shared" si="83"/>
        <v/>
      </c>
      <c r="KI10" s="4" t="str">
        <f t="shared" si="84"/>
        <v/>
      </c>
      <c r="KJ10" s="4" t="str">
        <f t="shared" si="85"/>
        <v/>
      </c>
      <c r="KK10" s="4" t="str">
        <f t="shared" si="86"/>
        <v/>
      </c>
      <c r="KL10" s="4" t="str">
        <f t="shared" si="87"/>
        <v/>
      </c>
      <c r="KM10" s="4" t="str">
        <f t="shared" si="88"/>
        <v/>
      </c>
      <c r="KN10" s="4" t="str">
        <f t="shared" si="89"/>
        <v/>
      </c>
      <c r="KO10" s="4" t="str">
        <f t="shared" si="90"/>
        <v/>
      </c>
      <c r="KP10" s="4" t="str">
        <f t="shared" si="91"/>
        <v/>
      </c>
      <c r="KQ10" s="4" t="str">
        <f t="shared" si="92"/>
        <v/>
      </c>
      <c r="KR10" s="4" t="str">
        <f t="shared" si="93"/>
        <v/>
      </c>
      <c r="KS10" s="4" t="str">
        <f t="shared" si="94"/>
        <v/>
      </c>
      <c r="KT10" s="4" t="str">
        <f t="shared" si="95"/>
        <v/>
      </c>
      <c r="KU10" s="4" t="str">
        <f t="shared" si="96"/>
        <v/>
      </c>
      <c r="KV10" s="4" t="str">
        <f t="shared" si="97"/>
        <v/>
      </c>
      <c r="KW10" s="4" t="str">
        <f t="shared" si="98"/>
        <v/>
      </c>
      <c r="KX10" s="4" t="str">
        <f t="shared" si="99"/>
        <v/>
      </c>
      <c r="KY10" s="4" t="str">
        <f t="shared" si="100"/>
        <v/>
      </c>
      <c r="KZ10" s="4" t="str">
        <f t="shared" si="101"/>
        <v/>
      </c>
      <c r="LA10" s="4" t="str">
        <f t="shared" si="102"/>
        <v/>
      </c>
      <c r="LB10" s="4" t="str">
        <f t="shared" si="103"/>
        <v/>
      </c>
      <c r="LC10" s="4" t="str">
        <f t="shared" si="104"/>
        <v/>
      </c>
      <c r="LD10" s="4" t="str">
        <f t="shared" si="105"/>
        <v/>
      </c>
      <c r="LE10" s="4" t="str">
        <f t="shared" si="106"/>
        <v/>
      </c>
      <c r="LF10" s="4" t="str">
        <f t="shared" si="107"/>
        <v/>
      </c>
      <c r="LG10" s="4" t="str">
        <f t="shared" si="108"/>
        <v/>
      </c>
      <c r="LH10" s="4" t="str">
        <f t="shared" si="109"/>
        <v/>
      </c>
      <c r="LI10" s="4" t="str">
        <f t="shared" si="110"/>
        <v/>
      </c>
      <c r="LJ10" s="4" t="str">
        <f t="shared" si="111"/>
        <v/>
      </c>
      <c r="LK10" s="4" t="str">
        <f t="shared" si="112"/>
        <v/>
      </c>
      <c r="LL10" s="4" t="str">
        <f t="shared" si="113"/>
        <v/>
      </c>
      <c r="LM10" s="4" t="str">
        <f t="shared" si="114"/>
        <v/>
      </c>
      <c r="LN10" s="4" t="str">
        <f t="shared" si="115"/>
        <v/>
      </c>
      <c r="LO10" s="4" t="str">
        <f t="shared" si="116"/>
        <v/>
      </c>
      <c r="LP10" s="4" t="str">
        <f t="shared" si="117"/>
        <v/>
      </c>
      <c r="LQ10" s="4" t="str">
        <f t="shared" si="118"/>
        <v/>
      </c>
      <c r="LR10" s="4" t="str">
        <f t="shared" si="119"/>
        <v/>
      </c>
      <c r="LS10" s="4" t="str">
        <f t="shared" si="120"/>
        <v/>
      </c>
      <c r="LT10" s="4" t="str">
        <f t="shared" si="121"/>
        <v/>
      </c>
      <c r="LU10" s="4" t="str">
        <f t="shared" si="122"/>
        <v/>
      </c>
      <c r="LV10" s="4" t="str">
        <f t="shared" si="123"/>
        <v/>
      </c>
      <c r="LW10" s="4" t="str">
        <f t="shared" si="124"/>
        <v/>
      </c>
      <c r="LX10" s="4" t="str">
        <f t="shared" si="125"/>
        <v/>
      </c>
      <c r="LY10" s="4" t="str">
        <f t="shared" si="126"/>
        <v/>
      </c>
      <c r="LZ10" s="4" t="str">
        <f t="shared" si="127"/>
        <v/>
      </c>
      <c r="MA10" s="4" t="str">
        <f t="shared" si="128"/>
        <v/>
      </c>
      <c r="MB10" s="4" t="str">
        <f t="shared" si="129"/>
        <v/>
      </c>
      <c r="MC10" s="4" t="str">
        <f t="shared" si="130"/>
        <v/>
      </c>
      <c r="MD10" s="4" t="str">
        <f t="shared" si="131"/>
        <v/>
      </c>
      <c r="ME10" s="4">
        <f t="shared" si="132"/>
        <v>0</v>
      </c>
    </row>
    <row r="11" spans="1:343" ht="26.25" customHeight="1" thickBot="1" x14ac:dyDescent="0.25">
      <c r="A11" s="35">
        <v>41150</v>
      </c>
      <c r="B11" s="36" t="s">
        <v>191</v>
      </c>
      <c r="C11" s="36" t="s">
        <v>194</v>
      </c>
      <c r="D11" s="31" t="s">
        <v>110</v>
      </c>
      <c r="E11" s="4">
        <v>83</v>
      </c>
      <c r="F11" s="3">
        <v>10626</v>
      </c>
      <c r="G11" s="4" t="s">
        <v>87</v>
      </c>
      <c r="H11" s="4" t="s">
        <v>108</v>
      </c>
      <c r="I11" s="4">
        <v>1835477</v>
      </c>
      <c r="K11" s="76"/>
      <c r="L11" s="75"/>
      <c r="M11" s="75"/>
      <c r="N11" s="75"/>
      <c r="O11" s="81"/>
      <c r="P11" s="4">
        <v>-0.5</v>
      </c>
      <c r="Q11" s="4">
        <v>-0.56000000000000005</v>
      </c>
      <c r="R11" s="4" t="s">
        <v>249</v>
      </c>
      <c r="S11" s="67">
        <v>23.75</v>
      </c>
      <c r="T11" s="136">
        <v>41130</v>
      </c>
      <c r="U11" s="67">
        <v>0</v>
      </c>
      <c r="V11" s="67">
        <v>0.75</v>
      </c>
      <c r="W11" s="4">
        <v>178</v>
      </c>
      <c r="X11" s="4">
        <v>60</v>
      </c>
      <c r="Y11" s="4">
        <v>18</v>
      </c>
      <c r="Z11" s="4">
        <v>569</v>
      </c>
      <c r="AA11" s="4">
        <v>22.94</v>
      </c>
      <c r="AB11" s="4">
        <v>11.7</v>
      </c>
      <c r="AC11" s="4">
        <v>5.21</v>
      </c>
      <c r="AD11" s="4">
        <v>2.75</v>
      </c>
      <c r="AE11" s="4">
        <v>45.06</v>
      </c>
      <c r="AF11" s="4">
        <v>75</v>
      </c>
      <c r="AG11" s="4">
        <v>45.18</v>
      </c>
      <c r="AH11" s="4">
        <v>165</v>
      </c>
      <c r="AI11" s="4">
        <v>0</v>
      </c>
      <c r="AJ11" s="4" t="b">
        <f t="shared" si="0"/>
        <v>0</v>
      </c>
      <c r="AL11" s="37" t="s">
        <v>78</v>
      </c>
      <c r="BA11" s="4" t="str">
        <f t="shared" si="1"/>
        <v/>
      </c>
      <c r="BB11" s="4" t="str">
        <f t="shared" si="2"/>
        <v/>
      </c>
      <c r="BC11" s="4" t="str">
        <f t="shared" si="3"/>
        <v/>
      </c>
      <c r="BD11" s="51" t="s">
        <v>505</v>
      </c>
      <c r="BE11" s="59"/>
      <c r="BS11" s="4" t="str">
        <f t="shared" si="4"/>
        <v/>
      </c>
      <c r="BT11" s="4" t="str">
        <f t="shared" si="5"/>
        <v/>
      </c>
      <c r="BU11" s="4" t="str">
        <f t="shared" si="6"/>
        <v/>
      </c>
      <c r="BV11" s="4">
        <f>IF(AND(ISBLANK(SPH_6),ISBLANK(SPH_12)),0,1)</f>
        <v>0</v>
      </c>
      <c r="BW11" s="4">
        <f t="shared" si="8"/>
        <v>0</v>
      </c>
      <c r="BX11" s="4" t="str">
        <f t="shared" si="9"/>
        <v/>
      </c>
      <c r="BY11" s="4" t="str">
        <f t="shared" si="10"/>
        <v/>
      </c>
      <c r="BZ11" s="4" t="str">
        <f t="shared" si="11"/>
        <v/>
      </c>
      <c r="CA11" s="53">
        <f t="shared" si="12"/>
        <v>0</v>
      </c>
      <c r="CB11" s="55" t="str">
        <f t="shared" si="13"/>
        <v/>
      </c>
      <c r="CC11" s="4" t="str">
        <f t="shared" si="14"/>
        <v/>
      </c>
      <c r="CD11" s="4" t="str">
        <f t="shared" si="15"/>
        <v/>
      </c>
      <c r="CE11" s="4" t="str">
        <f t="shared" si="16"/>
        <v/>
      </c>
      <c r="CF11" s="4" t="str">
        <f t="shared" si="17"/>
        <v/>
      </c>
      <c r="CG11" s="4" t="str">
        <f t="shared" si="18"/>
        <v/>
      </c>
      <c r="CH11" s="4" t="str">
        <f t="shared" si="19"/>
        <v/>
      </c>
      <c r="CI11" s="104" t="str">
        <f t="shared" si="20"/>
        <v/>
      </c>
      <c r="CJ11" s="94" t="str">
        <f t="shared" si="21"/>
        <v/>
      </c>
      <c r="CK11" s="4" t="str">
        <f t="shared" si="22"/>
        <v/>
      </c>
      <c r="CL11" s="107" t="str">
        <f t="shared" si="23"/>
        <v/>
      </c>
      <c r="CM11" s="107" t="str">
        <f t="shared" si="24"/>
        <v/>
      </c>
      <c r="CN11" s="139" t="str">
        <f t="shared" si="25"/>
        <v/>
      </c>
      <c r="CO11" s="139" t="str">
        <f t="shared" si="26"/>
        <v/>
      </c>
      <c r="CP11" s="149" t="str">
        <f t="shared" si="27"/>
        <v/>
      </c>
      <c r="CQ11" s="149" t="str">
        <f t="shared" si="28"/>
        <v/>
      </c>
      <c r="CR11" s="148" t="str">
        <f t="shared" si="29"/>
        <v/>
      </c>
      <c r="CS11" s="152" t="str">
        <f t="shared" si="30"/>
        <v/>
      </c>
      <c r="CT11" s="107" t="str">
        <f t="shared" si="31"/>
        <v/>
      </c>
      <c r="CU11" s="155" t="str">
        <f t="shared" si="32"/>
        <v/>
      </c>
      <c r="IJ11" s="94" t="str">
        <f t="shared" si="33"/>
        <v/>
      </c>
      <c r="IK11" s="4" t="str">
        <f t="shared" si="34"/>
        <v/>
      </c>
      <c r="IL11" s="4" t="str">
        <f t="shared" si="35"/>
        <v/>
      </c>
      <c r="IM11" s="4" t="str">
        <f t="shared" si="36"/>
        <v/>
      </c>
      <c r="IN11" s="4" t="str">
        <f t="shared" si="37"/>
        <v/>
      </c>
      <c r="IO11" s="4" t="str">
        <f t="shared" si="38"/>
        <v/>
      </c>
      <c r="IP11" s="4" t="str">
        <f t="shared" si="39"/>
        <v/>
      </c>
      <c r="IQ11" s="4" t="str">
        <f t="shared" si="40"/>
        <v/>
      </c>
      <c r="IR11" s="4" t="str">
        <f t="shared" si="41"/>
        <v/>
      </c>
      <c r="IS11" s="4" t="str">
        <f t="shared" si="42"/>
        <v/>
      </c>
      <c r="IT11" s="4" t="str">
        <f t="shared" si="43"/>
        <v/>
      </c>
      <c r="IU11" s="4" t="str">
        <f t="shared" si="44"/>
        <v/>
      </c>
      <c r="IV11" s="4" t="str">
        <f t="shared" si="45"/>
        <v/>
      </c>
      <c r="IW11" s="4" t="str">
        <f t="shared" si="46"/>
        <v/>
      </c>
      <c r="IX11" s="4" t="str">
        <f t="shared" si="47"/>
        <v/>
      </c>
      <c r="IY11" s="4" t="str">
        <f t="shared" si="48"/>
        <v/>
      </c>
      <c r="IZ11" s="4" t="str">
        <f t="shared" si="49"/>
        <v/>
      </c>
      <c r="JA11" s="4" t="str">
        <f t="shared" si="50"/>
        <v/>
      </c>
      <c r="JB11" s="4" t="str">
        <f t="shared" si="51"/>
        <v/>
      </c>
      <c r="JC11" s="4" t="str">
        <f t="shared" si="52"/>
        <v/>
      </c>
      <c r="JD11" s="4" t="str">
        <f t="shared" si="53"/>
        <v/>
      </c>
      <c r="JE11" s="4" t="str">
        <f t="shared" si="54"/>
        <v/>
      </c>
      <c r="JF11" s="4" t="str">
        <f t="shared" si="55"/>
        <v/>
      </c>
      <c r="JG11" s="4" t="str">
        <f t="shared" si="56"/>
        <v/>
      </c>
      <c r="JH11" s="4" t="str">
        <f t="shared" si="57"/>
        <v/>
      </c>
      <c r="JI11" s="4" t="str">
        <f t="shared" si="58"/>
        <v/>
      </c>
      <c r="JJ11" s="4" t="str">
        <f t="shared" si="59"/>
        <v/>
      </c>
      <c r="JK11" s="4" t="str">
        <f t="shared" si="60"/>
        <v/>
      </c>
      <c r="JL11" s="4" t="str">
        <f t="shared" si="61"/>
        <v/>
      </c>
      <c r="JM11" s="4" t="str">
        <f t="shared" si="62"/>
        <v/>
      </c>
      <c r="JN11" s="4" t="str">
        <f t="shared" si="63"/>
        <v/>
      </c>
      <c r="JO11" s="129" t="str">
        <f t="shared" si="64"/>
        <v/>
      </c>
      <c r="JP11" s="122" t="str">
        <f t="shared" si="65"/>
        <v/>
      </c>
      <c r="JQ11" s="122" t="str">
        <f t="shared" si="66"/>
        <v/>
      </c>
      <c r="JR11" s="122" t="str">
        <f t="shared" si="67"/>
        <v/>
      </c>
      <c r="JS11" s="122" t="str">
        <f t="shared" si="68"/>
        <v/>
      </c>
      <c r="JT11" s="122" t="str">
        <f t="shared" si="69"/>
        <v/>
      </c>
      <c r="JU11" s="122" t="str">
        <f t="shared" si="70"/>
        <v/>
      </c>
      <c r="JV11" s="122" t="str">
        <f t="shared" si="71"/>
        <v/>
      </c>
      <c r="JW11" s="122" t="str">
        <f t="shared" si="72"/>
        <v/>
      </c>
      <c r="JX11" s="122" t="str">
        <f t="shared" si="73"/>
        <v/>
      </c>
      <c r="JY11" s="122" t="str">
        <f t="shared" si="74"/>
        <v/>
      </c>
      <c r="JZ11" s="122" t="str">
        <f t="shared" si="75"/>
        <v/>
      </c>
      <c r="KA11" s="122" t="str">
        <f t="shared" si="76"/>
        <v/>
      </c>
      <c r="KB11" s="122" t="str">
        <f t="shared" si="77"/>
        <v/>
      </c>
      <c r="KC11" s="122" t="str">
        <f t="shared" si="78"/>
        <v/>
      </c>
      <c r="KD11" s="122" t="str">
        <f t="shared" si="79"/>
        <v/>
      </c>
      <c r="KE11" s="133" t="str">
        <f t="shared" si="80"/>
        <v/>
      </c>
      <c r="KF11" s="94" t="str">
        <f t="shared" si="81"/>
        <v/>
      </c>
      <c r="KG11" s="4" t="str">
        <f t="shared" si="82"/>
        <v/>
      </c>
      <c r="KH11" s="4" t="str">
        <f t="shared" si="83"/>
        <v/>
      </c>
      <c r="KI11" s="4" t="str">
        <f t="shared" si="84"/>
        <v/>
      </c>
      <c r="KJ11" s="4" t="str">
        <f t="shared" si="85"/>
        <v/>
      </c>
      <c r="KK11" s="4" t="str">
        <f t="shared" si="86"/>
        <v/>
      </c>
      <c r="KL11" s="4" t="str">
        <f t="shared" si="87"/>
        <v/>
      </c>
      <c r="KM11" s="4" t="str">
        <f t="shared" si="88"/>
        <v/>
      </c>
      <c r="KN11" s="4" t="str">
        <f t="shared" si="89"/>
        <v/>
      </c>
      <c r="KO11" s="4" t="str">
        <f t="shared" si="90"/>
        <v/>
      </c>
      <c r="KP11" s="4" t="str">
        <f t="shared" si="91"/>
        <v/>
      </c>
      <c r="KQ11" s="4" t="str">
        <f t="shared" si="92"/>
        <v/>
      </c>
      <c r="KR11" s="4" t="str">
        <f t="shared" si="93"/>
        <v/>
      </c>
      <c r="KS11" s="4" t="str">
        <f t="shared" si="94"/>
        <v/>
      </c>
      <c r="KT11" s="4" t="str">
        <f t="shared" si="95"/>
        <v/>
      </c>
      <c r="KU11" s="4" t="str">
        <f t="shared" si="96"/>
        <v/>
      </c>
      <c r="KV11" s="4" t="str">
        <f t="shared" si="97"/>
        <v/>
      </c>
      <c r="KW11" s="4" t="str">
        <f t="shared" si="98"/>
        <v/>
      </c>
      <c r="KX11" s="4" t="str">
        <f t="shared" si="99"/>
        <v/>
      </c>
      <c r="KY11" s="4" t="str">
        <f t="shared" si="100"/>
        <v/>
      </c>
      <c r="KZ11" s="4" t="str">
        <f t="shared" si="101"/>
        <v/>
      </c>
      <c r="LA11" s="4" t="str">
        <f t="shared" si="102"/>
        <v/>
      </c>
      <c r="LB11" s="4" t="str">
        <f t="shared" si="103"/>
        <v/>
      </c>
      <c r="LC11" s="4" t="str">
        <f t="shared" si="104"/>
        <v/>
      </c>
      <c r="LD11" s="4" t="str">
        <f t="shared" si="105"/>
        <v/>
      </c>
      <c r="LE11" s="4" t="str">
        <f t="shared" si="106"/>
        <v/>
      </c>
      <c r="LF11" s="4" t="str">
        <f t="shared" si="107"/>
        <v/>
      </c>
      <c r="LG11" s="4" t="str">
        <f t="shared" si="108"/>
        <v/>
      </c>
      <c r="LH11" s="4" t="str">
        <f t="shared" si="109"/>
        <v/>
      </c>
      <c r="LI11" s="4" t="str">
        <f t="shared" si="110"/>
        <v/>
      </c>
      <c r="LJ11" s="4" t="str">
        <f t="shared" si="111"/>
        <v/>
      </c>
      <c r="LK11" s="4" t="str">
        <f t="shared" si="112"/>
        <v/>
      </c>
      <c r="LL11" s="4" t="str">
        <f t="shared" si="113"/>
        <v/>
      </c>
      <c r="LM11" s="4" t="str">
        <f t="shared" si="114"/>
        <v/>
      </c>
      <c r="LN11" s="4" t="str">
        <f t="shared" si="115"/>
        <v/>
      </c>
      <c r="LO11" s="4" t="str">
        <f t="shared" si="116"/>
        <v/>
      </c>
      <c r="LP11" s="4" t="str">
        <f t="shared" si="117"/>
        <v/>
      </c>
      <c r="LQ11" s="4" t="str">
        <f t="shared" si="118"/>
        <v/>
      </c>
      <c r="LR11" s="4" t="str">
        <f t="shared" si="119"/>
        <v/>
      </c>
      <c r="LS11" s="4" t="str">
        <f t="shared" si="120"/>
        <v/>
      </c>
      <c r="LT11" s="4" t="str">
        <f t="shared" si="121"/>
        <v/>
      </c>
      <c r="LU11" s="4" t="str">
        <f t="shared" si="122"/>
        <v/>
      </c>
      <c r="LV11" s="4" t="str">
        <f t="shared" si="123"/>
        <v/>
      </c>
      <c r="LW11" s="4" t="str">
        <f t="shared" si="124"/>
        <v/>
      </c>
      <c r="LX11" s="4" t="str">
        <f t="shared" si="125"/>
        <v/>
      </c>
      <c r="LY11" s="4" t="str">
        <f t="shared" si="126"/>
        <v/>
      </c>
      <c r="LZ11" s="4" t="str">
        <f t="shared" si="127"/>
        <v/>
      </c>
      <c r="MA11" s="4" t="str">
        <f t="shared" si="128"/>
        <v/>
      </c>
      <c r="MB11" s="4" t="str">
        <f t="shared" si="129"/>
        <v/>
      </c>
      <c r="MC11" s="4" t="str">
        <f t="shared" si="130"/>
        <v/>
      </c>
      <c r="MD11" s="4" t="str">
        <f t="shared" si="131"/>
        <v/>
      </c>
      <c r="ME11" s="4">
        <f t="shared" si="132"/>
        <v>0</v>
      </c>
    </row>
    <row r="12" spans="1:343" ht="26.25" customHeight="1" thickBot="1" x14ac:dyDescent="0.25">
      <c r="A12" s="35">
        <v>41367</v>
      </c>
      <c r="B12" s="36" t="s">
        <v>175</v>
      </c>
      <c r="C12" s="36" t="s">
        <v>45</v>
      </c>
      <c r="D12" s="31" t="s">
        <v>110</v>
      </c>
      <c r="E12" s="4">
        <v>71</v>
      </c>
      <c r="F12" s="3">
        <v>15325</v>
      </c>
      <c r="G12" s="4" t="s">
        <v>87</v>
      </c>
      <c r="H12" s="4" t="s">
        <v>112</v>
      </c>
      <c r="I12" s="4">
        <v>1835496</v>
      </c>
      <c r="K12" s="80"/>
      <c r="L12" s="81"/>
      <c r="M12" s="81"/>
      <c r="N12" s="81"/>
      <c r="O12" s="81"/>
      <c r="P12" s="33">
        <v>-2.09</v>
      </c>
      <c r="Q12" s="33">
        <v>-1.5</v>
      </c>
      <c r="R12" s="4" t="s">
        <v>249</v>
      </c>
      <c r="S12" s="67">
        <v>19.5</v>
      </c>
      <c r="T12" s="136">
        <v>41365</v>
      </c>
      <c r="U12" s="67">
        <v>-4.75</v>
      </c>
      <c r="V12" s="67">
        <v>1.75</v>
      </c>
      <c r="W12" s="4">
        <v>10</v>
      </c>
      <c r="X12" s="4">
        <v>30</v>
      </c>
      <c r="Y12" s="4">
        <v>14</v>
      </c>
      <c r="Z12" s="4">
        <v>557</v>
      </c>
      <c r="AI12" s="4">
        <v>0</v>
      </c>
      <c r="AJ12" s="4" t="b">
        <f t="shared" si="0"/>
        <v>0</v>
      </c>
      <c r="AL12" s="51" t="s">
        <v>78</v>
      </c>
      <c r="AM12" s="61"/>
      <c r="BA12" s="4" t="str">
        <f t="shared" si="1"/>
        <v/>
      </c>
      <c r="BB12" s="4" t="str">
        <f t="shared" si="2"/>
        <v/>
      </c>
      <c r="BC12" s="4" t="str">
        <f t="shared" si="3"/>
        <v/>
      </c>
      <c r="BD12" s="51" t="s">
        <v>505</v>
      </c>
      <c r="BS12" s="4" t="str">
        <f t="shared" si="4"/>
        <v/>
      </c>
      <c r="BT12" s="4" t="str">
        <f t="shared" si="5"/>
        <v/>
      </c>
      <c r="BU12" s="4" t="str">
        <f t="shared" si="6"/>
        <v/>
      </c>
      <c r="BV12" s="4">
        <f>IF(AND(ISBLANK(SPH_6),ISBLANK(SPH_12)),0,1)</f>
        <v>0</v>
      </c>
      <c r="BW12" s="4">
        <f t="shared" si="8"/>
        <v>0</v>
      </c>
      <c r="BX12" s="4" t="str">
        <f t="shared" si="9"/>
        <v/>
      </c>
      <c r="BY12" s="4" t="str">
        <f t="shared" si="10"/>
        <v/>
      </c>
      <c r="BZ12" s="4" t="str">
        <f t="shared" si="11"/>
        <v/>
      </c>
      <c r="CA12" s="53">
        <f t="shared" si="12"/>
        <v>0</v>
      </c>
      <c r="CB12" s="55" t="str">
        <f t="shared" si="13"/>
        <v/>
      </c>
      <c r="CC12" s="4" t="str">
        <f t="shared" si="14"/>
        <v/>
      </c>
      <c r="CD12" s="4" t="str">
        <f t="shared" si="15"/>
        <v/>
      </c>
      <c r="CE12" s="4" t="str">
        <f t="shared" si="16"/>
        <v/>
      </c>
      <c r="CF12" s="4" t="str">
        <f t="shared" si="17"/>
        <v/>
      </c>
      <c r="CG12" s="4" t="str">
        <f t="shared" si="18"/>
        <v/>
      </c>
      <c r="CH12" s="4" t="str">
        <f t="shared" si="19"/>
        <v/>
      </c>
      <c r="CI12" s="104" t="str">
        <f t="shared" si="20"/>
        <v/>
      </c>
      <c r="CJ12" s="94" t="str">
        <f t="shared" si="21"/>
        <v/>
      </c>
      <c r="CK12" s="4" t="str">
        <f t="shared" si="22"/>
        <v/>
      </c>
      <c r="CL12" s="107" t="str">
        <f t="shared" si="23"/>
        <v/>
      </c>
      <c r="CM12" s="107" t="str">
        <f t="shared" si="24"/>
        <v/>
      </c>
      <c r="CN12" s="139" t="str">
        <f t="shared" si="25"/>
        <v/>
      </c>
      <c r="CO12" s="139" t="str">
        <f t="shared" si="26"/>
        <v/>
      </c>
      <c r="CP12" s="149" t="str">
        <f t="shared" si="27"/>
        <v/>
      </c>
      <c r="CQ12" s="149" t="str">
        <f t="shared" si="28"/>
        <v/>
      </c>
      <c r="CR12" s="148" t="str">
        <f t="shared" si="29"/>
        <v/>
      </c>
      <c r="CS12" s="152" t="str">
        <f t="shared" si="30"/>
        <v/>
      </c>
      <c r="CT12" s="107" t="str">
        <f t="shared" si="31"/>
        <v/>
      </c>
      <c r="CU12" s="155" t="str">
        <f t="shared" si="32"/>
        <v/>
      </c>
      <c r="IJ12" s="94" t="str">
        <f t="shared" si="33"/>
        <v/>
      </c>
      <c r="IK12" s="4" t="str">
        <f t="shared" si="34"/>
        <v/>
      </c>
      <c r="IL12" s="4" t="str">
        <f t="shared" si="35"/>
        <v/>
      </c>
      <c r="IM12" s="4" t="str">
        <f t="shared" si="36"/>
        <v/>
      </c>
      <c r="IN12" s="4" t="str">
        <f t="shared" si="37"/>
        <v/>
      </c>
      <c r="IO12" s="4" t="str">
        <f t="shared" si="38"/>
        <v/>
      </c>
      <c r="IP12" s="4" t="str">
        <f t="shared" si="39"/>
        <v/>
      </c>
      <c r="IQ12" s="4" t="str">
        <f t="shared" si="40"/>
        <v/>
      </c>
      <c r="IR12" s="4" t="str">
        <f t="shared" si="41"/>
        <v/>
      </c>
      <c r="IS12" s="4" t="str">
        <f t="shared" si="42"/>
        <v/>
      </c>
      <c r="IT12" s="4" t="str">
        <f t="shared" si="43"/>
        <v/>
      </c>
      <c r="IU12" s="4" t="str">
        <f t="shared" si="44"/>
        <v/>
      </c>
      <c r="IV12" s="4" t="str">
        <f t="shared" si="45"/>
        <v/>
      </c>
      <c r="IW12" s="4" t="str">
        <f t="shared" si="46"/>
        <v/>
      </c>
      <c r="IX12" s="4" t="str">
        <f t="shared" si="47"/>
        <v/>
      </c>
      <c r="IY12" s="4" t="str">
        <f t="shared" si="48"/>
        <v/>
      </c>
      <c r="IZ12" s="4" t="str">
        <f t="shared" si="49"/>
        <v/>
      </c>
      <c r="JA12" s="4" t="str">
        <f t="shared" si="50"/>
        <v/>
      </c>
      <c r="JB12" s="4" t="str">
        <f t="shared" si="51"/>
        <v/>
      </c>
      <c r="JC12" s="4" t="str">
        <f t="shared" si="52"/>
        <v/>
      </c>
      <c r="JD12" s="4" t="str">
        <f t="shared" si="53"/>
        <v/>
      </c>
      <c r="JE12" s="4" t="str">
        <f t="shared" si="54"/>
        <v/>
      </c>
      <c r="JF12" s="4" t="str">
        <f t="shared" si="55"/>
        <v/>
      </c>
      <c r="JG12" s="4" t="str">
        <f t="shared" si="56"/>
        <v/>
      </c>
      <c r="JH12" s="4" t="str">
        <f t="shared" si="57"/>
        <v/>
      </c>
      <c r="JI12" s="4" t="str">
        <f t="shared" si="58"/>
        <v/>
      </c>
      <c r="JJ12" s="4" t="str">
        <f t="shared" si="59"/>
        <v/>
      </c>
      <c r="JK12" s="4" t="str">
        <f t="shared" si="60"/>
        <v/>
      </c>
      <c r="JL12" s="4" t="str">
        <f t="shared" si="61"/>
        <v/>
      </c>
      <c r="JM12" s="4" t="str">
        <f t="shared" si="62"/>
        <v/>
      </c>
      <c r="JN12" s="4" t="str">
        <f t="shared" si="63"/>
        <v/>
      </c>
      <c r="JO12" s="129" t="str">
        <f t="shared" si="64"/>
        <v/>
      </c>
      <c r="JP12" s="122" t="str">
        <f t="shared" si="65"/>
        <v/>
      </c>
      <c r="JQ12" s="122" t="str">
        <f t="shared" si="66"/>
        <v/>
      </c>
      <c r="JR12" s="122" t="str">
        <f t="shared" si="67"/>
        <v/>
      </c>
      <c r="JS12" s="122" t="str">
        <f t="shared" si="68"/>
        <v/>
      </c>
      <c r="JT12" s="122" t="str">
        <f t="shared" si="69"/>
        <v/>
      </c>
      <c r="JU12" s="122" t="str">
        <f t="shared" si="70"/>
        <v/>
      </c>
      <c r="JV12" s="122" t="str">
        <f t="shared" si="71"/>
        <v/>
      </c>
      <c r="JW12" s="122" t="str">
        <f t="shared" si="72"/>
        <v/>
      </c>
      <c r="JX12" s="122" t="str">
        <f t="shared" si="73"/>
        <v/>
      </c>
      <c r="JY12" s="122" t="str">
        <f t="shared" si="74"/>
        <v/>
      </c>
      <c r="JZ12" s="122" t="str">
        <f t="shared" si="75"/>
        <v/>
      </c>
      <c r="KA12" s="122" t="str">
        <f t="shared" si="76"/>
        <v/>
      </c>
      <c r="KB12" s="122" t="str">
        <f t="shared" si="77"/>
        <v/>
      </c>
      <c r="KC12" s="122" t="str">
        <f t="shared" si="78"/>
        <v/>
      </c>
      <c r="KD12" s="122" t="str">
        <f t="shared" si="79"/>
        <v/>
      </c>
      <c r="KE12" s="133" t="str">
        <f t="shared" si="80"/>
        <v/>
      </c>
      <c r="KF12" s="94" t="str">
        <f t="shared" si="81"/>
        <v/>
      </c>
      <c r="KG12" s="4" t="str">
        <f t="shared" si="82"/>
        <v/>
      </c>
      <c r="KH12" s="4" t="str">
        <f t="shared" si="83"/>
        <v/>
      </c>
      <c r="KI12" s="4" t="str">
        <f t="shared" si="84"/>
        <v/>
      </c>
      <c r="KJ12" s="4" t="str">
        <f t="shared" si="85"/>
        <v/>
      </c>
      <c r="KK12" s="4" t="str">
        <f t="shared" si="86"/>
        <v/>
      </c>
      <c r="KL12" s="4" t="str">
        <f t="shared" si="87"/>
        <v/>
      </c>
      <c r="KM12" s="4" t="str">
        <f t="shared" si="88"/>
        <v/>
      </c>
      <c r="KN12" s="4" t="str">
        <f t="shared" si="89"/>
        <v/>
      </c>
      <c r="KO12" s="4" t="str">
        <f t="shared" si="90"/>
        <v/>
      </c>
      <c r="KP12" s="4" t="str">
        <f t="shared" si="91"/>
        <v/>
      </c>
      <c r="KQ12" s="4" t="str">
        <f t="shared" si="92"/>
        <v/>
      </c>
      <c r="KR12" s="4" t="str">
        <f t="shared" si="93"/>
        <v/>
      </c>
      <c r="KS12" s="4" t="str">
        <f t="shared" si="94"/>
        <v/>
      </c>
      <c r="KT12" s="4" t="str">
        <f t="shared" si="95"/>
        <v/>
      </c>
      <c r="KU12" s="4" t="str">
        <f t="shared" si="96"/>
        <v/>
      </c>
      <c r="KV12" s="4" t="str">
        <f t="shared" si="97"/>
        <v/>
      </c>
      <c r="KW12" s="4" t="str">
        <f t="shared" si="98"/>
        <v/>
      </c>
      <c r="KX12" s="4" t="str">
        <f t="shared" si="99"/>
        <v/>
      </c>
      <c r="KY12" s="4" t="str">
        <f t="shared" si="100"/>
        <v/>
      </c>
      <c r="KZ12" s="4" t="str">
        <f t="shared" si="101"/>
        <v/>
      </c>
      <c r="LA12" s="4" t="str">
        <f t="shared" si="102"/>
        <v/>
      </c>
      <c r="LB12" s="4" t="str">
        <f t="shared" si="103"/>
        <v/>
      </c>
      <c r="LC12" s="4" t="str">
        <f t="shared" si="104"/>
        <v/>
      </c>
      <c r="LD12" s="4" t="str">
        <f t="shared" si="105"/>
        <v/>
      </c>
      <c r="LE12" s="4" t="str">
        <f t="shared" si="106"/>
        <v/>
      </c>
      <c r="LF12" s="4" t="str">
        <f t="shared" si="107"/>
        <v/>
      </c>
      <c r="LG12" s="4" t="str">
        <f t="shared" si="108"/>
        <v/>
      </c>
      <c r="LH12" s="4" t="str">
        <f t="shared" si="109"/>
        <v/>
      </c>
      <c r="LI12" s="4" t="str">
        <f t="shared" si="110"/>
        <v/>
      </c>
      <c r="LJ12" s="4" t="str">
        <f t="shared" si="111"/>
        <v/>
      </c>
      <c r="LK12" s="4" t="str">
        <f t="shared" si="112"/>
        <v/>
      </c>
      <c r="LL12" s="4" t="str">
        <f t="shared" si="113"/>
        <v/>
      </c>
      <c r="LM12" s="4" t="str">
        <f t="shared" si="114"/>
        <v/>
      </c>
      <c r="LN12" s="4" t="str">
        <f t="shared" si="115"/>
        <v/>
      </c>
      <c r="LO12" s="4" t="str">
        <f t="shared" si="116"/>
        <v/>
      </c>
      <c r="LP12" s="4" t="str">
        <f t="shared" si="117"/>
        <v/>
      </c>
      <c r="LQ12" s="4" t="str">
        <f t="shared" si="118"/>
        <v/>
      </c>
      <c r="LR12" s="4" t="str">
        <f t="shared" si="119"/>
        <v/>
      </c>
      <c r="LS12" s="4" t="str">
        <f t="shared" si="120"/>
        <v/>
      </c>
      <c r="LT12" s="4" t="str">
        <f t="shared" si="121"/>
        <v/>
      </c>
      <c r="LU12" s="4" t="str">
        <f t="shared" si="122"/>
        <v/>
      </c>
      <c r="LV12" s="4" t="str">
        <f t="shared" si="123"/>
        <v/>
      </c>
      <c r="LW12" s="4" t="str">
        <f t="shared" si="124"/>
        <v/>
      </c>
      <c r="LX12" s="4" t="str">
        <f t="shared" si="125"/>
        <v/>
      </c>
      <c r="LY12" s="4" t="str">
        <f t="shared" si="126"/>
        <v/>
      </c>
      <c r="LZ12" s="4" t="str">
        <f t="shared" si="127"/>
        <v/>
      </c>
      <c r="MA12" s="4" t="str">
        <f t="shared" si="128"/>
        <v/>
      </c>
      <c r="MB12" s="4" t="str">
        <f t="shared" si="129"/>
        <v/>
      </c>
      <c r="MC12" s="4" t="str">
        <f t="shared" si="130"/>
        <v/>
      </c>
      <c r="MD12" s="4" t="str">
        <f t="shared" si="131"/>
        <v/>
      </c>
      <c r="ME12" s="4">
        <f t="shared" si="132"/>
        <v>0</v>
      </c>
    </row>
    <row r="13" spans="1:343" ht="26.25" customHeight="1" thickBot="1" x14ac:dyDescent="0.25">
      <c r="A13" s="35">
        <v>41220</v>
      </c>
      <c r="B13" s="36" t="s">
        <v>201</v>
      </c>
      <c r="C13" s="36" t="s">
        <v>173</v>
      </c>
      <c r="D13" s="31" t="s">
        <v>110</v>
      </c>
      <c r="E13" s="4">
        <v>63</v>
      </c>
      <c r="F13" s="3">
        <v>18170</v>
      </c>
      <c r="G13" s="4" t="s">
        <v>87</v>
      </c>
      <c r="H13" s="4" t="s">
        <v>108</v>
      </c>
      <c r="I13" s="4">
        <v>1835552</v>
      </c>
      <c r="K13" s="74"/>
      <c r="L13" s="75"/>
      <c r="M13" s="75"/>
      <c r="N13" s="75"/>
      <c r="O13" s="81"/>
      <c r="P13" s="33">
        <v>-0.75</v>
      </c>
      <c r="Q13" s="33">
        <v>-0.84</v>
      </c>
      <c r="R13" s="33" t="s">
        <v>249</v>
      </c>
      <c r="S13" s="67">
        <v>16.25</v>
      </c>
      <c r="T13" s="136">
        <v>41183</v>
      </c>
      <c r="U13" s="67">
        <v>-4.5</v>
      </c>
      <c r="V13" s="67">
        <v>0.5</v>
      </c>
      <c r="W13" s="4">
        <v>150</v>
      </c>
      <c r="X13" s="4">
        <v>40</v>
      </c>
      <c r="Y13" s="4">
        <v>18</v>
      </c>
      <c r="Z13" s="4">
        <v>564</v>
      </c>
      <c r="AA13" s="4">
        <v>2.64</v>
      </c>
      <c r="AB13" s="4">
        <v>11.9</v>
      </c>
      <c r="AC13" s="4">
        <v>5.18</v>
      </c>
      <c r="AD13" s="4">
        <v>3.7</v>
      </c>
      <c r="AE13" s="4">
        <v>47.07</v>
      </c>
      <c r="AF13" s="4">
        <v>57</v>
      </c>
      <c r="AG13" s="4">
        <v>47.8</v>
      </c>
      <c r="AH13" s="4">
        <v>147</v>
      </c>
      <c r="AI13" s="4">
        <v>2</v>
      </c>
      <c r="AJ13" s="4" t="b">
        <f t="shared" si="0"/>
        <v>1</v>
      </c>
      <c r="AL13" s="37" t="s">
        <v>78</v>
      </c>
      <c r="BA13" s="4" t="str">
        <f t="shared" si="1"/>
        <v/>
      </c>
      <c r="BB13" s="4" t="str">
        <f t="shared" si="2"/>
        <v/>
      </c>
      <c r="BC13" s="4" t="str">
        <f t="shared" si="3"/>
        <v/>
      </c>
      <c r="BD13" s="51" t="s">
        <v>505</v>
      </c>
      <c r="BS13" s="4" t="str">
        <f t="shared" si="4"/>
        <v/>
      </c>
      <c r="BT13" s="4" t="str">
        <f t="shared" si="5"/>
        <v/>
      </c>
      <c r="BU13" s="4" t="str">
        <f t="shared" si="6"/>
        <v/>
      </c>
      <c r="BV13" s="4">
        <f>IF(AND(ISBLANK(SPH_6),ISBLANK(SPH_12)),0,1)</f>
        <v>0</v>
      </c>
      <c r="BW13" s="4">
        <f t="shared" si="8"/>
        <v>0</v>
      </c>
      <c r="BX13" s="4" t="str">
        <f t="shared" si="9"/>
        <v/>
      </c>
      <c r="BY13" s="4" t="str">
        <f t="shared" si="10"/>
        <v/>
      </c>
      <c r="BZ13" s="4" t="str">
        <f t="shared" si="11"/>
        <v/>
      </c>
      <c r="CA13" s="53">
        <f t="shared" si="12"/>
        <v>0</v>
      </c>
      <c r="CB13" s="55" t="str">
        <f t="shared" si="13"/>
        <v/>
      </c>
      <c r="CC13" s="4" t="str">
        <f t="shared" si="14"/>
        <v/>
      </c>
      <c r="CD13" s="4" t="str">
        <f t="shared" si="15"/>
        <v/>
      </c>
      <c r="CE13" s="4" t="str">
        <f t="shared" si="16"/>
        <v/>
      </c>
      <c r="CF13" s="4" t="str">
        <f t="shared" si="17"/>
        <v/>
      </c>
      <c r="CG13" s="4" t="str">
        <f t="shared" si="18"/>
        <v/>
      </c>
      <c r="CH13" s="4" t="str">
        <f t="shared" si="19"/>
        <v/>
      </c>
      <c r="CI13" s="104" t="str">
        <f t="shared" si="20"/>
        <v/>
      </c>
      <c r="CJ13" s="94" t="str">
        <f t="shared" si="21"/>
        <v/>
      </c>
      <c r="CK13" s="4" t="str">
        <f t="shared" si="22"/>
        <v/>
      </c>
      <c r="CL13" s="107" t="str">
        <f t="shared" si="23"/>
        <v/>
      </c>
      <c r="CM13" s="107" t="str">
        <f t="shared" si="24"/>
        <v/>
      </c>
      <c r="CN13" s="139" t="str">
        <f t="shared" si="25"/>
        <v/>
      </c>
      <c r="CO13" s="139" t="str">
        <f t="shared" si="26"/>
        <v/>
      </c>
      <c r="CP13" s="149" t="str">
        <f t="shared" si="27"/>
        <v/>
      </c>
      <c r="CQ13" s="149" t="str">
        <f t="shared" si="28"/>
        <v/>
      </c>
      <c r="CR13" s="148" t="str">
        <f t="shared" si="29"/>
        <v/>
      </c>
      <c r="CS13" s="152" t="str">
        <f t="shared" si="30"/>
        <v/>
      </c>
      <c r="CT13" s="107" t="str">
        <f t="shared" si="31"/>
        <v/>
      </c>
      <c r="CU13" s="155" t="str">
        <f t="shared" si="32"/>
        <v/>
      </c>
      <c r="CV13">
        <v>7.23</v>
      </c>
      <c r="CW13" s="4">
        <v>7.26</v>
      </c>
      <c r="CX13" s="4">
        <v>77.599999999999994</v>
      </c>
      <c r="CY13" s="4">
        <v>0.2</v>
      </c>
      <c r="CZ13" s="4">
        <v>-0.3</v>
      </c>
      <c r="DA13" s="4">
        <v>0.4</v>
      </c>
      <c r="DB13" s="4">
        <v>3.09</v>
      </c>
      <c r="DC13" s="4">
        <v>3.65</v>
      </c>
      <c r="DD13" s="4">
        <v>559</v>
      </c>
      <c r="DE13" s="4">
        <v>560</v>
      </c>
      <c r="DF13" s="4">
        <v>567</v>
      </c>
      <c r="DG13" s="4">
        <v>574</v>
      </c>
      <c r="DH13" s="4">
        <v>572</v>
      </c>
      <c r="DI13" s="4">
        <v>579</v>
      </c>
      <c r="DJ13" s="4">
        <v>532</v>
      </c>
      <c r="DK13" s="4">
        <v>0.81</v>
      </c>
      <c r="DL13" s="4">
        <v>1.49</v>
      </c>
      <c r="DM13" s="4">
        <v>7.28</v>
      </c>
      <c r="DN13" s="4">
        <v>7.19</v>
      </c>
      <c r="DO13" s="4">
        <v>7.17</v>
      </c>
      <c r="DP13" s="4">
        <v>7.3</v>
      </c>
      <c r="DQ13" s="4">
        <v>7.65</v>
      </c>
      <c r="DR13" s="4">
        <v>7.87</v>
      </c>
      <c r="DS13" s="4">
        <v>0</v>
      </c>
      <c r="DT13" s="4">
        <v>0.4</v>
      </c>
      <c r="DU13" s="4">
        <v>7</v>
      </c>
      <c r="DV13" s="4">
        <v>6.52</v>
      </c>
      <c r="DW13" s="4">
        <v>6.37</v>
      </c>
      <c r="DX13" s="4">
        <v>6.56</v>
      </c>
      <c r="DY13" s="4">
        <v>6.78</v>
      </c>
      <c r="DZ13" s="4">
        <v>6.91</v>
      </c>
      <c r="EA13" s="4">
        <v>0</v>
      </c>
      <c r="EB13" s="100">
        <v>0.4</v>
      </c>
      <c r="EC13" s="122">
        <v>46.5</v>
      </c>
      <c r="ED13" s="122">
        <v>46.7</v>
      </c>
      <c r="EE13" s="122">
        <v>46.6</v>
      </c>
      <c r="EF13" s="122">
        <v>77.599999999999994</v>
      </c>
      <c r="EG13" s="122">
        <v>0.2</v>
      </c>
      <c r="EH13" s="122">
        <v>-5.7</v>
      </c>
      <c r="EI13" s="122">
        <v>-6</v>
      </c>
      <c r="EJ13" s="122">
        <v>-5.9</v>
      </c>
      <c r="EK13" s="122">
        <v>59.5</v>
      </c>
      <c r="EL13" s="122">
        <v>0.4</v>
      </c>
      <c r="EM13" s="122">
        <v>4</v>
      </c>
      <c r="EN13" s="122">
        <v>11.2</v>
      </c>
      <c r="EO13" s="122">
        <v>23.3</v>
      </c>
      <c r="EP13" s="122">
        <v>54.2</v>
      </c>
      <c r="EQ13" s="126">
        <v>11</v>
      </c>
      <c r="IJ13" s="94" t="str">
        <f t="shared" si="33"/>
        <v/>
      </c>
      <c r="IK13" s="4" t="str">
        <f t="shared" si="34"/>
        <v/>
      </c>
      <c r="IL13" s="4" t="str">
        <f t="shared" si="35"/>
        <v/>
      </c>
      <c r="IM13" s="4" t="str">
        <f t="shared" si="36"/>
        <v/>
      </c>
      <c r="IN13" s="4" t="str">
        <f t="shared" si="37"/>
        <v/>
      </c>
      <c r="IO13" s="4" t="str">
        <f t="shared" si="38"/>
        <v/>
      </c>
      <c r="IP13" s="4" t="str">
        <f t="shared" si="39"/>
        <v/>
      </c>
      <c r="IQ13" s="4" t="str">
        <f t="shared" si="40"/>
        <v/>
      </c>
      <c r="IR13" s="4" t="str">
        <f t="shared" si="41"/>
        <v/>
      </c>
      <c r="IS13" s="4" t="str">
        <f t="shared" si="42"/>
        <v/>
      </c>
      <c r="IT13" s="4" t="str">
        <f t="shared" si="43"/>
        <v/>
      </c>
      <c r="IU13" s="4" t="str">
        <f t="shared" si="44"/>
        <v/>
      </c>
      <c r="IV13" s="4" t="str">
        <f t="shared" si="45"/>
        <v/>
      </c>
      <c r="IW13" s="4" t="str">
        <f t="shared" si="46"/>
        <v/>
      </c>
      <c r="IX13" s="4" t="str">
        <f t="shared" si="47"/>
        <v/>
      </c>
      <c r="IY13" s="4" t="str">
        <f t="shared" si="48"/>
        <v/>
      </c>
      <c r="IZ13" s="4" t="str">
        <f t="shared" si="49"/>
        <v/>
      </c>
      <c r="JA13" s="4" t="str">
        <f t="shared" si="50"/>
        <v/>
      </c>
      <c r="JB13" s="4" t="str">
        <f t="shared" si="51"/>
        <v/>
      </c>
      <c r="JC13" s="4" t="str">
        <f t="shared" si="52"/>
        <v/>
      </c>
      <c r="JD13" s="4" t="str">
        <f t="shared" si="53"/>
        <v/>
      </c>
      <c r="JE13" s="4" t="str">
        <f t="shared" si="54"/>
        <v/>
      </c>
      <c r="JF13" s="4" t="str">
        <f t="shared" si="55"/>
        <v/>
      </c>
      <c r="JG13" s="4" t="str">
        <f t="shared" si="56"/>
        <v/>
      </c>
      <c r="JH13" s="4" t="str">
        <f t="shared" si="57"/>
        <v/>
      </c>
      <c r="JI13" s="4" t="str">
        <f t="shared" si="58"/>
        <v/>
      </c>
      <c r="JJ13" s="4" t="str">
        <f t="shared" si="59"/>
        <v/>
      </c>
      <c r="JK13" s="4" t="str">
        <f t="shared" si="60"/>
        <v/>
      </c>
      <c r="JL13" s="4" t="str">
        <f t="shared" si="61"/>
        <v/>
      </c>
      <c r="JM13" s="4" t="str">
        <f t="shared" si="62"/>
        <v/>
      </c>
      <c r="JN13" s="4" t="str">
        <f t="shared" si="63"/>
        <v/>
      </c>
      <c r="JO13" s="129" t="str">
        <f t="shared" si="64"/>
        <v/>
      </c>
      <c r="JP13" s="122" t="str">
        <f t="shared" si="65"/>
        <v/>
      </c>
      <c r="JQ13" s="122" t="str">
        <f t="shared" si="66"/>
        <v/>
      </c>
      <c r="JR13" s="122" t="str">
        <f t="shared" si="67"/>
        <v/>
      </c>
      <c r="JS13" s="122" t="str">
        <f t="shared" si="68"/>
        <v/>
      </c>
      <c r="JT13" s="122" t="str">
        <f t="shared" si="69"/>
        <v/>
      </c>
      <c r="JU13" s="122" t="str">
        <f t="shared" si="70"/>
        <v/>
      </c>
      <c r="JV13" s="122" t="str">
        <f t="shared" si="71"/>
        <v/>
      </c>
      <c r="JW13" s="122" t="str">
        <f t="shared" si="72"/>
        <v/>
      </c>
      <c r="JX13" s="122" t="str">
        <f t="shared" si="73"/>
        <v/>
      </c>
      <c r="JY13" s="122" t="str">
        <f t="shared" si="74"/>
        <v/>
      </c>
      <c r="JZ13" s="122" t="str">
        <f t="shared" si="75"/>
        <v/>
      </c>
      <c r="KA13" s="122" t="str">
        <f t="shared" si="76"/>
        <v/>
      </c>
      <c r="KB13" s="122" t="str">
        <f t="shared" si="77"/>
        <v/>
      </c>
      <c r="KC13" s="122" t="str">
        <f t="shared" si="78"/>
        <v/>
      </c>
      <c r="KD13" s="122" t="str">
        <f t="shared" si="79"/>
        <v/>
      </c>
      <c r="KE13" s="133" t="str">
        <f t="shared" si="80"/>
        <v/>
      </c>
      <c r="KF13" s="94" t="str">
        <f t="shared" si="81"/>
        <v/>
      </c>
      <c r="KG13" s="4" t="str">
        <f t="shared" si="82"/>
        <v/>
      </c>
      <c r="KH13" s="4" t="str">
        <f t="shared" si="83"/>
        <v/>
      </c>
      <c r="KI13" s="4" t="str">
        <f t="shared" si="84"/>
        <v/>
      </c>
      <c r="KJ13" s="4" t="str">
        <f t="shared" si="85"/>
        <v/>
      </c>
      <c r="KK13" s="4" t="str">
        <f t="shared" si="86"/>
        <v/>
      </c>
      <c r="KL13" s="4" t="str">
        <f t="shared" si="87"/>
        <v/>
      </c>
      <c r="KM13" s="4" t="str">
        <f t="shared" si="88"/>
        <v/>
      </c>
      <c r="KN13" s="4" t="str">
        <f t="shared" si="89"/>
        <v/>
      </c>
      <c r="KO13" s="4" t="str">
        <f t="shared" si="90"/>
        <v/>
      </c>
      <c r="KP13" s="4" t="str">
        <f t="shared" si="91"/>
        <v/>
      </c>
      <c r="KQ13" s="4" t="str">
        <f t="shared" si="92"/>
        <v/>
      </c>
      <c r="KR13" s="4" t="str">
        <f t="shared" si="93"/>
        <v/>
      </c>
      <c r="KS13" s="4" t="str">
        <f t="shared" si="94"/>
        <v/>
      </c>
      <c r="KT13" s="4" t="str">
        <f t="shared" si="95"/>
        <v/>
      </c>
      <c r="KU13" s="4" t="str">
        <f t="shared" si="96"/>
        <v/>
      </c>
      <c r="KV13" s="4" t="str">
        <f t="shared" si="97"/>
        <v/>
      </c>
      <c r="KW13" s="4" t="str">
        <f t="shared" si="98"/>
        <v/>
      </c>
      <c r="KX13" s="4" t="str">
        <f t="shared" si="99"/>
        <v/>
      </c>
      <c r="KY13" s="4" t="str">
        <f t="shared" si="100"/>
        <v/>
      </c>
      <c r="KZ13" s="4" t="str">
        <f t="shared" si="101"/>
        <v/>
      </c>
      <c r="LA13" s="4" t="str">
        <f t="shared" si="102"/>
        <v/>
      </c>
      <c r="LB13" s="4" t="str">
        <f t="shared" si="103"/>
        <v/>
      </c>
      <c r="LC13" s="4" t="str">
        <f t="shared" si="104"/>
        <v/>
      </c>
      <c r="LD13" s="4" t="str">
        <f t="shared" si="105"/>
        <v/>
      </c>
      <c r="LE13" s="4" t="str">
        <f t="shared" si="106"/>
        <v/>
      </c>
      <c r="LF13" s="4" t="str">
        <f t="shared" si="107"/>
        <v/>
      </c>
      <c r="LG13" s="4" t="str">
        <f t="shared" si="108"/>
        <v/>
      </c>
      <c r="LH13" s="4" t="str">
        <f t="shared" si="109"/>
        <v/>
      </c>
      <c r="LI13" s="4" t="str">
        <f t="shared" si="110"/>
        <v/>
      </c>
      <c r="LJ13" s="4" t="str">
        <f t="shared" si="111"/>
        <v/>
      </c>
      <c r="LK13" s="4" t="str">
        <f t="shared" si="112"/>
        <v/>
      </c>
      <c r="LL13" s="4" t="str">
        <f t="shared" si="113"/>
        <v/>
      </c>
      <c r="LM13" s="4" t="str">
        <f t="shared" si="114"/>
        <v/>
      </c>
      <c r="LN13" s="4" t="str">
        <f t="shared" si="115"/>
        <v/>
      </c>
      <c r="LO13" s="4" t="str">
        <f t="shared" si="116"/>
        <v/>
      </c>
      <c r="LP13" s="4" t="str">
        <f t="shared" si="117"/>
        <v/>
      </c>
      <c r="LQ13" s="4" t="str">
        <f t="shared" si="118"/>
        <v/>
      </c>
      <c r="LR13" s="4" t="str">
        <f t="shared" si="119"/>
        <v/>
      </c>
      <c r="LS13" s="4" t="str">
        <f t="shared" si="120"/>
        <v/>
      </c>
      <c r="LT13" s="4" t="str">
        <f t="shared" si="121"/>
        <v/>
      </c>
      <c r="LU13" s="4" t="str">
        <f t="shared" si="122"/>
        <v/>
      </c>
      <c r="LV13" s="4" t="str">
        <f t="shared" si="123"/>
        <v/>
      </c>
      <c r="LW13" s="4" t="str">
        <f t="shared" si="124"/>
        <v/>
      </c>
      <c r="LX13" s="4" t="str">
        <f t="shared" si="125"/>
        <v/>
      </c>
      <c r="LY13" s="4" t="str">
        <f t="shared" si="126"/>
        <v/>
      </c>
      <c r="LZ13" s="4" t="str">
        <f t="shared" si="127"/>
        <v/>
      </c>
      <c r="MA13" s="4" t="str">
        <f t="shared" si="128"/>
        <v/>
      </c>
      <c r="MB13" s="4" t="str">
        <f t="shared" si="129"/>
        <v/>
      </c>
      <c r="MC13" s="4" t="str">
        <f t="shared" si="130"/>
        <v/>
      </c>
      <c r="MD13" s="4" t="str">
        <f t="shared" si="131"/>
        <v/>
      </c>
      <c r="ME13" s="4">
        <f t="shared" si="132"/>
        <v>0</v>
      </c>
    </row>
    <row r="14" spans="1:343" ht="26.25" customHeight="1" thickBot="1" x14ac:dyDescent="0.25">
      <c r="A14" s="35">
        <v>41185</v>
      </c>
      <c r="B14" s="36" t="s">
        <v>157</v>
      </c>
      <c r="C14" s="36" t="s">
        <v>7</v>
      </c>
      <c r="D14" s="31" t="s">
        <v>111</v>
      </c>
      <c r="E14" s="4">
        <v>51</v>
      </c>
      <c r="F14" s="3">
        <v>22555</v>
      </c>
      <c r="G14" s="4" t="s">
        <v>87</v>
      </c>
      <c r="H14" s="4" t="s">
        <v>108</v>
      </c>
      <c r="I14" s="4">
        <v>1835596</v>
      </c>
      <c r="K14" s="80"/>
      <c r="L14" s="81"/>
      <c r="M14" s="81"/>
      <c r="N14" s="81"/>
      <c r="O14" s="81"/>
      <c r="P14" s="33">
        <v>-0.5</v>
      </c>
      <c r="Q14" s="33">
        <v>-0.46</v>
      </c>
      <c r="R14" s="33" t="s">
        <v>249</v>
      </c>
      <c r="S14" s="67">
        <v>15</v>
      </c>
      <c r="T14" s="136">
        <v>41159</v>
      </c>
      <c r="U14" s="67">
        <v>-4.25</v>
      </c>
      <c r="V14" s="67">
        <v>0.75</v>
      </c>
      <c r="W14" s="4">
        <v>88</v>
      </c>
      <c r="X14" s="4">
        <v>25</v>
      </c>
      <c r="Y14" s="4">
        <v>11</v>
      </c>
      <c r="Z14" s="4">
        <v>600</v>
      </c>
      <c r="AA14" s="4">
        <v>24.38</v>
      </c>
      <c r="AB14" s="4">
        <v>11.6</v>
      </c>
      <c r="AC14" s="4">
        <v>4.1500000000000004</v>
      </c>
      <c r="AD14" s="4">
        <v>3.95</v>
      </c>
      <c r="AE14" s="4">
        <v>74.739999999999995</v>
      </c>
      <c r="AF14" s="4">
        <v>26</v>
      </c>
      <c r="AG14" s="4">
        <v>48.21</v>
      </c>
      <c r="AH14" s="4">
        <v>116</v>
      </c>
      <c r="AI14" s="4">
        <v>0</v>
      </c>
      <c r="AJ14" s="4" t="b">
        <f t="shared" si="0"/>
        <v>0</v>
      </c>
      <c r="AL14" s="4" t="s">
        <v>78</v>
      </c>
      <c r="BA14" s="4" t="str">
        <f t="shared" si="1"/>
        <v/>
      </c>
      <c r="BB14" s="4" t="str">
        <f t="shared" si="2"/>
        <v/>
      </c>
      <c r="BC14" s="4" t="str">
        <f t="shared" si="3"/>
        <v/>
      </c>
      <c r="BD14" s="51" t="s">
        <v>505</v>
      </c>
      <c r="BS14" s="4" t="str">
        <f t="shared" si="4"/>
        <v/>
      </c>
      <c r="BT14" s="4" t="str">
        <f t="shared" si="5"/>
        <v/>
      </c>
      <c r="BU14" s="4" t="str">
        <f t="shared" si="6"/>
        <v/>
      </c>
      <c r="BV14" s="4">
        <f>IF(AND(ISBLANK(SPH_6),ISBLANK(SPH_12)),0,1)</f>
        <v>0</v>
      </c>
      <c r="BW14" s="4">
        <f t="shared" si="8"/>
        <v>0</v>
      </c>
      <c r="BX14" s="4" t="str">
        <f t="shared" si="9"/>
        <v/>
      </c>
      <c r="BY14" s="4" t="str">
        <f t="shared" si="10"/>
        <v/>
      </c>
      <c r="BZ14" s="4" t="str">
        <f t="shared" si="11"/>
        <v/>
      </c>
      <c r="CA14" s="53">
        <f t="shared" si="12"/>
        <v>0</v>
      </c>
      <c r="CB14" s="55" t="str">
        <f t="shared" si="13"/>
        <v/>
      </c>
      <c r="CC14" s="4" t="str">
        <f t="shared" si="14"/>
        <v/>
      </c>
      <c r="CD14" s="4" t="str">
        <f t="shared" si="15"/>
        <v/>
      </c>
      <c r="CE14" s="4" t="str">
        <f t="shared" si="16"/>
        <v/>
      </c>
      <c r="CF14" s="4" t="str">
        <f t="shared" si="17"/>
        <v/>
      </c>
      <c r="CG14" s="4" t="str">
        <f t="shared" si="18"/>
        <v/>
      </c>
      <c r="CH14" s="4" t="str">
        <f t="shared" si="19"/>
        <v/>
      </c>
      <c r="CI14" s="104" t="str">
        <f t="shared" si="20"/>
        <v/>
      </c>
      <c r="CJ14" s="94" t="str">
        <f t="shared" si="21"/>
        <v/>
      </c>
      <c r="CK14" s="4" t="str">
        <f t="shared" si="22"/>
        <v/>
      </c>
      <c r="CL14" s="107" t="str">
        <f t="shared" si="23"/>
        <v/>
      </c>
      <c r="CM14" s="107" t="str">
        <f t="shared" si="24"/>
        <v/>
      </c>
      <c r="CN14" s="139" t="str">
        <f t="shared" si="25"/>
        <v/>
      </c>
      <c r="CO14" s="139" t="str">
        <f t="shared" si="26"/>
        <v/>
      </c>
      <c r="CP14" s="149" t="str">
        <f t="shared" si="27"/>
        <v/>
      </c>
      <c r="CQ14" s="149" t="str">
        <f t="shared" si="28"/>
        <v/>
      </c>
      <c r="CR14" s="148" t="str">
        <f t="shared" si="29"/>
        <v/>
      </c>
      <c r="CS14" s="152" t="str">
        <f t="shared" si="30"/>
        <v/>
      </c>
      <c r="CT14" s="107" t="str">
        <f t="shared" si="31"/>
        <v/>
      </c>
      <c r="CU14" s="155" t="str">
        <f t="shared" si="32"/>
        <v/>
      </c>
      <c r="IJ14" s="94" t="str">
        <f t="shared" si="33"/>
        <v/>
      </c>
      <c r="IK14" s="4" t="str">
        <f t="shared" si="34"/>
        <v/>
      </c>
      <c r="IL14" s="4" t="str">
        <f t="shared" si="35"/>
        <v/>
      </c>
      <c r="IM14" s="4" t="str">
        <f t="shared" si="36"/>
        <v/>
      </c>
      <c r="IN14" s="4" t="str">
        <f t="shared" si="37"/>
        <v/>
      </c>
      <c r="IO14" s="4" t="str">
        <f t="shared" si="38"/>
        <v/>
      </c>
      <c r="IP14" s="4" t="str">
        <f t="shared" si="39"/>
        <v/>
      </c>
      <c r="IQ14" s="4" t="str">
        <f t="shared" si="40"/>
        <v/>
      </c>
      <c r="IR14" s="4" t="str">
        <f t="shared" si="41"/>
        <v/>
      </c>
      <c r="IS14" s="4" t="str">
        <f t="shared" si="42"/>
        <v/>
      </c>
      <c r="IT14" s="4" t="str">
        <f t="shared" si="43"/>
        <v/>
      </c>
      <c r="IU14" s="4" t="str">
        <f t="shared" si="44"/>
        <v/>
      </c>
      <c r="IV14" s="4" t="str">
        <f t="shared" si="45"/>
        <v/>
      </c>
      <c r="IW14" s="4" t="str">
        <f t="shared" si="46"/>
        <v/>
      </c>
      <c r="IX14" s="4" t="str">
        <f t="shared" si="47"/>
        <v/>
      </c>
      <c r="IY14" s="4" t="str">
        <f t="shared" si="48"/>
        <v/>
      </c>
      <c r="IZ14" s="4" t="str">
        <f t="shared" si="49"/>
        <v/>
      </c>
      <c r="JA14" s="4" t="str">
        <f t="shared" si="50"/>
        <v/>
      </c>
      <c r="JB14" s="4" t="str">
        <f t="shared" si="51"/>
        <v/>
      </c>
      <c r="JC14" s="4" t="str">
        <f t="shared" si="52"/>
        <v/>
      </c>
      <c r="JD14" s="4" t="str">
        <f t="shared" si="53"/>
        <v/>
      </c>
      <c r="JE14" s="4" t="str">
        <f t="shared" si="54"/>
        <v/>
      </c>
      <c r="JF14" s="4" t="str">
        <f t="shared" si="55"/>
        <v/>
      </c>
      <c r="JG14" s="4" t="str">
        <f t="shared" si="56"/>
        <v/>
      </c>
      <c r="JH14" s="4" t="str">
        <f t="shared" si="57"/>
        <v/>
      </c>
      <c r="JI14" s="4" t="str">
        <f t="shared" si="58"/>
        <v/>
      </c>
      <c r="JJ14" s="4" t="str">
        <f t="shared" si="59"/>
        <v/>
      </c>
      <c r="JK14" s="4" t="str">
        <f t="shared" si="60"/>
        <v/>
      </c>
      <c r="JL14" s="4" t="str">
        <f t="shared" si="61"/>
        <v/>
      </c>
      <c r="JM14" s="4" t="str">
        <f t="shared" si="62"/>
        <v/>
      </c>
      <c r="JN14" s="4" t="str">
        <f t="shared" si="63"/>
        <v/>
      </c>
      <c r="JO14" s="129" t="str">
        <f t="shared" si="64"/>
        <v/>
      </c>
      <c r="JP14" s="122" t="str">
        <f t="shared" si="65"/>
        <v/>
      </c>
      <c r="JQ14" s="122" t="str">
        <f t="shared" si="66"/>
        <v/>
      </c>
      <c r="JR14" s="122" t="str">
        <f t="shared" si="67"/>
        <v/>
      </c>
      <c r="JS14" s="122" t="str">
        <f t="shared" si="68"/>
        <v/>
      </c>
      <c r="JT14" s="122" t="str">
        <f t="shared" si="69"/>
        <v/>
      </c>
      <c r="JU14" s="122" t="str">
        <f t="shared" si="70"/>
        <v/>
      </c>
      <c r="JV14" s="122" t="str">
        <f t="shared" si="71"/>
        <v/>
      </c>
      <c r="JW14" s="122" t="str">
        <f t="shared" si="72"/>
        <v/>
      </c>
      <c r="JX14" s="122" t="str">
        <f t="shared" si="73"/>
        <v/>
      </c>
      <c r="JY14" s="122" t="str">
        <f t="shared" si="74"/>
        <v/>
      </c>
      <c r="JZ14" s="122" t="str">
        <f t="shared" si="75"/>
        <v/>
      </c>
      <c r="KA14" s="122" t="str">
        <f t="shared" si="76"/>
        <v/>
      </c>
      <c r="KB14" s="122" t="str">
        <f t="shared" si="77"/>
        <v/>
      </c>
      <c r="KC14" s="122" t="str">
        <f t="shared" si="78"/>
        <v/>
      </c>
      <c r="KD14" s="122" t="str">
        <f t="shared" si="79"/>
        <v/>
      </c>
      <c r="KE14" s="133" t="str">
        <f t="shared" si="80"/>
        <v/>
      </c>
      <c r="KF14" s="94" t="str">
        <f t="shared" si="81"/>
        <v/>
      </c>
      <c r="KG14" s="4" t="str">
        <f t="shared" si="82"/>
        <v/>
      </c>
      <c r="KH14" s="4" t="str">
        <f t="shared" si="83"/>
        <v/>
      </c>
      <c r="KI14" s="4" t="str">
        <f t="shared" si="84"/>
        <v/>
      </c>
      <c r="KJ14" s="4" t="str">
        <f t="shared" si="85"/>
        <v/>
      </c>
      <c r="KK14" s="4" t="str">
        <f t="shared" si="86"/>
        <v/>
      </c>
      <c r="KL14" s="4" t="str">
        <f t="shared" si="87"/>
        <v/>
      </c>
      <c r="KM14" s="4" t="str">
        <f t="shared" si="88"/>
        <v/>
      </c>
      <c r="KN14" s="4" t="str">
        <f t="shared" si="89"/>
        <v/>
      </c>
      <c r="KO14" s="4" t="str">
        <f t="shared" si="90"/>
        <v/>
      </c>
      <c r="KP14" s="4" t="str">
        <f t="shared" si="91"/>
        <v/>
      </c>
      <c r="KQ14" s="4" t="str">
        <f t="shared" si="92"/>
        <v/>
      </c>
      <c r="KR14" s="4" t="str">
        <f t="shared" si="93"/>
        <v/>
      </c>
      <c r="KS14" s="4" t="str">
        <f t="shared" si="94"/>
        <v/>
      </c>
      <c r="KT14" s="4" t="str">
        <f t="shared" si="95"/>
        <v/>
      </c>
      <c r="KU14" s="4" t="str">
        <f t="shared" si="96"/>
        <v/>
      </c>
      <c r="KV14" s="4" t="str">
        <f t="shared" si="97"/>
        <v/>
      </c>
      <c r="KW14" s="4" t="str">
        <f t="shared" si="98"/>
        <v/>
      </c>
      <c r="KX14" s="4" t="str">
        <f t="shared" si="99"/>
        <v/>
      </c>
      <c r="KY14" s="4" t="str">
        <f t="shared" si="100"/>
        <v/>
      </c>
      <c r="KZ14" s="4" t="str">
        <f t="shared" si="101"/>
        <v/>
      </c>
      <c r="LA14" s="4" t="str">
        <f t="shared" si="102"/>
        <v/>
      </c>
      <c r="LB14" s="4" t="str">
        <f t="shared" si="103"/>
        <v/>
      </c>
      <c r="LC14" s="4" t="str">
        <f t="shared" si="104"/>
        <v/>
      </c>
      <c r="LD14" s="4" t="str">
        <f t="shared" si="105"/>
        <v/>
      </c>
      <c r="LE14" s="4" t="str">
        <f t="shared" si="106"/>
        <v/>
      </c>
      <c r="LF14" s="4" t="str">
        <f t="shared" si="107"/>
        <v/>
      </c>
      <c r="LG14" s="4" t="str">
        <f t="shared" si="108"/>
        <v/>
      </c>
      <c r="LH14" s="4" t="str">
        <f t="shared" si="109"/>
        <v/>
      </c>
      <c r="LI14" s="4" t="str">
        <f t="shared" si="110"/>
        <v/>
      </c>
      <c r="LJ14" s="4" t="str">
        <f t="shared" si="111"/>
        <v/>
      </c>
      <c r="LK14" s="4" t="str">
        <f t="shared" si="112"/>
        <v/>
      </c>
      <c r="LL14" s="4" t="str">
        <f t="shared" si="113"/>
        <v/>
      </c>
      <c r="LM14" s="4" t="str">
        <f t="shared" si="114"/>
        <v/>
      </c>
      <c r="LN14" s="4" t="str">
        <f t="shared" si="115"/>
        <v/>
      </c>
      <c r="LO14" s="4" t="str">
        <f t="shared" si="116"/>
        <v/>
      </c>
      <c r="LP14" s="4" t="str">
        <f t="shared" si="117"/>
        <v/>
      </c>
      <c r="LQ14" s="4" t="str">
        <f t="shared" si="118"/>
        <v/>
      </c>
      <c r="LR14" s="4" t="str">
        <f t="shared" si="119"/>
        <v/>
      </c>
      <c r="LS14" s="4" t="str">
        <f t="shared" si="120"/>
        <v/>
      </c>
      <c r="LT14" s="4" t="str">
        <f t="shared" si="121"/>
        <v/>
      </c>
      <c r="LU14" s="4" t="str">
        <f t="shared" si="122"/>
        <v/>
      </c>
      <c r="LV14" s="4" t="str">
        <f t="shared" si="123"/>
        <v/>
      </c>
      <c r="LW14" s="4" t="str">
        <f t="shared" si="124"/>
        <v/>
      </c>
      <c r="LX14" s="4" t="str">
        <f t="shared" si="125"/>
        <v/>
      </c>
      <c r="LY14" s="4" t="str">
        <f t="shared" si="126"/>
        <v/>
      </c>
      <c r="LZ14" s="4" t="str">
        <f t="shared" si="127"/>
        <v/>
      </c>
      <c r="MA14" s="4" t="str">
        <f t="shared" si="128"/>
        <v/>
      </c>
      <c r="MB14" s="4" t="str">
        <f t="shared" si="129"/>
        <v/>
      </c>
      <c r="MC14" s="4" t="str">
        <f t="shared" si="130"/>
        <v/>
      </c>
      <c r="MD14" s="4" t="str">
        <f t="shared" si="131"/>
        <v/>
      </c>
      <c r="ME14" s="4">
        <f t="shared" si="132"/>
        <v>0</v>
      </c>
    </row>
    <row r="15" spans="1:343" ht="26.25" customHeight="1" thickBot="1" x14ac:dyDescent="0.25">
      <c r="A15" s="35">
        <v>41232</v>
      </c>
      <c r="B15" s="36" t="s">
        <v>214</v>
      </c>
      <c r="C15" s="36" t="s">
        <v>9</v>
      </c>
      <c r="D15" s="31" t="s">
        <v>110</v>
      </c>
      <c r="E15" s="4">
        <v>57</v>
      </c>
      <c r="F15" s="3">
        <v>20225</v>
      </c>
      <c r="G15" s="4" t="s">
        <v>87</v>
      </c>
      <c r="H15" s="4" t="s">
        <v>112</v>
      </c>
      <c r="I15" s="4">
        <v>1835684</v>
      </c>
      <c r="J15" s="36"/>
      <c r="K15" s="76"/>
      <c r="L15" s="76"/>
      <c r="M15" s="76"/>
      <c r="N15" s="76"/>
      <c r="O15" s="76"/>
      <c r="P15" s="4">
        <v>-0.5</v>
      </c>
      <c r="Q15" s="4">
        <v>-0.53</v>
      </c>
      <c r="R15" s="4" t="s">
        <v>249</v>
      </c>
      <c r="S15" s="67">
        <v>11.5</v>
      </c>
      <c r="T15" s="136">
        <v>41204</v>
      </c>
      <c r="U15" s="67">
        <v>-6.25</v>
      </c>
      <c r="V15" s="67">
        <v>0.75</v>
      </c>
      <c r="W15" s="4">
        <v>90</v>
      </c>
      <c r="X15" s="4">
        <v>25</v>
      </c>
      <c r="Y15" s="4">
        <v>20</v>
      </c>
      <c r="Z15" s="4">
        <v>516</v>
      </c>
      <c r="AA15" s="4">
        <v>26.03</v>
      </c>
      <c r="AB15" s="4">
        <v>12</v>
      </c>
      <c r="AC15" s="4">
        <v>4.9000000000000004</v>
      </c>
      <c r="AD15" s="4">
        <v>3.42</v>
      </c>
      <c r="AE15" s="4">
        <v>44.41</v>
      </c>
      <c r="AF15" s="4">
        <v>170</v>
      </c>
      <c r="AG15" s="4">
        <v>45.55</v>
      </c>
      <c r="AH15" s="4">
        <v>80</v>
      </c>
      <c r="AI15" s="4">
        <v>0</v>
      </c>
      <c r="AJ15" s="4" t="b">
        <f t="shared" si="0"/>
        <v>0</v>
      </c>
      <c r="AL15" s="4" t="s">
        <v>78</v>
      </c>
      <c r="BA15" s="4" t="str">
        <f t="shared" si="1"/>
        <v/>
      </c>
      <c r="BB15" s="4" t="str">
        <f t="shared" si="2"/>
        <v/>
      </c>
      <c r="BC15" s="4" t="str">
        <f t="shared" si="3"/>
        <v/>
      </c>
      <c r="BD15" s="51" t="s">
        <v>505</v>
      </c>
      <c r="BS15" s="4" t="str">
        <f t="shared" si="4"/>
        <v/>
      </c>
      <c r="BT15" s="4" t="str">
        <f t="shared" si="5"/>
        <v/>
      </c>
      <c r="BU15" s="4" t="str">
        <f t="shared" si="6"/>
        <v/>
      </c>
      <c r="BV15" s="4">
        <f>IF(AND(ISBLANK(SPH_6),ISBLANK(SPH_12)),0,1)</f>
        <v>0</v>
      </c>
      <c r="BW15" s="4">
        <f t="shared" si="8"/>
        <v>0</v>
      </c>
      <c r="BX15" s="4" t="str">
        <f t="shared" si="9"/>
        <v/>
      </c>
      <c r="BY15" s="4" t="str">
        <f t="shared" si="10"/>
        <v/>
      </c>
      <c r="BZ15" s="4" t="str">
        <f t="shared" si="11"/>
        <v/>
      </c>
      <c r="CA15" s="53">
        <f t="shared" si="12"/>
        <v>0</v>
      </c>
      <c r="CB15" s="55" t="str">
        <f t="shared" si="13"/>
        <v/>
      </c>
      <c r="CC15" s="4" t="str">
        <f t="shared" si="14"/>
        <v/>
      </c>
      <c r="CD15" s="4" t="str">
        <f t="shared" si="15"/>
        <v/>
      </c>
      <c r="CE15" s="4" t="str">
        <f t="shared" si="16"/>
        <v/>
      </c>
      <c r="CF15" s="4" t="str">
        <f t="shared" si="17"/>
        <v/>
      </c>
      <c r="CG15" s="4" t="str">
        <f t="shared" si="18"/>
        <v/>
      </c>
      <c r="CH15" s="4" t="str">
        <f t="shared" si="19"/>
        <v/>
      </c>
      <c r="CI15" s="104" t="str">
        <f t="shared" si="20"/>
        <v/>
      </c>
      <c r="CJ15" s="94" t="str">
        <f t="shared" si="21"/>
        <v/>
      </c>
      <c r="CK15" s="4" t="str">
        <f t="shared" si="22"/>
        <v/>
      </c>
      <c r="CL15" s="107" t="str">
        <f t="shared" si="23"/>
        <v/>
      </c>
      <c r="CM15" s="107" t="str">
        <f t="shared" si="24"/>
        <v/>
      </c>
      <c r="CN15" s="139" t="str">
        <f t="shared" si="25"/>
        <v/>
      </c>
      <c r="CO15" s="139" t="str">
        <f t="shared" si="26"/>
        <v/>
      </c>
      <c r="CP15" s="149" t="str">
        <f t="shared" si="27"/>
        <v/>
      </c>
      <c r="CQ15" s="149" t="str">
        <f t="shared" si="28"/>
        <v/>
      </c>
      <c r="CR15" s="148" t="str">
        <f t="shared" si="29"/>
        <v/>
      </c>
      <c r="CS15" s="152" t="str">
        <f t="shared" si="30"/>
        <v/>
      </c>
      <c r="CT15" s="107" t="str">
        <f t="shared" si="31"/>
        <v/>
      </c>
      <c r="CU15" s="155" t="str">
        <f t="shared" si="32"/>
        <v/>
      </c>
      <c r="ER15" s="107"/>
      <c r="ES15" s="107"/>
      <c r="ET15" s="107"/>
      <c r="EU15" s="107"/>
      <c r="EV15" s="107"/>
      <c r="EW15" s="107"/>
      <c r="EX15" s="107"/>
      <c r="EY15" s="107"/>
      <c r="EZ15" s="107"/>
      <c r="FA15" s="107"/>
      <c r="FB15" s="107"/>
      <c r="FC15" s="107"/>
      <c r="FD15" s="107"/>
      <c r="FE15" s="107"/>
      <c r="FF15" s="107"/>
      <c r="FG15" s="107"/>
      <c r="FH15" s="107"/>
      <c r="FI15" s="107"/>
      <c r="FJ15" s="107"/>
      <c r="FK15" s="107"/>
      <c r="FL15" s="107"/>
      <c r="FM15" s="107"/>
      <c r="FN15" s="107"/>
      <c r="FO15" s="107"/>
      <c r="FP15" s="107"/>
      <c r="FQ15" s="107"/>
      <c r="FR15" s="107"/>
      <c r="FS15" s="107"/>
      <c r="FT15" s="107"/>
      <c r="FU15" s="107"/>
      <c r="FV15" s="107"/>
      <c r="FW15" s="107"/>
      <c r="FX15" s="107"/>
      <c r="FY15" s="107"/>
      <c r="FZ15" s="107"/>
      <c r="GA15" s="107"/>
      <c r="GB15" s="107"/>
      <c r="GC15" s="107"/>
      <c r="GD15" s="107"/>
      <c r="GE15" s="107"/>
      <c r="GF15" s="107"/>
      <c r="GG15" s="107"/>
      <c r="GH15" s="107"/>
      <c r="GI15" s="107"/>
      <c r="GJ15" s="107"/>
      <c r="GK15" s="107"/>
      <c r="GL15" s="107"/>
      <c r="GM15" s="107"/>
      <c r="IJ15" s="94" t="str">
        <f t="shared" si="33"/>
        <v/>
      </c>
      <c r="IK15" s="4" t="str">
        <f t="shared" si="34"/>
        <v/>
      </c>
      <c r="IL15" s="4" t="str">
        <f t="shared" si="35"/>
        <v/>
      </c>
      <c r="IM15" s="4" t="str">
        <f t="shared" si="36"/>
        <v/>
      </c>
      <c r="IN15" s="4" t="str">
        <f t="shared" si="37"/>
        <v/>
      </c>
      <c r="IO15" s="4" t="str">
        <f t="shared" si="38"/>
        <v/>
      </c>
      <c r="IP15" s="4" t="str">
        <f t="shared" si="39"/>
        <v/>
      </c>
      <c r="IQ15" s="4" t="str">
        <f t="shared" si="40"/>
        <v/>
      </c>
      <c r="IR15" s="4" t="str">
        <f t="shared" si="41"/>
        <v/>
      </c>
      <c r="IS15" s="4" t="str">
        <f t="shared" si="42"/>
        <v/>
      </c>
      <c r="IT15" s="4" t="str">
        <f t="shared" si="43"/>
        <v/>
      </c>
      <c r="IU15" s="4" t="str">
        <f t="shared" si="44"/>
        <v/>
      </c>
      <c r="IV15" s="4" t="str">
        <f t="shared" si="45"/>
        <v/>
      </c>
      <c r="IW15" s="4" t="str">
        <f t="shared" si="46"/>
        <v/>
      </c>
      <c r="IX15" s="4" t="str">
        <f t="shared" si="47"/>
        <v/>
      </c>
      <c r="IY15" s="4" t="str">
        <f t="shared" si="48"/>
        <v/>
      </c>
      <c r="IZ15" s="4" t="str">
        <f t="shared" si="49"/>
        <v/>
      </c>
      <c r="JA15" s="4" t="str">
        <f t="shared" si="50"/>
        <v/>
      </c>
      <c r="JB15" s="4" t="str">
        <f t="shared" si="51"/>
        <v/>
      </c>
      <c r="JC15" s="4" t="str">
        <f t="shared" si="52"/>
        <v/>
      </c>
      <c r="JD15" s="4" t="str">
        <f t="shared" si="53"/>
        <v/>
      </c>
      <c r="JE15" s="4" t="str">
        <f t="shared" si="54"/>
        <v/>
      </c>
      <c r="JF15" s="4" t="str">
        <f t="shared" si="55"/>
        <v/>
      </c>
      <c r="JG15" s="4" t="str">
        <f t="shared" si="56"/>
        <v/>
      </c>
      <c r="JH15" s="4" t="str">
        <f t="shared" si="57"/>
        <v/>
      </c>
      <c r="JI15" s="4" t="str">
        <f t="shared" si="58"/>
        <v/>
      </c>
      <c r="JJ15" s="4" t="str">
        <f t="shared" si="59"/>
        <v/>
      </c>
      <c r="JK15" s="4" t="str">
        <f t="shared" si="60"/>
        <v/>
      </c>
      <c r="JL15" s="4" t="str">
        <f t="shared" si="61"/>
        <v/>
      </c>
      <c r="JM15" s="4" t="str">
        <f t="shared" si="62"/>
        <v/>
      </c>
      <c r="JN15" s="4" t="str">
        <f t="shared" si="63"/>
        <v/>
      </c>
      <c r="JO15" s="129" t="str">
        <f t="shared" si="64"/>
        <v/>
      </c>
      <c r="JP15" s="122" t="str">
        <f t="shared" si="65"/>
        <v/>
      </c>
      <c r="JQ15" s="122" t="str">
        <f t="shared" si="66"/>
        <v/>
      </c>
      <c r="JR15" s="122" t="str">
        <f t="shared" si="67"/>
        <v/>
      </c>
      <c r="JS15" s="122" t="str">
        <f t="shared" si="68"/>
        <v/>
      </c>
      <c r="JT15" s="122" t="str">
        <f t="shared" si="69"/>
        <v/>
      </c>
      <c r="JU15" s="122" t="str">
        <f t="shared" si="70"/>
        <v/>
      </c>
      <c r="JV15" s="122" t="str">
        <f t="shared" si="71"/>
        <v/>
      </c>
      <c r="JW15" s="122" t="str">
        <f t="shared" si="72"/>
        <v/>
      </c>
      <c r="JX15" s="122" t="str">
        <f t="shared" si="73"/>
        <v/>
      </c>
      <c r="JY15" s="122" t="str">
        <f t="shared" si="74"/>
        <v/>
      </c>
      <c r="JZ15" s="122" t="str">
        <f t="shared" si="75"/>
        <v/>
      </c>
      <c r="KA15" s="122" t="str">
        <f t="shared" si="76"/>
        <v/>
      </c>
      <c r="KB15" s="122" t="str">
        <f t="shared" si="77"/>
        <v/>
      </c>
      <c r="KC15" s="122" t="str">
        <f t="shared" si="78"/>
        <v/>
      </c>
      <c r="KD15" s="122" t="str">
        <f t="shared" si="79"/>
        <v/>
      </c>
      <c r="KE15" s="133" t="str">
        <f t="shared" si="80"/>
        <v/>
      </c>
      <c r="KF15" s="94" t="str">
        <f t="shared" si="81"/>
        <v/>
      </c>
      <c r="KG15" s="4" t="str">
        <f t="shared" si="82"/>
        <v/>
      </c>
      <c r="KH15" s="4" t="str">
        <f t="shared" si="83"/>
        <v/>
      </c>
      <c r="KI15" s="4" t="str">
        <f t="shared" si="84"/>
        <v/>
      </c>
      <c r="KJ15" s="4" t="str">
        <f t="shared" si="85"/>
        <v/>
      </c>
      <c r="KK15" s="4" t="str">
        <f t="shared" si="86"/>
        <v/>
      </c>
      <c r="KL15" s="4" t="str">
        <f t="shared" si="87"/>
        <v/>
      </c>
      <c r="KM15" s="4" t="str">
        <f t="shared" si="88"/>
        <v/>
      </c>
      <c r="KN15" s="4" t="str">
        <f t="shared" si="89"/>
        <v/>
      </c>
      <c r="KO15" s="4" t="str">
        <f t="shared" si="90"/>
        <v/>
      </c>
      <c r="KP15" s="4" t="str">
        <f t="shared" si="91"/>
        <v/>
      </c>
      <c r="KQ15" s="4" t="str">
        <f t="shared" si="92"/>
        <v/>
      </c>
      <c r="KR15" s="4" t="str">
        <f t="shared" si="93"/>
        <v/>
      </c>
      <c r="KS15" s="4" t="str">
        <f t="shared" si="94"/>
        <v/>
      </c>
      <c r="KT15" s="4" t="str">
        <f t="shared" si="95"/>
        <v/>
      </c>
      <c r="KU15" s="4" t="str">
        <f t="shared" si="96"/>
        <v/>
      </c>
      <c r="KV15" s="4" t="str">
        <f t="shared" si="97"/>
        <v/>
      </c>
      <c r="KW15" s="4" t="str">
        <f t="shared" si="98"/>
        <v/>
      </c>
      <c r="KX15" s="4" t="str">
        <f t="shared" si="99"/>
        <v/>
      </c>
      <c r="KY15" s="4" t="str">
        <f t="shared" si="100"/>
        <v/>
      </c>
      <c r="KZ15" s="4" t="str">
        <f t="shared" si="101"/>
        <v/>
      </c>
      <c r="LA15" s="4" t="str">
        <f t="shared" si="102"/>
        <v/>
      </c>
      <c r="LB15" s="4" t="str">
        <f t="shared" si="103"/>
        <v/>
      </c>
      <c r="LC15" s="4" t="str">
        <f t="shared" si="104"/>
        <v/>
      </c>
      <c r="LD15" s="4" t="str">
        <f t="shared" si="105"/>
        <v/>
      </c>
      <c r="LE15" s="4" t="str">
        <f t="shared" si="106"/>
        <v/>
      </c>
      <c r="LF15" s="4" t="str">
        <f t="shared" si="107"/>
        <v/>
      </c>
      <c r="LG15" s="4" t="str">
        <f t="shared" si="108"/>
        <v/>
      </c>
      <c r="LH15" s="4" t="str">
        <f t="shared" si="109"/>
        <v/>
      </c>
      <c r="LI15" s="4" t="str">
        <f t="shared" si="110"/>
        <v/>
      </c>
      <c r="LJ15" s="4" t="str">
        <f t="shared" si="111"/>
        <v/>
      </c>
      <c r="LK15" s="4" t="str">
        <f t="shared" si="112"/>
        <v/>
      </c>
      <c r="LL15" s="4" t="str">
        <f t="shared" si="113"/>
        <v/>
      </c>
      <c r="LM15" s="4" t="str">
        <f t="shared" si="114"/>
        <v/>
      </c>
      <c r="LN15" s="4" t="str">
        <f t="shared" si="115"/>
        <v/>
      </c>
      <c r="LO15" s="4" t="str">
        <f t="shared" si="116"/>
        <v/>
      </c>
      <c r="LP15" s="4" t="str">
        <f t="shared" si="117"/>
        <v/>
      </c>
      <c r="LQ15" s="4" t="str">
        <f t="shared" si="118"/>
        <v/>
      </c>
      <c r="LR15" s="4" t="str">
        <f t="shared" si="119"/>
        <v/>
      </c>
      <c r="LS15" s="4" t="str">
        <f t="shared" si="120"/>
        <v/>
      </c>
      <c r="LT15" s="4" t="str">
        <f t="shared" si="121"/>
        <v/>
      </c>
      <c r="LU15" s="4" t="str">
        <f t="shared" si="122"/>
        <v/>
      </c>
      <c r="LV15" s="4" t="str">
        <f t="shared" si="123"/>
        <v/>
      </c>
      <c r="LW15" s="4" t="str">
        <f t="shared" si="124"/>
        <v/>
      </c>
      <c r="LX15" s="4" t="str">
        <f t="shared" si="125"/>
        <v/>
      </c>
      <c r="LY15" s="4" t="str">
        <f t="shared" si="126"/>
        <v/>
      </c>
      <c r="LZ15" s="4" t="str">
        <f t="shared" si="127"/>
        <v/>
      </c>
      <c r="MA15" s="4" t="str">
        <f t="shared" si="128"/>
        <v/>
      </c>
      <c r="MB15" s="4" t="str">
        <f t="shared" si="129"/>
        <v/>
      </c>
      <c r="MC15" s="4" t="str">
        <f t="shared" si="130"/>
        <v/>
      </c>
      <c r="MD15" s="4" t="str">
        <f t="shared" si="131"/>
        <v/>
      </c>
      <c r="ME15" s="4">
        <f t="shared" si="132"/>
        <v>0</v>
      </c>
    </row>
    <row r="16" spans="1:343" ht="26.25" customHeight="1" thickBot="1" x14ac:dyDescent="0.25">
      <c r="A16" s="35">
        <v>41311</v>
      </c>
      <c r="B16" s="36" t="s">
        <v>133</v>
      </c>
      <c r="C16" s="36" t="s">
        <v>30</v>
      </c>
      <c r="D16" s="31" t="s">
        <v>110</v>
      </c>
      <c r="E16" s="4">
        <v>75</v>
      </c>
      <c r="F16" s="3">
        <v>13718</v>
      </c>
      <c r="G16" s="4" t="s">
        <v>87</v>
      </c>
      <c r="H16" s="4" t="s">
        <v>112</v>
      </c>
      <c r="I16" s="4">
        <v>1835717</v>
      </c>
      <c r="K16" s="74"/>
      <c r="L16" s="75"/>
      <c r="M16" s="75"/>
      <c r="N16" s="75"/>
      <c r="O16" s="75"/>
      <c r="P16" s="4">
        <v>-0.5</v>
      </c>
      <c r="Q16" s="4">
        <v>-0.57999999999999996</v>
      </c>
      <c r="R16" s="39" t="s">
        <v>249</v>
      </c>
      <c r="S16" s="70">
        <v>14.5</v>
      </c>
      <c r="T16" s="136">
        <v>41261</v>
      </c>
      <c r="U16" s="67">
        <v>-3</v>
      </c>
      <c r="V16" s="67">
        <v>1.5</v>
      </c>
      <c r="W16" s="4">
        <v>20</v>
      </c>
      <c r="X16" s="4">
        <v>30</v>
      </c>
      <c r="Y16" s="4">
        <v>15</v>
      </c>
      <c r="Z16" s="4">
        <v>600</v>
      </c>
      <c r="AA16" s="4">
        <v>25.09</v>
      </c>
      <c r="AB16" s="4">
        <v>12.4</v>
      </c>
      <c r="AC16" s="4">
        <v>5.31</v>
      </c>
      <c r="AD16" s="4">
        <v>3.35</v>
      </c>
      <c r="AE16" s="4">
        <v>44.82</v>
      </c>
      <c r="AF16" s="4">
        <v>158</v>
      </c>
      <c r="AG16" s="4">
        <v>46.11</v>
      </c>
      <c r="AH16" s="4">
        <v>68</v>
      </c>
      <c r="AI16" s="4">
        <v>0</v>
      </c>
      <c r="AJ16" s="4" t="b">
        <f t="shared" si="0"/>
        <v>0</v>
      </c>
      <c r="AL16" s="4" t="s">
        <v>78</v>
      </c>
      <c r="BA16" s="4" t="str">
        <f t="shared" si="1"/>
        <v/>
      </c>
      <c r="BB16" s="4" t="str">
        <f t="shared" si="2"/>
        <v/>
      </c>
      <c r="BC16" s="4" t="str">
        <f t="shared" si="3"/>
        <v/>
      </c>
      <c r="BD16" s="51" t="s">
        <v>505</v>
      </c>
      <c r="BS16" s="4" t="str">
        <f t="shared" si="4"/>
        <v/>
      </c>
      <c r="BT16" s="4" t="str">
        <f t="shared" si="5"/>
        <v/>
      </c>
      <c r="BU16" s="4" t="str">
        <f t="shared" si="6"/>
        <v/>
      </c>
      <c r="BV16" s="4">
        <f>IF(AND(ISBLANK(SPH_6),ISBLANK(SPH_12)),0,1)</f>
        <v>0</v>
      </c>
      <c r="BW16" s="4">
        <f t="shared" si="8"/>
        <v>0</v>
      </c>
      <c r="BX16" s="4" t="str">
        <f t="shared" si="9"/>
        <v/>
      </c>
      <c r="BY16" s="4" t="str">
        <f t="shared" si="10"/>
        <v/>
      </c>
      <c r="BZ16" s="4" t="str">
        <f t="shared" si="11"/>
        <v/>
      </c>
      <c r="CA16" s="53">
        <f t="shared" si="12"/>
        <v>0</v>
      </c>
      <c r="CB16" s="55" t="str">
        <f t="shared" si="13"/>
        <v/>
      </c>
      <c r="CC16" s="4" t="str">
        <f t="shared" si="14"/>
        <v/>
      </c>
      <c r="CD16" s="4" t="str">
        <f t="shared" si="15"/>
        <v/>
      </c>
      <c r="CE16" s="4" t="str">
        <f t="shared" si="16"/>
        <v/>
      </c>
      <c r="CF16" s="4" t="str">
        <f t="shared" si="17"/>
        <v/>
      </c>
      <c r="CG16" s="4" t="str">
        <f t="shared" si="18"/>
        <v/>
      </c>
      <c r="CH16" s="4" t="str">
        <f t="shared" si="19"/>
        <v/>
      </c>
      <c r="CI16" s="104" t="str">
        <f t="shared" si="20"/>
        <v/>
      </c>
      <c r="CJ16" s="94" t="str">
        <f t="shared" si="21"/>
        <v/>
      </c>
      <c r="CK16" s="4" t="str">
        <f t="shared" si="22"/>
        <v/>
      </c>
      <c r="CL16" s="107" t="str">
        <f t="shared" si="23"/>
        <v/>
      </c>
      <c r="CM16" s="107" t="str">
        <f t="shared" si="24"/>
        <v/>
      </c>
      <c r="CN16" s="139" t="str">
        <f t="shared" si="25"/>
        <v/>
      </c>
      <c r="CO16" s="139" t="str">
        <f t="shared" si="26"/>
        <v/>
      </c>
      <c r="CP16" s="149" t="str">
        <f t="shared" si="27"/>
        <v/>
      </c>
      <c r="CQ16" s="149" t="str">
        <f t="shared" si="28"/>
        <v/>
      </c>
      <c r="CR16" s="148" t="str">
        <f t="shared" si="29"/>
        <v/>
      </c>
      <c r="CS16" s="152" t="str">
        <f t="shared" si="30"/>
        <v/>
      </c>
      <c r="CT16" s="107" t="str">
        <f t="shared" si="31"/>
        <v/>
      </c>
      <c r="CU16" s="155" t="str">
        <f t="shared" si="32"/>
        <v/>
      </c>
      <c r="IJ16" s="94" t="str">
        <f t="shared" si="33"/>
        <v/>
      </c>
      <c r="IK16" s="4" t="str">
        <f t="shared" si="34"/>
        <v/>
      </c>
      <c r="IL16" s="4" t="str">
        <f t="shared" si="35"/>
        <v/>
      </c>
      <c r="IM16" s="4" t="str">
        <f t="shared" si="36"/>
        <v/>
      </c>
      <c r="IN16" s="4" t="str">
        <f t="shared" si="37"/>
        <v/>
      </c>
      <c r="IO16" s="4" t="str">
        <f t="shared" si="38"/>
        <v/>
      </c>
      <c r="IP16" s="4" t="str">
        <f t="shared" si="39"/>
        <v/>
      </c>
      <c r="IQ16" s="4" t="str">
        <f t="shared" si="40"/>
        <v/>
      </c>
      <c r="IR16" s="4" t="str">
        <f t="shared" si="41"/>
        <v/>
      </c>
      <c r="IS16" s="4" t="str">
        <f t="shared" si="42"/>
        <v/>
      </c>
      <c r="IT16" s="4" t="str">
        <f t="shared" si="43"/>
        <v/>
      </c>
      <c r="IU16" s="4" t="str">
        <f t="shared" si="44"/>
        <v/>
      </c>
      <c r="IV16" s="4" t="str">
        <f t="shared" si="45"/>
        <v/>
      </c>
      <c r="IW16" s="4" t="str">
        <f t="shared" si="46"/>
        <v/>
      </c>
      <c r="IX16" s="4" t="str">
        <f t="shared" si="47"/>
        <v/>
      </c>
      <c r="IY16" s="4" t="str">
        <f t="shared" si="48"/>
        <v/>
      </c>
      <c r="IZ16" s="4" t="str">
        <f t="shared" si="49"/>
        <v/>
      </c>
      <c r="JA16" s="4" t="str">
        <f t="shared" si="50"/>
        <v/>
      </c>
      <c r="JB16" s="4" t="str">
        <f t="shared" si="51"/>
        <v/>
      </c>
      <c r="JC16" s="4" t="str">
        <f t="shared" si="52"/>
        <v/>
      </c>
      <c r="JD16" s="4" t="str">
        <f t="shared" si="53"/>
        <v/>
      </c>
      <c r="JE16" s="4" t="str">
        <f t="shared" si="54"/>
        <v/>
      </c>
      <c r="JF16" s="4" t="str">
        <f t="shared" si="55"/>
        <v/>
      </c>
      <c r="JG16" s="4" t="str">
        <f t="shared" si="56"/>
        <v/>
      </c>
      <c r="JH16" s="4" t="str">
        <f t="shared" si="57"/>
        <v/>
      </c>
      <c r="JI16" s="4" t="str">
        <f t="shared" si="58"/>
        <v/>
      </c>
      <c r="JJ16" s="4" t="str">
        <f t="shared" si="59"/>
        <v/>
      </c>
      <c r="JK16" s="4" t="str">
        <f t="shared" si="60"/>
        <v/>
      </c>
      <c r="JL16" s="4" t="str">
        <f t="shared" si="61"/>
        <v/>
      </c>
      <c r="JM16" s="4" t="str">
        <f t="shared" si="62"/>
        <v/>
      </c>
      <c r="JN16" s="4" t="str">
        <f t="shared" si="63"/>
        <v/>
      </c>
      <c r="JO16" s="129" t="str">
        <f t="shared" si="64"/>
        <v/>
      </c>
      <c r="JP16" s="122" t="str">
        <f t="shared" si="65"/>
        <v/>
      </c>
      <c r="JQ16" s="122" t="str">
        <f t="shared" si="66"/>
        <v/>
      </c>
      <c r="JR16" s="122" t="str">
        <f t="shared" si="67"/>
        <v/>
      </c>
      <c r="JS16" s="122" t="str">
        <f t="shared" si="68"/>
        <v/>
      </c>
      <c r="JT16" s="122" t="str">
        <f t="shared" si="69"/>
        <v/>
      </c>
      <c r="JU16" s="122" t="str">
        <f t="shared" si="70"/>
        <v/>
      </c>
      <c r="JV16" s="122" t="str">
        <f t="shared" si="71"/>
        <v/>
      </c>
      <c r="JW16" s="122" t="str">
        <f t="shared" si="72"/>
        <v/>
      </c>
      <c r="JX16" s="122" t="str">
        <f t="shared" si="73"/>
        <v/>
      </c>
      <c r="JY16" s="122" t="str">
        <f t="shared" si="74"/>
        <v/>
      </c>
      <c r="JZ16" s="122" t="str">
        <f t="shared" si="75"/>
        <v/>
      </c>
      <c r="KA16" s="122" t="str">
        <f t="shared" si="76"/>
        <v/>
      </c>
      <c r="KB16" s="122" t="str">
        <f t="shared" si="77"/>
        <v/>
      </c>
      <c r="KC16" s="122" t="str">
        <f t="shared" si="78"/>
        <v/>
      </c>
      <c r="KD16" s="122" t="str">
        <f t="shared" si="79"/>
        <v/>
      </c>
      <c r="KE16" s="133" t="str">
        <f t="shared" si="80"/>
        <v/>
      </c>
      <c r="KF16" s="94" t="str">
        <f t="shared" si="81"/>
        <v/>
      </c>
      <c r="KG16" s="4" t="str">
        <f t="shared" si="82"/>
        <v/>
      </c>
      <c r="KH16" s="4" t="str">
        <f t="shared" si="83"/>
        <v/>
      </c>
      <c r="KI16" s="4" t="str">
        <f t="shared" si="84"/>
        <v/>
      </c>
      <c r="KJ16" s="4" t="str">
        <f t="shared" si="85"/>
        <v/>
      </c>
      <c r="KK16" s="4" t="str">
        <f t="shared" si="86"/>
        <v/>
      </c>
      <c r="KL16" s="4" t="str">
        <f t="shared" si="87"/>
        <v/>
      </c>
      <c r="KM16" s="4" t="str">
        <f t="shared" si="88"/>
        <v/>
      </c>
      <c r="KN16" s="4" t="str">
        <f t="shared" si="89"/>
        <v/>
      </c>
      <c r="KO16" s="4" t="str">
        <f t="shared" si="90"/>
        <v/>
      </c>
      <c r="KP16" s="4" t="str">
        <f t="shared" si="91"/>
        <v/>
      </c>
      <c r="KQ16" s="4" t="str">
        <f t="shared" si="92"/>
        <v/>
      </c>
      <c r="KR16" s="4" t="str">
        <f t="shared" si="93"/>
        <v/>
      </c>
      <c r="KS16" s="4" t="str">
        <f t="shared" si="94"/>
        <v/>
      </c>
      <c r="KT16" s="4" t="str">
        <f t="shared" si="95"/>
        <v/>
      </c>
      <c r="KU16" s="4" t="str">
        <f t="shared" si="96"/>
        <v/>
      </c>
      <c r="KV16" s="4" t="str">
        <f t="shared" si="97"/>
        <v/>
      </c>
      <c r="KW16" s="4" t="str">
        <f t="shared" si="98"/>
        <v/>
      </c>
      <c r="KX16" s="4" t="str">
        <f t="shared" si="99"/>
        <v/>
      </c>
      <c r="KY16" s="4" t="str">
        <f t="shared" si="100"/>
        <v/>
      </c>
      <c r="KZ16" s="4" t="str">
        <f t="shared" si="101"/>
        <v/>
      </c>
      <c r="LA16" s="4" t="str">
        <f t="shared" si="102"/>
        <v/>
      </c>
      <c r="LB16" s="4" t="str">
        <f t="shared" si="103"/>
        <v/>
      </c>
      <c r="LC16" s="4" t="str">
        <f t="shared" si="104"/>
        <v/>
      </c>
      <c r="LD16" s="4" t="str">
        <f t="shared" si="105"/>
        <v/>
      </c>
      <c r="LE16" s="4" t="str">
        <f t="shared" si="106"/>
        <v/>
      </c>
      <c r="LF16" s="4" t="str">
        <f t="shared" si="107"/>
        <v/>
      </c>
      <c r="LG16" s="4" t="str">
        <f t="shared" si="108"/>
        <v/>
      </c>
      <c r="LH16" s="4" t="str">
        <f t="shared" si="109"/>
        <v/>
      </c>
      <c r="LI16" s="4" t="str">
        <f t="shared" si="110"/>
        <v/>
      </c>
      <c r="LJ16" s="4" t="str">
        <f t="shared" si="111"/>
        <v/>
      </c>
      <c r="LK16" s="4" t="str">
        <f t="shared" si="112"/>
        <v/>
      </c>
      <c r="LL16" s="4" t="str">
        <f t="shared" si="113"/>
        <v/>
      </c>
      <c r="LM16" s="4" t="str">
        <f t="shared" si="114"/>
        <v/>
      </c>
      <c r="LN16" s="4" t="str">
        <f t="shared" si="115"/>
        <v/>
      </c>
      <c r="LO16" s="4" t="str">
        <f t="shared" si="116"/>
        <v/>
      </c>
      <c r="LP16" s="4" t="str">
        <f t="shared" si="117"/>
        <v/>
      </c>
      <c r="LQ16" s="4" t="str">
        <f t="shared" si="118"/>
        <v/>
      </c>
      <c r="LR16" s="4" t="str">
        <f t="shared" si="119"/>
        <v/>
      </c>
      <c r="LS16" s="4" t="str">
        <f t="shared" si="120"/>
        <v/>
      </c>
      <c r="LT16" s="4" t="str">
        <f t="shared" si="121"/>
        <v/>
      </c>
      <c r="LU16" s="4" t="str">
        <f t="shared" si="122"/>
        <v/>
      </c>
      <c r="LV16" s="4" t="str">
        <f t="shared" si="123"/>
        <v/>
      </c>
      <c r="LW16" s="4" t="str">
        <f t="shared" si="124"/>
        <v/>
      </c>
      <c r="LX16" s="4" t="str">
        <f t="shared" si="125"/>
        <v/>
      </c>
      <c r="LY16" s="4" t="str">
        <f t="shared" si="126"/>
        <v/>
      </c>
      <c r="LZ16" s="4" t="str">
        <f t="shared" si="127"/>
        <v/>
      </c>
      <c r="MA16" s="4" t="str">
        <f t="shared" si="128"/>
        <v/>
      </c>
      <c r="MB16" s="4" t="str">
        <f t="shared" si="129"/>
        <v/>
      </c>
      <c r="MC16" s="4" t="str">
        <f t="shared" si="130"/>
        <v/>
      </c>
      <c r="MD16" s="4" t="str">
        <f t="shared" si="131"/>
        <v/>
      </c>
      <c r="ME16" s="4">
        <f t="shared" si="132"/>
        <v>0</v>
      </c>
    </row>
    <row r="17" spans="1:343" ht="26.25" customHeight="1" thickBot="1" x14ac:dyDescent="0.25">
      <c r="A17" s="35">
        <v>41325</v>
      </c>
      <c r="B17" s="36" t="s">
        <v>144</v>
      </c>
      <c r="C17" s="36" t="s">
        <v>27</v>
      </c>
      <c r="D17" s="31" t="s">
        <v>111</v>
      </c>
      <c r="E17" s="4">
        <v>75</v>
      </c>
      <c r="F17" s="3">
        <v>13619</v>
      </c>
      <c r="G17" s="4" t="s">
        <v>87</v>
      </c>
      <c r="H17" s="4" t="s">
        <v>112</v>
      </c>
      <c r="I17" s="4">
        <v>1835813</v>
      </c>
      <c r="K17" s="74"/>
      <c r="L17" s="75"/>
      <c r="M17" s="75"/>
      <c r="N17" s="75"/>
      <c r="O17" s="75"/>
      <c r="P17" s="4">
        <v>-0.5</v>
      </c>
      <c r="Q17" s="4">
        <v>-0.36</v>
      </c>
      <c r="R17" s="39" t="s">
        <v>249</v>
      </c>
      <c r="S17" s="70">
        <v>20.75</v>
      </c>
      <c r="T17" s="136">
        <v>41324</v>
      </c>
      <c r="U17" s="67">
        <v>-0.5</v>
      </c>
      <c r="V17" s="67">
        <v>1</v>
      </c>
      <c r="W17" s="4">
        <v>20</v>
      </c>
      <c r="X17" s="4">
        <v>25</v>
      </c>
      <c r="Y17" s="4">
        <v>14</v>
      </c>
      <c r="Z17" s="4">
        <v>590</v>
      </c>
      <c r="AA17" s="4">
        <v>23.88</v>
      </c>
      <c r="AB17" s="4">
        <v>11.8</v>
      </c>
      <c r="AC17" s="4">
        <v>5</v>
      </c>
      <c r="AD17" s="4">
        <v>3.09</v>
      </c>
      <c r="AE17" s="4">
        <v>43.27</v>
      </c>
      <c r="AF17" s="4">
        <v>86</v>
      </c>
      <c r="AG17" s="4">
        <v>43.49</v>
      </c>
      <c r="AH17" s="4">
        <v>176</v>
      </c>
      <c r="AI17" s="4">
        <v>0</v>
      </c>
      <c r="AJ17" s="4" t="b">
        <f t="shared" si="0"/>
        <v>0</v>
      </c>
      <c r="AL17" s="4" t="s">
        <v>78</v>
      </c>
      <c r="BA17" s="4" t="str">
        <f t="shared" si="1"/>
        <v/>
      </c>
      <c r="BB17" s="4" t="str">
        <f t="shared" si="2"/>
        <v/>
      </c>
      <c r="BC17" s="4" t="str">
        <f t="shared" si="3"/>
        <v/>
      </c>
      <c r="BD17" s="51" t="s">
        <v>505</v>
      </c>
      <c r="BS17" s="4" t="str">
        <f t="shared" si="4"/>
        <v/>
      </c>
      <c r="BT17" s="4" t="str">
        <f t="shared" si="5"/>
        <v/>
      </c>
      <c r="BU17" s="4" t="str">
        <f t="shared" si="6"/>
        <v/>
      </c>
      <c r="BV17" s="4">
        <f>IF(AND(ISBLANK(SPH_6),ISBLANK(SPH_12)),0,1)</f>
        <v>0</v>
      </c>
      <c r="BW17" s="4">
        <f t="shared" si="8"/>
        <v>0</v>
      </c>
      <c r="BX17" s="4" t="str">
        <f t="shared" si="9"/>
        <v/>
      </c>
      <c r="BY17" s="4" t="str">
        <f t="shared" si="10"/>
        <v/>
      </c>
      <c r="BZ17" s="4" t="str">
        <f t="shared" si="11"/>
        <v/>
      </c>
      <c r="CA17" s="53">
        <f t="shared" si="12"/>
        <v>0</v>
      </c>
      <c r="CB17" s="55" t="str">
        <f t="shared" si="13"/>
        <v/>
      </c>
      <c r="CC17" s="4" t="str">
        <f t="shared" si="14"/>
        <v/>
      </c>
      <c r="CD17" s="4" t="str">
        <f t="shared" si="15"/>
        <v/>
      </c>
      <c r="CE17" s="4" t="str">
        <f t="shared" si="16"/>
        <v/>
      </c>
      <c r="CF17" s="4" t="str">
        <f t="shared" si="17"/>
        <v/>
      </c>
      <c r="CG17" s="4" t="str">
        <f t="shared" si="18"/>
        <v/>
      </c>
      <c r="CH17" s="4" t="str">
        <f t="shared" si="19"/>
        <v/>
      </c>
      <c r="CI17" s="104" t="str">
        <f t="shared" si="20"/>
        <v/>
      </c>
      <c r="CJ17" s="94" t="str">
        <f t="shared" si="21"/>
        <v/>
      </c>
      <c r="CK17" s="4" t="str">
        <f t="shared" si="22"/>
        <v/>
      </c>
      <c r="CL17" s="107" t="str">
        <f t="shared" si="23"/>
        <v/>
      </c>
      <c r="CM17" s="107" t="str">
        <f t="shared" si="24"/>
        <v/>
      </c>
      <c r="CN17" s="139" t="str">
        <f t="shared" si="25"/>
        <v/>
      </c>
      <c r="CO17" s="139" t="str">
        <f t="shared" si="26"/>
        <v/>
      </c>
      <c r="CP17" s="149" t="str">
        <f t="shared" si="27"/>
        <v/>
      </c>
      <c r="CQ17" s="149" t="str">
        <f t="shared" si="28"/>
        <v/>
      </c>
      <c r="CR17" s="148" t="str">
        <f t="shared" si="29"/>
        <v/>
      </c>
      <c r="CS17" s="152" t="str">
        <f t="shared" si="30"/>
        <v/>
      </c>
      <c r="CT17" s="107" t="str">
        <f t="shared" si="31"/>
        <v/>
      </c>
      <c r="CU17" s="155" t="str">
        <f t="shared" si="32"/>
        <v/>
      </c>
      <c r="IJ17" s="94" t="str">
        <f t="shared" si="33"/>
        <v/>
      </c>
      <c r="IK17" s="4" t="str">
        <f t="shared" si="34"/>
        <v/>
      </c>
      <c r="IL17" s="4" t="str">
        <f t="shared" si="35"/>
        <v/>
      </c>
      <c r="IM17" s="4" t="str">
        <f t="shared" si="36"/>
        <v/>
      </c>
      <c r="IN17" s="4" t="str">
        <f t="shared" si="37"/>
        <v/>
      </c>
      <c r="IO17" s="4" t="str">
        <f t="shared" si="38"/>
        <v/>
      </c>
      <c r="IP17" s="4" t="str">
        <f t="shared" si="39"/>
        <v/>
      </c>
      <c r="IQ17" s="4" t="str">
        <f t="shared" si="40"/>
        <v/>
      </c>
      <c r="IR17" s="4" t="str">
        <f t="shared" si="41"/>
        <v/>
      </c>
      <c r="IS17" s="4" t="str">
        <f t="shared" si="42"/>
        <v/>
      </c>
      <c r="IT17" s="4" t="str">
        <f t="shared" si="43"/>
        <v/>
      </c>
      <c r="IU17" s="4" t="str">
        <f t="shared" si="44"/>
        <v/>
      </c>
      <c r="IV17" s="4" t="str">
        <f t="shared" si="45"/>
        <v/>
      </c>
      <c r="IW17" s="4" t="str">
        <f t="shared" si="46"/>
        <v/>
      </c>
      <c r="IX17" s="4" t="str">
        <f t="shared" si="47"/>
        <v/>
      </c>
      <c r="IY17" s="4" t="str">
        <f t="shared" si="48"/>
        <v/>
      </c>
      <c r="IZ17" s="4" t="str">
        <f t="shared" si="49"/>
        <v/>
      </c>
      <c r="JA17" s="4" t="str">
        <f t="shared" si="50"/>
        <v/>
      </c>
      <c r="JB17" s="4" t="str">
        <f t="shared" si="51"/>
        <v/>
      </c>
      <c r="JC17" s="4" t="str">
        <f t="shared" si="52"/>
        <v/>
      </c>
      <c r="JD17" s="4" t="str">
        <f t="shared" si="53"/>
        <v/>
      </c>
      <c r="JE17" s="4" t="str">
        <f t="shared" si="54"/>
        <v/>
      </c>
      <c r="JF17" s="4" t="str">
        <f t="shared" si="55"/>
        <v/>
      </c>
      <c r="JG17" s="4" t="str">
        <f t="shared" si="56"/>
        <v/>
      </c>
      <c r="JH17" s="4" t="str">
        <f t="shared" si="57"/>
        <v/>
      </c>
      <c r="JI17" s="4" t="str">
        <f t="shared" si="58"/>
        <v/>
      </c>
      <c r="JJ17" s="4" t="str">
        <f t="shared" si="59"/>
        <v/>
      </c>
      <c r="JK17" s="4" t="str">
        <f t="shared" si="60"/>
        <v/>
      </c>
      <c r="JL17" s="4" t="str">
        <f t="shared" si="61"/>
        <v/>
      </c>
      <c r="JM17" s="4" t="str">
        <f t="shared" si="62"/>
        <v/>
      </c>
      <c r="JN17" s="4" t="str">
        <f t="shared" si="63"/>
        <v/>
      </c>
      <c r="JO17" s="129" t="str">
        <f t="shared" si="64"/>
        <v/>
      </c>
      <c r="JP17" s="122" t="str">
        <f t="shared" si="65"/>
        <v/>
      </c>
      <c r="JQ17" s="122" t="str">
        <f t="shared" si="66"/>
        <v/>
      </c>
      <c r="JR17" s="122" t="str">
        <f t="shared" si="67"/>
        <v/>
      </c>
      <c r="JS17" s="122" t="str">
        <f t="shared" si="68"/>
        <v/>
      </c>
      <c r="JT17" s="122" t="str">
        <f t="shared" si="69"/>
        <v/>
      </c>
      <c r="JU17" s="122" t="str">
        <f t="shared" si="70"/>
        <v/>
      </c>
      <c r="JV17" s="122" t="str">
        <f t="shared" si="71"/>
        <v/>
      </c>
      <c r="JW17" s="122" t="str">
        <f t="shared" si="72"/>
        <v/>
      </c>
      <c r="JX17" s="122" t="str">
        <f t="shared" si="73"/>
        <v/>
      </c>
      <c r="JY17" s="122" t="str">
        <f t="shared" si="74"/>
        <v/>
      </c>
      <c r="JZ17" s="122" t="str">
        <f t="shared" si="75"/>
        <v/>
      </c>
      <c r="KA17" s="122" t="str">
        <f t="shared" si="76"/>
        <v/>
      </c>
      <c r="KB17" s="122" t="str">
        <f t="shared" si="77"/>
        <v/>
      </c>
      <c r="KC17" s="122" t="str">
        <f t="shared" si="78"/>
        <v/>
      </c>
      <c r="KD17" s="122" t="str">
        <f t="shared" si="79"/>
        <v/>
      </c>
      <c r="KE17" s="133" t="str">
        <f t="shared" si="80"/>
        <v/>
      </c>
      <c r="KF17" s="94" t="str">
        <f t="shared" si="81"/>
        <v/>
      </c>
      <c r="KG17" s="4" t="str">
        <f t="shared" si="82"/>
        <v/>
      </c>
      <c r="KH17" s="4" t="str">
        <f t="shared" si="83"/>
        <v/>
      </c>
      <c r="KI17" s="4" t="str">
        <f t="shared" si="84"/>
        <v/>
      </c>
      <c r="KJ17" s="4" t="str">
        <f t="shared" si="85"/>
        <v/>
      </c>
      <c r="KK17" s="4" t="str">
        <f t="shared" si="86"/>
        <v/>
      </c>
      <c r="KL17" s="4" t="str">
        <f t="shared" si="87"/>
        <v/>
      </c>
      <c r="KM17" s="4" t="str">
        <f t="shared" si="88"/>
        <v/>
      </c>
      <c r="KN17" s="4" t="str">
        <f t="shared" si="89"/>
        <v/>
      </c>
      <c r="KO17" s="4" t="str">
        <f t="shared" si="90"/>
        <v/>
      </c>
      <c r="KP17" s="4" t="str">
        <f t="shared" si="91"/>
        <v/>
      </c>
      <c r="KQ17" s="4" t="str">
        <f t="shared" si="92"/>
        <v/>
      </c>
      <c r="KR17" s="4" t="str">
        <f t="shared" si="93"/>
        <v/>
      </c>
      <c r="KS17" s="4" t="str">
        <f t="shared" si="94"/>
        <v/>
      </c>
      <c r="KT17" s="4" t="str">
        <f t="shared" si="95"/>
        <v/>
      </c>
      <c r="KU17" s="4" t="str">
        <f t="shared" si="96"/>
        <v/>
      </c>
      <c r="KV17" s="4" t="str">
        <f t="shared" si="97"/>
        <v/>
      </c>
      <c r="KW17" s="4" t="str">
        <f t="shared" si="98"/>
        <v/>
      </c>
      <c r="KX17" s="4" t="str">
        <f t="shared" si="99"/>
        <v/>
      </c>
      <c r="KY17" s="4" t="str">
        <f t="shared" si="100"/>
        <v/>
      </c>
      <c r="KZ17" s="4" t="str">
        <f t="shared" si="101"/>
        <v/>
      </c>
      <c r="LA17" s="4" t="str">
        <f t="shared" si="102"/>
        <v/>
      </c>
      <c r="LB17" s="4" t="str">
        <f t="shared" si="103"/>
        <v/>
      </c>
      <c r="LC17" s="4" t="str">
        <f t="shared" si="104"/>
        <v/>
      </c>
      <c r="LD17" s="4" t="str">
        <f t="shared" si="105"/>
        <v/>
      </c>
      <c r="LE17" s="4" t="str">
        <f t="shared" si="106"/>
        <v/>
      </c>
      <c r="LF17" s="4" t="str">
        <f t="shared" si="107"/>
        <v/>
      </c>
      <c r="LG17" s="4" t="str">
        <f t="shared" si="108"/>
        <v/>
      </c>
      <c r="LH17" s="4" t="str">
        <f t="shared" si="109"/>
        <v/>
      </c>
      <c r="LI17" s="4" t="str">
        <f t="shared" si="110"/>
        <v/>
      </c>
      <c r="LJ17" s="4" t="str">
        <f t="shared" si="111"/>
        <v/>
      </c>
      <c r="LK17" s="4" t="str">
        <f t="shared" si="112"/>
        <v/>
      </c>
      <c r="LL17" s="4" t="str">
        <f t="shared" si="113"/>
        <v/>
      </c>
      <c r="LM17" s="4" t="str">
        <f t="shared" si="114"/>
        <v/>
      </c>
      <c r="LN17" s="4" t="str">
        <f t="shared" si="115"/>
        <v/>
      </c>
      <c r="LO17" s="4" t="str">
        <f t="shared" si="116"/>
        <v/>
      </c>
      <c r="LP17" s="4" t="str">
        <f t="shared" si="117"/>
        <v/>
      </c>
      <c r="LQ17" s="4" t="str">
        <f t="shared" si="118"/>
        <v/>
      </c>
      <c r="LR17" s="4" t="str">
        <f t="shared" si="119"/>
        <v/>
      </c>
      <c r="LS17" s="4" t="str">
        <f t="shared" si="120"/>
        <v/>
      </c>
      <c r="LT17" s="4" t="str">
        <f t="shared" si="121"/>
        <v/>
      </c>
      <c r="LU17" s="4" t="str">
        <f t="shared" si="122"/>
        <v/>
      </c>
      <c r="LV17" s="4" t="str">
        <f t="shared" si="123"/>
        <v/>
      </c>
      <c r="LW17" s="4" t="str">
        <f t="shared" si="124"/>
        <v/>
      </c>
      <c r="LX17" s="4" t="str">
        <f t="shared" si="125"/>
        <v/>
      </c>
      <c r="LY17" s="4" t="str">
        <f t="shared" si="126"/>
        <v/>
      </c>
      <c r="LZ17" s="4" t="str">
        <f t="shared" si="127"/>
        <v/>
      </c>
      <c r="MA17" s="4" t="str">
        <f t="shared" si="128"/>
        <v/>
      </c>
      <c r="MB17" s="4" t="str">
        <f t="shared" si="129"/>
        <v/>
      </c>
      <c r="MC17" s="4" t="str">
        <f t="shared" si="130"/>
        <v/>
      </c>
      <c r="MD17" s="4" t="str">
        <f t="shared" si="131"/>
        <v/>
      </c>
      <c r="ME17" s="4">
        <f t="shared" si="132"/>
        <v>0</v>
      </c>
    </row>
    <row r="18" spans="1:343" ht="26.25" customHeight="1" thickBot="1" x14ac:dyDescent="0.25">
      <c r="A18" s="35">
        <v>41283</v>
      </c>
      <c r="B18" s="36" t="s">
        <v>144</v>
      </c>
      <c r="C18" s="36" t="s">
        <v>27</v>
      </c>
      <c r="D18" s="31" t="s">
        <v>110</v>
      </c>
      <c r="E18" s="4">
        <v>75</v>
      </c>
      <c r="F18" s="3">
        <v>13619</v>
      </c>
      <c r="G18" s="4" t="s">
        <v>87</v>
      </c>
      <c r="H18" s="4" t="s">
        <v>112</v>
      </c>
      <c r="I18" s="4">
        <v>1835813</v>
      </c>
      <c r="K18" s="74"/>
      <c r="L18" s="75"/>
      <c r="M18" s="75"/>
      <c r="N18" s="75"/>
      <c r="O18" s="75"/>
      <c r="P18" s="4">
        <v>-0.5</v>
      </c>
      <c r="Q18" s="4">
        <v>-0.56000000000000005</v>
      </c>
      <c r="R18" s="39" t="s">
        <v>249</v>
      </c>
      <c r="S18" s="70">
        <v>21.25</v>
      </c>
      <c r="T18" s="136">
        <v>41214</v>
      </c>
      <c r="U18" s="67">
        <v>0.75</v>
      </c>
      <c r="V18" s="67">
        <v>0.75</v>
      </c>
      <c r="W18" s="4">
        <v>178</v>
      </c>
      <c r="X18" s="4">
        <v>40</v>
      </c>
      <c r="Y18" s="4">
        <v>15</v>
      </c>
      <c r="Z18" s="4">
        <v>599</v>
      </c>
      <c r="AA18" s="4">
        <v>23.89</v>
      </c>
      <c r="AB18" s="4">
        <v>12</v>
      </c>
      <c r="AC18" s="4">
        <v>4.87</v>
      </c>
      <c r="AD18" s="4">
        <v>2.98</v>
      </c>
      <c r="AE18" s="4">
        <v>42.45</v>
      </c>
      <c r="AF18" s="4">
        <v>85</v>
      </c>
      <c r="AG18" s="4">
        <v>43.1</v>
      </c>
      <c r="AH18" s="4">
        <v>175</v>
      </c>
      <c r="AI18" s="4">
        <v>0</v>
      </c>
      <c r="AJ18" s="4" t="b">
        <f t="shared" si="0"/>
        <v>0</v>
      </c>
      <c r="AL18" s="4" t="s">
        <v>78</v>
      </c>
      <c r="BA18" s="4" t="str">
        <f t="shared" si="1"/>
        <v/>
      </c>
      <c r="BB18" s="4" t="str">
        <f t="shared" si="2"/>
        <v/>
      </c>
      <c r="BC18" s="4" t="str">
        <f t="shared" si="3"/>
        <v/>
      </c>
      <c r="BD18" s="51" t="s">
        <v>505</v>
      </c>
      <c r="BS18" s="4" t="str">
        <f t="shared" si="4"/>
        <v/>
      </c>
      <c r="BT18" s="4" t="str">
        <f t="shared" si="5"/>
        <v/>
      </c>
      <c r="BU18" s="4" t="str">
        <f t="shared" si="6"/>
        <v/>
      </c>
      <c r="BV18" s="4">
        <f>IF(AND(ISBLANK(SPH_6),ISBLANK(SPH_12)),0,1)</f>
        <v>0</v>
      </c>
      <c r="BW18" s="4">
        <f t="shared" si="8"/>
        <v>0</v>
      </c>
      <c r="BX18" s="4" t="str">
        <f t="shared" si="9"/>
        <v/>
      </c>
      <c r="BY18" s="4" t="str">
        <f t="shared" si="10"/>
        <v/>
      </c>
      <c r="BZ18" s="4" t="str">
        <f t="shared" si="11"/>
        <v/>
      </c>
      <c r="CA18" s="53">
        <f t="shared" si="12"/>
        <v>0</v>
      </c>
      <c r="CB18" s="55" t="str">
        <f t="shared" si="13"/>
        <v/>
      </c>
      <c r="CC18" s="4" t="str">
        <f t="shared" si="14"/>
        <v/>
      </c>
      <c r="CD18" s="4" t="str">
        <f t="shared" si="15"/>
        <v/>
      </c>
      <c r="CE18" s="4" t="str">
        <f t="shared" si="16"/>
        <v/>
      </c>
      <c r="CF18" s="4" t="str">
        <f t="shared" si="17"/>
        <v/>
      </c>
      <c r="CG18" s="4" t="str">
        <f t="shared" si="18"/>
        <v/>
      </c>
      <c r="CH18" s="4" t="str">
        <f t="shared" si="19"/>
        <v/>
      </c>
      <c r="CI18" s="104" t="str">
        <f t="shared" si="20"/>
        <v/>
      </c>
      <c r="CJ18" s="94" t="str">
        <f t="shared" si="21"/>
        <v/>
      </c>
      <c r="CK18" s="4" t="str">
        <f t="shared" si="22"/>
        <v/>
      </c>
      <c r="CL18" s="107" t="str">
        <f t="shared" si="23"/>
        <v/>
      </c>
      <c r="CM18" s="107" t="str">
        <f t="shared" si="24"/>
        <v/>
      </c>
      <c r="CN18" s="139" t="str">
        <f t="shared" si="25"/>
        <v/>
      </c>
      <c r="CO18" s="139" t="str">
        <f t="shared" si="26"/>
        <v/>
      </c>
      <c r="CP18" s="149" t="str">
        <f t="shared" si="27"/>
        <v/>
      </c>
      <c r="CQ18" s="149" t="str">
        <f t="shared" si="28"/>
        <v/>
      </c>
      <c r="CR18" s="148" t="str">
        <f t="shared" si="29"/>
        <v/>
      </c>
      <c r="CS18" s="152" t="str">
        <f t="shared" si="30"/>
        <v/>
      </c>
      <c r="CT18" s="107" t="str">
        <f t="shared" si="31"/>
        <v/>
      </c>
      <c r="CU18" s="155" t="str">
        <f t="shared" si="32"/>
        <v/>
      </c>
      <c r="CV18">
        <v>7.9</v>
      </c>
      <c r="CW18" s="4">
        <v>8.09</v>
      </c>
      <c r="CX18" s="4">
        <v>62.6</v>
      </c>
      <c r="CY18" s="4">
        <v>1</v>
      </c>
      <c r="CZ18" s="4">
        <v>0.2</v>
      </c>
      <c r="DA18" s="4">
        <v>0.51</v>
      </c>
      <c r="DB18" s="4">
        <v>2.5</v>
      </c>
      <c r="DC18" s="4">
        <v>3.13</v>
      </c>
      <c r="DD18" s="4">
        <v>636</v>
      </c>
      <c r="DE18" s="4">
        <v>637</v>
      </c>
      <c r="DF18" s="4">
        <v>729</v>
      </c>
      <c r="DG18" s="4">
        <v>665</v>
      </c>
      <c r="DH18" s="4">
        <v>676</v>
      </c>
      <c r="DI18" s="4">
        <v>682</v>
      </c>
      <c r="DJ18" s="4">
        <v>635</v>
      </c>
      <c r="DK18" s="4">
        <v>-0.35</v>
      </c>
      <c r="DL18" s="4">
        <v>7.0000000000000007E-2</v>
      </c>
      <c r="DM18" s="4">
        <v>8.02</v>
      </c>
      <c r="DN18" s="4">
        <v>7.97</v>
      </c>
      <c r="DO18" s="4">
        <v>7.96</v>
      </c>
      <c r="DP18" s="4">
        <v>8.1199999999999992</v>
      </c>
      <c r="DQ18" s="4">
        <v>8.51</v>
      </c>
      <c r="DR18" s="4">
        <v>8.82</v>
      </c>
      <c r="DS18" s="4">
        <v>0</v>
      </c>
      <c r="DT18" s="4">
        <v>1</v>
      </c>
      <c r="DU18" s="4">
        <v>6.8</v>
      </c>
      <c r="DV18" s="4">
        <v>6.67</v>
      </c>
      <c r="DW18" s="4">
        <v>6.71</v>
      </c>
      <c r="DX18" s="4">
        <v>6.99</v>
      </c>
      <c r="DY18" s="4">
        <v>7.22</v>
      </c>
      <c r="DZ18" s="4">
        <v>7.39</v>
      </c>
      <c r="EA18" s="4">
        <v>0</v>
      </c>
      <c r="EB18" s="100">
        <v>1</v>
      </c>
      <c r="EC18" s="122">
        <v>41.7</v>
      </c>
      <c r="ED18" s="122">
        <v>42.7</v>
      </c>
      <c r="EE18" s="122">
        <v>42.2</v>
      </c>
      <c r="EF18" s="122">
        <v>62.6</v>
      </c>
      <c r="EG18" s="122">
        <v>1</v>
      </c>
      <c r="EH18" s="122">
        <v>-5.8</v>
      </c>
      <c r="EI18" s="122">
        <v>-6</v>
      </c>
      <c r="EJ18" s="122">
        <v>-5.9</v>
      </c>
      <c r="EK18" s="122">
        <v>14.7</v>
      </c>
      <c r="EL18" s="122">
        <v>0.2</v>
      </c>
      <c r="EM18" s="122">
        <v>4.5999999999999996</v>
      </c>
      <c r="EN18" s="122">
        <v>13.2</v>
      </c>
      <c r="EO18" s="122">
        <v>27.7</v>
      </c>
      <c r="EP18" s="122">
        <v>64.5</v>
      </c>
      <c r="EQ18" s="126">
        <v>14</v>
      </c>
      <c r="IJ18" s="94" t="str">
        <f t="shared" si="33"/>
        <v/>
      </c>
      <c r="IK18" s="4" t="str">
        <f t="shared" si="34"/>
        <v/>
      </c>
      <c r="IL18" s="4" t="str">
        <f t="shared" si="35"/>
        <v/>
      </c>
      <c r="IM18" s="4" t="str">
        <f t="shared" si="36"/>
        <v/>
      </c>
      <c r="IN18" s="4" t="str">
        <f t="shared" si="37"/>
        <v/>
      </c>
      <c r="IO18" s="4" t="str">
        <f t="shared" si="38"/>
        <v/>
      </c>
      <c r="IP18" s="4" t="str">
        <f t="shared" si="39"/>
        <v/>
      </c>
      <c r="IQ18" s="4" t="str">
        <f t="shared" si="40"/>
        <v/>
      </c>
      <c r="IR18" s="4" t="str">
        <f t="shared" si="41"/>
        <v/>
      </c>
      <c r="IS18" s="4" t="str">
        <f t="shared" si="42"/>
        <v/>
      </c>
      <c r="IT18" s="4" t="str">
        <f t="shared" si="43"/>
        <v/>
      </c>
      <c r="IU18" s="4" t="str">
        <f t="shared" si="44"/>
        <v/>
      </c>
      <c r="IV18" s="4" t="str">
        <f t="shared" si="45"/>
        <v/>
      </c>
      <c r="IW18" s="4" t="str">
        <f t="shared" si="46"/>
        <v/>
      </c>
      <c r="IX18" s="4" t="str">
        <f t="shared" si="47"/>
        <v/>
      </c>
      <c r="IY18" s="4" t="str">
        <f t="shared" si="48"/>
        <v/>
      </c>
      <c r="IZ18" s="4" t="str">
        <f t="shared" si="49"/>
        <v/>
      </c>
      <c r="JA18" s="4" t="str">
        <f t="shared" si="50"/>
        <v/>
      </c>
      <c r="JB18" s="4" t="str">
        <f t="shared" si="51"/>
        <v/>
      </c>
      <c r="JC18" s="4" t="str">
        <f t="shared" si="52"/>
        <v/>
      </c>
      <c r="JD18" s="4" t="str">
        <f t="shared" si="53"/>
        <v/>
      </c>
      <c r="JE18" s="4" t="str">
        <f t="shared" si="54"/>
        <v/>
      </c>
      <c r="JF18" s="4" t="str">
        <f t="shared" si="55"/>
        <v/>
      </c>
      <c r="JG18" s="4" t="str">
        <f t="shared" si="56"/>
        <v/>
      </c>
      <c r="JH18" s="4" t="str">
        <f t="shared" si="57"/>
        <v/>
      </c>
      <c r="JI18" s="4" t="str">
        <f t="shared" si="58"/>
        <v/>
      </c>
      <c r="JJ18" s="4" t="str">
        <f t="shared" si="59"/>
        <v/>
      </c>
      <c r="JK18" s="4" t="str">
        <f t="shared" si="60"/>
        <v/>
      </c>
      <c r="JL18" s="4" t="str">
        <f t="shared" si="61"/>
        <v/>
      </c>
      <c r="JM18" s="4" t="str">
        <f t="shared" si="62"/>
        <v/>
      </c>
      <c r="JN18" s="4" t="str">
        <f t="shared" si="63"/>
        <v/>
      </c>
      <c r="JO18" s="129" t="str">
        <f t="shared" si="64"/>
        <v/>
      </c>
      <c r="JP18" s="122" t="str">
        <f t="shared" si="65"/>
        <v/>
      </c>
      <c r="JQ18" s="122" t="str">
        <f t="shared" si="66"/>
        <v/>
      </c>
      <c r="JR18" s="122" t="str">
        <f t="shared" si="67"/>
        <v/>
      </c>
      <c r="JS18" s="122" t="str">
        <f t="shared" si="68"/>
        <v/>
      </c>
      <c r="JT18" s="122" t="str">
        <f t="shared" si="69"/>
        <v/>
      </c>
      <c r="JU18" s="122" t="str">
        <f t="shared" si="70"/>
        <v/>
      </c>
      <c r="JV18" s="122" t="str">
        <f t="shared" si="71"/>
        <v/>
      </c>
      <c r="JW18" s="122" t="str">
        <f t="shared" si="72"/>
        <v/>
      </c>
      <c r="JX18" s="122" t="str">
        <f t="shared" si="73"/>
        <v/>
      </c>
      <c r="JY18" s="122" t="str">
        <f t="shared" si="74"/>
        <v/>
      </c>
      <c r="JZ18" s="122" t="str">
        <f t="shared" si="75"/>
        <v/>
      </c>
      <c r="KA18" s="122" t="str">
        <f t="shared" si="76"/>
        <v/>
      </c>
      <c r="KB18" s="122" t="str">
        <f t="shared" si="77"/>
        <v/>
      </c>
      <c r="KC18" s="122" t="str">
        <f t="shared" si="78"/>
        <v/>
      </c>
      <c r="KD18" s="122" t="str">
        <f t="shared" si="79"/>
        <v/>
      </c>
      <c r="KE18" s="133" t="str">
        <f t="shared" si="80"/>
        <v/>
      </c>
      <c r="KF18" s="94" t="str">
        <f t="shared" si="81"/>
        <v/>
      </c>
      <c r="KG18" s="4" t="str">
        <f t="shared" si="82"/>
        <v/>
      </c>
      <c r="KH18" s="4" t="str">
        <f t="shared" si="83"/>
        <v/>
      </c>
      <c r="KI18" s="4" t="str">
        <f t="shared" si="84"/>
        <v/>
      </c>
      <c r="KJ18" s="4" t="str">
        <f t="shared" si="85"/>
        <v/>
      </c>
      <c r="KK18" s="4" t="str">
        <f t="shared" si="86"/>
        <v/>
      </c>
      <c r="KL18" s="4" t="str">
        <f t="shared" si="87"/>
        <v/>
      </c>
      <c r="KM18" s="4" t="str">
        <f t="shared" si="88"/>
        <v/>
      </c>
      <c r="KN18" s="4" t="str">
        <f t="shared" si="89"/>
        <v/>
      </c>
      <c r="KO18" s="4" t="str">
        <f t="shared" si="90"/>
        <v/>
      </c>
      <c r="KP18" s="4" t="str">
        <f t="shared" si="91"/>
        <v/>
      </c>
      <c r="KQ18" s="4" t="str">
        <f t="shared" si="92"/>
        <v/>
      </c>
      <c r="KR18" s="4" t="str">
        <f t="shared" si="93"/>
        <v/>
      </c>
      <c r="KS18" s="4" t="str">
        <f t="shared" si="94"/>
        <v/>
      </c>
      <c r="KT18" s="4" t="str">
        <f t="shared" si="95"/>
        <v/>
      </c>
      <c r="KU18" s="4" t="str">
        <f t="shared" si="96"/>
        <v/>
      </c>
      <c r="KV18" s="4" t="str">
        <f t="shared" si="97"/>
        <v/>
      </c>
      <c r="KW18" s="4" t="str">
        <f t="shared" si="98"/>
        <v/>
      </c>
      <c r="KX18" s="4" t="str">
        <f t="shared" si="99"/>
        <v/>
      </c>
      <c r="KY18" s="4" t="str">
        <f t="shared" si="100"/>
        <v/>
      </c>
      <c r="KZ18" s="4" t="str">
        <f t="shared" si="101"/>
        <v/>
      </c>
      <c r="LA18" s="4" t="str">
        <f t="shared" si="102"/>
        <v/>
      </c>
      <c r="LB18" s="4" t="str">
        <f t="shared" si="103"/>
        <v/>
      </c>
      <c r="LC18" s="4" t="str">
        <f t="shared" si="104"/>
        <v/>
      </c>
      <c r="LD18" s="4" t="str">
        <f t="shared" si="105"/>
        <v/>
      </c>
      <c r="LE18" s="4" t="str">
        <f t="shared" si="106"/>
        <v/>
      </c>
      <c r="LF18" s="4" t="str">
        <f t="shared" si="107"/>
        <v/>
      </c>
      <c r="LG18" s="4" t="str">
        <f t="shared" si="108"/>
        <v/>
      </c>
      <c r="LH18" s="4" t="str">
        <f t="shared" si="109"/>
        <v/>
      </c>
      <c r="LI18" s="4" t="str">
        <f t="shared" si="110"/>
        <v/>
      </c>
      <c r="LJ18" s="4" t="str">
        <f t="shared" si="111"/>
        <v/>
      </c>
      <c r="LK18" s="4" t="str">
        <f t="shared" si="112"/>
        <v/>
      </c>
      <c r="LL18" s="4" t="str">
        <f t="shared" si="113"/>
        <v/>
      </c>
      <c r="LM18" s="4" t="str">
        <f t="shared" si="114"/>
        <v/>
      </c>
      <c r="LN18" s="4" t="str">
        <f t="shared" si="115"/>
        <v/>
      </c>
      <c r="LO18" s="4" t="str">
        <f t="shared" si="116"/>
        <v/>
      </c>
      <c r="LP18" s="4" t="str">
        <f t="shared" si="117"/>
        <v/>
      </c>
      <c r="LQ18" s="4" t="str">
        <f t="shared" si="118"/>
        <v/>
      </c>
      <c r="LR18" s="4" t="str">
        <f t="shared" si="119"/>
        <v/>
      </c>
      <c r="LS18" s="4" t="str">
        <f t="shared" si="120"/>
        <v/>
      </c>
      <c r="LT18" s="4" t="str">
        <f t="shared" si="121"/>
        <v/>
      </c>
      <c r="LU18" s="4" t="str">
        <f t="shared" si="122"/>
        <v/>
      </c>
      <c r="LV18" s="4" t="str">
        <f t="shared" si="123"/>
        <v/>
      </c>
      <c r="LW18" s="4" t="str">
        <f t="shared" si="124"/>
        <v/>
      </c>
      <c r="LX18" s="4" t="str">
        <f t="shared" si="125"/>
        <v/>
      </c>
      <c r="LY18" s="4" t="str">
        <f t="shared" si="126"/>
        <v/>
      </c>
      <c r="LZ18" s="4" t="str">
        <f t="shared" si="127"/>
        <v/>
      </c>
      <c r="MA18" s="4" t="str">
        <f t="shared" si="128"/>
        <v/>
      </c>
      <c r="MB18" s="4" t="str">
        <f t="shared" si="129"/>
        <v/>
      </c>
      <c r="MC18" s="4" t="str">
        <f t="shared" si="130"/>
        <v/>
      </c>
      <c r="MD18" s="4" t="str">
        <f t="shared" si="131"/>
        <v/>
      </c>
      <c r="ME18" s="4">
        <f t="shared" si="132"/>
        <v>0</v>
      </c>
    </row>
    <row r="19" spans="1:343" ht="26.25" customHeight="1" thickBot="1" x14ac:dyDescent="0.25">
      <c r="A19" s="35">
        <v>41227</v>
      </c>
      <c r="B19" s="36" t="s">
        <v>116</v>
      </c>
      <c r="C19" s="36" t="s">
        <v>115</v>
      </c>
      <c r="D19" s="31" t="s">
        <v>110</v>
      </c>
      <c r="E19" s="4">
        <v>84</v>
      </c>
      <c r="F19" s="3">
        <v>10201</v>
      </c>
      <c r="G19" s="4" t="s">
        <v>87</v>
      </c>
      <c r="H19" s="4" t="s">
        <v>108</v>
      </c>
      <c r="I19" s="4">
        <v>1835821</v>
      </c>
      <c r="K19" s="74"/>
      <c r="L19" s="75"/>
      <c r="M19" s="75"/>
      <c r="N19" s="75"/>
      <c r="O19" s="75"/>
      <c r="P19" s="4">
        <v>-0.5</v>
      </c>
      <c r="Q19" s="4">
        <v>-0.49</v>
      </c>
      <c r="R19" s="4" t="s">
        <v>249</v>
      </c>
      <c r="S19" s="67">
        <v>21.25</v>
      </c>
      <c r="T19" s="136">
        <v>41211</v>
      </c>
      <c r="U19" s="67">
        <v>0</v>
      </c>
      <c r="V19" s="67">
        <v>1.25</v>
      </c>
      <c r="W19" s="4">
        <v>179</v>
      </c>
      <c r="X19" s="4">
        <v>50</v>
      </c>
      <c r="Y19" s="4">
        <v>11</v>
      </c>
      <c r="Z19" s="4">
        <v>679</v>
      </c>
      <c r="AA19" s="4">
        <v>23.38</v>
      </c>
      <c r="AB19" s="4">
        <v>11.8</v>
      </c>
      <c r="AC19" s="4">
        <v>4.74</v>
      </c>
      <c r="AD19" s="4">
        <v>2.77</v>
      </c>
      <c r="AE19" s="4">
        <v>43.55</v>
      </c>
      <c r="AF19" s="4">
        <v>69</v>
      </c>
      <c r="AG19" s="4">
        <v>44.58</v>
      </c>
      <c r="AH19" s="4">
        <v>159</v>
      </c>
      <c r="AI19" s="4">
        <v>0</v>
      </c>
      <c r="AJ19" s="4" t="b">
        <f t="shared" si="0"/>
        <v>0</v>
      </c>
      <c r="AL19" s="4" t="s">
        <v>78</v>
      </c>
      <c r="BA19" s="4" t="str">
        <f t="shared" si="1"/>
        <v/>
      </c>
      <c r="BB19" s="4" t="str">
        <f t="shared" si="2"/>
        <v/>
      </c>
      <c r="BC19" s="4" t="str">
        <f t="shared" si="3"/>
        <v/>
      </c>
      <c r="BD19" s="51" t="s">
        <v>505</v>
      </c>
      <c r="BS19" s="4" t="str">
        <f t="shared" si="4"/>
        <v/>
      </c>
      <c r="BT19" s="4" t="str">
        <f t="shared" si="5"/>
        <v/>
      </c>
      <c r="BU19" s="4" t="str">
        <f t="shared" si="6"/>
        <v/>
      </c>
      <c r="BV19" s="4">
        <f>IF(AND(ISBLANK(SPH_6),ISBLANK(SPH_12)),0,1)</f>
        <v>0</v>
      </c>
      <c r="BW19" s="4">
        <f t="shared" si="8"/>
        <v>0</v>
      </c>
      <c r="BX19" s="4" t="str">
        <f t="shared" si="9"/>
        <v/>
      </c>
      <c r="BY19" s="4" t="str">
        <f t="shared" si="10"/>
        <v/>
      </c>
      <c r="BZ19" s="4" t="str">
        <f t="shared" si="11"/>
        <v/>
      </c>
      <c r="CA19" s="53">
        <f t="shared" si="12"/>
        <v>0</v>
      </c>
      <c r="CB19" s="55" t="str">
        <f t="shared" si="13"/>
        <v/>
      </c>
      <c r="CC19" s="4" t="str">
        <f t="shared" si="14"/>
        <v/>
      </c>
      <c r="CD19" s="4" t="str">
        <f t="shared" si="15"/>
        <v/>
      </c>
      <c r="CE19" s="4" t="str">
        <f t="shared" si="16"/>
        <v/>
      </c>
      <c r="CF19" s="4" t="str">
        <f t="shared" si="17"/>
        <v/>
      </c>
      <c r="CG19" s="4" t="str">
        <f t="shared" si="18"/>
        <v/>
      </c>
      <c r="CH19" s="4" t="str">
        <f t="shared" si="19"/>
        <v/>
      </c>
      <c r="CI19" s="104" t="str">
        <f t="shared" si="20"/>
        <v/>
      </c>
      <c r="CJ19" s="94" t="str">
        <f t="shared" si="21"/>
        <v/>
      </c>
      <c r="CK19" s="4" t="str">
        <f t="shared" si="22"/>
        <v/>
      </c>
      <c r="CL19" s="107" t="str">
        <f t="shared" si="23"/>
        <v/>
      </c>
      <c r="CM19" s="107" t="str">
        <f t="shared" si="24"/>
        <v/>
      </c>
      <c r="CN19" s="139" t="str">
        <f t="shared" si="25"/>
        <v/>
      </c>
      <c r="CO19" s="139" t="str">
        <f t="shared" si="26"/>
        <v/>
      </c>
      <c r="CP19" s="149" t="str">
        <f t="shared" si="27"/>
        <v/>
      </c>
      <c r="CQ19" s="149" t="str">
        <f t="shared" si="28"/>
        <v/>
      </c>
      <c r="CR19" s="148" t="str">
        <f t="shared" si="29"/>
        <v/>
      </c>
      <c r="CS19" s="152" t="str">
        <f t="shared" si="30"/>
        <v/>
      </c>
      <c r="CT19" s="107" t="str">
        <f t="shared" si="31"/>
        <v/>
      </c>
      <c r="CU19" s="155" t="str">
        <f t="shared" si="32"/>
        <v/>
      </c>
      <c r="IJ19" s="94" t="str">
        <f t="shared" si="33"/>
        <v/>
      </c>
      <c r="IK19" s="4" t="str">
        <f t="shared" si="34"/>
        <v/>
      </c>
      <c r="IL19" s="4" t="str">
        <f t="shared" si="35"/>
        <v/>
      </c>
      <c r="IM19" s="4" t="str">
        <f t="shared" si="36"/>
        <v/>
      </c>
      <c r="IN19" s="4" t="str">
        <f t="shared" si="37"/>
        <v/>
      </c>
      <c r="IO19" s="4" t="str">
        <f t="shared" si="38"/>
        <v/>
      </c>
      <c r="IP19" s="4" t="str">
        <f t="shared" si="39"/>
        <v/>
      </c>
      <c r="IQ19" s="4" t="str">
        <f t="shared" si="40"/>
        <v/>
      </c>
      <c r="IR19" s="4" t="str">
        <f t="shared" si="41"/>
        <v/>
      </c>
      <c r="IS19" s="4" t="str">
        <f t="shared" si="42"/>
        <v/>
      </c>
      <c r="IT19" s="4" t="str">
        <f t="shared" si="43"/>
        <v/>
      </c>
      <c r="IU19" s="4" t="str">
        <f t="shared" si="44"/>
        <v/>
      </c>
      <c r="IV19" s="4" t="str">
        <f t="shared" si="45"/>
        <v/>
      </c>
      <c r="IW19" s="4" t="str">
        <f t="shared" si="46"/>
        <v/>
      </c>
      <c r="IX19" s="4" t="str">
        <f t="shared" si="47"/>
        <v/>
      </c>
      <c r="IY19" s="4" t="str">
        <f t="shared" si="48"/>
        <v/>
      </c>
      <c r="IZ19" s="4" t="str">
        <f t="shared" si="49"/>
        <v/>
      </c>
      <c r="JA19" s="4" t="str">
        <f t="shared" si="50"/>
        <v/>
      </c>
      <c r="JB19" s="4" t="str">
        <f t="shared" si="51"/>
        <v/>
      </c>
      <c r="JC19" s="4" t="str">
        <f t="shared" si="52"/>
        <v/>
      </c>
      <c r="JD19" s="4" t="str">
        <f t="shared" si="53"/>
        <v/>
      </c>
      <c r="JE19" s="4" t="str">
        <f t="shared" si="54"/>
        <v/>
      </c>
      <c r="JF19" s="4" t="str">
        <f t="shared" si="55"/>
        <v/>
      </c>
      <c r="JG19" s="4" t="str">
        <f t="shared" si="56"/>
        <v/>
      </c>
      <c r="JH19" s="4" t="str">
        <f t="shared" si="57"/>
        <v/>
      </c>
      <c r="JI19" s="4" t="str">
        <f t="shared" si="58"/>
        <v/>
      </c>
      <c r="JJ19" s="4" t="str">
        <f t="shared" si="59"/>
        <v/>
      </c>
      <c r="JK19" s="4" t="str">
        <f t="shared" si="60"/>
        <v/>
      </c>
      <c r="JL19" s="4" t="str">
        <f t="shared" si="61"/>
        <v/>
      </c>
      <c r="JM19" s="4" t="str">
        <f t="shared" si="62"/>
        <v/>
      </c>
      <c r="JN19" s="4" t="str">
        <f t="shared" si="63"/>
        <v/>
      </c>
      <c r="JO19" s="129" t="str">
        <f t="shared" si="64"/>
        <v/>
      </c>
      <c r="JP19" s="122" t="str">
        <f t="shared" si="65"/>
        <v/>
      </c>
      <c r="JQ19" s="122" t="str">
        <f t="shared" si="66"/>
        <v/>
      </c>
      <c r="JR19" s="122" t="str">
        <f t="shared" si="67"/>
        <v/>
      </c>
      <c r="JS19" s="122" t="str">
        <f t="shared" si="68"/>
        <v/>
      </c>
      <c r="JT19" s="122" t="str">
        <f t="shared" si="69"/>
        <v/>
      </c>
      <c r="JU19" s="122" t="str">
        <f t="shared" si="70"/>
        <v/>
      </c>
      <c r="JV19" s="122" t="str">
        <f t="shared" si="71"/>
        <v/>
      </c>
      <c r="JW19" s="122" t="str">
        <f t="shared" si="72"/>
        <v/>
      </c>
      <c r="JX19" s="122" t="str">
        <f t="shared" si="73"/>
        <v/>
      </c>
      <c r="JY19" s="122" t="str">
        <f t="shared" si="74"/>
        <v/>
      </c>
      <c r="JZ19" s="122" t="str">
        <f t="shared" si="75"/>
        <v/>
      </c>
      <c r="KA19" s="122" t="str">
        <f t="shared" si="76"/>
        <v/>
      </c>
      <c r="KB19" s="122" t="str">
        <f t="shared" si="77"/>
        <v/>
      </c>
      <c r="KC19" s="122" t="str">
        <f t="shared" si="78"/>
        <v/>
      </c>
      <c r="KD19" s="122" t="str">
        <f t="shared" si="79"/>
        <v/>
      </c>
      <c r="KE19" s="133" t="str">
        <f t="shared" si="80"/>
        <v/>
      </c>
      <c r="KF19" s="94" t="str">
        <f t="shared" si="81"/>
        <v/>
      </c>
      <c r="KG19" s="4" t="str">
        <f t="shared" si="82"/>
        <v/>
      </c>
      <c r="KH19" s="4" t="str">
        <f t="shared" si="83"/>
        <v/>
      </c>
      <c r="KI19" s="4" t="str">
        <f t="shared" si="84"/>
        <v/>
      </c>
      <c r="KJ19" s="4" t="str">
        <f t="shared" si="85"/>
        <v/>
      </c>
      <c r="KK19" s="4" t="str">
        <f t="shared" si="86"/>
        <v/>
      </c>
      <c r="KL19" s="4" t="str">
        <f t="shared" si="87"/>
        <v/>
      </c>
      <c r="KM19" s="4" t="str">
        <f t="shared" si="88"/>
        <v/>
      </c>
      <c r="KN19" s="4" t="str">
        <f t="shared" si="89"/>
        <v/>
      </c>
      <c r="KO19" s="4" t="str">
        <f t="shared" si="90"/>
        <v/>
      </c>
      <c r="KP19" s="4" t="str">
        <f t="shared" si="91"/>
        <v/>
      </c>
      <c r="KQ19" s="4" t="str">
        <f t="shared" si="92"/>
        <v/>
      </c>
      <c r="KR19" s="4" t="str">
        <f t="shared" si="93"/>
        <v/>
      </c>
      <c r="KS19" s="4" t="str">
        <f t="shared" si="94"/>
        <v/>
      </c>
      <c r="KT19" s="4" t="str">
        <f t="shared" si="95"/>
        <v/>
      </c>
      <c r="KU19" s="4" t="str">
        <f t="shared" si="96"/>
        <v/>
      </c>
      <c r="KV19" s="4" t="str">
        <f t="shared" si="97"/>
        <v/>
      </c>
      <c r="KW19" s="4" t="str">
        <f t="shared" si="98"/>
        <v/>
      </c>
      <c r="KX19" s="4" t="str">
        <f t="shared" si="99"/>
        <v/>
      </c>
      <c r="KY19" s="4" t="str">
        <f t="shared" si="100"/>
        <v/>
      </c>
      <c r="KZ19" s="4" t="str">
        <f t="shared" si="101"/>
        <v/>
      </c>
      <c r="LA19" s="4" t="str">
        <f t="shared" si="102"/>
        <v/>
      </c>
      <c r="LB19" s="4" t="str">
        <f t="shared" si="103"/>
        <v/>
      </c>
      <c r="LC19" s="4" t="str">
        <f t="shared" si="104"/>
        <v/>
      </c>
      <c r="LD19" s="4" t="str">
        <f t="shared" si="105"/>
        <v/>
      </c>
      <c r="LE19" s="4" t="str">
        <f t="shared" si="106"/>
        <v/>
      </c>
      <c r="LF19" s="4" t="str">
        <f t="shared" si="107"/>
        <v/>
      </c>
      <c r="LG19" s="4" t="str">
        <f t="shared" si="108"/>
        <v/>
      </c>
      <c r="LH19" s="4" t="str">
        <f t="shared" si="109"/>
        <v/>
      </c>
      <c r="LI19" s="4" t="str">
        <f t="shared" si="110"/>
        <v/>
      </c>
      <c r="LJ19" s="4" t="str">
        <f t="shared" si="111"/>
        <v/>
      </c>
      <c r="LK19" s="4" t="str">
        <f t="shared" si="112"/>
        <v/>
      </c>
      <c r="LL19" s="4" t="str">
        <f t="shared" si="113"/>
        <v/>
      </c>
      <c r="LM19" s="4" t="str">
        <f t="shared" si="114"/>
        <v/>
      </c>
      <c r="LN19" s="4" t="str">
        <f t="shared" si="115"/>
        <v/>
      </c>
      <c r="LO19" s="4" t="str">
        <f t="shared" si="116"/>
        <v/>
      </c>
      <c r="LP19" s="4" t="str">
        <f t="shared" si="117"/>
        <v/>
      </c>
      <c r="LQ19" s="4" t="str">
        <f t="shared" si="118"/>
        <v/>
      </c>
      <c r="LR19" s="4" t="str">
        <f t="shared" si="119"/>
        <v/>
      </c>
      <c r="LS19" s="4" t="str">
        <f t="shared" si="120"/>
        <v/>
      </c>
      <c r="LT19" s="4" t="str">
        <f t="shared" si="121"/>
        <v/>
      </c>
      <c r="LU19" s="4" t="str">
        <f t="shared" si="122"/>
        <v/>
      </c>
      <c r="LV19" s="4" t="str">
        <f t="shared" si="123"/>
        <v/>
      </c>
      <c r="LW19" s="4" t="str">
        <f t="shared" si="124"/>
        <v/>
      </c>
      <c r="LX19" s="4" t="str">
        <f t="shared" si="125"/>
        <v/>
      </c>
      <c r="LY19" s="4" t="str">
        <f t="shared" si="126"/>
        <v/>
      </c>
      <c r="LZ19" s="4" t="str">
        <f t="shared" si="127"/>
        <v/>
      </c>
      <c r="MA19" s="4" t="str">
        <f t="shared" si="128"/>
        <v/>
      </c>
      <c r="MB19" s="4" t="str">
        <f t="shared" si="129"/>
        <v/>
      </c>
      <c r="MC19" s="4" t="str">
        <f t="shared" si="130"/>
        <v/>
      </c>
      <c r="MD19" s="4" t="str">
        <f t="shared" si="131"/>
        <v/>
      </c>
      <c r="ME19" s="4">
        <f t="shared" si="132"/>
        <v>0</v>
      </c>
    </row>
    <row r="20" spans="1:343" ht="26.25" customHeight="1" thickBot="1" x14ac:dyDescent="0.25">
      <c r="A20" s="35">
        <v>41290</v>
      </c>
      <c r="B20" s="36" t="s">
        <v>192</v>
      </c>
      <c r="C20" s="36" t="s">
        <v>165</v>
      </c>
      <c r="D20" s="31" t="s">
        <v>110</v>
      </c>
      <c r="E20" s="4">
        <v>80</v>
      </c>
      <c r="F20" s="3">
        <v>11842</v>
      </c>
      <c r="G20" s="4" t="s">
        <v>87</v>
      </c>
      <c r="H20" s="4" t="s">
        <v>108</v>
      </c>
      <c r="I20" s="4">
        <v>1835845</v>
      </c>
      <c r="K20" s="74"/>
      <c r="L20" s="75"/>
      <c r="M20" s="75"/>
      <c r="N20" s="75"/>
      <c r="O20" s="75"/>
      <c r="P20" s="33">
        <v>-1</v>
      </c>
      <c r="Q20" s="33">
        <v>-1.38</v>
      </c>
      <c r="R20" s="33" t="s">
        <v>249</v>
      </c>
      <c r="S20" s="67">
        <v>22.25</v>
      </c>
      <c r="T20" s="136">
        <v>41214</v>
      </c>
      <c r="U20" s="67">
        <v>1.25</v>
      </c>
      <c r="V20" s="67">
        <v>0</v>
      </c>
      <c r="W20" s="4">
        <v>0</v>
      </c>
      <c r="X20" s="4">
        <v>200</v>
      </c>
      <c r="Y20" s="4">
        <v>17</v>
      </c>
      <c r="Z20" s="4">
        <v>598</v>
      </c>
      <c r="AA20" s="4">
        <v>22.57</v>
      </c>
      <c r="AB20" s="4">
        <v>11.3</v>
      </c>
      <c r="AC20" s="4">
        <v>4.3230000000000004</v>
      </c>
      <c r="AD20" s="4">
        <v>2.87</v>
      </c>
      <c r="AE20" s="4">
        <v>45.3</v>
      </c>
      <c r="AF20" s="4">
        <v>89</v>
      </c>
      <c r="AG20" s="4">
        <v>45.79</v>
      </c>
      <c r="AH20" s="4">
        <v>179</v>
      </c>
      <c r="AI20" s="4">
        <v>0</v>
      </c>
      <c r="AJ20" s="4" t="b">
        <f t="shared" si="0"/>
        <v>0</v>
      </c>
      <c r="AL20" s="37" t="s">
        <v>78</v>
      </c>
      <c r="AM20" s="59"/>
      <c r="BA20" s="4" t="str">
        <f t="shared" si="1"/>
        <v/>
      </c>
      <c r="BB20" s="4" t="str">
        <f t="shared" si="2"/>
        <v/>
      </c>
      <c r="BC20" s="4" t="str">
        <f t="shared" si="3"/>
        <v/>
      </c>
      <c r="BD20" s="51" t="s">
        <v>505</v>
      </c>
      <c r="BS20" s="4" t="str">
        <f t="shared" si="4"/>
        <v/>
      </c>
      <c r="BT20" s="4" t="str">
        <f t="shared" si="5"/>
        <v/>
      </c>
      <c r="BU20" s="4" t="str">
        <f t="shared" si="6"/>
        <v/>
      </c>
      <c r="BV20" s="4">
        <f>IF(AND(ISBLANK(SPH_6),ISBLANK(SPH_12)),0,1)</f>
        <v>0</v>
      </c>
      <c r="BW20" s="4">
        <f t="shared" si="8"/>
        <v>0</v>
      </c>
      <c r="BX20" s="4" t="str">
        <f t="shared" si="9"/>
        <v/>
      </c>
      <c r="BY20" s="4" t="str">
        <f t="shared" si="10"/>
        <v/>
      </c>
      <c r="BZ20" s="4" t="str">
        <f t="shared" si="11"/>
        <v/>
      </c>
      <c r="CA20" s="53">
        <f t="shared" si="12"/>
        <v>0</v>
      </c>
      <c r="CB20" s="55" t="str">
        <f t="shared" si="13"/>
        <v/>
      </c>
      <c r="CC20" s="4" t="str">
        <f t="shared" si="14"/>
        <v/>
      </c>
      <c r="CD20" s="4" t="str">
        <f t="shared" si="15"/>
        <v/>
      </c>
      <c r="CE20" s="4" t="str">
        <f t="shared" si="16"/>
        <v/>
      </c>
      <c r="CF20" s="4" t="str">
        <f t="shared" si="17"/>
        <v/>
      </c>
      <c r="CG20" s="4" t="str">
        <f t="shared" si="18"/>
        <v/>
      </c>
      <c r="CH20" s="4" t="str">
        <f t="shared" si="19"/>
        <v/>
      </c>
      <c r="CI20" s="104" t="str">
        <f t="shared" si="20"/>
        <v/>
      </c>
      <c r="CJ20" s="94" t="str">
        <f t="shared" si="21"/>
        <v/>
      </c>
      <c r="CK20" s="4" t="str">
        <f t="shared" si="22"/>
        <v/>
      </c>
      <c r="CL20" s="107" t="str">
        <f t="shared" si="23"/>
        <v/>
      </c>
      <c r="CM20" s="107" t="str">
        <f t="shared" si="24"/>
        <v/>
      </c>
      <c r="CN20" s="139" t="str">
        <f t="shared" si="25"/>
        <v/>
      </c>
      <c r="CO20" s="139" t="str">
        <f t="shared" si="26"/>
        <v/>
      </c>
      <c r="CP20" s="149" t="str">
        <f t="shared" si="27"/>
        <v/>
      </c>
      <c r="CQ20" s="149" t="str">
        <f t="shared" si="28"/>
        <v/>
      </c>
      <c r="CR20" s="148" t="str">
        <f t="shared" si="29"/>
        <v/>
      </c>
      <c r="CS20" s="152" t="str">
        <f t="shared" si="30"/>
        <v/>
      </c>
      <c r="CT20" s="107" t="str">
        <f t="shared" si="31"/>
        <v/>
      </c>
      <c r="CU20" s="155" t="str">
        <f t="shared" si="32"/>
        <v/>
      </c>
      <c r="IJ20" s="94" t="str">
        <f t="shared" si="33"/>
        <v/>
      </c>
      <c r="IK20" s="4" t="str">
        <f t="shared" si="34"/>
        <v/>
      </c>
      <c r="IL20" s="4" t="str">
        <f t="shared" si="35"/>
        <v/>
      </c>
      <c r="IM20" s="4" t="str">
        <f t="shared" si="36"/>
        <v/>
      </c>
      <c r="IN20" s="4" t="str">
        <f t="shared" si="37"/>
        <v/>
      </c>
      <c r="IO20" s="4" t="str">
        <f t="shared" si="38"/>
        <v/>
      </c>
      <c r="IP20" s="4" t="str">
        <f t="shared" si="39"/>
        <v/>
      </c>
      <c r="IQ20" s="4" t="str">
        <f t="shared" si="40"/>
        <v/>
      </c>
      <c r="IR20" s="4" t="str">
        <f t="shared" si="41"/>
        <v/>
      </c>
      <c r="IS20" s="4" t="str">
        <f t="shared" si="42"/>
        <v/>
      </c>
      <c r="IT20" s="4" t="str">
        <f t="shared" si="43"/>
        <v/>
      </c>
      <c r="IU20" s="4" t="str">
        <f t="shared" si="44"/>
        <v/>
      </c>
      <c r="IV20" s="4" t="str">
        <f t="shared" si="45"/>
        <v/>
      </c>
      <c r="IW20" s="4" t="str">
        <f t="shared" si="46"/>
        <v/>
      </c>
      <c r="IX20" s="4" t="str">
        <f t="shared" si="47"/>
        <v/>
      </c>
      <c r="IY20" s="4" t="str">
        <f t="shared" si="48"/>
        <v/>
      </c>
      <c r="IZ20" s="4" t="str">
        <f t="shared" si="49"/>
        <v/>
      </c>
      <c r="JA20" s="4" t="str">
        <f t="shared" si="50"/>
        <v/>
      </c>
      <c r="JB20" s="4" t="str">
        <f t="shared" si="51"/>
        <v/>
      </c>
      <c r="JC20" s="4" t="str">
        <f t="shared" si="52"/>
        <v/>
      </c>
      <c r="JD20" s="4" t="str">
        <f t="shared" si="53"/>
        <v/>
      </c>
      <c r="JE20" s="4" t="str">
        <f t="shared" si="54"/>
        <v/>
      </c>
      <c r="JF20" s="4" t="str">
        <f t="shared" si="55"/>
        <v/>
      </c>
      <c r="JG20" s="4" t="str">
        <f t="shared" si="56"/>
        <v/>
      </c>
      <c r="JH20" s="4" t="str">
        <f t="shared" si="57"/>
        <v/>
      </c>
      <c r="JI20" s="4" t="str">
        <f t="shared" si="58"/>
        <v/>
      </c>
      <c r="JJ20" s="4" t="str">
        <f t="shared" si="59"/>
        <v/>
      </c>
      <c r="JK20" s="4" t="str">
        <f t="shared" si="60"/>
        <v/>
      </c>
      <c r="JL20" s="4" t="str">
        <f t="shared" si="61"/>
        <v/>
      </c>
      <c r="JM20" s="4" t="str">
        <f t="shared" si="62"/>
        <v/>
      </c>
      <c r="JN20" s="4" t="str">
        <f t="shared" si="63"/>
        <v/>
      </c>
      <c r="JO20" s="129" t="str">
        <f t="shared" si="64"/>
        <v/>
      </c>
      <c r="JP20" s="122" t="str">
        <f t="shared" si="65"/>
        <v/>
      </c>
      <c r="JQ20" s="122" t="str">
        <f t="shared" si="66"/>
        <v/>
      </c>
      <c r="JR20" s="122" t="str">
        <f t="shared" si="67"/>
        <v/>
      </c>
      <c r="JS20" s="122" t="str">
        <f t="shared" si="68"/>
        <v/>
      </c>
      <c r="JT20" s="122" t="str">
        <f t="shared" si="69"/>
        <v/>
      </c>
      <c r="JU20" s="122" t="str">
        <f t="shared" si="70"/>
        <v/>
      </c>
      <c r="JV20" s="122" t="str">
        <f t="shared" si="71"/>
        <v/>
      </c>
      <c r="JW20" s="122" t="str">
        <f t="shared" si="72"/>
        <v/>
      </c>
      <c r="JX20" s="122" t="str">
        <f t="shared" si="73"/>
        <v/>
      </c>
      <c r="JY20" s="122" t="str">
        <f t="shared" si="74"/>
        <v/>
      </c>
      <c r="JZ20" s="122" t="str">
        <f t="shared" si="75"/>
        <v/>
      </c>
      <c r="KA20" s="122" t="str">
        <f t="shared" si="76"/>
        <v/>
      </c>
      <c r="KB20" s="122" t="str">
        <f t="shared" si="77"/>
        <v/>
      </c>
      <c r="KC20" s="122" t="str">
        <f t="shared" si="78"/>
        <v/>
      </c>
      <c r="KD20" s="122" t="str">
        <f t="shared" si="79"/>
        <v/>
      </c>
      <c r="KE20" s="133" t="str">
        <f t="shared" si="80"/>
        <v/>
      </c>
      <c r="KF20" s="94" t="str">
        <f t="shared" si="81"/>
        <v/>
      </c>
      <c r="KG20" s="4" t="str">
        <f t="shared" si="82"/>
        <v/>
      </c>
      <c r="KH20" s="4" t="str">
        <f t="shared" si="83"/>
        <v/>
      </c>
      <c r="KI20" s="4" t="str">
        <f t="shared" si="84"/>
        <v/>
      </c>
      <c r="KJ20" s="4" t="str">
        <f t="shared" si="85"/>
        <v/>
      </c>
      <c r="KK20" s="4" t="str">
        <f t="shared" si="86"/>
        <v/>
      </c>
      <c r="KL20" s="4" t="str">
        <f t="shared" si="87"/>
        <v/>
      </c>
      <c r="KM20" s="4" t="str">
        <f t="shared" si="88"/>
        <v/>
      </c>
      <c r="KN20" s="4" t="str">
        <f t="shared" si="89"/>
        <v/>
      </c>
      <c r="KO20" s="4" t="str">
        <f t="shared" si="90"/>
        <v/>
      </c>
      <c r="KP20" s="4" t="str">
        <f t="shared" si="91"/>
        <v/>
      </c>
      <c r="KQ20" s="4" t="str">
        <f t="shared" si="92"/>
        <v/>
      </c>
      <c r="KR20" s="4" t="str">
        <f t="shared" si="93"/>
        <v/>
      </c>
      <c r="KS20" s="4" t="str">
        <f t="shared" si="94"/>
        <v/>
      </c>
      <c r="KT20" s="4" t="str">
        <f t="shared" si="95"/>
        <v/>
      </c>
      <c r="KU20" s="4" t="str">
        <f t="shared" si="96"/>
        <v/>
      </c>
      <c r="KV20" s="4" t="str">
        <f t="shared" si="97"/>
        <v/>
      </c>
      <c r="KW20" s="4" t="str">
        <f t="shared" si="98"/>
        <v/>
      </c>
      <c r="KX20" s="4" t="str">
        <f t="shared" si="99"/>
        <v/>
      </c>
      <c r="KY20" s="4" t="str">
        <f t="shared" si="100"/>
        <v/>
      </c>
      <c r="KZ20" s="4" t="str">
        <f t="shared" si="101"/>
        <v/>
      </c>
      <c r="LA20" s="4" t="str">
        <f t="shared" si="102"/>
        <v/>
      </c>
      <c r="LB20" s="4" t="str">
        <f t="shared" si="103"/>
        <v/>
      </c>
      <c r="LC20" s="4" t="str">
        <f t="shared" si="104"/>
        <v/>
      </c>
      <c r="LD20" s="4" t="str">
        <f t="shared" si="105"/>
        <v/>
      </c>
      <c r="LE20" s="4" t="str">
        <f t="shared" si="106"/>
        <v/>
      </c>
      <c r="LF20" s="4" t="str">
        <f t="shared" si="107"/>
        <v/>
      </c>
      <c r="LG20" s="4" t="str">
        <f t="shared" si="108"/>
        <v/>
      </c>
      <c r="LH20" s="4" t="str">
        <f t="shared" si="109"/>
        <v/>
      </c>
      <c r="LI20" s="4" t="str">
        <f t="shared" si="110"/>
        <v/>
      </c>
      <c r="LJ20" s="4" t="str">
        <f t="shared" si="111"/>
        <v/>
      </c>
      <c r="LK20" s="4" t="str">
        <f t="shared" si="112"/>
        <v/>
      </c>
      <c r="LL20" s="4" t="str">
        <f t="shared" si="113"/>
        <v/>
      </c>
      <c r="LM20" s="4" t="str">
        <f t="shared" si="114"/>
        <v/>
      </c>
      <c r="LN20" s="4" t="str">
        <f t="shared" si="115"/>
        <v/>
      </c>
      <c r="LO20" s="4" t="str">
        <f t="shared" si="116"/>
        <v/>
      </c>
      <c r="LP20" s="4" t="str">
        <f t="shared" si="117"/>
        <v/>
      </c>
      <c r="LQ20" s="4" t="str">
        <f t="shared" si="118"/>
        <v/>
      </c>
      <c r="LR20" s="4" t="str">
        <f t="shared" si="119"/>
        <v/>
      </c>
      <c r="LS20" s="4" t="str">
        <f t="shared" si="120"/>
        <v/>
      </c>
      <c r="LT20" s="4" t="str">
        <f t="shared" si="121"/>
        <v/>
      </c>
      <c r="LU20" s="4" t="str">
        <f t="shared" si="122"/>
        <v/>
      </c>
      <c r="LV20" s="4" t="str">
        <f t="shared" si="123"/>
        <v/>
      </c>
      <c r="LW20" s="4" t="str">
        <f t="shared" si="124"/>
        <v/>
      </c>
      <c r="LX20" s="4" t="str">
        <f t="shared" si="125"/>
        <v/>
      </c>
      <c r="LY20" s="4" t="str">
        <f t="shared" si="126"/>
        <v/>
      </c>
      <c r="LZ20" s="4" t="str">
        <f t="shared" si="127"/>
        <v/>
      </c>
      <c r="MA20" s="4" t="str">
        <f t="shared" si="128"/>
        <v/>
      </c>
      <c r="MB20" s="4" t="str">
        <f t="shared" si="129"/>
        <v/>
      </c>
      <c r="MC20" s="4" t="str">
        <f t="shared" si="130"/>
        <v/>
      </c>
      <c r="MD20" s="4" t="str">
        <f t="shared" si="131"/>
        <v/>
      </c>
      <c r="ME20" s="4">
        <f t="shared" si="132"/>
        <v>0</v>
      </c>
    </row>
    <row r="21" spans="1:343" ht="26.25" customHeight="1" thickBot="1" x14ac:dyDescent="0.25">
      <c r="A21" s="35">
        <v>41220</v>
      </c>
      <c r="B21" s="36" t="s">
        <v>148</v>
      </c>
      <c r="C21" s="36" t="s">
        <v>126</v>
      </c>
      <c r="D21" s="31" t="s">
        <v>110</v>
      </c>
      <c r="E21" s="4">
        <v>84</v>
      </c>
      <c r="F21" s="3">
        <v>10332</v>
      </c>
      <c r="G21" s="4" t="s">
        <v>87</v>
      </c>
      <c r="H21" s="4" t="s">
        <v>112</v>
      </c>
      <c r="I21" s="4">
        <v>1835859</v>
      </c>
      <c r="K21" s="74"/>
      <c r="L21" s="75"/>
      <c r="M21" s="75"/>
      <c r="N21" s="75"/>
      <c r="O21" s="76"/>
      <c r="P21" s="4">
        <v>-2.5</v>
      </c>
      <c r="Q21" s="4">
        <v>-2.52</v>
      </c>
      <c r="R21" s="4" t="s">
        <v>249</v>
      </c>
      <c r="S21" s="67">
        <v>21.25</v>
      </c>
      <c r="T21" s="136">
        <v>41214</v>
      </c>
      <c r="U21" s="67">
        <v>0.5</v>
      </c>
      <c r="V21" s="67">
        <v>0.75</v>
      </c>
      <c r="W21" s="4">
        <v>94</v>
      </c>
      <c r="X21" s="4">
        <v>60</v>
      </c>
      <c r="Y21" s="4">
        <v>19</v>
      </c>
      <c r="Z21" s="4">
        <v>612</v>
      </c>
      <c r="AA21" s="4">
        <v>23.25</v>
      </c>
      <c r="AB21" s="4">
        <v>11.6</v>
      </c>
      <c r="AC21" s="4">
        <v>5.33</v>
      </c>
      <c r="AD21" s="4">
        <v>2.44</v>
      </c>
      <c r="AE21" s="4">
        <v>44.12</v>
      </c>
      <c r="AF21" s="4">
        <v>78</v>
      </c>
      <c r="AG21" s="4">
        <v>44.82</v>
      </c>
      <c r="AH21" s="4">
        <v>168</v>
      </c>
      <c r="AI21" s="4">
        <v>0</v>
      </c>
      <c r="AJ21" s="4" t="b">
        <f t="shared" si="0"/>
        <v>0</v>
      </c>
      <c r="AL21" s="4" t="s">
        <v>78</v>
      </c>
      <c r="BA21" s="4" t="str">
        <f t="shared" si="1"/>
        <v/>
      </c>
      <c r="BB21" s="4" t="str">
        <f t="shared" si="2"/>
        <v/>
      </c>
      <c r="BC21" s="4" t="str">
        <f t="shared" si="3"/>
        <v/>
      </c>
      <c r="BD21" s="51" t="s">
        <v>505</v>
      </c>
      <c r="BS21" s="4" t="str">
        <f t="shared" si="4"/>
        <v/>
      </c>
      <c r="BT21" s="4" t="str">
        <f t="shared" si="5"/>
        <v/>
      </c>
      <c r="BU21" s="4" t="str">
        <f t="shared" si="6"/>
        <v/>
      </c>
      <c r="BV21" s="4">
        <f>IF(AND(ISBLANK(SPH_6),ISBLANK(SPH_12)),0,1)</f>
        <v>0</v>
      </c>
      <c r="BW21" s="4">
        <f t="shared" si="8"/>
        <v>0</v>
      </c>
      <c r="BX21" s="4" t="str">
        <f t="shared" si="9"/>
        <v/>
      </c>
      <c r="BY21" s="4" t="str">
        <f t="shared" si="10"/>
        <v/>
      </c>
      <c r="BZ21" s="4" t="str">
        <f t="shared" si="11"/>
        <v/>
      </c>
      <c r="CA21" s="53">
        <f t="shared" si="12"/>
        <v>0</v>
      </c>
      <c r="CB21" s="55" t="str">
        <f t="shared" si="13"/>
        <v/>
      </c>
      <c r="CC21" s="4" t="str">
        <f t="shared" si="14"/>
        <v/>
      </c>
      <c r="CD21" s="4" t="str">
        <f t="shared" si="15"/>
        <v/>
      </c>
      <c r="CE21" s="4" t="str">
        <f t="shared" si="16"/>
        <v/>
      </c>
      <c r="CF21" s="4" t="str">
        <f t="shared" si="17"/>
        <v/>
      </c>
      <c r="CG21" s="4" t="str">
        <f t="shared" si="18"/>
        <v/>
      </c>
      <c r="CH21" s="4" t="str">
        <f t="shared" si="19"/>
        <v/>
      </c>
      <c r="CI21" s="104" t="str">
        <f t="shared" si="20"/>
        <v/>
      </c>
      <c r="CJ21" s="94" t="str">
        <f t="shared" si="21"/>
        <v/>
      </c>
      <c r="CK21" s="4" t="str">
        <f t="shared" si="22"/>
        <v/>
      </c>
      <c r="CL21" s="107" t="str">
        <f t="shared" si="23"/>
        <v/>
      </c>
      <c r="CM21" s="107" t="str">
        <f t="shared" si="24"/>
        <v/>
      </c>
      <c r="CN21" s="139" t="str">
        <f t="shared" si="25"/>
        <v/>
      </c>
      <c r="CO21" s="139" t="str">
        <f t="shared" si="26"/>
        <v/>
      </c>
      <c r="CP21" s="149" t="str">
        <f t="shared" si="27"/>
        <v/>
      </c>
      <c r="CQ21" s="149" t="str">
        <f t="shared" si="28"/>
        <v/>
      </c>
      <c r="CR21" s="148" t="str">
        <f t="shared" si="29"/>
        <v/>
      </c>
      <c r="CS21" s="152" t="str">
        <f t="shared" si="30"/>
        <v/>
      </c>
      <c r="CT21" s="107" t="str">
        <f t="shared" si="31"/>
        <v/>
      </c>
      <c r="CU21" s="155" t="str">
        <f t="shared" si="32"/>
        <v/>
      </c>
      <c r="CV21" s="120"/>
      <c r="IJ21" s="94" t="str">
        <f t="shared" si="33"/>
        <v/>
      </c>
      <c r="IK21" s="4" t="str">
        <f t="shared" si="34"/>
        <v/>
      </c>
      <c r="IL21" s="4" t="str">
        <f t="shared" si="35"/>
        <v/>
      </c>
      <c r="IM21" s="4" t="str">
        <f t="shared" si="36"/>
        <v/>
      </c>
      <c r="IN21" s="4" t="str">
        <f t="shared" si="37"/>
        <v/>
      </c>
      <c r="IO21" s="4" t="str">
        <f t="shared" si="38"/>
        <v/>
      </c>
      <c r="IP21" s="4" t="str">
        <f t="shared" si="39"/>
        <v/>
      </c>
      <c r="IQ21" s="4" t="str">
        <f t="shared" si="40"/>
        <v/>
      </c>
      <c r="IR21" s="4" t="str">
        <f t="shared" si="41"/>
        <v/>
      </c>
      <c r="IS21" s="4" t="str">
        <f t="shared" si="42"/>
        <v/>
      </c>
      <c r="IT21" s="4" t="str">
        <f t="shared" si="43"/>
        <v/>
      </c>
      <c r="IU21" s="4" t="str">
        <f t="shared" si="44"/>
        <v/>
      </c>
      <c r="IV21" s="4" t="str">
        <f t="shared" si="45"/>
        <v/>
      </c>
      <c r="IW21" s="4" t="str">
        <f t="shared" si="46"/>
        <v/>
      </c>
      <c r="IX21" s="4" t="str">
        <f t="shared" si="47"/>
        <v/>
      </c>
      <c r="IY21" s="4" t="str">
        <f t="shared" si="48"/>
        <v/>
      </c>
      <c r="IZ21" s="4" t="str">
        <f t="shared" si="49"/>
        <v/>
      </c>
      <c r="JA21" s="4" t="str">
        <f t="shared" si="50"/>
        <v/>
      </c>
      <c r="JB21" s="4" t="str">
        <f t="shared" si="51"/>
        <v/>
      </c>
      <c r="JC21" s="4" t="str">
        <f t="shared" si="52"/>
        <v/>
      </c>
      <c r="JD21" s="4" t="str">
        <f t="shared" si="53"/>
        <v/>
      </c>
      <c r="JE21" s="4" t="str">
        <f t="shared" si="54"/>
        <v/>
      </c>
      <c r="JF21" s="4" t="str">
        <f t="shared" si="55"/>
        <v/>
      </c>
      <c r="JG21" s="4" t="str">
        <f t="shared" si="56"/>
        <v/>
      </c>
      <c r="JH21" s="4" t="str">
        <f t="shared" si="57"/>
        <v/>
      </c>
      <c r="JI21" s="4" t="str">
        <f t="shared" si="58"/>
        <v/>
      </c>
      <c r="JJ21" s="4" t="str">
        <f t="shared" si="59"/>
        <v/>
      </c>
      <c r="JK21" s="4" t="str">
        <f t="shared" si="60"/>
        <v/>
      </c>
      <c r="JL21" s="4" t="str">
        <f t="shared" si="61"/>
        <v/>
      </c>
      <c r="JM21" s="4" t="str">
        <f t="shared" si="62"/>
        <v/>
      </c>
      <c r="JN21" s="4" t="str">
        <f t="shared" si="63"/>
        <v/>
      </c>
      <c r="JO21" s="129" t="str">
        <f t="shared" si="64"/>
        <v/>
      </c>
      <c r="JP21" s="122" t="str">
        <f t="shared" si="65"/>
        <v/>
      </c>
      <c r="JQ21" s="122" t="str">
        <f t="shared" si="66"/>
        <v/>
      </c>
      <c r="JR21" s="122" t="str">
        <f t="shared" si="67"/>
        <v/>
      </c>
      <c r="JS21" s="122" t="str">
        <f t="shared" si="68"/>
        <v/>
      </c>
      <c r="JT21" s="122" t="str">
        <f t="shared" si="69"/>
        <v/>
      </c>
      <c r="JU21" s="122" t="str">
        <f t="shared" si="70"/>
        <v/>
      </c>
      <c r="JV21" s="122" t="str">
        <f t="shared" si="71"/>
        <v/>
      </c>
      <c r="JW21" s="122" t="str">
        <f t="shared" si="72"/>
        <v/>
      </c>
      <c r="JX21" s="122" t="str">
        <f t="shared" si="73"/>
        <v/>
      </c>
      <c r="JY21" s="122" t="str">
        <f t="shared" si="74"/>
        <v/>
      </c>
      <c r="JZ21" s="122" t="str">
        <f t="shared" si="75"/>
        <v/>
      </c>
      <c r="KA21" s="122" t="str">
        <f t="shared" si="76"/>
        <v/>
      </c>
      <c r="KB21" s="122" t="str">
        <f t="shared" si="77"/>
        <v/>
      </c>
      <c r="KC21" s="122" t="str">
        <f t="shared" si="78"/>
        <v/>
      </c>
      <c r="KD21" s="122" t="str">
        <f t="shared" si="79"/>
        <v/>
      </c>
      <c r="KE21" s="133" t="str">
        <f t="shared" si="80"/>
        <v/>
      </c>
      <c r="KF21" s="94" t="str">
        <f t="shared" si="81"/>
        <v/>
      </c>
      <c r="KG21" s="4" t="str">
        <f t="shared" si="82"/>
        <v/>
      </c>
      <c r="KH21" s="4" t="str">
        <f t="shared" si="83"/>
        <v/>
      </c>
      <c r="KI21" s="4" t="str">
        <f t="shared" si="84"/>
        <v/>
      </c>
      <c r="KJ21" s="4" t="str">
        <f t="shared" si="85"/>
        <v/>
      </c>
      <c r="KK21" s="4" t="str">
        <f t="shared" si="86"/>
        <v/>
      </c>
      <c r="KL21" s="4" t="str">
        <f t="shared" si="87"/>
        <v/>
      </c>
      <c r="KM21" s="4" t="str">
        <f t="shared" si="88"/>
        <v/>
      </c>
      <c r="KN21" s="4" t="str">
        <f t="shared" si="89"/>
        <v/>
      </c>
      <c r="KO21" s="4" t="str">
        <f t="shared" si="90"/>
        <v/>
      </c>
      <c r="KP21" s="4" t="str">
        <f t="shared" si="91"/>
        <v/>
      </c>
      <c r="KQ21" s="4" t="str">
        <f t="shared" si="92"/>
        <v/>
      </c>
      <c r="KR21" s="4" t="str">
        <f t="shared" si="93"/>
        <v/>
      </c>
      <c r="KS21" s="4" t="str">
        <f t="shared" si="94"/>
        <v/>
      </c>
      <c r="KT21" s="4" t="str">
        <f t="shared" si="95"/>
        <v/>
      </c>
      <c r="KU21" s="4" t="str">
        <f t="shared" si="96"/>
        <v/>
      </c>
      <c r="KV21" s="4" t="str">
        <f t="shared" si="97"/>
        <v/>
      </c>
      <c r="KW21" s="4" t="str">
        <f t="shared" si="98"/>
        <v/>
      </c>
      <c r="KX21" s="4" t="str">
        <f t="shared" si="99"/>
        <v/>
      </c>
      <c r="KY21" s="4" t="str">
        <f t="shared" si="100"/>
        <v/>
      </c>
      <c r="KZ21" s="4" t="str">
        <f t="shared" si="101"/>
        <v/>
      </c>
      <c r="LA21" s="4" t="str">
        <f t="shared" si="102"/>
        <v/>
      </c>
      <c r="LB21" s="4" t="str">
        <f t="shared" si="103"/>
        <v/>
      </c>
      <c r="LC21" s="4" t="str">
        <f t="shared" si="104"/>
        <v/>
      </c>
      <c r="LD21" s="4" t="str">
        <f t="shared" si="105"/>
        <v/>
      </c>
      <c r="LE21" s="4" t="str">
        <f t="shared" si="106"/>
        <v/>
      </c>
      <c r="LF21" s="4" t="str">
        <f t="shared" si="107"/>
        <v/>
      </c>
      <c r="LG21" s="4" t="str">
        <f t="shared" si="108"/>
        <v/>
      </c>
      <c r="LH21" s="4" t="str">
        <f t="shared" si="109"/>
        <v/>
      </c>
      <c r="LI21" s="4" t="str">
        <f t="shared" si="110"/>
        <v/>
      </c>
      <c r="LJ21" s="4" t="str">
        <f t="shared" si="111"/>
        <v/>
      </c>
      <c r="LK21" s="4" t="str">
        <f t="shared" si="112"/>
        <v/>
      </c>
      <c r="LL21" s="4" t="str">
        <f t="shared" si="113"/>
        <v/>
      </c>
      <c r="LM21" s="4" t="str">
        <f t="shared" si="114"/>
        <v/>
      </c>
      <c r="LN21" s="4" t="str">
        <f t="shared" si="115"/>
        <v/>
      </c>
      <c r="LO21" s="4" t="str">
        <f t="shared" si="116"/>
        <v/>
      </c>
      <c r="LP21" s="4" t="str">
        <f t="shared" si="117"/>
        <v/>
      </c>
      <c r="LQ21" s="4" t="str">
        <f t="shared" si="118"/>
        <v/>
      </c>
      <c r="LR21" s="4" t="str">
        <f t="shared" si="119"/>
        <v/>
      </c>
      <c r="LS21" s="4" t="str">
        <f t="shared" si="120"/>
        <v/>
      </c>
      <c r="LT21" s="4" t="str">
        <f t="shared" si="121"/>
        <v/>
      </c>
      <c r="LU21" s="4" t="str">
        <f t="shared" si="122"/>
        <v/>
      </c>
      <c r="LV21" s="4" t="str">
        <f t="shared" si="123"/>
        <v/>
      </c>
      <c r="LW21" s="4" t="str">
        <f t="shared" si="124"/>
        <v/>
      </c>
      <c r="LX21" s="4" t="str">
        <f t="shared" si="125"/>
        <v/>
      </c>
      <c r="LY21" s="4" t="str">
        <f t="shared" si="126"/>
        <v/>
      </c>
      <c r="LZ21" s="4" t="str">
        <f t="shared" si="127"/>
        <v/>
      </c>
      <c r="MA21" s="4" t="str">
        <f t="shared" si="128"/>
        <v/>
      </c>
      <c r="MB21" s="4" t="str">
        <f t="shared" si="129"/>
        <v/>
      </c>
      <c r="MC21" s="4" t="str">
        <f t="shared" si="130"/>
        <v/>
      </c>
      <c r="MD21" s="4" t="str">
        <f t="shared" si="131"/>
        <v/>
      </c>
      <c r="ME21" s="4">
        <f t="shared" si="132"/>
        <v>0</v>
      </c>
    </row>
    <row r="22" spans="1:343" ht="26.25" customHeight="1" thickBot="1" x14ac:dyDescent="0.25">
      <c r="A22" s="35">
        <v>41262</v>
      </c>
      <c r="B22" s="36" t="s">
        <v>143</v>
      </c>
      <c r="C22" s="36" t="s">
        <v>212</v>
      </c>
      <c r="D22" s="31" t="s">
        <v>110</v>
      </c>
      <c r="E22" s="4">
        <v>68</v>
      </c>
      <c r="F22" s="3">
        <v>16225</v>
      </c>
      <c r="G22" s="4" t="s">
        <v>87</v>
      </c>
      <c r="H22" s="4" t="s">
        <v>108</v>
      </c>
      <c r="I22" s="4">
        <v>1835885</v>
      </c>
      <c r="K22" s="74"/>
      <c r="L22" s="75"/>
      <c r="M22" s="75"/>
      <c r="N22" s="75"/>
      <c r="O22" s="76"/>
      <c r="P22" s="4">
        <v>-3</v>
      </c>
      <c r="Q22" s="4">
        <v>-3.01</v>
      </c>
      <c r="R22" s="4" t="s">
        <v>249</v>
      </c>
      <c r="S22" s="67">
        <v>19.25</v>
      </c>
      <c r="T22" s="136">
        <v>41260</v>
      </c>
      <c r="U22" s="67">
        <v>-1.5</v>
      </c>
      <c r="V22" s="67">
        <v>0.75</v>
      </c>
      <c r="W22" s="4">
        <v>176</v>
      </c>
      <c r="X22" s="4">
        <v>30</v>
      </c>
      <c r="Y22" s="4">
        <v>14</v>
      </c>
      <c r="Z22" s="4">
        <v>636</v>
      </c>
      <c r="AA22" s="4">
        <v>24.12</v>
      </c>
      <c r="AB22" s="4">
        <v>12.2</v>
      </c>
      <c r="AC22" s="4">
        <v>4.7699999999999996</v>
      </c>
      <c r="AD22" s="4">
        <v>3.35</v>
      </c>
      <c r="AE22" s="4">
        <v>44</v>
      </c>
      <c r="AF22" s="4">
        <v>13</v>
      </c>
      <c r="AG22" s="4">
        <v>45.86</v>
      </c>
      <c r="AH22" s="4">
        <v>103</v>
      </c>
      <c r="AI22" s="4">
        <v>0</v>
      </c>
      <c r="AJ22" s="4" t="b">
        <f t="shared" si="0"/>
        <v>0</v>
      </c>
      <c r="AL22" s="4" t="s">
        <v>78</v>
      </c>
      <c r="BA22" s="4" t="str">
        <f t="shared" si="1"/>
        <v/>
      </c>
      <c r="BB22" s="4" t="str">
        <f t="shared" si="2"/>
        <v/>
      </c>
      <c r="BC22" s="4" t="str">
        <f t="shared" si="3"/>
        <v/>
      </c>
      <c r="BD22" s="51" t="s">
        <v>505</v>
      </c>
      <c r="BS22" s="4" t="str">
        <f t="shared" si="4"/>
        <v/>
      </c>
      <c r="BT22" s="4" t="str">
        <f t="shared" si="5"/>
        <v/>
      </c>
      <c r="BU22" s="4" t="str">
        <f t="shared" si="6"/>
        <v/>
      </c>
      <c r="BV22" s="4">
        <f>IF(AND(ISBLANK(SPH_6),ISBLANK(SPH_12)),0,1)</f>
        <v>0</v>
      </c>
      <c r="BW22" s="4">
        <f t="shared" si="8"/>
        <v>0</v>
      </c>
      <c r="BX22" s="4" t="str">
        <f t="shared" si="9"/>
        <v/>
      </c>
      <c r="BY22" s="4" t="str">
        <f t="shared" si="10"/>
        <v/>
      </c>
      <c r="BZ22" s="4" t="str">
        <f t="shared" si="11"/>
        <v/>
      </c>
      <c r="CA22" s="53">
        <f t="shared" si="12"/>
        <v>0</v>
      </c>
      <c r="CB22" s="55" t="str">
        <f t="shared" si="13"/>
        <v/>
      </c>
      <c r="CC22" s="4" t="str">
        <f t="shared" si="14"/>
        <v/>
      </c>
      <c r="CD22" s="4" t="str">
        <f t="shared" si="15"/>
        <v/>
      </c>
      <c r="CE22" s="4" t="str">
        <f t="shared" si="16"/>
        <v/>
      </c>
      <c r="CF22" s="4" t="str">
        <f t="shared" si="17"/>
        <v/>
      </c>
      <c r="CG22" s="4" t="str">
        <f t="shared" si="18"/>
        <v/>
      </c>
      <c r="CH22" s="4" t="str">
        <f t="shared" si="19"/>
        <v/>
      </c>
      <c r="CI22" s="104" t="str">
        <f t="shared" si="20"/>
        <v/>
      </c>
      <c r="CJ22" s="94" t="str">
        <f t="shared" si="21"/>
        <v/>
      </c>
      <c r="CK22" s="4" t="str">
        <f t="shared" si="22"/>
        <v/>
      </c>
      <c r="CL22" s="107" t="str">
        <f t="shared" si="23"/>
        <v/>
      </c>
      <c r="CM22" s="107" t="str">
        <f t="shared" si="24"/>
        <v/>
      </c>
      <c r="CN22" s="139" t="str">
        <f t="shared" si="25"/>
        <v/>
      </c>
      <c r="CO22" s="139" t="str">
        <f t="shared" si="26"/>
        <v/>
      </c>
      <c r="CP22" s="149" t="str">
        <f t="shared" si="27"/>
        <v/>
      </c>
      <c r="CQ22" s="149" t="str">
        <f t="shared" si="28"/>
        <v/>
      </c>
      <c r="CR22" s="148" t="str">
        <f t="shared" si="29"/>
        <v/>
      </c>
      <c r="CS22" s="152" t="str">
        <f t="shared" si="30"/>
        <v/>
      </c>
      <c r="CT22" s="107" t="str">
        <f t="shared" si="31"/>
        <v/>
      </c>
      <c r="CU22" s="155" t="str">
        <f t="shared" si="32"/>
        <v/>
      </c>
      <c r="CV22" s="120"/>
      <c r="IJ22" s="94" t="str">
        <f t="shared" si="33"/>
        <v/>
      </c>
      <c r="IK22" s="4" t="str">
        <f t="shared" si="34"/>
        <v/>
      </c>
      <c r="IL22" s="4" t="str">
        <f t="shared" si="35"/>
        <v/>
      </c>
      <c r="IM22" s="4" t="str">
        <f t="shared" si="36"/>
        <v/>
      </c>
      <c r="IN22" s="4" t="str">
        <f t="shared" si="37"/>
        <v/>
      </c>
      <c r="IO22" s="4" t="str">
        <f t="shared" si="38"/>
        <v/>
      </c>
      <c r="IP22" s="4" t="str">
        <f t="shared" si="39"/>
        <v/>
      </c>
      <c r="IQ22" s="4" t="str">
        <f t="shared" si="40"/>
        <v/>
      </c>
      <c r="IR22" s="4" t="str">
        <f t="shared" si="41"/>
        <v/>
      </c>
      <c r="IS22" s="4" t="str">
        <f t="shared" si="42"/>
        <v/>
      </c>
      <c r="IT22" s="4" t="str">
        <f t="shared" si="43"/>
        <v/>
      </c>
      <c r="IU22" s="4" t="str">
        <f t="shared" si="44"/>
        <v/>
      </c>
      <c r="IV22" s="4" t="str">
        <f t="shared" si="45"/>
        <v/>
      </c>
      <c r="IW22" s="4" t="str">
        <f t="shared" si="46"/>
        <v/>
      </c>
      <c r="IX22" s="4" t="str">
        <f t="shared" si="47"/>
        <v/>
      </c>
      <c r="IY22" s="4" t="str">
        <f t="shared" si="48"/>
        <v/>
      </c>
      <c r="IZ22" s="4" t="str">
        <f t="shared" si="49"/>
        <v/>
      </c>
      <c r="JA22" s="4" t="str">
        <f t="shared" si="50"/>
        <v/>
      </c>
      <c r="JB22" s="4" t="str">
        <f t="shared" si="51"/>
        <v/>
      </c>
      <c r="JC22" s="4" t="str">
        <f t="shared" si="52"/>
        <v/>
      </c>
      <c r="JD22" s="4" t="str">
        <f t="shared" si="53"/>
        <v/>
      </c>
      <c r="JE22" s="4" t="str">
        <f t="shared" si="54"/>
        <v/>
      </c>
      <c r="JF22" s="4" t="str">
        <f t="shared" si="55"/>
        <v/>
      </c>
      <c r="JG22" s="4" t="str">
        <f t="shared" si="56"/>
        <v/>
      </c>
      <c r="JH22" s="4" t="str">
        <f t="shared" si="57"/>
        <v/>
      </c>
      <c r="JI22" s="4" t="str">
        <f t="shared" si="58"/>
        <v/>
      </c>
      <c r="JJ22" s="4" t="str">
        <f t="shared" si="59"/>
        <v/>
      </c>
      <c r="JK22" s="4" t="str">
        <f t="shared" si="60"/>
        <v/>
      </c>
      <c r="JL22" s="4" t="str">
        <f t="shared" si="61"/>
        <v/>
      </c>
      <c r="JM22" s="4" t="str">
        <f t="shared" si="62"/>
        <v/>
      </c>
      <c r="JN22" s="4" t="str">
        <f t="shared" si="63"/>
        <v/>
      </c>
      <c r="JO22" s="129" t="str">
        <f t="shared" si="64"/>
        <v/>
      </c>
      <c r="JP22" s="122" t="str">
        <f t="shared" si="65"/>
        <v/>
      </c>
      <c r="JQ22" s="122" t="str">
        <f t="shared" si="66"/>
        <v/>
      </c>
      <c r="JR22" s="122" t="str">
        <f t="shared" si="67"/>
        <v/>
      </c>
      <c r="JS22" s="122" t="str">
        <f t="shared" si="68"/>
        <v/>
      </c>
      <c r="JT22" s="122" t="str">
        <f t="shared" si="69"/>
        <v/>
      </c>
      <c r="JU22" s="122" t="str">
        <f t="shared" si="70"/>
        <v/>
      </c>
      <c r="JV22" s="122" t="str">
        <f t="shared" si="71"/>
        <v/>
      </c>
      <c r="JW22" s="122" t="str">
        <f t="shared" si="72"/>
        <v/>
      </c>
      <c r="JX22" s="122" t="str">
        <f t="shared" si="73"/>
        <v/>
      </c>
      <c r="JY22" s="122" t="str">
        <f t="shared" si="74"/>
        <v/>
      </c>
      <c r="JZ22" s="122" t="str">
        <f t="shared" si="75"/>
        <v/>
      </c>
      <c r="KA22" s="122" t="str">
        <f t="shared" si="76"/>
        <v/>
      </c>
      <c r="KB22" s="122" t="str">
        <f t="shared" si="77"/>
        <v/>
      </c>
      <c r="KC22" s="122" t="str">
        <f t="shared" si="78"/>
        <v/>
      </c>
      <c r="KD22" s="122" t="str">
        <f t="shared" si="79"/>
        <v/>
      </c>
      <c r="KE22" s="133" t="str">
        <f t="shared" si="80"/>
        <v/>
      </c>
      <c r="KF22" s="94" t="str">
        <f t="shared" si="81"/>
        <v/>
      </c>
      <c r="KG22" s="4" t="str">
        <f t="shared" si="82"/>
        <v/>
      </c>
      <c r="KH22" s="4" t="str">
        <f t="shared" si="83"/>
        <v/>
      </c>
      <c r="KI22" s="4" t="str">
        <f t="shared" si="84"/>
        <v/>
      </c>
      <c r="KJ22" s="4" t="str">
        <f t="shared" si="85"/>
        <v/>
      </c>
      <c r="KK22" s="4" t="str">
        <f t="shared" si="86"/>
        <v/>
      </c>
      <c r="KL22" s="4" t="str">
        <f t="shared" si="87"/>
        <v/>
      </c>
      <c r="KM22" s="4" t="str">
        <f t="shared" si="88"/>
        <v/>
      </c>
      <c r="KN22" s="4" t="str">
        <f t="shared" si="89"/>
        <v/>
      </c>
      <c r="KO22" s="4" t="str">
        <f t="shared" si="90"/>
        <v/>
      </c>
      <c r="KP22" s="4" t="str">
        <f t="shared" si="91"/>
        <v/>
      </c>
      <c r="KQ22" s="4" t="str">
        <f t="shared" si="92"/>
        <v/>
      </c>
      <c r="KR22" s="4" t="str">
        <f t="shared" si="93"/>
        <v/>
      </c>
      <c r="KS22" s="4" t="str">
        <f t="shared" si="94"/>
        <v/>
      </c>
      <c r="KT22" s="4" t="str">
        <f t="shared" si="95"/>
        <v/>
      </c>
      <c r="KU22" s="4" t="str">
        <f t="shared" si="96"/>
        <v/>
      </c>
      <c r="KV22" s="4" t="str">
        <f t="shared" si="97"/>
        <v/>
      </c>
      <c r="KW22" s="4" t="str">
        <f t="shared" si="98"/>
        <v/>
      </c>
      <c r="KX22" s="4" t="str">
        <f t="shared" si="99"/>
        <v/>
      </c>
      <c r="KY22" s="4" t="str">
        <f t="shared" si="100"/>
        <v/>
      </c>
      <c r="KZ22" s="4" t="str">
        <f t="shared" si="101"/>
        <v/>
      </c>
      <c r="LA22" s="4" t="str">
        <f t="shared" si="102"/>
        <v/>
      </c>
      <c r="LB22" s="4" t="str">
        <f t="shared" si="103"/>
        <v/>
      </c>
      <c r="LC22" s="4" t="str">
        <f t="shared" si="104"/>
        <v/>
      </c>
      <c r="LD22" s="4" t="str">
        <f t="shared" si="105"/>
        <v/>
      </c>
      <c r="LE22" s="4" t="str">
        <f t="shared" si="106"/>
        <v/>
      </c>
      <c r="LF22" s="4" t="str">
        <f t="shared" si="107"/>
        <v/>
      </c>
      <c r="LG22" s="4" t="str">
        <f t="shared" si="108"/>
        <v/>
      </c>
      <c r="LH22" s="4" t="str">
        <f t="shared" si="109"/>
        <v/>
      </c>
      <c r="LI22" s="4" t="str">
        <f t="shared" si="110"/>
        <v/>
      </c>
      <c r="LJ22" s="4" t="str">
        <f t="shared" si="111"/>
        <v/>
      </c>
      <c r="LK22" s="4" t="str">
        <f t="shared" si="112"/>
        <v/>
      </c>
      <c r="LL22" s="4" t="str">
        <f t="shared" si="113"/>
        <v/>
      </c>
      <c r="LM22" s="4" t="str">
        <f t="shared" si="114"/>
        <v/>
      </c>
      <c r="LN22" s="4" t="str">
        <f t="shared" si="115"/>
        <v/>
      </c>
      <c r="LO22" s="4" t="str">
        <f t="shared" si="116"/>
        <v/>
      </c>
      <c r="LP22" s="4" t="str">
        <f t="shared" si="117"/>
        <v/>
      </c>
      <c r="LQ22" s="4" t="str">
        <f t="shared" si="118"/>
        <v/>
      </c>
      <c r="LR22" s="4" t="str">
        <f t="shared" si="119"/>
        <v/>
      </c>
      <c r="LS22" s="4" t="str">
        <f t="shared" si="120"/>
        <v/>
      </c>
      <c r="LT22" s="4" t="str">
        <f t="shared" si="121"/>
        <v/>
      </c>
      <c r="LU22" s="4" t="str">
        <f t="shared" si="122"/>
        <v/>
      </c>
      <c r="LV22" s="4" t="str">
        <f t="shared" si="123"/>
        <v/>
      </c>
      <c r="LW22" s="4" t="str">
        <f t="shared" si="124"/>
        <v/>
      </c>
      <c r="LX22" s="4" t="str">
        <f t="shared" si="125"/>
        <v/>
      </c>
      <c r="LY22" s="4" t="str">
        <f t="shared" si="126"/>
        <v/>
      </c>
      <c r="LZ22" s="4" t="str">
        <f t="shared" si="127"/>
        <v/>
      </c>
      <c r="MA22" s="4" t="str">
        <f t="shared" si="128"/>
        <v/>
      </c>
      <c r="MB22" s="4" t="str">
        <f t="shared" si="129"/>
        <v/>
      </c>
      <c r="MC22" s="4" t="str">
        <f t="shared" si="130"/>
        <v/>
      </c>
      <c r="MD22" s="4" t="str">
        <f t="shared" si="131"/>
        <v/>
      </c>
      <c r="ME22" s="4">
        <f t="shared" si="132"/>
        <v>0</v>
      </c>
    </row>
    <row r="23" spans="1:343" ht="26.25" customHeight="1" x14ac:dyDescent="0.2">
      <c r="A23" s="35">
        <v>41332</v>
      </c>
      <c r="B23" s="36" t="s">
        <v>117</v>
      </c>
      <c r="C23" s="36" t="s">
        <v>118</v>
      </c>
      <c r="D23" s="31" t="s">
        <v>110</v>
      </c>
      <c r="E23" s="4">
        <v>65</v>
      </c>
      <c r="F23" s="3">
        <v>17352</v>
      </c>
      <c r="G23" s="4" t="s">
        <v>87</v>
      </c>
      <c r="H23" s="4" t="s">
        <v>108</v>
      </c>
      <c r="I23" s="4">
        <v>1836019</v>
      </c>
      <c r="J23" s="45"/>
      <c r="K23" s="82"/>
      <c r="L23" s="82"/>
      <c r="M23" s="145"/>
      <c r="N23" s="82"/>
      <c r="O23" s="82"/>
      <c r="P23" s="33">
        <v>-0.5</v>
      </c>
      <c r="Q23" s="33">
        <v>-0.66</v>
      </c>
      <c r="R23" s="4" t="s">
        <v>249</v>
      </c>
      <c r="S23" s="67">
        <v>19</v>
      </c>
      <c r="T23" s="136">
        <v>41291</v>
      </c>
      <c r="U23" s="67">
        <v>-1.25</v>
      </c>
      <c r="V23" s="67">
        <v>2.25</v>
      </c>
      <c r="W23" s="4">
        <v>98</v>
      </c>
      <c r="X23" s="4">
        <v>25</v>
      </c>
      <c r="Y23" s="4">
        <v>16</v>
      </c>
      <c r="Z23" s="4">
        <v>568</v>
      </c>
      <c r="AA23" s="4">
        <v>24.23</v>
      </c>
      <c r="AB23" s="4">
        <v>12.3</v>
      </c>
      <c r="AC23" s="4">
        <v>4.41</v>
      </c>
      <c r="AD23" s="4">
        <v>3.67</v>
      </c>
      <c r="AE23" s="4">
        <v>43.6</v>
      </c>
      <c r="AF23" s="4">
        <v>20</v>
      </c>
      <c r="AG23" s="4">
        <v>44.06</v>
      </c>
      <c r="AH23" s="4">
        <v>110</v>
      </c>
      <c r="AI23" s="4">
        <v>1</v>
      </c>
      <c r="AJ23" s="4" t="b">
        <f t="shared" si="0"/>
        <v>1</v>
      </c>
      <c r="AL23" s="38" t="s">
        <v>78</v>
      </c>
      <c r="AM23" s="60"/>
      <c r="BA23" s="4" t="str">
        <f t="shared" si="1"/>
        <v/>
      </c>
      <c r="BB23" s="4" t="str">
        <f t="shared" si="2"/>
        <v/>
      </c>
      <c r="BC23" s="4" t="str">
        <f t="shared" si="3"/>
        <v/>
      </c>
      <c r="BD23" s="51" t="s">
        <v>505</v>
      </c>
      <c r="BS23" s="4" t="str">
        <f t="shared" si="4"/>
        <v/>
      </c>
      <c r="BT23" s="4" t="str">
        <f t="shared" si="5"/>
        <v/>
      </c>
      <c r="BU23" s="4" t="str">
        <f t="shared" si="6"/>
        <v/>
      </c>
      <c r="BV23" s="4">
        <f>IF(AND(ISBLANK(SPH_6),ISBLANK(SPH_12)),0,1)</f>
        <v>0</v>
      </c>
      <c r="BW23" s="4">
        <f t="shared" si="8"/>
        <v>0</v>
      </c>
      <c r="BX23" s="4" t="str">
        <f t="shared" si="9"/>
        <v/>
      </c>
      <c r="BY23" s="4" t="str">
        <f t="shared" si="10"/>
        <v/>
      </c>
      <c r="BZ23" s="4" t="str">
        <f t="shared" si="11"/>
        <v/>
      </c>
      <c r="CA23" s="53">
        <f t="shared" si="12"/>
        <v>0</v>
      </c>
      <c r="CB23" s="55" t="str">
        <f t="shared" si="13"/>
        <v/>
      </c>
      <c r="CC23" s="4" t="str">
        <f t="shared" si="14"/>
        <v/>
      </c>
      <c r="CD23" s="4" t="str">
        <f t="shared" si="15"/>
        <v/>
      </c>
      <c r="CE23" s="4" t="str">
        <f t="shared" si="16"/>
        <v/>
      </c>
      <c r="CF23" s="4" t="str">
        <f t="shared" si="17"/>
        <v/>
      </c>
      <c r="CG23" s="4" t="str">
        <f t="shared" si="18"/>
        <v/>
      </c>
      <c r="CH23" s="4" t="str">
        <f t="shared" si="19"/>
        <v/>
      </c>
      <c r="CI23" s="104" t="str">
        <f t="shared" si="20"/>
        <v/>
      </c>
      <c r="CJ23" s="94" t="str">
        <f t="shared" si="21"/>
        <v/>
      </c>
      <c r="CK23" s="4" t="str">
        <f t="shared" si="22"/>
        <v/>
      </c>
      <c r="CL23" s="107" t="str">
        <f t="shared" si="23"/>
        <v/>
      </c>
      <c r="CM23" s="107" t="str">
        <f t="shared" si="24"/>
        <v/>
      </c>
      <c r="CN23" s="139" t="str">
        <f t="shared" si="25"/>
        <v/>
      </c>
      <c r="CO23" s="139" t="str">
        <f t="shared" si="26"/>
        <v/>
      </c>
      <c r="CP23" s="149" t="str">
        <f t="shared" si="27"/>
        <v/>
      </c>
      <c r="CQ23" s="149" t="str">
        <f t="shared" si="28"/>
        <v/>
      </c>
      <c r="CR23" s="148" t="str">
        <f t="shared" si="29"/>
        <v/>
      </c>
      <c r="CS23" s="152" t="str">
        <f t="shared" si="30"/>
        <v/>
      </c>
      <c r="CT23" s="107" t="str">
        <f t="shared" si="31"/>
        <v/>
      </c>
      <c r="CU23" s="155" t="str">
        <f t="shared" si="32"/>
        <v/>
      </c>
      <c r="IJ23" s="94" t="str">
        <f t="shared" si="33"/>
        <v/>
      </c>
      <c r="IK23" s="4" t="str">
        <f t="shared" si="34"/>
        <v/>
      </c>
      <c r="IL23" s="4" t="str">
        <f t="shared" si="35"/>
        <v/>
      </c>
      <c r="IM23" s="4" t="str">
        <f t="shared" si="36"/>
        <v/>
      </c>
      <c r="IN23" s="4" t="str">
        <f t="shared" si="37"/>
        <v/>
      </c>
      <c r="IO23" s="4" t="str">
        <f t="shared" si="38"/>
        <v/>
      </c>
      <c r="IP23" s="4" t="str">
        <f t="shared" si="39"/>
        <v/>
      </c>
      <c r="IQ23" s="4" t="str">
        <f t="shared" si="40"/>
        <v/>
      </c>
      <c r="IR23" s="4" t="str">
        <f t="shared" si="41"/>
        <v/>
      </c>
      <c r="IS23" s="4" t="str">
        <f t="shared" si="42"/>
        <v/>
      </c>
      <c r="IT23" s="4" t="str">
        <f t="shared" si="43"/>
        <v/>
      </c>
      <c r="IU23" s="4" t="str">
        <f t="shared" si="44"/>
        <v/>
      </c>
      <c r="IV23" s="4" t="str">
        <f t="shared" si="45"/>
        <v/>
      </c>
      <c r="IW23" s="4" t="str">
        <f t="shared" si="46"/>
        <v/>
      </c>
      <c r="IX23" s="4" t="str">
        <f t="shared" si="47"/>
        <v/>
      </c>
      <c r="IY23" s="4" t="str">
        <f t="shared" si="48"/>
        <v/>
      </c>
      <c r="IZ23" s="4" t="str">
        <f t="shared" si="49"/>
        <v/>
      </c>
      <c r="JA23" s="4" t="str">
        <f t="shared" si="50"/>
        <v/>
      </c>
      <c r="JB23" s="4" t="str">
        <f t="shared" si="51"/>
        <v/>
      </c>
      <c r="JC23" s="4" t="str">
        <f t="shared" si="52"/>
        <v/>
      </c>
      <c r="JD23" s="4" t="str">
        <f t="shared" si="53"/>
        <v/>
      </c>
      <c r="JE23" s="4" t="str">
        <f t="shared" si="54"/>
        <v/>
      </c>
      <c r="JF23" s="4" t="str">
        <f t="shared" si="55"/>
        <v/>
      </c>
      <c r="JG23" s="4" t="str">
        <f t="shared" si="56"/>
        <v/>
      </c>
      <c r="JH23" s="4" t="str">
        <f t="shared" si="57"/>
        <v/>
      </c>
      <c r="JI23" s="4" t="str">
        <f t="shared" si="58"/>
        <v/>
      </c>
      <c r="JJ23" s="4" t="str">
        <f t="shared" si="59"/>
        <v/>
      </c>
      <c r="JK23" s="4" t="str">
        <f t="shared" si="60"/>
        <v/>
      </c>
      <c r="JL23" s="4" t="str">
        <f t="shared" si="61"/>
        <v/>
      </c>
      <c r="JM23" s="4" t="str">
        <f t="shared" si="62"/>
        <v/>
      </c>
      <c r="JN23" s="4" t="str">
        <f t="shared" si="63"/>
        <v/>
      </c>
      <c r="JO23" s="129" t="str">
        <f t="shared" si="64"/>
        <v/>
      </c>
      <c r="JP23" s="122" t="str">
        <f t="shared" si="65"/>
        <v/>
      </c>
      <c r="JQ23" s="122" t="str">
        <f t="shared" si="66"/>
        <v/>
      </c>
      <c r="JR23" s="122" t="str">
        <f t="shared" si="67"/>
        <v/>
      </c>
      <c r="JS23" s="122" t="str">
        <f t="shared" si="68"/>
        <v/>
      </c>
      <c r="JT23" s="122" t="str">
        <f t="shared" si="69"/>
        <v/>
      </c>
      <c r="JU23" s="122" t="str">
        <f t="shared" si="70"/>
        <v/>
      </c>
      <c r="JV23" s="122" t="str">
        <f t="shared" si="71"/>
        <v/>
      </c>
      <c r="JW23" s="122" t="str">
        <f t="shared" si="72"/>
        <v/>
      </c>
      <c r="JX23" s="122" t="str">
        <f t="shared" si="73"/>
        <v/>
      </c>
      <c r="JY23" s="122" t="str">
        <f t="shared" si="74"/>
        <v/>
      </c>
      <c r="JZ23" s="122" t="str">
        <f t="shared" si="75"/>
        <v/>
      </c>
      <c r="KA23" s="122" t="str">
        <f t="shared" si="76"/>
        <v/>
      </c>
      <c r="KB23" s="122" t="str">
        <f t="shared" si="77"/>
        <v/>
      </c>
      <c r="KC23" s="122" t="str">
        <f t="shared" si="78"/>
        <v/>
      </c>
      <c r="KD23" s="122" t="str">
        <f t="shared" si="79"/>
        <v/>
      </c>
      <c r="KE23" s="133" t="str">
        <f t="shared" si="80"/>
        <v/>
      </c>
      <c r="KF23" s="94" t="str">
        <f t="shared" si="81"/>
        <v/>
      </c>
      <c r="KG23" s="4" t="str">
        <f t="shared" si="82"/>
        <v/>
      </c>
      <c r="KH23" s="4" t="str">
        <f t="shared" si="83"/>
        <v/>
      </c>
      <c r="KI23" s="4" t="str">
        <f t="shared" si="84"/>
        <v/>
      </c>
      <c r="KJ23" s="4" t="str">
        <f t="shared" si="85"/>
        <v/>
      </c>
      <c r="KK23" s="4" t="str">
        <f t="shared" si="86"/>
        <v/>
      </c>
      <c r="KL23" s="4" t="str">
        <f t="shared" si="87"/>
        <v/>
      </c>
      <c r="KM23" s="4" t="str">
        <f t="shared" si="88"/>
        <v/>
      </c>
      <c r="KN23" s="4" t="str">
        <f t="shared" si="89"/>
        <v/>
      </c>
      <c r="KO23" s="4" t="str">
        <f t="shared" si="90"/>
        <v/>
      </c>
      <c r="KP23" s="4" t="str">
        <f t="shared" si="91"/>
        <v/>
      </c>
      <c r="KQ23" s="4" t="str">
        <f t="shared" si="92"/>
        <v/>
      </c>
      <c r="KR23" s="4" t="str">
        <f t="shared" si="93"/>
        <v/>
      </c>
      <c r="KS23" s="4" t="str">
        <f t="shared" si="94"/>
        <v/>
      </c>
      <c r="KT23" s="4" t="str">
        <f t="shared" si="95"/>
        <v/>
      </c>
      <c r="KU23" s="4" t="str">
        <f t="shared" si="96"/>
        <v/>
      </c>
      <c r="KV23" s="4" t="str">
        <f t="shared" si="97"/>
        <v/>
      </c>
      <c r="KW23" s="4" t="str">
        <f t="shared" si="98"/>
        <v/>
      </c>
      <c r="KX23" s="4" t="str">
        <f t="shared" si="99"/>
        <v/>
      </c>
      <c r="KY23" s="4" t="str">
        <f t="shared" si="100"/>
        <v/>
      </c>
      <c r="KZ23" s="4" t="str">
        <f t="shared" si="101"/>
        <v/>
      </c>
      <c r="LA23" s="4" t="str">
        <f t="shared" si="102"/>
        <v/>
      </c>
      <c r="LB23" s="4" t="str">
        <f t="shared" si="103"/>
        <v/>
      </c>
      <c r="LC23" s="4" t="str">
        <f t="shared" si="104"/>
        <v/>
      </c>
      <c r="LD23" s="4" t="str">
        <f t="shared" si="105"/>
        <v/>
      </c>
      <c r="LE23" s="4" t="str">
        <f t="shared" si="106"/>
        <v/>
      </c>
      <c r="LF23" s="4" t="str">
        <f t="shared" si="107"/>
        <v/>
      </c>
      <c r="LG23" s="4" t="str">
        <f t="shared" si="108"/>
        <v/>
      </c>
      <c r="LH23" s="4" t="str">
        <f t="shared" si="109"/>
        <v/>
      </c>
      <c r="LI23" s="4" t="str">
        <f t="shared" si="110"/>
        <v/>
      </c>
      <c r="LJ23" s="4" t="str">
        <f t="shared" si="111"/>
        <v/>
      </c>
      <c r="LK23" s="4" t="str">
        <f t="shared" si="112"/>
        <v/>
      </c>
      <c r="LL23" s="4" t="str">
        <f t="shared" si="113"/>
        <v/>
      </c>
      <c r="LM23" s="4" t="str">
        <f t="shared" si="114"/>
        <v/>
      </c>
      <c r="LN23" s="4" t="str">
        <f t="shared" si="115"/>
        <v/>
      </c>
      <c r="LO23" s="4" t="str">
        <f t="shared" si="116"/>
        <v/>
      </c>
      <c r="LP23" s="4" t="str">
        <f t="shared" si="117"/>
        <v/>
      </c>
      <c r="LQ23" s="4" t="str">
        <f t="shared" si="118"/>
        <v/>
      </c>
      <c r="LR23" s="4" t="str">
        <f t="shared" si="119"/>
        <v/>
      </c>
      <c r="LS23" s="4" t="str">
        <f t="shared" si="120"/>
        <v/>
      </c>
      <c r="LT23" s="4" t="str">
        <f t="shared" si="121"/>
        <v/>
      </c>
      <c r="LU23" s="4" t="str">
        <f t="shared" si="122"/>
        <v/>
      </c>
      <c r="LV23" s="4" t="str">
        <f t="shared" si="123"/>
        <v/>
      </c>
      <c r="LW23" s="4" t="str">
        <f t="shared" si="124"/>
        <v/>
      </c>
      <c r="LX23" s="4" t="str">
        <f t="shared" si="125"/>
        <v/>
      </c>
      <c r="LY23" s="4" t="str">
        <f t="shared" si="126"/>
        <v/>
      </c>
      <c r="LZ23" s="4" t="str">
        <f t="shared" si="127"/>
        <v/>
      </c>
      <c r="MA23" s="4" t="str">
        <f t="shared" si="128"/>
        <v/>
      </c>
      <c r="MB23" s="4" t="str">
        <f t="shared" si="129"/>
        <v/>
      </c>
      <c r="MC23" s="4" t="str">
        <f t="shared" si="130"/>
        <v/>
      </c>
      <c r="MD23" s="4" t="str">
        <f t="shared" si="131"/>
        <v/>
      </c>
      <c r="ME23" s="4">
        <f t="shared" si="132"/>
        <v>0</v>
      </c>
    </row>
    <row r="24" spans="1:343" ht="26.25" customHeight="1" x14ac:dyDescent="0.2">
      <c r="A24" s="35">
        <v>41360</v>
      </c>
      <c r="B24" s="36" t="s">
        <v>205</v>
      </c>
      <c r="C24" s="36" t="s">
        <v>227</v>
      </c>
      <c r="D24" s="31" t="s">
        <v>110</v>
      </c>
      <c r="E24" s="4">
        <v>59</v>
      </c>
      <c r="F24" s="3">
        <v>19513</v>
      </c>
      <c r="G24" s="4" t="s">
        <v>243</v>
      </c>
      <c r="H24" s="4" t="s">
        <v>108</v>
      </c>
      <c r="I24" s="4">
        <v>1836270</v>
      </c>
      <c r="K24" s="76"/>
      <c r="L24" s="79"/>
      <c r="M24" s="76"/>
      <c r="N24" s="76"/>
      <c r="O24" s="76"/>
      <c r="P24" s="33">
        <v>-0.5</v>
      </c>
      <c r="Q24" s="4">
        <v>-0.45</v>
      </c>
      <c r="R24" s="4" t="s">
        <v>249</v>
      </c>
      <c r="S24" s="67">
        <v>19.75</v>
      </c>
      <c r="T24" s="136">
        <v>41309</v>
      </c>
      <c r="U24" s="67">
        <v>-0.25</v>
      </c>
      <c r="V24" s="67">
        <v>0.75</v>
      </c>
      <c r="W24" s="4">
        <v>60</v>
      </c>
      <c r="X24" s="4">
        <v>40</v>
      </c>
      <c r="Y24" s="4">
        <v>12</v>
      </c>
      <c r="Z24" s="4">
        <v>616</v>
      </c>
      <c r="AA24" s="4">
        <v>24.76</v>
      </c>
      <c r="AB24" s="4">
        <v>12.5</v>
      </c>
      <c r="AC24" s="4">
        <v>4.49</v>
      </c>
      <c r="AD24" s="4">
        <v>3.12</v>
      </c>
      <c r="AE24" s="4">
        <v>41.21</v>
      </c>
      <c r="AF24" s="4">
        <v>169</v>
      </c>
      <c r="AG24" s="4">
        <v>42.08</v>
      </c>
      <c r="AH24" s="4">
        <v>79</v>
      </c>
      <c r="AI24" s="4">
        <v>2</v>
      </c>
      <c r="AJ24" s="4" t="b">
        <f t="shared" si="0"/>
        <v>1</v>
      </c>
      <c r="AL24" s="51" t="s">
        <v>78</v>
      </c>
      <c r="AM24" s="61"/>
      <c r="BA24" s="4" t="str">
        <f t="shared" si="1"/>
        <v/>
      </c>
      <c r="BB24" s="4" t="str">
        <f t="shared" si="2"/>
        <v/>
      </c>
      <c r="BC24" s="4" t="str">
        <f t="shared" si="3"/>
        <v/>
      </c>
      <c r="BD24" s="51" t="s">
        <v>505</v>
      </c>
      <c r="BS24" s="4" t="str">
        <f t="shared" si="4"/>
        <v/>
      </c>
      <c r="BT24" s="4" t="str">
        <f t="shared" si="5"/>
        <v/>
      </c>
      <c r="BU24" s="4" t="str">
        <f t="shared" si="6"/>
        <v/>
      </c>
      <c r="BV24" s="4">
        <f>IF(AND(ISBLANK(SPH_6),ISBLANK(SPH_12)),0,1)</f>
        <v>0</v>
      </c>
      <c r="BW24" s="4">
        <f t="shared" si="8"/>
        <v>0</v>
      </c>
      <c r="BX24" s="4" t="str">
        <f t="shared" si="9"/>
        <v/>
      </c>
      <c r="BY24" s="4" t="str">
        <f t="shared" si="10"/>
        <v/>
      </c>
      <c r="BZ24" s="4" t="str">
        <f t="shared" si="11"/>
        <v/>
      </c>
      <c r="CA24" s="53">
        <f t="shared" si="12"/>
        <v>0</v>
      </c>
      <c r="CB24" s="55" t="str">
        <f t="shared" si="13"/>
        <v/>
      </c>
      <c r="CC24" s="4" t="str">
        <f t="shared" si="14"/>
        <v/>
      </c>
      <c r="CD24" s="4" t="str">
        <f t="shared" si="15"/>
        <v/>
      </c>
      <c r="CE24" s="4" t="str">
        <f t="shared" si="16"/>
        <v/>
      </c>
      <c r="CF24" s="4" t="str">
        <f t="shared" si="17"/>
        <v/>
      </c>
      <c r="CG24" s="4" t="str">
        <f t="shared" si="18"/>
        <v/>
      </c>
      <c r="CH24" s="4" t="str">
        <f t="shared" si="19"/>
        <v/>
      </c>
      <c r="CI24" s="104" t="str">
        <f t="shared" si="20"/>
        <v/>
      </c>
      <c r="CJ24" s="94" t="str">
        <f t="shared" si="21"/>
        <v/>
      </c>
      <c r="CK24" s="4" t="str">
        <f t="shared" si="22"/>
        <v/>
      </c>
      <c r="CL24" s="107" t="str">
        <f t="shared" si="23"/>
        <v/>
      </c>
      <c r="CM24" s="107" t="str">
        <f t="shared" si="24"/>
        <v/>
      </c>
      <c r="CN24" s="139" t="str">
        <f t="shared" si="25"/>
        <v/>
      </c>
      <c r="CO24" s="139" t="str">
        <f t="shared" si="26"/>
        <v/>
      </c>
      <c r="CP24" s="149" t="str">
        <f t="shared" si="27"/>
        <v/>
      </c>
      <c r="CQ24" s="149" t="str">
        <f t="shared" si="28"/>
        <v/>
      </c>
      <c r="CR24" s="148" t="str">
        <f t="shared" si="29"/>
        <v/>
      </c>
      <c r="CS24" s="152" t="str">
        <f t="shared" si="30"/>
        <v/>
      </c>
      <c r="CT24" s="107" t="str">
        <f t="shared" si="31"/>
        <v/>
      </c>
      <c r="CU24" s="155" t="str">
        <f t="shared" si="32"/>
        <v/>
      </c>
      <c r="IJ24" s="94" t="str">
        <f t="shared" si="33"/>
        <v/>
      </c>
      <c r="IK24" s="4" t="str">
        <f t="shared" si="34"/>
        <v/>
      </c>
      <c r="IL24" s="4" t="str">
        <f t="shared" si="35"/>
        <v/>
      </c>
      <c r="IM24" s="4" t="str">
        <f t="shared" si="36"/>
        <v/>
      </c>
      <c r="IN24" s="4" t="str">
        <f t="shared" si="37"/>
        <v/>
      </c>
      <c r="IO24" s="4" t="str">
        <f t="shared" si="38"/>
        <v/>
      </c>
      <c r="IP24" s="4" t="str">
        <f t="shared" si="39"/>
        <v/>
      </c>
      <c r="IQ24" s="4" t="str">
        <f t="shared" si="40"/>
        <v/>
      </c>
      <c r="IR24" s="4" t="str">
        <f t="shared" si="41"/>
        <v/>
      </c>
      <c r="IS24" s="4" t="str">
        <f t="shared" si="42"/>
        <v/>
      </c>
      <c r="IT24" s="4" t="str">
        <f t="shared" si="43"/>
        <v/>
      </c>
      <c r="IU24" s="4" t="str">
        <f t="shared" si="44"/>
        <v/>
      </c>
      <c r="IV24" s="4" t="str">
        <f t="shared" si="45"/>
        <v/>
      </c>
      <c r="IW24" s="4" t="str">
        <f t="shared" si="46"/>
        <v/>
      </c>
      <c r="IX24" s="4" t="str">
        <f t="shared" si="47"/>
        <v/>
      </c>
      <c r="IY24" s="4" t="str">
        <f t="shared" si="48"/>
        <v/>
      </c>
      <c r="IZ24" s="4" t="str">
        <f t="shared" si="49"/>
        <v/>
      </c>
      <c r="JA24" s="4" t="str">
        <f t="shared" si="50"/>
        <v/>
      </c>
      <c r="JB24" s="4" t="str">
        <f t="shared" si="51"/>
        <v/>
      </c>
      <c r="JC24" s="4" t="str">
        <f t="shared" si="52"/>
        <v/>
      </c>
      <c r="JD24" s="4" t="str">
        <f t="shared" si="53"/>
        <v/>
      </c>
      <c r="JE24" s="4" t="str">
        <f t="shared" si="54"/>
        <v/>
      </c>
      <c r="JF24" s="4" t="str">
        <f t="shared" si="55"/>
        <v/>
      </c>
      <c r="JG24" s="4" t="str">
        <f t="shared" si="56"/>
        <v/>
      </c>
      <c r="JH24" s="4" t="str">
        <f t="shared" si="57"/>
        <v/>
      </c>
      <c r="JI24" s="4" t="str">
        <f t="shared" si="58"/>
        <v/>
      </c>
      <c r="JJ24" s="4" t="str">
        <f t="shared" si="59"/>
        <v/>
      </c>
      <c r="JK24" s="4" t="str">
        <f t="shared" si="60"/>
        <v/>
      </c>
      <c r="JL24" s="4" t="str">
        <f t="shared" si="61"/>
        <v/>
      </c>
      <c r="JM24" s="4" t="str">
        <f t="shared" si="62"/>
        <v/>
      </c>
      <c r="JN24" s="4" t="str">
        <f t="shared" si="63"/>
        <v/>
      </c>
      <c r="JO24" s="129" t="str">
        <f t="shared" si="64"/>
        <v/>
      </c>
      <c r="JP24" s="122" t="str">
        <f t="shared" si="65"/>
        <v/>
      </c>
      <c r="JQ24" s="122" t="str">
        <f t="shared" si="66"/>
        <v/>
      </c>
      <c r="JR24" s="122" t="str">
        <f t="shared" si="67"/>
        <v/>
      </c>
      <c r="JS24" s="122" t="str">
        <f t="shared" si="68"/>
        <v/>
      </c>
      <c r="JT24" s="122" t="str">
        <f t="shared" si="69"/>
        <v/>
      </c>
      <c r="JU24" s="122" t="str">
        <f t="shared" si="70"/>
        <v/>
      </c>
      <c r="JV24" s="122" t="str">
        <f t="shared" si="71"/>
        <v/>
      </c>
      <c r="JW24" s="122" t="str">
        <f t="shared" si="72"/>
        <v/>
      </c>
      <c r="JX24" s="122" t="str">
        <f t="shared" si="73"/>
        <v/>
      </c>
      <c r="JY24" s="122" t="str">
        <f t="shared" si="74"/>
        <v/>
      </c>
      <c r="JZ24" s="122" t="str">
        <f t="shared" si="75"/>
        <v/>
      </c>
      <c r="KA24" s="122" t="str">
        <f t="shared" si="76"/>
        <v/>
      </c>
      <c r="KB24" s="122" t="str">
        <f t="shared" si="77"/>
        <v/>
      </c>
      <c r="KC24" s="122" t="str">
        <f t="shared" si="78"/>
        <v/>
      </c>
      <c r="KD24" s="122" t="str">
        <f t="shared" si="79"/>
        <v/>
      </c>
      <c r="KE24" s="133" t="str">
        <f t="shared" si="80"/>
        <v/>
      </c>
      <c r="KF24" s="94" t="str">
        <f t="shared" si="81"/>
        <v/>
      </c>
      <c r="KG24" s="4" t="str">
        <f t="shared" si="82"/>
        <v/>
      </c>
      <c r="KH24" s="4" t="str">
        <f t="shared" si="83"/>
        <v/>
      </c>
      <c r="KI24" s="4" t="str">
        <f t="shared" si="84"/>
        <v/>
      </c>
      <c r="KJ24" s="4" t="str">
        <f t="shared" si="85"/>
        <v/>
      </c>
      <c r="KK24" s="4" t="str">
        <f t="shared" si="86"/>
        <v/>
      </c>
      <c r="KL24" s="4" t="str">
        <f t="shared" si="87"/>
        <v/>
      </c>
      <c r="KM24" s="4" t="str">
        <f t="shared" si="88"/>
        <v/>
      </c>
      <c r="KN24" s="4" t="str">
        <f t="shared" si="89"/>
        <v/>
      </c>
      <c r="KO24" s="4" t="str">
        <f t="shared" si="90"/>
        <v/>
      </c>
      <c r="KP24" s="4" t="str">
        <f t="shared" si="91"/>
        <v/>
      </c>
      <c r="KQ24" s="4" t="str">
        <f t="shared" si="92"/>
        <v/>
      </c>
      <c r="KR24" s="4" t="str">
        <f t="shared" si="93"/>
        <v/>
      </c>
      <c r="KS24" s="4" t="str">
        <f t="shared" si="94"/>
        <v/>
      </c>
      <c r="KT24" s="4" t="str">
        <f t="shared" si="95"/>
        <v/>
      </c>
      <c r="KU24" s="4" t="str">
        <f t="shared" si="96"/>
        <v/>
      </c>
      <c r="KV24" s="4" t="str">
        <f t="shared" si="97"/>
        <v/>
      </c>
      <c r="KW24" s="4" t="str">
        <f t="shared" si="98"/>
        <v/>
      </c>
      <c r="KX24" s="4" t="str">
        <f t="shared" si="99"/>
        <v/>
      </c>
      <c r="KY24" s="4" t="str">
        <f t="shared" si="100"/>
        <v/>
      </c>
      <c r="KZ24" s="4" t="str">
        <f t="shared" si="101"/>
        <v/>
      </c>
      <c r="LA24" s="4" t="str">
        <f t="shared" si="102"/>
        <v/>
      </c>
      <c r="LB24" s="4" t="str">
        <f t="shared" si="103"/>
        <v/>
      </c>
      <c r="LC24" s="4" t="str">
        <f t="shared" si="104"/>
        <v/>
      </c>
      <c r="LD24" s="4" t="str">
        <f t="shared" si="105"/>
        <v/>
      </c>
      <c r="LE24" s="4" t="str">
        <f t="shared" si="106"/>
        <v/>
      </c>
      <c r="LF24" s="4" t="str">
        <f t="shared" si="107"/>
        <v/>
      </c>
      <c r="LG24" s="4" t="str">
        <f t="shared" si="108"/>
        <v/>
      </c>
      <c r="LH24" s="4" t="str">
        <f t="shared" si="109"/>
        <v/>
      </c>
      <c r="LI24" s="4" t="str">
        <f t="shared" si="110"/>
        <v/>
      </c>
      <c r="LJ24" s="4" t="str">
        <f t="shared" si="111"/>
        <v/>
      </c>
      <c r="LK24" s="4" t="str">
        <f t="shared" si="112"/>
        <v/>
      </c>
      <c r="LL24" s="4" t="str">
        <f t="shared" si="113"/>
        <v/>
      </c>
      <c r="LM24" s="4" t="str">
        <f t="shared" si="114"/>
        <v/>
      </c>
      <c r="LN24" s="4" t="str">
        <f t="shared" si="115"/>
        <v/>
      </c>
      <c r="LO24" s="4" t="str">
        <f t="shared" si="116"/>
        <v/>
      </c>
      <c r="LP24" s="4" t="str">
        <f t="shared" si="117"/>
        <v/>
      </c>
      <c r="LQ24" s="4" t="str">
        <f t="shared" si="118"/>
        <v/>
      </c>
      <c r="LR24" s="4" t="str">
        <f t="shared" si="119"/>
        <v/>
      </c>
      <c r="LS24" s="4" t="str">
        <f t="shared" si="120"/>
        <v/>
      </c>
      <c r="LT24" s="4" t="str">
        <f t="shared" si="121"/>
        <v/>
      </c>
      <c r="LU24" s="4" t="str">
        <f t="shared" si="122"/>
        <v/>
      </c>
      <c r="LV24" s="4" t="str">
        <f t="shared" si="123"/>
        <v/>
      </c>
      <c r="LW24" s="4" t="str">
        <f t="shared" si="124"/>
        <v/>
      </c>
      <c r="LX24" s="4" t="str">
        <f t="shared" si="125"/>
        <v/>
      </c>
      <c r="LY24" s="4" t="str">
        <f t="shared" si="126"/>
        <v/>
      </c>
      <c r="LZ24" s="4" t="str">
        <f t="shared" si="127"/>
        <v/>
      </c>
      <c r="MA24" s="4" t="str">
        <f t="shared" si="128"/>
        <v/>
      </c>
      <c r="MB24" s="4" t="str">
        <f t="shared" si="129"/>
        <v/>
      </c>
      <c r="MC24" s="4" t="str">
        <f t="shared" si="130"/>
        <v/>
      </c>
      <c r="MD24" s="4" t="str">
        <f t="shared" si="131"/>
        <v/>
      </c>
      <c r="ME24" s="4">
        <f t="shared" si="132"/>
        <v>0</v>
      </c>
    </row>
    <row r="25" spans="1:343" ht="26.25" customHeight="1" thickBot="1" x14ac:dyDescent="0.25">
      <c r="A25" s="35">
        <v>41318</v>
      </c>
      <c r="B25" s="36" t="s">
        <v>128</v>
      </c>
      <c r="C25" s="36" t="s">
        <v>31</v>
      </c>
      <c r="D25" s="31" t="s">
        <v>111</v>
      </c>
      <c r="E25" s="4">
        <v>59</v>
      </c>
      <c r="F25" s="3">
        <v>19692</v>
      </c>
      <c r="G25" s="4" t="s">
        <v>87</v>
      </c>
      <c r="H25" s="4" t="s">
        <v>108</v>
      </c>
      <c r="I25" s="4">
        <v>1836293</v>
      </c>
      <c r="K25" s="76"/>
      <c r="L25" s="79"/>
      <c r="M25" s="76"/>
      <c r="N25" s="76"/>
      <c r="O25" s="76"/>
      <c r="P25" s="33">
        <v>-0.5</v>
      </c>
      <c r="Q25" s="33">
        <v>-0.17</v>
      </c>
      <c r="R25" s="33" t="s">
        <v>249</v>
      </c>
      <c r="S25" s="67">
        <v>17.25</v>
      </c>
      <c r="T25" s="136">
        <v>41309</v>
      </c>
      <c r="U25" s="67">
        <v>-4</v>
      </c>
      <c r="V25" s="67">
        <v>0.25</v>
      </c>
      <c r="W25" s="4">
        <v>30</v>
      </c>
      <c r="X25" s="4">
        <v>50</v>
      </c>
      <c r="Y25" s="4">
        <v>15</v>
      </c>
      <c r="Z25" s="4">
        <v>810</v>
      </c>
      <c r="AA25" s="4">
        <v>22.96</v>
      </c>
      <c r="AB25" s="4">
        <v>12</v>
      </c>
      <c r="AC25" s="4">
        <v>4.38</v>
      </c>
      <c r="AD25" s="4">
        <v>3.78</v>
      </c>
      <c r="AE25" s="4">
        <v>48.28</v>
      </c>
      <c r="AF25" s="4">
        <v>167</v>
      </c>
      <c r="AG25" s="4">
        <v>48.63</v>
      </c>
      <c r="AH25" s="4">
        <v>77</v>
      </c>
      <c r="AI25" s="4">
        <v>0</v>
      </c>
      <c r="AJ25" s="4" t="b">
        <f t="shared" si="0"/>
        <v>0</v>
      </c>
      <c r="AL25" s="4" t="s">
        <v>78</v>
      </c>
      <c r="AN25" s="70"/>
      <c r="AO25" s="70"/>
      <c r="AP25" s="36"/>
      <c r="BA25" s="4" t="str">
        <f t="shared" si="1"/>
        <v/>
      </c>
      <c r="BB25" s="4" t="str">
        <f t="shared" si="2"/>
        <v/>
      </c>
      <c r="BC25" s="4" t="str">
        <f t="shared" si="3"/>
        <v/>
      </c>
      <c r="BD25" s="51" t="s">
        <v>505</v>
      </c>
      <c r="BS25" s="4" t="str">
        <f t="shared" si="4"/>
        <v/>
      </c>
      <c r="BT25" s="4" t="str">
        <f t="shared" si="5"/>
        <v/>
      </c>
      <c r="BU25" s="4" t="str">
        <f t="shared" si="6"/>
        <v/>
      </c>
      <c r="BV25" s="4">
        <f>IF(AND(ISBLANK(SPH_6),ISBLANK(SPH_12)),0,1)</f>
        <v>0</v>
      </c>
      <c r="BW25" s="4">
        <f t="shared" si="8"/>
        <v>0</v>
      </c>
      <c r="BX25" s="4" t="str">
        <f t="shared" si="9"/>
        <v/>
      </c>
      <c r="BY25" s="4" t="str">
        <f t="shared" si="10"/>
        <v/>
      </c>
      <c r="BZ25" s="4" t="str">
        <f t="shared" si="11"/>
        <v/>
      </c>
      <c r="CA25" s="53">
        <f t="shared" si="12"/>
        <v>0</v>
      </c>
      <c r="CB25" s="55" t="str">
        <f t="shared" si="13"/>
        <v/>
      </c>
      <c r="CC25" s="4" t="str">
        <f t="shared" si="14"/>
        <v/>
      </c>
      <c r="CD25" s="4" t="str">
        <f t="shared" si="15"/>
        <v/>
      </c>
      <c r="CE25" s="4" t="str">
        <f t="shared" si="16"/>
        <v/>
      </c>
      <c r="CF25" s="4" t="str">
        <f t="shared" si="17"/>
        <v/>
      </c>
      <c r="CG25" s="4" t="str">
        <f t="shared" si="18"/>
        <v/>
      </c>
      <c r="CH25" s="4" t="str">
        <f t="shared" si="19"/>
        <v/>
      </c>
      <c r="CI25" s="104" t="str">
        <f t="shared" si="20"/>
        <v/>
      </c>
      <c r="CJ25" s="94" t="str">
        <f t="shared" si="21"/>
        <v/>
      </c>
      <c r="CK25" s="4" t="str">
        <f t="shared" si="22"/>
        <v/>
      </c>
      <c r="CL25" s="107" t="str">
        <f t="shared" si="23"/>
        <v/>
      </c>
      <c r="CM25" s="107" t="str">
        <f t="shared" si="24"/>
        <v/>
      </c>
      <c r="CN25" s="139" t="str">
        <f t="shared" si="25"/>
        <v/>
      </c>
      <c r="CO25" s="139" t="str">
        <f t="shared" si="26"/>
        <v/>
      </c>
      <c r="CP25" s="149" t="str">
        <f t="shared" si="27"/>
        <v/>
      </c>
      <c r="CQ25" s="149" t="str">
        <f t="shared" si="28"/>
        <v/>
      </c>
      <c r="CR25" s="148" t="str">
        <f t="shared" si="29"/>
        <v/>
      </c>
      <c r="CS25" s="152" t="str">
        <f t="shared" si="30"/>
        <v/>
      </c>
      <c r="CT25" s="107" t="str">
        <f t="shared" si="31"/>
        <v/>
      </c>
      <c r="CU25" s="155" t="str">
        <f t="shared" si="32"/>
        <v/>
      </c>
      <c r="IJ25" s="94" t="str">
        <f t="shared" si="33"/>
        <v/>
      </c>
      <c r="IK25" s="4" t="str">
        <f t="shared" si="34"/>
        <v/>
      </c>
      <c r="IL25" s="4" t="str">
        <f t="shared" si="35"/>
        <v/>
      </c>
      <c r="IM25" s="4" t="str">
        <f t="shared" si="36"/>
        <v/>
      </c>
      <c r="IN25" s="4" t="str">
        <f t="shared" si="37"/>
        <v/>
      </c>
      <c r="IO25" s="4" t="str">
        <f t="shared" si="38"/>
        <v/>
      </c>
      <c r="IP25" s="4" t="str">
        <f t="shared" si="39"/>
        <v/>
      </c>
      <c r="IQ25" s="4" t="str">
        <f t="shared" si="40"/>
        <v/>
      </c>
      <c r="IR25" s="4" t="str">
        <f t="shared" si="41"/>
        <v/>
      </c>
      <c r="IS25" s="4" t="str">
        <f t="shared" si="42"/>
        <v/>
      </c>
      <c r="IT25" s="4" t="str">
        <f t="shared" si="43"/>
        <v/>
      </c>
      <c r="IU25" s="4" t="str">
        <f t="shared" si="44"/>
        <v/>
      </c>
      <c r="IV25" s="4" t="str">
        <f t="shared" si="45"/>
        <v/>
      </c>
      <c r="IW25" s="4" t="str">
        <f t="shared" si="46"/>
        <v/>
      </c>
      <c r="IX25" s="4" t="str">
        <f t="shared" si="47"/>
        <v/>
      </c>
      <c r="IY25" s="4" t="str">
        <f t="shared" si="48"/>
        <v/>
      </c>
      <c r="IZ25" s="4" t="str">
        <f t="shared" si="49"/>
        <v/>
      </c>
      <c r="JA25" s="4" t="str">
        <f t="shared" si="50"/>
        <v/>
      </c>
      <c r="JB25" s="4" t="str">
        <f t="shared" si="51"/>
        <v/>
      </c>
      <c r="JC25" s="4" t="str">
        <f t="shared" si="52"/>
        <v/>
      </c>
      <c r="JD25" s="4" t="str">
        <f t="shared" si="53"/>
        <v/>
      </c>
      <c r="JE25" s="4" t="str">
        <f t="shared" si="54"/>
        <v/>
      </c>
      <c r="JF25" s="4" t="str">
        <f t="shared" si="55"/>
        <v/>
      </c>
      <c r="JG25" s="4" t="str">
        <f t="shared" si="56"/>
        <v/>
      </c>
      <c r="JH25" s="4" t="str">
        <f t="shared" si="57"/>
        <v/>
      </c>
      <c r="JI25" s="4" t="str">
        <f t="shared" si="58"/>
        <v/>
      </c>
      <c r="JJ25" s="4" t="str">
        <f t="shared" si="59"/>
        <v/>
      </c>
      <c r="JK25" s="4" t="str">
        <f t="shared" si="60"/>
        <v/>
      </c>
      <c r="JL25" s="4" t="str">
        <f t="shared" si="61"/>
        <v/>
      </c>
      <c r="JM25" s="4" t="str">
        <f t="shared" si="62"/>
        <v/>
      </c>
      <c r="JN25" s="4" t="str">
        <f t="shared" si="63"/>
        <v/>
      </c>
      <c r="JO25" s="129" t="str">
        <f t="shared" si="64"/>
        <v/>
      </c>
      <c r="JP25" s="122" t="str">
        <f t="shared" si="65"/>
        <v/>
      </c>
      <c r="JQ25" s="122" t="str">
        <f t="shared" si="66"/>
        <v/>
      </c>
      <c r="JR25" s="122" t="str">
        <f t="shared" si="67"/>
        <v/>
      </c>
      <c r="JS25" s="122" t="str">
        <f t="shared" si="68"/>
        <v/>
      </c>
      <c r="JT25" s="122" t="str">
        <f t="shared" si="69"/>
        <v/>
      </c>
      <c r="JU25" s="122" t="str">
        <f t="shared" si="70"/>
        <v/>
      </c>
      <c r="JV25" s="122" t="str">
        <f t="shared" si="71"/>
        <v/>
      </c>
      <c r="JW25" s="122" t="str">
        <f t="shared" si="72"/>
        <v/>
      </c>
      <c r="JX25" s="122" t="str">
        <f t="shared" si="73"/>
        <v/>
      </c>
      <c r="JY25" s="122" t="str">
        <f t="shared" si="74"/>
        <v/>
      </c>
      <c r="JZ25" s="122" t="str">
        <f t="shared" si="75"/>
        <v/>
      </c>
      <c r="KA25" s="122" t="str">
        <f t="shared" si="76"/>
        <v/>
      </c>
      <c r="KB25" s="122" t="str">
        <f t="shared" si="77"/>
        <v/>
      </c>
      <c r="KC25" s="122" t="str">
        <f t="shared" si="78"/>
        <v/>
      </c>
      <c r="KD25" s="122" t="str">
        <f t="shared" si="79"/>
        <v/>
      </c>
      <c r="KE25" s="133" t="str">
        <f t="shared" si="80"/>
        <v/>
      </c>
      <c r="KF25" s="94" t="str">
        <f t="shared" si="81"/>
        <v/>
      </c>
      <c r="KG25" s="4" t="str">
        <f t="shared" si="82"/>
        <v/>
      </c>
      <c r="KH25" s="4" t="str">
        <f t="shared" si="83"/>
        <v/>
      </c>
      <c r="KI25" s="4" t="str">
        <f t="shared" si="84"/>
        <v/>
      </c>
      <c r="KJ25" s="4" t="str">
        <f t="shared" si="85"/>
        <v/>
      </c>
      <c r="KK25" s="4" t="str">
        <f t="shared" si="86"/>
        <v/>
      </c>
      <c r="KL25" s="4" t="str">
        <f t="shared" si="87"/>
        <v/>
      </c>
      <c r="KM25" s="4" t="str">
        <f t="shared" si="88"/>
        <v/>
      </c>
      <c r="KN25" s="4" t="str">
        <f t="shared" si="89"/>
        <v/>
      </c>
      <c r="KO25" s="4" t="str">
        <f t="shared" si="90"/>
        <v/>
      </c>
      <c r="KP25" s="4" t="str">
        <f t="shared" si="91"/>
        <v/>
      </c>
      <c r="KQ25" s="4" t="str">
        <f t="shared" si="92"/>
        <v/>
      </c>
      <c r="KR25" s="4" t="str">
        <f t="shared" si="93"/>
        <v/>
      </c>
      <c r="KS25" s="4" t="str">
        <f t="shared" si="94"/>
        <v/>
      </c>
      <c r="KT25" s="4" t="str">
        <f t="shared" si="95"/>
        <v/>
      </c>
      <c r="KU25" s="4" t="str">
        <f t="shared" si="96"/>
        <v/>
      </c>
      <c r="KV25" s="4" t="str">
        <f t="shared" si="97"/>
        <v/>
      </c>
      <c r="KW25" s="4" t="str">
        <f t="shared" si="98"/>
        <v/>
      </c>
      <c r="KX25" s="4" t="str">
        <f t="shared" si="99"/>
        <v/>
      </c>
      <c r="KY25" s="4" t="str">
        <f t="shared" si="100"/>
        <v/>
      </c>
      <c r="KZ25" s="4" t="str">
        <f t="shared" si="101"/>
        <v/>
      </c>
      <c r="LA25" s="4" t="str">
        <f t="shared" si="102"/>
        <v/>
      </c>
      <c r="LB25" s="4" t="str">
        <f t="shared" si="103"/>
        <v/>
      </c>
      <c r="LC25" s="4" t="str">
        <f t="shared" si="104"/>
        <v/>
      </c>
      <c r="LD25" s="4" t="str">
        <f t="shared" si="105"/>
        <v/>
      </c>
      <c r="LE25" s="4" t="str">
        <f t="shared" si="106"/>
        <v/>
      </c>
      <c r="LF25" s="4" t="str">
        <f t="shared" si="107"/>
        <v/>
      </c>
      <c r="LG25" s="4" t="str">
        <f t="shared" si="108"/>
        <v/>
      </c>
      <c r="LH25" s="4" t="str">
        <f t="shared" si="109"/>
        <v/>
      </c>
      <c r="LI25" s="4" t="str">
        <f t="shared" si="110"/>
        <v/>
      </c>
      <c r="LJ25" s="4" t="str">
        <f t="shared" si="111"/>
        <v/>
      </c>
      <c r="LK25" s="4" t="str">
        <f t="shared" si="112"/>
        <v/>
      </c>
      <c r="LL25" s="4" t="str">
        <f t="shared" si="113"/>
        <v/>
      </c>
      <c r="LM25" s="4" t="str">
        <f t="shared" si="114"/>
        <v/>
      </c>
      <c r="LN25" s="4" t="str">
        <f t="shared" si="115"/>
        <v/>
      </c>
      <c r="LO25" s="4" t="str">
        <f t="shared" si="116"/>
        <v/>
      </c>
      <c r="LP25" s="4" t="str">
        <f t="shared" si="117"/>
        <v/>
      </c>
      <c r="LQ25" s="4" t="str">
        <f t="shared" si="118"/>
        <v/>
      </c>
      <c r="LR25" s="4" t="str">
        <f t="shared" si="119"/>
        <v/>
      </c>
      <c r="LS25" s="4" t="str">
        <f t="shared" si="120"/>
        <v/>
      </c>
      <c r="LT25" s="4" t="str">
        <f t="shared" si="121"/>
        <v/>
      </c>
      <c r="LU25" s="4" t="str">
        <f t="shared" si="122"/>
        <v/>
      </c>
      <c r="LV25" s="4" t="str">
        <f t="shared" si="123"/>
        <v/>
      </c>
      <c r="LW25" s="4" t="str">
        <f t="shared" si="124"/>
        <v/>
      </c>
      <c r="LX25" s="4" t="str">
        <f t="shared" si="125"/>
        <v/>
      </c>
      <c r="LY25" s="4" t="str">
        <f t="shared" si="126"/>
        <v/>
      </c>
      <c r="LZ25" s="4" t="str">
        <f t="shared" si="127"/>
        <v/>
      </c>
      <c r="MA25" s="4" t="str">
        <f t="shared" si="128"/>
        <v/>
      </c>
      <c r="MB25" s="4" t="str">
        <f t="shared" si="129"/>
        <v/>
      </c>
      <c r="MC25" s="4" t="str">
        <f t="shared" si="130"/>
        <v/>
      </c>
      <c r="MD25" s="4" t="str">
        <f t="shared" si="131"/>
        <v/>
      </c>
      <c r="ME25" s="4">
        <f t="shared" si="132"/>
        <v>0</v>
      </c>
    </row>
    <row r="26" spans="1:343" ht="26.25" customHeight="1" thickBot="1" x14ac:dyDescent="0.25">
      <c r="A26" s="35">
        <v>41311</v>
      </c>
      <c r="B26" s="36" t="s">
        <v>128</v>
      </c>
      <c r="C26" s="36" t="s">
        <v>31</v>
      </c>
      <c r="D26" s="31" t="s">
        <v>110</v>
      </c>
      <c r="E26" s="4">
        <v>59</v>
      </c>
      <c r="F26" s="3">
        <v>19692</v>
      </c>
      <c r="G26" s="4" t="s">
        <v>87</v>
      </c>
      <c r="H26" s="4" t="s">
        <v>108</v>
      </c>
      <c r="I26" s="4">
        <v>1836293</v>
      </c>
      <c r="K26" s="80"/>
      <c r="L26" s="81"/>
      <c r="M26" s="81"/>
      <c r="N26" s="81"/>
      <c r="O26" s="81"/>
      <c r="P26" s="4">
        <v>-2</v>
      </c>
      <c r="Q26" s="4">
        <v>-2.2799999999999998</v>
      </c>
      <c r="R26" s="39" t="s">
        <v>249</v>
      </c>
      <c r="S26" s="70">
        <v>18</v>
      </c>
      <c r="T26" s="136">
        <v>41309</v>
      </c>
      <c r="U26" s="67">
        <v>-4.25</v>
      </c>
      <c r="V26" s="67">
        <v>0.25</v>
      </c>
      <c r="W26" s="4">
        <v>102</v>
      </c>
      <c r="X26" s="4">
        <v>50</v>
      </c>
      <c r="Y26" s="4">
        <v>15</v>
      </c>
      <c r="Z26" s="4">
        <v>504</v>
      </c>
      <c r="AA26" s="4">
        <v>22.92</v>
      </c>
      <c r="AB26" s="4">
        <v>12.1</v>
      </c>
      <c r="AC26" s="4">
        <v>4.33</v>
      </c>
      <c r="AD26" s="4">
        <v>3.71</v>
      </c>
      <c r="AE26" s="4">
        <v>47.67</v>
      </c>
      <c r="AF26" s="4">
        <v>172</v>
      </c>
      <c r="AG26" s="4">
        <v>48.21</v>
      </c>
      <c r="AH26" s="4">
        <v>82</v>
      </c>
      <c r="AI26" s="4">
        <v>2</v>
      </c>
      <c r="AJ26" s="4" t="b">
        <f t="shared" si="0"/>
        <v>1</v>
      </c>
      <c r="AL26" s="4" t="s">
        <v>78</v>
      </c>
      <c r="BA26" s="4" t="str">
        <f t="shared" si="1"/>
        <v/>
      </c>
      <c r="BB26" s="4" t="str">
        <f t="shared" si="2"/>
        <v/>
      </c>
      <c r="BC26" s="4" t="str">
        <f t="shared" si="3"/>
        <v/>
      </c>
      <c r="BD26" s="51" t="s">
        <v>505</v>
      </c>
      <c r="BS26" s="4" t="str">
        <f t="shared" si="4"/>
        <v/>
      </c>
      <c r="BT26" s="4" t="str">
        <f t="shared" si="5"/>
        <v/>
      </c>
      <c r="BU26" s="4" t="str">
        <f t="shared" si="6"/>
        <v/>
      </c>
      <c r="BV26" s="4">
        <f>IF(AND(ISBLANK(SPH_6),ISBLANK(SPH_12)),0,1)</f>
        <v>0</v>
      </c>
      <c r="BW26" s="4">
        <f t="shared" si="8"/>
        <v>0</v>
      </c>
      <c r="BX26" s="4" t="str">
        <f t="shared" si="9"/>
        <v/>
      </c>
      <c r="BY26" s="4" t="str">
        <f t="shared" si="10"/>
        <v/>
      </c>
      <c r="BZ26" s="4" t="str">
        <f t="shared" si="11"/>
        <v/>
      </c>
      <c r="CA26" s="53">
        <f t="shared" si="12"/>
        <v>0</v>
      </c>
      <c r="CB26" s="55" t="str">
        <f t="shared" si="13"/>
        <v/>
      </c>
      <c r="CC26" s="4" t="str">
        <f t="shared" si="14"/>
        <v/>
      </c>
      <c r="CD26" s="4" t="str">
        <f t="shared" si="15"/>
        <v/>
      </c>
      <c r="CE26" s="4" t="str">
        <f t="shared" si="16"/>
        <v/>
      </c>
      <c r="CF26" s="4" t="str">
        <f t="shared" si="17"/>
        <v/>
      </c>
      <c r="CG26" s="4" t="str">
        <f t="shared" si="18"/>
        <v/>
      </c>
      <c r="CH26" s="4" t="str">
        <f t="shared" si="19"/>
        <v/>
      </c>
      <c r="CI26" s="104" t="str">
        <f t="shared" si="20"/>
        <v/>
      </c>
      <c r="CJ26" s="94" t="str">
        <f t="shared" si="21"/>
        <v/>
      </c>
      <c r="CK26" s="4" t="str">
        <f t="shared" si="22"/>
        <v/>
      </c>
      <c r="CL26" s="107" t="str">
        <f t="shared" si="23"/>
        <v/>
      </c>
      <c r="CM26" s="107" t="str">
        <f t="shared" si="24"/>
        <v/>
      </c>
      <c r="CN26" s="139" t="str">
        <f t="shared" si="25"/>
        <v/>
      </c>
      <c r="CO26" s="139" t="str">
        <f t="shared" si="26"/>
        <v/>
      </c>
      <c r="CP26" s="149" t="str">
        <f t="shared" si="27"/>
        <v/>
      </c>
      <c r="CQ26" s="149" t="str">
        <f t="shared" si="28"/>
        <v/>
      </c>
      <c r="CR26" s="148" t="str">
        <f t="shared" si="29"/>
        <v/>
      </c>
      <c r="CS26" s="152" t="str">
        <f t="shared" si="30"/>
        <v/>
      </c>
      <c r="CT26" s="107" t="str">
        <f t="shared" si="31"/>
        <v/>
      </c>
      <c r="CU26" s="155" t="str">
        <f t="shared" si="32"/>
        <v/>
      </c>
      <c r="IJ26" s="94" t="str">
        <f t="shared" si="33"/>
        <v/>
      </c>
      <c r="IK26" s="4" t="str">
        <f t="shared" si="34"/>
        <v/>
      </c>
      <c r="IL26" s="4" t="str">
        <f t="shared" si="35"/>
        <v/>
      </c>
      <c r="IM26" s="4" t="str">
        <f t="shared" si="36"/>
        <v/>
      </c>
      <c r="IN26" s="4" t="str">
        <f t="shared" si="37"/>
        <v/>
      </c>
      <c r="IO26" s="4" t="str">
        <f t="shared" si="38"/>
        <v/>
      </c>
      <c r="IP26" s="4" t="str">
        <f t="shared" si="39"/>
        <v/>
      </c>
      <c r="IQ26" s="4" t="str">
        <f t="shared" si="40"/>
        <v/>
      </c>
      <c r="IR26" s="4" t="str">
        <f t="shared" si="41"/>
        <v/>
      </c>
      <c r="IS26" s="4" t="str">
        <f t="shared" si="42"/>
        <v/>
      </c>
      <c r="IT26" s="4" t="str">
        <f t="shared" si="43"/>
        <v/>
      </c>
      <c r="IU26" s="4" t="str">
        <f t="shared" si="44"/>
        <v/>
      </c>
      <c r="IV26" s="4" t="str">
        <f t="shared" si="45"/>
        <v/>
      </c>
      <c r="IW26" s="4" t="str">
        <f t="shared" si="46"/>
        <v/>
      </c>
      <c r="IX26" s="4" t="str">
        <f t="shared" si="47"/>
        <v/>
      </c>
      <c r="IY26" s="4" t="str">
        <f t="shared" si="48"/>
        <v/>
      </c>
      <c r="IZ26" s="4" t="str">
        <f t="shared" si="49"/>
        <v/>
      </c>
      <c r="JA26" s="4" t="str">
        <f t="shared" si="50"/>
        <v/>
      </c>
      <c r="JB26" s="4" t="str">
        <f t="shared" si="51"/>
        <v/>
      </c>
      <c r="JC26" s="4" t="str">
        <f t="shared" si="52"/>
        <v/>
      </c>
      <c r="JD26" s="4" t="str">
        <f t="shared" si="53"/>
        <v/>
      </c>
      <c r="JE26" s="4" t="str">
        <f t="shared" si="54"/>
        <v/>
      </c>
      <c r="JF26" s="4" t="str">
        <f t="shared" si="55"/>
        <v/>
      </c>
      <c r="JG26" s="4" t="str">
        <f t="shared" si="56"/>
        <v/>
      </c>
      <c r="JH26" s="4" t="str">
        <f t="shared" si="57"/>
        <v/>
      </c>
      <c r="JI26" s="4" t="str">
        <f t="shared" si="58"/>
        <v/>
      </c>
      <c r="JJ26" s="4" t="str">
        <f t="shared" si="59"/>
        <v/>
      </c>
      <c r="JK26" s="4" t="str">
        <f t="shared" si="60"/>
        <v/>
      </c>
      <c r="JL26" s="4" t="str">
        <f t="shared" si="61"/>
        <v/>
      </c>
      <c r="JM26" s="4" t="str">
        <f t="shared" si="62"/>
        <v/>
      </c>
      <c r="JN26" s="4" t="str">
        <f t="shared" si="63"/>
        <v/>
      </c>
      <c r="JO26" s="129" t="str">
        <f t="shared" si="64"/>
        <v/>
      </c>
      <c r="JP26" s="122" t="str">
        <f t="shared" si="65"/>
        <v/>
      </c>
      <c r="JQ26" s="122" t="str">
        <f t="shared" si="66"/>
        <v/>
      </c>
      <c r="JR26" s="122" t="str">
        <f t="shared" si="67"/>
        <v/>
      </c>
      <c r="JS26" s="122" t="str">
        <f t="shared" si="68"/>
        <v/>
      </c>
      <c r="JT26" s="122" t="str">
        <f t="shared" si="69"/>
        <v/>
      </c>
      <c r="JU26" s="122" t="str">
        <f t="shared" si="70"/>
        <v/>
      </c>
      <c r="JV26" s="122" t="str">
        <f t="shared" si="71"/>
        <v/>
      </c>
      <c r="JW26" s="122" t="str">
        <f t="shared" si="72"/>
        <v/>
      </c>
      <c r="JX26" s="122" t="str">
        <f t="shared" si="73"/>
        <v/>
      </c>
      <c r="JY26" s="122" t="str">
        <f t="shared" si="74"/>
        <v/>
      </c>
      <c r="JZ26" s="122" t="str">
        <f t="shared" si="75"/>
        <v/>
      </c>
      <c r="KA26" s="122" t="str">
        <f t="shared" si="76"/>
        <v/>
      </c>
      <c r="KB26" s="122" t="str">
        <f t="shared" si="77"/>
        <v/>
      </c>
      <c r="KC26" s="122" t="str">
        <f t="shared" si="78"/>
        <v/>
      </c>
      <c r="KD26" s="122" t="str">
        <f t="shared" si="79"/>
        <v/>
      </c>
      <c r="KE26" s="133" t="str">
        <f t="shared" si="80"/>
        <v/>
      </c>
      <c r="KF26" s="94" t="str">
        <f t="shared" si="81"/>
        <v/>
      </c>
      <c r="KG26" s="4" t="str">
        <f t="shared" si="82"/>
        <v/>
      </c>
      <c r="KH26" s="4" t="str">
        <f t="shared" si="83"/>
        <v/>
      </c>
      <c r="KI26" s="4" t="str">
        <f t="shared" si="84"/>
        <v/>
      </c>
      <c r="KJ26" s="4" t="str">
        <f t="shared" si="85"/>
        <v/>
      </c>
      <c r="KK26" s="4" t="str">
        <f t="shared" si="86"/>
        <v/>
      </c>
      <c r="KL26" s="4" t="str">
        <f t="shared" si="87"/>
        <v/>
      </c>
      <c r="KM26" s="4" t="str">
        <f t="shared" si="88"/>
        <v/>
      </c>
      <c r="KN26" s="4" t="str">
        <f t="shared" si="89"/>
        <v/>
      </c>
      <c r="KO26" s="4" t="str">
        <f t="shared" si="90"/>
        <v/>
      </c>
      <c r="KP26" s="4" t="str">
        <f t="shared" si="91"/>
        <v/>
      </c>
      <c r="KQ26" s="4" t="str">
        <f t="shared" si="92"/>
        <v/>
      </c>
      <c r="KR26" s="4" t="str">
        <f t="shared" si="93"/>
        <v/>
      </c>
      <c r="KS26" s="4" t="str">
        <f t="shared" si="94"/>
        <v/>
      </c>
      <c r="KT26" s="4" t="str">
        <f t="shared" si="95"/>
        <v/>
      </c>
      <c r="KU26" s="4" t="str">
        <f t="shared" si="96"/>
        <v/>
      </c>
      <c r="KV26" s="4" t="str">
        <f t="shared" si="97"/>
        <v/>
      </c>
      <c r="KW26" s="4" t="str">
        <f t="shared" si="98"/>
        <v/>
      </c>
      <c r="KX26" s="4" t="str">
        <f t="shared" si="99"/>
        <v/>
      </c>
      <c r="KY26" s="4" t="str">
        <f t="shared" si="100"/>
        <v/>
      </c>
      <c r="KZ26" s="4" t="str">
        <f t="shared" si="101"/>
        <v/>
      </c>
      <c r="LA26" s="4" t="str">
        <f t="shared" si="102"/>
        <v/>
      </c>
      <c r="LB26" s="4" t="str">
        <f t="shared" si="103"/>
        <v/>
      </c>
      <c r="LC26" s="4" t="str">
        <f t="shared" si="104"/>
        <v/>
      </c>
      <c r="LD26" s="4" t="str">
        <f t="shared" si="105"/>
        <v/>
      </c>
      <c r="LE26" s="4" t="str">
        <f t="shared" si="106"/>
        <v/>
      </c>
      <c r="LF26" s="4" t="str">
        <f t="shared" si="107"/>
        <v/>
      </c>
      <c r="LG26" s="4" t="str">
        <f t="shared" si="108"/>
        <v/>
      </c>
      <c r="LH26" s="4" t="str">
        <f t="shared" si="109"/>
        <v/>
      </c>
      <c r="LI26" s="4" t="str">
        <f t="shared" si="110"/>
        <v/>
      </c>
      <c r="LJ26" s="4" t="str">
        <f t="shared" si="111"/>
        <v/>
      </c>
      <c r="LK26" s="4" t="str">
        <f t="shared" si="112"/>
        <v/>
      </c>
      <c r="LL26" s="4" t="str">
        <f t="shared" si="113"/>
        <v/>
      </c>
      <c r="LM26" s="4" t="str">
        <f t="shared" si="114"/>
        <v/>
      </c>
      <c r="LN26" s="4" t="str">
        <f t="shared" si="115"/>
        <v/>
      </c>
      <c r="LO26" s="4" t="str">
        <f t="shared" si="116"/>
        <v/>
      </c>
      <c r="LP26" s="4" t="str">
        <f t="shared" si="117"/>
        <v/>
      </c>
      <c r="LQ26" s="4" t="str">
        <f t="shared" si="118"/>
        <v/>
      </c>
      <c r="LR26" s="4" t="str">
        <f t="shared" si="119"/>
        <v/>
      </c>
      <c r="LS26" s="4" t="str">
        <f t="shared" si="120"/>
        <v/>
      </c>
      <c r="LT26" s="4" t="str">
        <f t="shared" si="121"/>
        <v/>
      </c>
      <c r="LU26" s="4" t="str">
        <f t="shared" si="122"/>
        <v/>
      </c>
      <c r="LV26" s="4" t="str">
        <f t="shared" si="123"/>
        <v/>
      </c>
      <c r="LW26" s="4" t="str">
        <f t="shared" si="124"/>
        <v/>
      </c>
      <c r="LX26" s="4" t="str">
        <f t="shared" si="125"/>
        <v/>
      </c>
      <c r="LY26" s="4" t="str">
        <f t="shared" si="126"/>
        <v/>
      </c>
      <c r="LZ26" s="4" t="str">
        <f t="shared" si="127"/>
        <v/>
      </c>
      <c r="MA26" s="4" t="str">
        <f t="shared" si="128"/>
        <v/>
      </c>
      <c r="MB26" s="4" t="str">
        <f t="shared" si="129"/>
        <v/>
      </c>
      <c r="MC26" s="4" t="str">
        <f t="shared" si="130"/>
        <v/>
      </c>
      <c r="MD26" s="4" t="str">
        <f t="shared" si="131"/>
        <v/>
      </c>
      <c r="ME26" s="4">
        <f t="shared" si="132"/>
        <v>0</v>
      </c>
    </row>
    <row r="27" spans="1:343" ht="26.25" customHeight="1" thickBot="1" x14ac:dyDescent="0.25">
      <c r="A27" s="35">
        <v>41318</v>
      </c>
      <c r="B27" s="36" t="s">
        <v>197</v>
      </c>
      <c r="C27" s="36" t="s">
        <v>203</v>
      </c>
      <c r="D27" s="31" t="s">
        <v>111</v>
      </c>
      <c r="E27" s="4">
        <v>60</v>
      </c>
      <c r="F27" s="3">
        <v>19228</v>
      </c>
      <c r="G27" s="4" t="s">
        <v>87</v>
      </c>
      <c r="H27" s="4" t="s">
        <v>108</v>
      </c>
      <c r="I27" s="4">
        <v>1836310</v>
      </c>
      <c r="K27" s="76"/>
      <c r="L27" s="76"/>
      <c r="M27" s="76"/>
      <c r="N27" s="76"/>
      <c r="O27" s="76"/>
      <c r="P27" s="4">
        <v>-0.5</v>
      </c>
      <c r="Q27" s="4">
        <v>-0.5</v>
      </c>
      <c r="R27" s="4" t="s">
        <v>249</v>
      </c>
      <c r="S27" s="67">
        <v>20.5</v>
      </c>
      <c r="T27" s="136">
        <v>41316</v>
      </c>
      <c r="U27" s="67">
        <v>-0.5</v>
      </c>
      <c r="V27" s="67">
        <v>0.5</v>
      </c>
      <c r="W27" s="4">
        <v>75</v>
      </c>
      <c r="X27" s="4">
        <v>100</v>
      </c>
      <c r="Y27" s="4">
        <v>15</v>
      </c>
      <c r="Z27" s="4">
        <v>681</v>
      </c>
      <c r="AA27" s="4">
        <v>23.47</v>
      </c>
      <c r="AB27" s="4">
        <v>12.2</v>
      </c>
      <c r="AC27" s="4">
        <v>4.72</v>
      </c>
      <c r="AD27" s="4">
        <v>3.69</v>
      </c>
      <c r="AE27" s="4">
        <v>44.41</v>
      </c>
      <c r="AF27" s="4">
        <v>172</v>
      </c>
      <c r="AG27" s="4">
        <v>44.88</v>
      </c>
      <c r="AH27" s="4">
        <v>82</v>
      </c>
      <c r="AI27" s="4">
        <v>0</v>
      </c>
      <c r="AJ27" s="4" t="b">
        <f t="shared" si="0"/>
        <v>0</v>
      </c>
      <c r="AL27" s="4" t="s">
        <v>78</v>
      </c>
      <c r="AN27" s="70"/>
      <c r="AO27" s="70"/>
      <c r="AP27" s="36"/>
      <c r="BA27" s="4" t="str">
        <f t="shared" si="1"/>
        <v/>
      </c>
      <c r="BB27" s="4" t="str">
        <f t="shared" si="2"/>
        <v/>
      </c>
      <c r="BC27" s="4" t="str">
        <f t="shared" si="3"/>
        <v/>
      </c>
      <c r="BD27" s="51" t="s">
        <v>505</v>
      </c>
      <c r="BS27" s="4" t="str">
        <f t="shared" si="4"/>
        <v/>
      </c>
      <c r="BT27" s="4" t="str">
        <f t="shared" si="5"/>
        <v/>
      </c>
      <c r="BU27" s="4" t="str">
        <f t="shared" si="6"/>
        <v/>
      </c>
      <c r="BV27" s="4">
        <f>IF(AND(ISBLANK(SPH_6),ISBLANK(SPH_12)),0,1)</f>
        <v>0</v>
      </c>
      <c r="BW27" s="4">
        <f t="shared" si="8"/>
        <v>0</v>
      </c>
      <c r="BX27" s="4" t="str">
        <f t="shared" si="9"/>
        <v/>
      </c>
      <c r="BY27" s="4" t="str">
        <f t="shared" si="10"/>
        <v/>
      </c>
      <c r="BZ27" s="4" t="str">
        <f t="shared" si="11"/>
        <v/>
      </c>
      <c r="CA27" s="53">
        <f t="shared" si="12"/>
        <v>0</v>
      </c>
      <c r="CB27" s="55" t="str">
        <f t="shared" si="13"/>
        <v/>
      </c>
      <c r="CC27" s="4" t="str">
        <f t="shared" si="14"/>
        <v/>
      </c>
      <c r="CD27" s="4" t="str">
        <f t="shared" si="15"/>
        <v/>
      </c>
      <c r="CE27" s="4" t="str">
        <f t="shared" si="16"/>
        <v/>
      </c>
      <c r="CF27" s="4" t="str">
        <f t="shared" si="17"/>
        <v/>
      </c>
      <c r="CG27" s="4" t="str">
        <f t="shared" si="18"/>
        <v/>
      </c>
      <c r="CH27" s="4" t="str">
        <f t="shared" si="19"/>
        <v/>
      </c>
      <c r="CI27" s="104" t="str">
        <f t="shared" si="20"/>
        <v/>
      </c>
      <c r="CJ27" s="94" t="str">
        <f t="shared" si="21"/>
        <v/>
      </c>
      <c r="CK27" s="4" t="str">
        <f t="shared" si="22"/>
        <v/>
      </c>
      <c r="CL27" s="107" t="str">
        <f t="shared" si="23"/>
        <v/>
      </c>
      <c r="CM27" s="107" t="str">
        <f t="shared" si="24"/>
        <v/>
      </c>
      <c r="CN27" s="139" t="str">
        <f t="shared" si="25"/>
        <v/>
      </c>
      <c r="CO27" s="139" t="str">
        <f t="shared" si="26"/>
        <v/>
      </c>
      <c r="CP27" s="149" t="str">
        <f t="shared" si="27"/>
        <v/>
      </c>
      <c r="CQ27" s="149" t="str">
        <f t="shared" si="28"/>
        <v/>
      </c>
      <c r="CR27" s="148" t="str">
        <f t="shared" si="29"/>
        <v/>
      </c>
      <c r="CS27" s="152" t="str">
        <f t="shared" si="30"/>
        <v/>
      </c>
      <c r="CT27" s="107" t="str">
        <f t="shared" si="31"/>
        <v/>
      </c>
      <c r="CU27" s="155" t="str">
        <f t="shared" si="32"/>
        <v/>
      </c>
      <c r="CV27">
        <v>7.66</v>
      </c>
      <c r="CW27" s="4">
        <v>7.63</v>
      </c>
      <c r="CX27" s="4">
        <v>28.1</v>
      </c>
      <c r="CY27" s="4">
        <v>-0.2</v>
      </c>
      <c r="CZ27" s="4">
        <v>0.28000000000000003</v>
      </c>
      <c r="DA27" s="4">
        <v>0.51</v>
      </c>
      <c r="DB27" s="4">
        <v>2.75</v>
      </c>
      <c r="DC27" s="4">
        <v>3.45</v>
      </c>
      <c r="DD27" s="4">
        <v>704</v>
      </c>
      <c r="DE27" s="4">
        <v>702</v>
      </c>
      <c r="DF27" s="4">
        <v>764</v>
      </c>
      <c r="DG27" s="4">
        <v>714</v>
      </c>
      <c r="DH27" s="4">
        <v>749</v>
      </c>
      <c r="DI27" s="4">
        <v>787</v>
      </c>
      <c r="DJ27" s="4">
        <v>693</v>
      </c>
      <c r="DK27" s="4">
        <v>-0.84</v>
      </c>
      <c r="DL27" s="4">
        <v>-0.77</v>
      </c>
      <c r="DM27" s="4">
        <v>7.65</v>
      </c>
      <c r="DN27" s="4">
        <v>7.62</v>
      </c>
      <c r="DO27" s="4">
        <v>7.63</v>
      </c>
      <c r="DP27" s="4">
        <v>7.77</v>
      </c>
      <c r="DQ27" s="4">
        <v>8.06</v>
      </c>
      <c r="DR27" s="4">
        <v>8.1199999999999992</v>
      </c>
      <c r="DS27" s="4">
        <v>0</v>
      </c>
      <c r="DT27" s="4">
        <v>1</v>
      </c>
      <c r="DU27" s="4">
        <v>6.61</v>
      </c>
      <c r="DV27" s="4">
        <v>6.45</v>
      </c>
      <c r="DW27" s="4">
        <v>6.44</v>
      </c>
      <c r="DX27" s="4">
        <v>6.54</v>
      </c>
      <c r="DY27" s="4">
        <v>6.64</v>
      </c>
      <c r="DZ27" s="4">
        <v>6.77</v>
      </c>
      <c r="EA27" s="4">
        <v>0</v>
      </c>
      <c r="EB27" s="100">
        <v>1</v>
      </c>
      <c r="EC27" s="122">
        <v>44.1</v>
      </c>
      <c r="ED27" s="122">
        <v>44.3</v>
      </c>
      <c r="EE27" s="122">
        <v>44.2</v>
      </c>
      <c r="EF27" s="122">
        <v>28.1</v>
      </c>
      <c r="EG27" s="122">
        <v>0.2</v>
      </c>
      <c r="EH27" s="122">
        <v>-5.9</v>
      </c>
      <c r="EI27" s="122">
        <v>-6.2</v>
      </c>
      <c r="EJ27" s="122">
        <v>-6.1</v>
      </c>
      <c r="EK27" s="122">
        <v>55</v>
      </c>
      <c r="EL27" s="122">
        <v>0.3</v>
      </c>
      <c r="EM27" s="122">
        <v>5</v>
      </c>
      <c r="EN27" s="122">
        <v>14.5</v>
      </c>
      <c r="EO27" s="122">
        <v>30.2</v>
      </c>
      <c r="EP27" s="122">
        <v>70.7</v>
      </c>
      <c r="EQ27" s="126">
        <v>12</v>
      </c>
      <c r="IJ27" s="94" t="str">
        <f t="shared" si="33"/>
        <v/>
      </c>
      <c r="IK27" s="4" t="str">
        <f t="shared" si="34"/>
        <v/>
      </c>
      <c r="IL27" s="4" t="str">
        <f t="shared" si="35"/>
        <v/>
      </c>
      <c r="IM27" s="4" t="str">
        <f t="shared" si="36"/>
        <v/>
      </c>
      <c r="IN27" s="4" t="str">
        <f t="shared" si="37"/>
        <v/>
      </c>
      <c r="IO27" s="4" t="str">
        <f t="shared" si="38"/>
        <v/>
      </c>
      <c r="IP27" s="4" t="str">
        <f t="shared" si="39"/>
        <v/>
      </c>
      <c r="IQ27" s="4" t="str">
        <f t="shared" si="40"/>
        <v/>
      </c>
      <c r="IR27" s="4" t="str">
        <f t="shared" si="41"/>
        <v/>
      </c>
      <c r="IS27" s="4" t="str">
        <f t="shared" si="42"/>
        <v/>
      </c>
      <c r="IT27" s="4" t="str">
        <f t="shared" si="43"/>
        <v/>
      </c>
      <c r="IU27" s="4" t="str">
        <f t="shared" si="44"/>
        <v/>
      </c>
      <c r="IV27" s="4" t="str">
        <f t="shared" si="45"/>
        <v/>
      </c>
      <c r="IW27" s="4" t="str">
        <f t="shared" si="46"/>
        <v/>
      </c>
      <c r="IX27" s="4" t="str">
        <f t="shared" si="47"/>
        <v/>
      </c>
      <c r="IY27" s="4" t="str">
        <f t="shared" si="48"/>
        <v/>
      </c>
      <c r="IZ27" s="4" t="str">
        <f t="shared" si="49"/>
        <v/>
      </c>
      <c r="JA27" s="4" t="str">
        <f t="shared" si="50"/>
        <v/>
      </c>
      <c r="JB27" s="4" t="str">
        <f t="shared" si="51"/>
        <v/>
      </c>
      <c r="JC27" s="4" t="str">
        <f t="shared" si="52"/>
        <v/>
      </c>
      <c r="JD27" s="4" t="str">
        <f t="shared" si="53"/>
        <v/>
      </c>
      <c r="JE27" s="4" t="str">
        <f t="shared" si="54"/>
        <v/>
      </c>
      <c r="JF27" s="4" t="str">
        <f t="shared" si="55"/>
        <v/>
      </c>
      <c r="JG27" s="4" t="str">
        <f t="shared" si="56"/>
        <v/>
      </c>
      <c r="JH27" s="4" t="str">
        <f t="shared" si="57"/>
        <v/>
      </c>
      <c r="JI27" s="4" t="str">
        <f t="shared" si="58"/>
        <v/>
      </c>
      <c r="JJ27" s="4" t="str">
        <f t="shared" si="59"/>
        <v/>
      </c>
      <c r="JK27" s="4" t="str">
        <f t="shared" si="60"/>
        <v/>
      </c>
      <c r="JL27" s="4" t="str">
        <f t="shared" si="61"/>
        <v/>
      </c>
      <c r="JM27" s="4" t="str">
        <f t="shared" si="62"/>
        <v/>
      </c>
      <c r="JN27" s="4" t="str">
        <f t="shared" si="63"/>
        <v/>
      </c>
      <c r="JO27" s="129" t="str">
        <f t="shared" si="64"/>
        <v/>
      </c>
      <c r="JP27" s="122" t="str">
        <f t="shared" si="65"/>
        <v/>
      </c>
      <c r="JQ27" s="122" t="str">
        <f t="shared" si="66"/>
        <v/>
      </c>
      <c r="JR27" s="122" t="str">
        <f t="shared" si="67"/>
        <v/>
      </c>
      <c r="JS27" s="122" t="str">
        <f t="shared" si="68"/>
        <v/>
      </c>
      <c r="JT27" s="122" t="str">
        <f t="shared" si="69"/>
        <v/>
      </c>
      <c r="JU27" s="122" t="str">
        <f t="shared" si="70"/>
        <v/>
      </c>
      <c r="JV27" s="122" t="str">
        <f t="shared" si="71"/>
        <v/>
      </c>
      <c r="JW27" s="122" t="str">
        <f t="shared" si="72"/>
        <v/>
      </c>
      <c r="JX27" s="122" t="str">
        <f t="shared" si="73"/>
        <v/>
      </c>
      <c r="JY27" s="122" t="str">
        <f t="shared" si="74"/>
        <v/>
      </c>
      <c r="JZ27" s="122" t="str">
        <f t="shared" si="75"/>
        <v/>
      </c>
      <c r="KA27" s="122" t="str">
        <f t="shared" si="76"/>
        <v/>
      </c>
      <c r="KB27" s="122" t="str">
        <f t="shared" si="77"/>
        <v/>
      </c>
      <c r="KC27" s="122" t="str">
        <f t="shared" si="78"/>
        <v/>
      </c>
      <c r="KD27" s="122" t="str">
        <f t="shared" si="79"/>
        <v/>
      </c>
      <c r="KE27" s="133" t="str">
        <f t="shared" si="80"/>
        <v/>
      </c>
      <c r="KF27" s="94" t="str">
        <f t="shared" si="81"/>
        <v/>
      </c>
      <c r="KG27" s="4" t="str">
        <f t="shared" si="82"/>
        <v/>
      </c>
      <c r="KH27" s="4" t="str">
        <f t="shared" si="83"/>
        <v/>
      </c>
      <c r="KI27" s="4" t="str">
        <f t="shared" si="84"/>
        <v/>
      </c>
      <c r="KJ27" s="4" t="str">
        <f t="shared" si="85"/>
        <v/>
      </c>
      <c r="KK27" s="4" t="str">
        <f t="shared" si="86"/>
        <v/>
      </c>
      <c r="KL27" s="4" t="str">
        <f t="shared" si="87"/>
        <v/>
      </c>
      <c r="KM27" s="4" t="str">
        <f t="shared" si="88"/>
        <v/>
      </c>
      <c r="KN27" s="4" t="str">
        <f t="shared" si="89"/>
        <v/>
      </c>
      <c r="KO27" s="4" t="str">
        <f t="shared" si="90"/>
        <v/>
      </c>
      <c r="KP27" s="4" t="str">
        <f t="shared" si="91"/>
        <v/>
      </c>
      <c r="KQ27" s="4" t="str">
        <f t="shared" si="92"/>
        <v/>
      </c>
      <c r="KR27" s="4" t="str">
        <f t="shared" si="93"/>
        <v/>
      </c>
      <c r="KS27" s="4" t="str">
        <f t="shared" si="94"/>
        <v/>
      </c>
      <c r="KT27" s="4" t="str">
        <f t="shared" si="95"/>
        <v/>
      </c>
      <c r="KU27" s="4" t="str">
        <f t="shared" si="96"/>
        <v/>
      </c>
      <c r="KV27" s="4" t="str">
        <f t="shared" si="97"/>
        <v/>
      </c>
      <c r="KW27" s="4" t="str">
        <f t="shared" si="98"/>
        <v/>
      </c>
      <c r="KX27" s="4" t="str">
        <f t="shared" si="99"/>
        <v/>
      </c>
      <c r="KY27" s="4" t="str">
        <f t="shared" si="100"/>
        <v/>
      </c>
      <c r="KZ27" s="4" t="str">
        <f t="shared" si="101"/>
        <v/>
      </c>
      <c r="LA27" s="4" t="str">
        <f t="shared" si="102"/>
        <v/>
      </c>
      <c r="LB27" s="4" t="str">
        <f t="shared" si="103"/>
        <v/>
      </c>
      <c r="LC27" s="4" t="str">
        <f t="shared" si="104"/>
        <v/>
      </c>
      <c r="LD27" s="4" t="str">
        <f t="shared" si="105"/>
        <v/>
      </c>
      <c r="LE27" s="4" t="str">
        <f t="shared" si="106"/>
        <v/>
      </c>
      <c r="LF27" s="4" t="str">
        <f t="shared" si="107"/>
        <v/>
      </c>
      <c r="LG27" s="4" t="str">
        <f t="shared" si="108"/>
        <v/>
      </c>
      <c r="LH27" s="4" t="str">
        <f t="shared" si="109"/>
        <v/>
      </c>
      <c r="LI27" s="4" t="str">
        <f t="shared" si="110"/>
        <v/>
      </c>
      <c r="LJ27" s="4" t="str">
        <f t="shared" si="111"/>
        <v/>
      </c>
      <c r="LK27" s="4" t="str">
        <f t="shared" si="112"/>
        <v/>
      </c>
      <c r="LL27" s="4" t="str">
        <f t="shared" si="113"/>
        <v/>
      </c>
      <c r="LM27" s="4" t="str">
        <f t="shared" si="114"/>
        <v/>
      </c>
      <c r="LN27" s="4" t="str">
        <f t="shared" si="115"/>
        <v/>
      </c>
      <c r="LO27" s="4" t="str">
        <f t="shared" si="116"/>
        <v/>
      </c>
      <c r="LP27" s="4" t="str">
        <f t="shared" si="117"/>
        <v/>
      </c>
      <c r="LQ27" s="4" t="str">
        <f t="shared" si="118"/>
        <v/>
      </c>
      <c r="LR27" s="4" t="str">
        <f t="shared" si="119"/>
        <v/>
      </c>
      <c r="LS27" s="4" t="str">
        <f t="shared" si="120"/>
        <v/>
      </c>
      <c r="LT27" s="4" t="str">
        <f t="shared" si="121"/>
        <v/>
      </c>
      <c r="LU27" s="4" t="str">
        <f t="shared" si="122"/>
        <v/>
      </c>
      <c r="LV27" s="4" t="str">
        <f t="shared" si="123"/>
        <v/>
      </c>
      <c r="LW27" s="4" t="str">
        <f t="shared" si="124"/>
        <v/>
      </c>
      <c r="LX27" s="4" t="str">
        <f t="shared" si="125"/>
        <v/>
      </c>
      <c r="LY27" s="4" t="str">
        <f t="shared" si="126"/>
        <v/>
      </c>
      <c r="LZ27" s="4" t="str">
        <f t="shared" si="127"/>
        <v/>
      </c>
      <c r="MA27" s="4" t="str">
        <f t="shared" si="128"/>
        <v/>
      </c>
      <c r="MB27" s="4" t="str">
        <f t="shared" si="129"/>
        <v/>
      </c>
      <c r="MC27" s="4" t="str">
        <f t="shared" si="130"/>
        <v/>
      </c>
      <c r="MD27" s="4" t="str">
        <f t="shared" si="131"/>
        <v/>
      </c>
      <c r="ME27" s="4">
        <f t="shared" si="132"/>
        <v>0</v>
      </c>
    </row>
    <row r="28" spans="1:343" ht="26.25" customHeight="1" thickBot="1" x14ac:dyDescent="0.25">
      <c r="A28" s="35">
        <v>41402</v>
      </c>
      <c r="B28" s="36" t="s">
        <v>130</v>
      </c>
      <c r="C28" s="36" t="s">
        <v>35</v>
      </c>
      <c r="D28" s="31" t="s">
        <v>111</v>
      </c>
      <c r="E28" s="4">
        <v>54</v>
      </c>
      <c r="F28" s="3">
        <v>21309</v>
      </c>
      <c r="G28" s="4" t="s">
        <v>87</v>
      </c>
      <c r="H28" s="4" t="s">
        <v>108</v>
      </c>
      <c r="I28" s="4">
        <v>1836353</v>
      </c>
      <c r="K28" s="80"/>
      <c r="L28" s="81"/>
      <c r="M28" s="81"/>
      <c r="N28" s="81"/>
      <c r="O28" s="81"/>
      <c r="P28" s="4">
        <v>-0.25</v>
      </c>
      <c r="Q28" s="4">
        <v>-2.4700000000000002</v>
      </c>
      <c r="R28" s="39" t="s">
        <v>249</v>
      </c>
      <c r="S28" s="70">
        <v>18.25</v>
      </c>
      <c r="T28" s="136">
        <v>41401</v>
      </c>
      <c r="U28" s="67">
        <v>-1.5</v>
      </c>
      <c r="V28" s="67">
        <v>1</v>
      </c>
      <c r="W28" s="4">
        <v>10</v>
      </c>
      <c r="X28" s="4">
        <v>25</v>
      </c>
      <c r="Y28" s="4">
        <v>15</v>
      </c>
      <c r="Z28" s="4">
        <v>595</v>
      </c>
      <c r="AA28" s="4">
        <v>24.49</v>
      </c>
      <c r="AB28" s="4">
        <v>12.5</v>
      </c>
      <c r="AC28" s="4">
        <v>4.46</v>
      </c>
      <c r="AD28" s="4">
        <v>4.17</v>
      </c>
      <c r="AE28" s="4">
        <v>43.44</v>
      </c>
      <c r="AF28" s="4">
        <v>89</v>
      </c>
      <c r="AG28" s="4">
        <v>44.23</v>
      </c>
      <c r="AH28" s="4">
        <v>179</v>
      </c>
      <c r="AI28" s="4">
        <v>0</v>
      </c>
      <c r="AJ28" s="4" t="b">
        <f t="shared" si="0"/>
        <v>0</v>
      </c>
      <c r="AL28" s="51" t="s">
        <v>78</v>
      </c>
      <c r="BA28" s="4" t="str">
        <f t="shared" si="1"/>
        <v/>
      </c>
      <c r="BB28" s="4" t="str">
        <f t="shared" si="2"/>
        <v/>
      </c>
      <c r="BC28" s="4" t="str">
        <f t="shared" si="3"/>
        <v/>
      </c>
      <c r="BD28" s="51" t="s">
        <v>505</v>
      </c>
      <c r="BS28" s="4" t="str">
        <f t="shared" si="4"/>
        <v/>
      </c>
      <c r="BT28" s="4" t="str">
        <f t="shared" si="5"/>
        <v/>
      </c>
      <c r="BU28" s="4" t="str">
        <f t="shared" si="6"/>
        <v/>
      </c>
      <c r="BV28" s="4">
        <f>IF(AND(ISBLANK(SPH_6),ISBLANK(SPH_12)),0,1)</f>
        <v>0</v>
      </c>
      <c r="BW28" s="4">
        <f t="shared" si="8"/>
        <v>0</v>
      </c>
      <c r="BX28" s="4" t="str">
        <f t="shared" si="9"/>
        <v/>
      </c>
      <c r="BY28" s="4" t="str">
        <f t="shared" si="10"/>
        <v/>
      </c>
      <c r="BZ28" s="4" t="str">
        <f t="shared" si="11"/>
        <v/>
      </c>
      <c r="CA28" s="53">
        <f t="shared" si="12"/>
        <v>0</v>
      </c>
      <c r="CB28" s="55" t="str">
        <f t="shared" si="13"/>
        <v/>
      </c>
      <c r="CC28" s="4" t="str">
        <f t="shared" si="14"/>
        <v/>
      </c>
      <c r="CD28" s="4" t="str">
        <f t="shared" si="15"/>
        <v/>
      </c>
      <c r="CE28" s="4" t="str">
        <f t="shared" si="16"/>
        <v/>
      </c>
      <c r="CF28" s="4" t="str">
        <f t="shared" si="17"/>
        <v/>
      </c>
      <c r="CG28" s="4" t="str">
        <f t="shared" si="18"/>
        <v/>
      </c>
      <c r="CH28" s="4" t="str">
        <f t="shared" si="19"/>
        <v/>
      </c>
      <c r="CI28" s="104" t="str">
        <f t="shared" si="20"/>
        <v/>
      </c>
      <c r="CJ28" s="94" t="str">
        <f t="shared" si="21"/>
        <v/>
      </c>
      <c r="CK28" s="4" t="str">
        <f t="shared" si="22"/>
        <v/>
      </c>
      <c r="CL28" s="107" t="str">
        <f t="shared" si="23"/>
        <v/>
      </c>
      <c r="CM28" s="107" t="str">
        <f t="shared" si="24"/>
        <v/>
      </c>
      <c r="CN28" s="139" t="str">
        <f t="shared" si="25"/>
        <v/>
      </c>
      <c r="CO28" s="139" t="str">
        <f t="shared" si="26"/>
        <v/>
      </c>
      <c r="CP28" s="149" t="str">
        <f t="shared" si="27"/>
        <v/>
      </c>
      <c r="CQ28" s="149" t="str">
        <f t="shared" si="28"/>
        <v/>
      </c>
      <c r="CR28" s="148" t="str">
        <f t="shared" si="29"/>
        <v/>
      </c>
      <c r="CS28" s="152" t="str">
        <f t="shared" si="30"/>
        <v/>
      </c>
      <c r="CT28" s="107" t="str">
        <f t="shared" si="31"/>
        <v/>
      </c>
      <c r="CU28" s="155" t="str">
        <f t="shared" si="32"/>
        <v/>
      </c>
      <c r="CV28" s="120">
        <v>7.82</v>
      </c>
      <c r="CW28" s="4">
        <v>7.92</v>
      </c>
      <c r="CX28" s="4">
        <v>89.5</v>
      </c>
      <c r="CY28" s="4">
        <v>0.6</v>
      </c>
      <c r="CZ28" s="4">
        <v>0.08</v>
      </c>
      <c r="DA28" s="4">
        <v>0.19</v>
      </c>
      <c r="DB28" s="4">
        <v>3.26</v>
      </c>
      <c r="DC28" s="4">
        <v>3.87</v>
      </c>
      <c r="DD28" s="4">
        <v>607</v>
      </c>
      <c r="DE28" s="4">
        <v>607</v>
      </c>
      <c r="DF28" s="4">
        <v>658</v>
      </c>
      <c r="DG28" s="4">
        <v>598</v>
      </c>
      <c r="DH28" s="4">
        <v>639</v>
      </c>
      <c r="DI28" s="4">
        <v>593</v>
      </c>
      <c r="DJ28" s="4">
        <v>577</v>
      </c>
      <c r="DK28" s="4">
        <v>-2.0699999999999998</v>
      </c>
      <c r="DL28" s="4">
        <v>1.18</v>
      </c>
      <c r="DM28" s="4">
        <v>7.91</v>
      </c>
      <c r="DN28" s="4">
        <v>7.81</v>
      </c>
      <c r="DO28" s="4">
        <v>7.79</v>
      </c>
      <c r="DP28" s="4">
        <v>7.85</v>
      </c>
      <c r="DQ28" s="4">
        <v>7.96</v>
      </c>
      <c r="DR28" s="4">
        <v>8.1199999999999992</v>
      </c>
      <c r="DS28" s="4">
        <v>0</v>
      </c>
      <c r="DT28" s="4">
        <v>0.2</v>
      </c>
      <c r="DU28" s="4">
        <v>7.79</v>
      </c>
      <c r="DV28" s="4">
        <v>6.99</v>
      </c>
      <c r="DW28" s="4">
        <v>6.58</v>
      </c>
      <c r="DX28" s="4">
        <v>6.64</v>
      </c>
      <c r="DY28" s="4">
        <v>6.9</v>
      </c>
      <c r="DZ28" s="4">
        <v>7.16</v>
      </c>
      <c r="EA28" s="4">
        <v>0</v>
      </c>
      <c r="EB28" s="100">
        <v>0.2</v>
      </c>
      <c r="EC28" s="122">
        <v>42.6</v>
      </c>
      <c r="ED28" s="122">
        <v>43.2</v>
      </c>
      <c r="EE28" s="122">
        <v>42.9</v>
      </c>
      <c r="EF28" s="122">
        <v>89.5</v>
      </c>
      <c r="EG28" s="122">
        <v>0.6</v>
      </c>
      <c r="EH28" s="122">
        <v>-5.2</v>
      </c>
      <c r="EI28" s="122">
        <v>-5.5</v>
      </c>
      <c r="EJ28" s="122">
        <v>-5.3</v>
      </c>
      <c r="EK28" s="122">
        <v>130.1</v>
      </c>
      <c r="EL28" s="122">
        <v>0.2</v>
      </c>
      <c r="EM28" s="122">
        <v>4.3</v>
      </c>
      <c r="EN28" s="122">
        <v>12.1</v>
      </c>
      <c r="EO28" s="122">
        <v>25.1</v>
      </c>
      <c r="EP28" s="122">
        <v>59.8</v>
      </c>
      <c r="EQ28" s="126">
        <v>10</v>
      </c>
      <c r="IJ28" s="94" t="str">
        <f t="shared" si="33"/>
        <v/>
      </c>
      <c r="IK28" s="4" t="str">
        <f t="shared" si="34"/>
        <v/>
      </c>
      <c r="IL28" s="4" t="str">
        <f t="shared" si="35"/>
        <v/>
      </c>
      <c r="IM28" s="4" t="str">
        <f t="shared" si="36"/>
        <v/>
      </c>
      <c r="IN28" s="4" t="str">
        <f t="shared" si="37"/>
        <v/>
      </c>
      <c r="IO28" s="4" t="str">
        <f t="shared" si="38"/>
        <v/>
      </c>
      <c r="IP28" s="4" t="str">
        <f t="shared" si="39"/>
        <v/>
      </c>
      <c r="IQ28" s="4" t="str">
        <f t="shared" si="40"/>
        <v/>
      </c>
      <c r="IR28" s="4" t="str">
        <f t="shared" si="41"/>
        <v/>
      </c>
      <c r="IS28" s="4" t="str">
        <f t="shared" si="42"/>
        <v/>
      </c>
      <c r="IT28" s="4" t="str">
        <f t="shared" si="43"/>
        <v/>
      </c>
      <c r="IU28" s="4" t="str">
        <f t="shared" si="44"/>
        <v/>
      </c>
      <c r="IV28" s="4" t="str">
        <f t="shared" si="45"/>
        <v/>
      </c>
      <c r="IW28" s="4" t="str">
        <f t="shared" si="46"/>
        <v/>
      </c>
      <c r="IX28" s="4" t="str">
        <f t="shared" si="47"/>
        <v/>
      </c>
      <c r="IY28" s="4" t="str">
        <f t="shared" si="48"/>
        <v/>
      </c>
      <c r="IZ28" s="4" t="str">
        <f t="shared" si="49"/>
        <v/>
      </c>
      <c r="JA28" s="4" t="str">
        <f t="shared" si="50"/>
        <v/>
      </c>
      <c r="JB28" s="4" t="str">
        <f t="shared" si="51"/>
        <v/>
      </c>
      <c r="JC28" s="4" t="str">
        <f t="shared" si="52"/>
        <v/>
      </c>
      <c r="JD28" s="4" t="str">
        <f t="shared" si="53"/>
        <v/>
      </c>
      <c r="JE28" s="4" t="str">
        <f t="shared" si="54"/>
        <v/>
      </c>
      <c r="JF28" s="4" t="str">
        <f t="shared" si="55"/>
        <v/>
      </c>
      <c r="JG28" s="4" t="str">
        <f t="shared" si="56"/>
        <v/>
      </c>
      <c r="JH28" s="4" t="str">
        <f t="shared" si="57"/>
        <v/>
      </c>
      <c r="JI28" s="4" t="str">
        <f t="shared" si="58"/>
        <v/>
      </c>
      <c r="JJ28" s="4" t="str">
        <f t="shared" si="59"/>
        <v/>
      </c>
      <c r="JK28" s="4" t="str">
        <f t="shared" si="60"/>
        <v/>
      </c>
      <c r="JL28" s="4" t="str">
        <f t="shared" si="61"/>
        <v/>
      </c>
      <c r="JM28" s="4" t="str">
        <f t="shared" si="62"/>
        <v/>
      </c>
      <c r="JN28" s="4" t="str">
        <f t="shared" si="63"/>
        <v/>
      </c>
      <c r="JO28" s="129" t="str">
        <f t="shared" si="64"/>
        <v/>
      </c>
      <c r="JP28" s="122" t="str">
        <f t="shared" si="65"/>
        <v/>
      </c>
      <c r="JQ28" s="122" t="str">
        <f t="shared" si="66"/>
        <v/>
      </c>
      <c r="JR28" s="122" t="str">
        <f t="shared" si="67"/>
        <v/>
      </c>
      <c r="JS28" s="122" t="str">
        <f t="shared" si="68"/>
        <v/>
      </c>
      <c r="JT28" s="122" t="str">
        <f t="shared" si="69"/>
        <v/>
      </c>
      <c r="JU28" s="122" t="str">
        <f t="shared" si="70"/>
        <v/>
      </c>
      <c r="JV28" s="122" t="str">
        <f t="shared" si="71"/>
        <v/>
      </c>
      <c r="JW28" s="122" t="str">
        <f t="shared" si="72"/>
        <v/>
      </c>
      <c r="JX28" s="122" t="str">
        <f t="shared" si="73"/>
        <v/>
      </c>
      <c r="JY28" s="122" t="str">
        <f t="shared" si="74"/>
        <v/>
      </c>
      <c r="JZ28" s="122" t="str">
        <f t="shared" si="75"/>
        <v/>
      </c>
      <c r="KA28" s="122" t="str">
        <f t="shared" si="76"/>
        <v/>
      </c>
      <c r="KB28" s="122" t="str">
        <f t="shared" si="77"/>
        <v/>
      </c>
      <c r="KC28" s="122" t="str">
        <f t="shared" si="78"/>
        <v/>
      </c>
      <c r="KD28" s="122" t="str">
        <f t="shared" si="79"/>
        <v/>
      </c>
      <c r="KE28" s="133" t="str">
        <f t="shared" si="80"/>
        <v/>
      </c>
      <c r="KF28" s="94" t="str">
        <f t="shared" si="81"/>
        <v/>
      </c>
      <c r="KG28" s="4" t="str">
        <f t="shared" si="82"/>
        <v/>
      </c>
      <c r="KH28" s="4" t="str">
        <f t="shared" si="83"/>
        <v/>
      </c>
      <c r="KI28" s="4" t="str">
        <f t="shared" si="84"/>
        <v/>
      </c>
      <c r="KJ28" s="4" t="str">
        <f t="shared" si="85"/>
        <v/>
      </c>
      <c r="KK28" s="4" t="str">
        <f t="shared" si="86"/>
        <v/>
      </c>
      <c r="KL28" s="4" t="str">
        <f t="shared" si="87"/>
        <v/>
      </c>
      <c r="KM28" s="4" t="str">
        <f t="shared" si="88"/>
        <v/>
      </c>
      <c r="KN28" s="4" t="str">
        <f t="shared" si="89"/>
        <v/>
      </c>
      <c r="KO28" s="4" t="str">
        <f t="shared" si="90"/>
        <v/>
      </c>
      <c r="KP28" s="4" t="str">
        <f t="shared" si="91"/>
        <v/>
      </c>
      <c r="KQ28" s="4" t="str">
        <f t="shared" si="92"/>
        <v/>
      </c>
      <c r="KR28" s="4" t="str">
        <f t="shared" si="93"/>
        <v/>
      </c>
      <c r="KS28" s="4" t="str">
        <f t="shared" si="94"/>
        <v/>
      </c>
      <c r="KT28" s="4" t="str">
        <f t="shared" si="95"/>
        <v/>
      </c>
      <c r="KU28" s="4" t="str">
        <f t="shared" si="96"/>
        <v/>
      </c>
      <c r="KV28" s="4" t="str">
        <f t="shared" si="97"/>
        <v/>
      </c>
      <c r="KW28" s="4" t="str">
        <f t="shared" si="98"/>
        <v/>
      </c>
      <c r="KX28" s="4" t="str">
        <f t="shared" si="99"/>
        <v/>
      </c>
      <c r="KY28" s="4" t="str">
        <f t="shared" si="100"/>
        <v/>
      </c>
      <c r="KZ28" s="4" t="str">
        <f t="shared" si="101"/>
        <v/>
      </c>
      <c r="LA28" s="4" t="str">
        <f t="shared" si="102"/>
        <v/>
      </c>
      <c r="LB28" s="4" t="str">
        <f t="shared" si="103"/>
        <v/>
      </c>
      <c r="LC28" s="4" t="str">
        <f t="shared" si="104"/>
        <v/>
      </c>
      <c r="LD28" s="4" t="str">
        <f t="shared" si="105"/>
        <v/>
      </c>
      <c r="LE28" s="4" t="str">
        <f t="shared" si="106"/>
        <v/>
      </c>
      <c r="LF28" s="4" t="str">
        <f t="shared" si="107"/>
        <v/>
      </c>
      <c r="LG28" s="4" t="str">
        <f t="shared" si="108"/>
        <v/>
      </c>
      <c r="LH28" s="4" t="str">
        <f t="shared" si="109"/>
        <v/>
      </c>
      <c r="LI28" s="4" t="str">
        <f t="shared" si="110"/>
        <v/>
      </c>
      <c r="LJ28" s="4" t="str">
        <f t="shared" si="111"/>
        <v/>
      </c>
      <c r="LK28" s="4" t="str">
        <f t="shared" si="112"/>
        <v/>
      </c>
      <c r="LL28" s="4" t="str">
        <f t="shared" si="113"/>
        <v/>
      </c>
      <c r="LM28" s="4" t="str">
        <f t="shared" si="114"/>
        <v/>
      </c>
      <c r="LN28" s="4" t="str">
        <f t="shared" si="115"/>
        <v/>
      </c>
      <c r="LO28" s="4" t="str">
        <f t="shared" si="116"/>
        <v/>
      </c>
      <c r="LP28" s="4" t="str">
        <f t="shared" si="117"/>
        <v/>
      </c>
      <c r="LQ28" s="4" t="str">
        <f t="shared" si="118"/>
        <v/>
      </c>
      <c r="LR28" s="4" t="str">
        <f t="shared" si="119"/>
        <v/>
      </c>
      <c r="LS28" s="4" t="str">
        <f t="shared" si="120"/>
        <v/>
      </c>
      <c r="LT28" s="4" t="str">
        <f t="shared" si="121"/>
        <v/>
      </c>
      <c r="LU28" s="4" t="str">
        <f t="shared" si="122"/>
        <v/>
      </c>
      <c r="LV28" s="4" t="str">
        <f t="shared" si="123"/>
        <v/>
      </c>
      <c r="LW28" s="4" t="str">
        <f t="shared" si="124"/>
        <v/>
      </c>
      <c r="LX28" s="4" t="str">
        <f t="shared" si="125"/>
        <v/>
      </c>
      <c r="LY28" s="4" t="str">
        <f t="shared" si="126"/>
        <v/>
      </c>
      <c r="LZ28" s="4" t="str">
        <f t="shared" si="127"/>
        <v/>
      </c>
      <c r="MA28" s="4" t="str">
        <f t="shared" si="128"/>
        <v/>
      </c>
      <c r="MB28" s="4" t="str">
        <f t="shared" si="129"/>
        <v/>
      </c>
      <c r="MC28" s="4" t="str">
        <f t="shared" si="130"/>
        <v/>
      </c>
      <c r="MD28" s="4" t="str">
        <f t="shared" si="131"/>
        <v/>
      </c>
      <c r="ME28" s="4">
        <f t="shared" si="132"/>
        <v>0</v>
      </c>
    </row>
    <row r="29" spans="1:343" ht="26.25" customHeight="1" thickBot="1" x14ac:dyDescent="0.25">
      <c r="A29" s="35">
        <v>41346</v>
      </c>
      <c r="B29" s="36" t="s">
        <v>123</v>
      </c>
      <c r="C29" s="36" t="s">
        <v>124</v>
      </c>
      <c r="D29" s="31" t="s">
        <v>110</v>
      </c>
      <c r="E29" s="4">
        <v>57</v>
      </c>
      <c r="F29" s="3">
        <v>20262</v>
      </c>
      <c r="G29" s="4" t="s">
        <v>87</v>
      </c>
      <c r="H29" s="4" t="s">
        <v>108</v>
      </c>
      <c r="I29" s="4">
        <v>1836436</v>
      </c>
      <c r="J29" s="4" t="s">
        <v>310</v>
      </c>
      <c r="K29" s="80"/>
      <c r="L29" s="81"/>
      <c r="M29" s="81"/>
      <c r="N29" s="81"/>
      <c r="O29" s="81"/>
      <c r="P29" s="4">
        <v>-0.5</v>
      </c>
      <c r="Q29" s="4">
        <v>-0.43</v>
      </c>
      <c r="R29" s="51" t="s">
        <v>306</v>
      </c>
      <c r="S29" s="67">
        <v>28</v>
      </c>
      <c r="T29" s="136">
        <v>41344</v>
      </c>
      <c r="U29" s="67">
        <v>3</v>
      </c>
      <c r="V29" s="67">
        <v>0.75</v>
      </c>
      <c r="W29" s="4">
        <v>122</v>
      </c>
      <c r="X29" s="4">
        <v>30</v>
      </c>
      <c r="Y29" s="4">
        <v>12</v>
      </c>
      <c r="Z29" s="4">
        <v>656</v>
      </c>
      <c r="AA29" s="4">
        <v>23.02</v>
      </c>
      <c r="AB29" s="4">
        <v>12.3</v>
      </c>
      <c r="AC29" s="4">
        <v>4.8499999999999996</v>
      </c>
      <c r="AD29" s="4">
        <v>2.4</v>
      </c>
      <c r="AE29" s="4">
        <v>41.36</v>
      </c>
      <c r="AF29" s="4">
        <v>1</v>
      </c>
      <c r="AG29" s="4">
        <v>43.44</v>
      </c>
      <c r="AH29" s="4">
        <v>91</v>
      </c>
      <c r="AI29" s="4">
        <v>0</v>
      </c>
      <c r="AJ29" s="4" t="b">
        <f t="shared" si="0"/>
        <v>0</v>
      </c>
      <c r="AL29" s="4" t="s">
        <v>78</v>
      </c>
      <c r="BA29" s="4" t="str">
        <f t="shared" si="1"/>
        <v/>
      </c>
      <c r="BB29" s="4" t="str">
        <f t="shared" si="2"/>
        <v/>
      </c>
      <c r="BC29" s="4" t="str">
        <f t="shared" si="3"/>
        <v/>
      </c>
      <c r="BD29" s="51" t="s">
        <v>505</v>
      </c>
      <c r="BS29" s="4" t="str">
        <f t="shared" si="4"/>
        <v/>
      </c>
      <c r="BT29" s="4" t="str">
        <f t="shared" si="5"/>
        <v/>
      </c>
      <c r="BU29" s="4" t="str">
        <f t="shared" si="6"/>
        <v/>
      </c>
      <c r="BV29" s="4">
        <f>IF(AND(ISBLANK(SPH_6),ISBLANK(SPH_12)),0,1)</f>
        <v>0</v>
      </c>
      <c r="BW29" s="4">
        <f t="shared" si="8"/>
        <v>0</v>
      </c>
      <c r="BX29" s="4" t="str">
        <f t="shared" si="9"/>
        <v/>
      </c>
      <c r="BY29" s="4" t="str">
        <f t="shared" si="10"/>
        <v/>
      </c>
      <c r="BZ29" s="4" t="str">
        <f t="shared" si="11"/>
        <v/>
      </c>
      <c r="CA29" s="53">
        <f t="shared" si="12"/>
        <v>0</v>
      </c>
      <c r="CB29" s="55" t="str">
        <f t="shared" si="13"/>
        <v/>
      </c>
      <c r="CC29" s="4" t="str">
        <f t="shared" si="14"/>
        <v/>
      </c>
      <c r="CD29" s="4" t="str">
        <f t="shared" si="15"/>
        <v/>
      </c>
      <c r="CE29" s="4" t="str">
        <f t="shared" si="16"/>
        <v/>
      </c>
      <c r="CF29" s="4" t="str">
        <f t="shared" si="17"/>
        <v/>
      </c>
      <c r="CG29" s="4" t="str">
        <f t="shared" si="18"/>
        <v/>
      </c>
      <c r="CH29" s="4" t="str">
        <f t="shared" si="19"/>
        <v/>
      </c>
      <c r="CI29" s="104" t="str">
        <f t="shared" si="20"/>
        <v/>
      </c>
      <c r="CJ29" s="94" t="str">
        <f t="shared" si="21"/>
        <v/>
      </c>
      <c r="CK29" s="4" t="str">
        <f t="shared" si="22"/>
        <v/>
      </c>
      <c r="CL29" s="107" t="str">
        <f t="shared" si="23"/>
        <v/>
      </c>
      <c r="CM29" s="107" t="str">
        <f t="shared" si="24"/>
        <v/>
      </c>
      <c r="CN29" s="139" t="str">
        <f t="shared" si="25"/>
        <v/>
      </c>
      <c r="CO29" s="139" t="str">
        <f t="shared" si="26"/>
        <v/>
      </c>
      <c r="CP29" s="149" t="str">
        <f t="shared" si="27"/>
        <v/>
      </c>
      <c r="CQ29" s="149" t="str">
        <f t="shared" si="28"/>
        <v/>
      </c>
      <c r="CR29" s="148" t="str">
        <f t="shared" si="29"/>
        <v/>
      </c>
      <c r="CS29" s="152" t="str">
        <f t="shared" si="30"/>
        <v/>
      </c>
      <c r="CT29" s="107" t="str">
        <f t="shared" si="31"/>
        <v/>
      </c>
      <c r="CU29" s="155" t="str">
        <f t="shared" si="32"/>
        <v/>
      </c>
      <c r="IJ29" s="94" t="str">
        <f t="shared" si="33"/>
        <v/>
      </c>
      <c r="IK29" s="4" t="str">
        <f t="shared" si="34"/>
        <v/>
      </c>
      <c r="IL29" s="4" t="str">
        <f t="shared" si="35"/>
        <v/>
      </c>
      <c r="IM29" s="4" t="str">
        <f t="shared" si="36"/>
        <v/>
      </c>
      <c r="IN29" s="4" t="str">
        <f t="shared" si="37"/>
        <v/>
      </c>
      <c r="IO29" s="4" t="str">
        <f t="shared" si="38"/>
        <v/>
      </c>
      <c r="IP29" s="4" t="str">
        <f t="shared" si="39"/>
        <v/>
      </c>
      <c r="IQ29" s="4" t="str">
        <f t="shared" si="40"/>
        <v/>
      </c>
      <c r="IR29" s="4" t="str">
        <f t="shared" si="41"/>
        <v/>
      </c>
      <c r="IS29" s="4" t="str">
        <f t="shared" si="42"/>
        <v/>
      </c>
      <c r="IT29" s="4" t="str">
        <f t="shared" si="43"/>
        <v/>
      </c>
      <c r="IU29" s="4" t="str">
        <f t="shared" si="44"/>
        <v/>
      </c>
      <c r="IV29" s="4" t="str">
        <f t="shared" si="45"/>
        <v/>
      </c>
      <c r="IW29" s="4" t="str">
        <f t="shared" si="46"/>
        <v/>
      </c>
      <c r="IX29" s="4" t="str">
        <f t="shared" si="47"/>
        <v/>
      </c>
      <c r="IY29" s="4" t="str">
        <f t="shared" si="48"/>
        <v/>
      </c>
      <c r="IZ29" s="4" t="str">
        <f t="shared" si="49"/>
        <v/>
      </c>
      <c r="JA29" s="4" t="str">
        <f t="shared" si="50"/>
        <v/>
      </c>
      <c r="JB29" s="4" t="str">
        <f t="shared" si="51"/>
        <v/>
      </c>
      <c r="JC29" s="4" t="str">
        <f t="shared" si="52"/>
        <v/>
      </c>
      <c r="JD29" s="4" t="str">
        <f t="shared" si="53"/>
        <v/>
      </c>
      <c r="JE29" s="4" t="str">
        <f t="shared" si="54"/>
        <v/>
      </c>
      <c r="JF29" s="4" t="str">
        <f t="shared" si="55"/>
        <v/>
      </c>
      <c r="JG29" s="4" t="str">
        <f t="shared" si="56"/>
        <v/>
      </c>
      <c r="JH29" s="4" t="str">
        <f t="shared" si="57"/>
        <v/>
      </c>
      <c r="JI29" s="4" t="str">
        <f t="shared" si="58"/>
        <v/>
      </c>
      <c r="JJ29" s="4" t="str">
        <f t="shared" si="59"/>
        <v/>
      </c>
      <c r="JK29" s="4" t="str">
        <f t="shared" si="60"/>
        <v/>
      </c>
      <c r="JL29" s="4" t="str">
        <f t="shared" si="61"/>
        <v/>
      </c>
      <c r="JM29" s="4" t="str">
        <f t="shared" si="62"/>
        <v/>
      </c>
      <c r="JN29" s="4" t="str">
        <f t="shared" si="63"/>
        <v/>
      </c>
      <c r="JO29" s="129" t="str">
        <f t="shared" si="64"/>
        <v/>
      </c>
      <c r="JP29" s="122" t="str">
        <f t="shared" si="65"/>
        <v/>
      </c>
      <c r="JQ29" s="122" t="str">
        <f t="shared" si="66"/>
        <v/>
      </c>
      <c r="JR29" s="122" t="str">
        <f t="shared" si="67"/>
        <v/>
      </c>
      <c r="JS29" s="122" t="str">
        <f t="shared" si="68"/>
        <v/>
      </c>
      <c r="JT29" s="122" t="str">
        <f t="shared" si="69"/>
        <v/>
      </c>
      <c r="JU29" s="122" t="str">
        <f t="shared" si="70"/>
        <v/>
      </c>
      <c r="JV29" s="122" t="str">
        <f t="shared" si="71"/>
        <v/>
      </c>
      <c r="JW29" s="122" t="str">
        <f t="shared" si="72"/>
        <v/>
      </c>
      <c r="JX29" s="122" t="str">
        <f t="shared" si="73"/>
        <v/>
      </c>
      <c r="JY29" s="122" t="str">
        <f t="shared" si="74"/>
        <v/>
      </c>
      <c r="JZ29" s="122" t="str">
        <f t="shared" si="75"/>
        <v/>
      </c>
      <c r="KA29" s="122" t="str">
        <f t="shared" si="76"/>
        <v/>
      </c>
      <c r="KB29" s="122" t="str">
        <f t="shared" si="77"/>
        <v/>
      </c>
      <c r="KC29" s="122" t="str">
        <f t="shared" si="78"/>
        <v/>
      </c>
      <c r="KD29" s="122" t="str">
        <f t="shared" si="79"/>
        <v/>
      </c>
      <c r="KE29" s="133" t="str">
        <f t="shared" si="80"/>
        <v/>
      </c>
      <c r="KF29" s="94" t="str">
        <f t="shared" si="81"/>
        <v/>
      </c>
      <c r="KG29" s="4" t="str">
        <f t="shared" si="82"/>
        <v/>
      </c>
      <c r="KH29" s="4" t="str">
        <f t="shared" si="83"/>
        <v/>
      </c>
      <c r="KI29" s="4" t="str">
        <f t="shared" si="84"/>
        <v/>
      </c>
      <c r="KJ29" s="4" t="str">
        <f t="shared" si="85"/>
        <v/>
      </c>
      <c r="KK29" s="4" t="str">
        <f t="shared" si="86"/>
        <v/>
      </c>
      <c r="KL29" s="4" t="str">
        <f t="shared" si="87"/>
        <v/>
      </c>
      <c r="KM29" s="4" t="str">
        <f t="shared" si="88"/>
        <v/>
      </c>
      <c r="KN29" s="4" t="str">
        <f t="shared" si="89"/>
        <v/>
      </c>
      <c r="KO29" s="4" t="str">
        <f t="shared" si="90"/>
        <v/>
      </c>
      <c r="KP29" s="4" t="str">
        <f t="shared" si="91"/>
        <v/>
      </c>
      <c r="KQ29" s="4" t="str">
        <f t="shared" si="92"/>
        <v/>
      </c>
      <c r="KR29" s="4" t="str">
        <f t="shared" si="93"/>
        <v/>
      </c>
      <c r="KS29" s="4" t="str">
        <f t="shared" si="94"/>
        <v/>
      </c>
      <c r="KT29" s="4" t="str">
        <f t="shared" si="95"/>
        <v/>
      </c>
      <c r="KU29" s="4" t="str">
        <f t="shared" si="96"/>
        <v/>
      </c>
      <c r="KV29" s="4" t="str">
        <f t="shared" si="97"/>
        <v/>
      </c>
      <c r="KW29" s="4" t="str">
        <f t="shared" si="98"/>
        <v/>
      </c>
      <c r="KX29" s="4" t="str">
        <f t="shared" si="99"/>
        <v/>
      </c>
      <c r="KY29" s="4" t="str">
        <f t="shared" si="100"/>
        <v/>
      </c>
      <c r="KZ29" s="4" t="str">
        <f t="shared" si="101"/>
        <v/>
      </c>
      <c r="LA29" s="4" t="str">
        <f t="shared" si="102"/>
        <v/>
      </c>
      <c r="LB29" s="4" t="str">
        <f t="shared" si="103"/>
        <v/>
      </c>
      <c r="LC29" s="4" t="str">
        <f t="shared" si="104"/>
        <v/>
      </c>
      <c r="LD29" s="4" t="str">
        <f t="shared" si="105"/>
        <v/>
      </c>
      <c r="LE29" s="4" t="str">
        <f t="shared" si="106"/>
        <v/>
      </c>
      <c r="LF29" s="4" t="str">
        <f t="shared" si="107"/>
        <v/>
      </c>
      <c r="LG29" s="4" t="str">
        <f t="shared" si="108"/>
        <v/>
      </c>
      <c r="LH29" s="4" t="str">
        <f t="shared" si="109"/>
        <v/>
      </c>
      <c r="LI29" s="4" t="str">
        <f t="shared" si="110"/>
        <v/>
      </c>
      <c r="LJ29" s="4" t="str">
        <f t="shared" si="111"/>
        <v/>
      </c>
      <c r="LK29" s="4" t="str">
        <f t="shared" si="112"/>
        <v/>
      </c>
      <c r="LL29" s="4" t="str">
        <f t="shared" si="113"/>
        <v/>
      </c>
      <c r="LM29" s="4" t="str">
        <f t="shared" si="114"/>
        <v/>
      </c>
      <c r="LN29" s="4" t="str">
        <f t="shared" si="115"/>
        <v/>
      </c>
      <c r="LO29" s="4" t="str">
        <f t="shared" si="116"/>
        <v/>
      </c>
      <c r="LP29" s="4" t="str">
        <f t="shared" si="117"/>
        <v/>
      </c>
      <c r="LQ29" s="4" t="str">
        <f t="shared" si="118"/>
        <v/>
      </c>
      <c r="LR29" s="4" t="str">
        <f t="shared" si="119"/>
        <v/>
      </c>
      <c r="LS29" s="4" t="str">
        <f t="shared" si="120"/>
        <v/>
      </c>
      <c r="LT29" s="4" t="str">
        <f t="shared" si="121"/>
        <v/>
      </c>
      <c r="LU29" s="4" t="str">
        <f t="shared" si="122"/>
        <v/>
      </c>
      <c r="LV29" s="4" t="str">
        <f t="shared" si="123"/>
        <v/>
      </c>
      <c r="LW29" s="4" t="str">
        <f t="shared" si="124"/>
        <v/>
      </c>
      <c r="LX29" s="4" t="str">
        <f t="shared" si="125"/>
        <v/>
      </c>
      <c r="LY29" s="4" t="str">
        <f t="shared" si="126"/>
        <v/>
      </c>
      <c r="LZ29" s="4" t="str">
        <f t="shared" si="127"/>
        <v/>
      </c>
      <c r="MA29" s="4" t="str">
        <f t="shared" si="128"/>
        <v/>
      </c>
      <c r="MB29" s="4" t="str">
        <f t="shared" si="129"/>
        <v/>
      </c>
      <c r="MC29" s="4" t="str">
        <f t="shared" si="130"/>
        <v/>
      </c>
      <c r="MD29" s="4" t="str">
        <f t="shared" si="131"/>
        <v/>
      </c>
      <c r="ME29" s="4">
        <f t="shared" si="132"/>
        <v>0</v>
      </c>
    </row>
    <row r="30" spans="1:343" ht="26.25" customHeight="1" thickBot="1" x14ac:dyDescent="0.25">
      <c r="A30" s="35">
        <v>41374</v>
      </c>
      <c r="B30" s="36" t="s">
        <v>136</v>
      </c>
      <c r="C30" s="36" t="s">
        <v>67</v>
      </c>
      <c r="D30" s="31" t="s">
        <v>111</v>
      </c>
      <c r="E30" s="4">
        <v>81</v>
      </c>
      <c r="F30" s="3">
        <v>11705</v>
      </c>
      <c r="G30" s="4" t="s">
        <v>87</v>
      </c>
      <c r="H30" s="4" t="s">
        <v>108</v>
      </c>
      <c r="I30" s="4">
        <v>1836477</v>
      </c>
      <c r="K30" s="80"/>
      <c r="L30" s="81"/>
      <c r="M30" s="81"/>
      <c r="N30" s="81"/>
      <c r="O30" s="81"/>
      <c r="P30" s="33">
        <v>-0.5</v>
      </c>
      <c r="Q30" s="33">
        <v>-0.57999999999999996</v>
      </c>
      <c r="R30" s="39" t="s">
        <v>249</v>
      </c>
      <c r="S30" s="67">
        <v>20.25</v>
      </c>
      <c r="T30" s="136">
        <v>41372</v>
      </c>
      <c r="U30" s="67" t="s">
        <v>91</v>
      </c>
      <c r="AI30" s="4">
        <v>0</v>
      </c>
      <c r="AJ30" s="4" t="b">
        <f t="shared" si="0"/>
        <v>0</v>
      </c>
      <c r="AL30" s="51" t="s">
        <v>78</v>
      </c>
      <c r="AM30" s="60"/>
      <c r="BA30" s="4" t="str">
        <f t="shared" si="1"/>
        <v/>
      </c>
      <c r="BB30" s="4" t="str">
        <f t="shared" si="2"/>
        <v/>
      </c>
      <c r="BC30" s="4" t="str">
        <f t="shared" si="3"/>
        <v/>
      </c>
      <c r="BD30" s="51" t="s">
        <v>505</v>
      </c>
      <c r="BS30" s="4" t="str">
        <f t="shared" si="4"/>
        <v/>
      </c>
      <c r="BT30" s="4" t="str">
        <f t="shared" si="5"/>
        <v/>
      </c>
      <c r="BU30" s="4" t="str">
        <f t="shared" si="6"/>
        <v/>
      </c>
      <c r="BV30" s="4">
        <f>IF(AND(ISBLANK(SPH_6),ISBLANK(SPH_12)),0,1)</f>
        <v>0</v>
      </c>
      <c r="BW30" s="4">
        <f t="shared" si="8"/>
        <v>0</v>
      </c>
      <c r="BX30" s="4" t="str">
        <f t="shared" si="9"/>
        <v/>
      </c>
      <c r="BY30" s="4" t="str">
        <f t="shared" si="10"/>
        <v/>
      </c>
      <c r="BZ30" s="4" t="str">
        <f t="shared" si="11"/>
        <v/>
      </c>
      <c r="CA30" s="53">
        <f t="shared" si="12"/>
        <v>0</v>
      </c>
      <c r="CB30" s="55" t="str">
        <f t="shared" si="13"/>
        <v/>
      </c>
      <c r="CC30" s="4" t="str">
        <f t="shared" si="14"/>
        <v/>
      </c>
      <c r="CD30" s="4" t="str">
        <f t="shared" si="15"/>
        <v/>
      </c>
      <c r="CE30" s="4" t="str">
        <f t="shared" si="16"/>
        <v/>
      </c>
      <c r="CF30" s="4" t="str">
        <f t="shared" si="17"/>
        <v/>
      </c>
      <c r="CG30" s="4" t="str">
        <f t="shared" si="18"/>
        <v/>
      </c>
      <c r="CH30" s="4" t="str">
        <f t="shared" si="19"/>
        <v/>
      </c>
      <c r="CI30" s="104" t="str">
        <f t="shared" si="20"/>
        <v/>
      </c>
      <c r="CJ30" s="94" t="str">
        <f t="shared" si="21"/>
        <v/>
      </c>
      <c r="CK30" s="4" t="str">
        <f t="shared" si="22"/>
        <v/>
      </c>
      <c r="CL30" s="107" t="str">
        <f t="shared" si="23"/>
        <v/>
      </c>
      <c r="CM30" s="107" t="str">
        <f t="shared" si="24"/>
        <v/>
      </c>
      <c r="CN30" s="139" t="str">
        <f t="shared" si="25"/>
        <v/>
      </c>
      <c r="CO30" s="139" t="str">
        <f t="shared" si="26"/>
        <v/>
      </c>
      <c r="CP30" s="149" t="str">
        <f t="shared" si="27"/>
        <v/>
      </c>
      <c r="CQ30" s="149" t="str">
        <f t="shared" si="28"/>
        <v/>
      </c>
      <c r="CR30" s="148" t="str">
        <f t="shared" si="29"/>
        <v/>
      </c>
      <c r="CS30" s="152" t="str">
        <f t="shared" si="30"/>
        <v/>
      </c>
      <c r="CT30" s="107" t="str">
        <f t="shared" si="31"/>
        <v/>
      </c>
      <c r="CU30" s="155" t="str">
        <f t="shared" si="32"/>
        <v/>
      </c>
      <c r="CV30">
        <v>7.69</v>
      </c>
      <c r="CW30" s="4">
        <v>7.55</v>
      </c>
      <c r="CX30" s="4">
        <v>160.19999999999999</v>
      </c>
      <c r="CY30" s="4">
        <v>-0.8</v>
      </c>
      <c r="CZ30" s="4">
        <v>0.24</v>
      </c>
      <c r="DA30" s="4">
        <v>0.36</v>
      </c>
      <c r="DB30" s="4">
        <v>2.64</v>
      </c>
      <c r="DC30" s="4">
        <v>3.21</v>
      </c>
      <c r="DD30" s="4">
        <v>575</v>
      </c>
      <c r="DE30" s="4">
        <v>575</v>
      </c>
      <c r="DF30" s="4">
        <v>606</v>
      </c>
      <c r="DG30" s="4">
        <v>623</v>
      </c>
      <c r="DH30" s="4">
        <v>628</v>
      </c>
      <c r="DI30" s="4">
        <v>614</v>
      </c>
      <c r="DJ30" s="4">
        <v>570</v>
      </c>
      <c r="DK30" s="4">
        <v>7.0000000000000007E-2</v>
      </c>
      <c r="DL30" s="4">
        <v>0.93</v>
      </c>
      <c r="DM30" s="4">
        <v>7.62</v>
      </c>
      <c r="DN30" s="4">
        <v>7.62</v>
      </c>
      <c r="DO30" s="4">
        <v>7.62</v>
      </c>
      <c r="DP30" s="4">
        <v>7.69</v>
      </c>
      <c r="DQ30" s="4">
        <v>7.92</v>
      </c>
      <c r="DR30" s="4">
        <v>8.1300000000000008</v>
      </c>
      <c r="DS30" s="4">
        <v>0</v>
      </c>
      <c r="DT30" s="4">
        <v>0.9</v>
      </c>
      <c r="DU30" s="4">
        <v>6.71</v>
      </c>
      <c r="DV30" s="4">
        <v>6.67</v>
      </c>
      <c r="DW30" s="4">
        <v>6.67</v>
      </c>
      <c r="DX30" s="4">
        <v>6.82</v>
      </c>
      <c r="DY30" s="4">
        <v>7.05</v>
      </c>
      <c r="DZ30" s="4">
        <v>0</v>
      </c>
      <c r="EA30" s="4">
        <v>0</v>
      </c>
      <c r="EB30" s="100">
        <v>0.9</v>
      </c>
      <c r="EC30" s="122">
        <v>43.9</v>
      </c>
      <c r="ED30" s="122">
        <v>44.7</v>
      </c>
      <c r="EE30" s="122">
        <v>44.3</v>
      </c>
      <c r="EF30" s="122">
        <v>160.19999999999999</v>
      </c>
      <c r="EG30" s="122">
        <v>0.8</v>
      </c>
      <c r="EH30" s="122">
        <v>-5.9</v>
      </c>
      <c r="EI30" s="122">
        <v>-5.9</v>
      </c>
      <c r="EJ30" s="122">
        <v>-5.9</v>
      </c>
      <c r="EK30" s="122">
        <v>138.9</v>
      </c>
      <c r="EL30" s="122">
        <v>0</v>
      </c>
      <c r="EM30" s="122">
        <v>4.0999999999999996</v>
      </c>
      <c r="EN30" s="122">
        <v>11.8</v>
      </c>
      <c r="EO30" s="122">
        <v>24.7</v>
      </c>
      <c r="EP30" s="122">
        <v>56.9</v>
      </c>
      <c r="EQ30" s="126">
        <v>20</v>
      </c>
      <c r="IJ30" s="94" t="str">
        <f t="shared" si="33"/>
        <v/>
      </c>
      <c r="IK30" s="4" t="str">
        <f t="shared" si="34"/>
        <v/>
      </c>
      <c r="IL30" s="4" t="str">
        <f t="shared" si="35"/>
        <v/>
      </c>
      <c r="IM30" s="4" t="str">
        <f t="shared" si="36"/>
        <v/>
      </c>
      <c r="IN30" s="4" t="str">
        <f t="shared" si="37"/>
        <v/>
      </c>
      <c r="IO30" s="4" t="str">
        <f t="shared" si="38"/>
        <v/>
      </c>
      <c r="IP30" s="4" t="str">
        <f t="shared" si="39"/>
        <v/>
      </c>
      <c r="IQ30" s="4" t="str">
        <f t="shared" si="40"/>
        <v/>
      </c>
      <c r="IR30" s="4" t="str">
        <f t="shared" si="41"/>
        <v/>
      </c>
      <c r="IS30" s="4" t="str">
        <f t="shared" si="42"/>
        <v/>
      </c>
      <c r="IT30" s="4" t="str">
        <f t="shared" si="43"/>
        <v/>
      </c>
      <c r="IU30" s="4" t="str">
        <f t="shared" si="44"/>
        <v/>
      </c>
      <c r="IV30" s="4" t="str">
        <f t="shared" si="45"/>
        <v/>
      </c>
      <c r="IW30" s="4" t="str">
        <f t="shared" si="46"/>
        <v/>
      </c>
      <c r="IX30" s="4" t="str">
        <f t="shared" si="47"/>
        <v/>
      </c>
      <c r="IY30" s="4" t="str">
        <f t="shared" si="48"/>
        <v/>
      </c>
      <c r="IZ30" s="4" t="str">
        <f t="shared" si="49"/>
        <v/>
      </c>
      <c r="JA30" s="4" t="str">
        <f t="shared" si="50"/>
        <v/>
      </c>
      <c r="JB30" s="4" t="str">
        <f t="shared" si="51"/>
        <v/>
      </c>
      <c r="JC30" s="4" t="str">
        <f t="shared" si="52"/>
        <v/>
      </c>
      <c r="JD30" s="4" t="str">
        <f t="shared" si="53"/>
        <v/>
      </c>
      <c r="JE30" s="4" t="str">
        <f t="shared" si="54"/>
        <v/>
      </c>
      <c r="JF30" s="4" t="str">
        <f t="shared" si="55"/>
        <v/>
      </c>
      <c r="JG30" s="4" t="str">
        <f t="shared" si="56"/>
        <v/>
      </c>
      <c r="JH30" s="4" t="str">
        <f t="shared" si="57"/>
        <v/>
      </c>
      <c r="JI30" s="4" t="str">
        <f t="shared" si="58"/>
        <v/>
      </c>
      <c r="JJ30" s="4" t="str">
        <f t="shared" si="59"/>
        <v/>
      </c>
      <c r="JK30" s="4" t="str">
        <f t="shared" si="60"/>
        <v/>
      </c>
      <c r="JL30" s="4" t="str">
        <f t="shared" si="61"/>
        <v/>
      </c>
      <c r="JM30" s="4" t="str">
        <f t="shared" si="62"/>
        <v/>
      </c>
      <c r="JN30" s="4" t="str">
        <f t="shared" si="63"/>
        <v/>
      </c>
      <c r="JO30" s="129" t="str">
        <f t="shared" si="64"/>
        <v/>
      </c>
      <c r="JP30" s="122" t="str">
        <f t="shared" si="65"/>
        <v/>
      </c>
      <c r="JQ30" s="122" t="str">
        <f t="shared" si="66"/>
        <v/>
      </c>
      <c r="JR30" s="122" t="str">
        <f t="shared" si="67"/>
        <v/>
      </c>
      <c r="JS30" s="122" t="str">
        <f t="shared" si="68"/>
        <v/>
      </c>
      <c r="JT30" s="122" t="str">
        <f t="shared" si="69"/>
        <v/>
      </c>
      <c r="JU30" s="122" t="str">
        <f t="shared" si="70"/>
        <v/>
      </c>
      <c r="JV30" s="122" t="str">
        <f t="shared" si="71"/>
        <v/>
      </c>
      <c r="JW30" s="122" t="str">
        <f t="shared" si="72"/>
        <v/>
      </c>
      <c r="JX30" s="122" t="str">
        <f t="shared" si="73"/>
        <v/>
      </c>
      <c r="JY30" s="122" t="str">
        <f t="shared" si="74"/>
        <v/>
      </c>
      <c r="JZ30" s="122" t="str">
        <f t="shared" si="75"/>
        <v/>
      </c>
      <c r="KA30" s="122" t="str">
        <f t="shared" si="76"/>
        <v/>
      </c>
      <c r="KB30" s="122" t="str">
        <f t="shared" si="77"/>
        <v/>
      </c>
      <c r="KC30" s="122" t="str">
        <f t="shared" si="78"/>
        <v/>
      </c>
      <c r="KD30" s="122" t="str">
        <f t="shared" si="79"/>
        <v/>
      </c>
      <c r="KE30" s="133" t="str">
        <f t="shared" si="80"/>
        <v/>
      </c>
      <c r="KF30" s="94" t="str">
        <f t="shared" si="81"/>
        <v/>
      </c>
      <c r="KG30" s="4" t="str">
        <f t="shared" si="82"/>
        <v/>
      </c>
      <c r="KH30" s="4" t="str">
        <f t="shared" si="83"/>
        <v/>
      </c>
      <c r="KI30" s="4" t="str">
        <f t="shared" si="84"/>
        <v/>
      </c>
      <c r="KJ30" s="4" t="str">
        <f t="shared" si="85"/>
        <v/>
      </c>
      <c r="KK30" s="4" t="str">
        <f t="shared" si="86"/>
        <v/>
      </c>
      <c r="KL30" s="4" t="str">
        <f t="shared" si="87"/>
        <v/>
      </c>
      <c r="KM30" s="4" t="str">
        <f t="shared" si="88"/>
        <v/>
      </c>
      <c r="KN30" s="4" t="str">
        <f t="shared" si="89"/>
        <v/>
      </c>
      <c r="KO30" s="4" t="str">
        <f t="shared" si="90"/>
        <v/>
      </c>
      <c r="KP30" s="4" t="str">
        <f t="shared" si="91"/>
        <v/>
      </c>
      <c r="KQ30" s="4" t="str">
        <f t="shared" si="92"/>
        <v/>
      </c>
      <c r="KR30" s="4" t="str">
        <f t="shared" si="93"/>
        <v/>
      </c>
      <c r="KS30" s="4" t="str">
        <f t="shared" si="94"/>
        <v/>
      </c>
      <c r="KT30" s="4" t="str">
        <f t="shared" si="95"/>
        <v/>
      </c>
      <c r="KU30" s="4" t="str">
        <f t="shared" si="96"/>
        <v/>
      </c>
      <c r="KV30" s="4" t="str">
        <f t="shared" si="97"/>
        <v/>
      </c>
      <c r="KW30" s="4" t="str">
        <f t="shared" si="98"/>
        <v/>
      </c>
      <c r="KX30" s="4" t="str">
        <f t="shared" si="99"/>
        <v/>
      </c>
      <c r="KY30" s="4" t="str">
        <f t="shared" si="100"/>
        <v/>
      </c>
      <c r="KZ30" s="4" t="str">
        <f t="shared" si="101"/>
        <v/>
      </c>
      <c r="LA30" s="4" t="str">
        <f t="shared" si="102"/>
        <v/>
      </c>
      <c r="LB30" s="4" t="str">
        <f t="shared" si="103"/>
        <v/>
      </c>
      <c r="LC30" s="4" t="str">
        <f t="shared" si="104"/>
        <v/>
      </c>
      <c r="LD30" s="4" t="str">
        <f t="shared" si="105"/>
        <v/>
      </c>
      <c r="LE30" s="4" t="str">
        <f t="shared" si="106"/>
        <v/>
      </c>
      <c r="LF30" s="4" t="str">
        <f t="shared" si="107"/>
        <v/>
      </c>
      <c r="LG30" s="4" t="str">
        <f t="shared" si="108"/>
        <v/>
      </c>
      <c r="LH30" s="4" t="str">
        <f t="shared" si="109"/>
        <v/>
      </c>
      <c r="LI30" s="4" t="str">
        <f t="shared" si="110"/>
        <v/>
      </c>
      <c r="LJ30" s="4" t="str">
        <f t="shared" si="111"/>
        <v/>
      </c>
      <c r="LK30" s="4" t="str">
        <f t="shared" si="112"/>
        <v/>
      </c>
      <c r="LL30" s="4" t="str">
        <f t="shared" si="113"/>
        <v/>
      </c>
      <c r="LM30" s="4" t="str">
        <f t="shared" si="114"/>
        <v/>
      </c>
      <c r="LN30" s="4" t="str">
        <f t="shared" si="115"/>
        <v/>
      </c>
      <c r="LO30" s="4" t="str">
        <f t="shared" si="116"/>
        <v/>
      </c>
      <c r="LP30" s="4" t="str">
        <f t="shared" si="117"/>
        <v/>
      </c>
      <c r="LQ30" s="4" t="str">
        <f t="shared" si="118"/>
        <v/>
      </c>
      <c r="LR30" s="4" t="str">
        <f t="shared" si="119"/>
        <v/>
      </c>
      <c r="LS30" s="4" t="str">
        <f t="shared" si="120"/>
        <v/>
      </c>
      <c r="LT30" s="4" t="str">
        <f t="shared" si="121"/>
        <v/>
      </c>
      <c r="LU30" s="4" t="str">
        <f t="shared" si="122"/>
        <v/>
      </c>
      <c r="LV30" s="4" t="str">
        <f t="shared" si="123"/>
        <v/>
      </c>
      <c r="LW30" s="4" t="str">
        <f t="shared" si="124"/>
        <v/>
      </c>
      <c r="LX30" s="4" t="str">
        <f t="shared" si="125"/>
        <v/>
      </c>
      <c r="LY30" s="4" t="str">
        <f t="shared" si="126"/>
        <v/>
      </c>
      <c r="LZ30" s="4" t="str">
        <f t="shared" si="127"/>
        <v/>
      </c>
      <c r="MA30" s="4" t="str">
        <f t="shared" si="128"/>
        <v/>
      </c>
      <c r="MB30" s="4" t="str">
        <f t="shared" si="129"/>
        <v/>
      </c>
      <c r="MC30" s="4" t="str">
        <f t="shared" si="130"/>
        <v/>
      </c>
      <c r="MD30" s="4" t="str">
        <f t="shared" si="131"/>
        <v/>
      </c>
      <c r="ME30" s="4">
        <f t="shared" si="132"/>
        <v>0</v>
      </c>
    </row>
    <row r="31" spans="1:343" ht="26.25" customHeight="1" thickBot="1" x14ac:dyDescent="0.25">
      <c r="A31" s="35">
        <v>41367</v>
      </c>
      <c r="B31" s="36" t="s">
        <v>136</v>
      </c>
      <c r="C31" s="36" t="s">
        <v>88</v>
      </c>
      <c r="D31" s="31" t="s">
        <v>110</v>
      </c>
      <c r="E31" s="4">
        <v>81</v>
      </c>
      <c r="F31" s="3">
        <v>11705</v>
      </c>
      <c r="G31" s="4" t="s">
        <v>87</v>
      </c>
      <c r="H31" s="4" t="s">
        <v>108</v>
      </c>
      <c r="I31" s="4">
        <v>1836477</v>
      </c>
      <c r="P31" s="33">
        <v>-0.5</v>
      </c>
      <c r="Q31" s="33">
        <v>-0.52</v>
      </c>
      <c r="R31" s="39" t="s">
        <v>249</v>
      </c>
      <c r="S31" s="67">
        <v>20.75</v>
      </c>
      <c r="T31" s="136">
        <v>41365</v>
      </c>
      <c r="Y31" s="4">
        <v>17</v>
      </c>
      <c r="Z31" s="4">
        <v>583</v>
      </c>
      <c r="AI31" s="4">
        <v>1</v>
      </c>
      <c r="AJ31" s="4" t="b">
        <f t="shared" si="0"/>
        <v>1</v>
      </c>
      <c r="AK31" s="54"/>
      <c r="AL31" s="51" t="s">
        <v>78</v>
      </c>
      <c r="BA31" s="4" t="str">
        <f t="shared" si="1"/>
        <v/>
      </c>
      <c r="BB31" s="4" t="str">
        <f t="shared" si="2"/>
        <v/>
      </c>
      <c r="BC31" s="4" t="str">
        <f t="shared" si="3"/>
        <v/>
      </c>
      <c r="BD31" s="51" t="s">
        <v>505</v>
      </c>
      <c r="BS31" s="4" t="str">
        <f t="shared" si="4"/>
        <v/>
      </c>
      <c r="BT31" s="4" t="str">
        <f t="shared" si="5"/>
        <v/>
      </c>
      <c r="BU31" s="4" t="str">
        <f t="shared" si="6"/>
        <v/>
      </c>
      <c r="BV31" s="4">
        <f>IF(AND(ISBLANK(SPH_6),ISBLANK(SPH_12)),0,1)</f>
        <v>0</v>
      </c>
      <c r="BW31" s="4">
        <f t="shared" si="8"/>
        <v>0</v>
      </c>
      <c r="BX31" s="4" t="str">
        <f t="shared" si="9"/>
        <v/>
      </c>
      <c r="BY31" s="4" t="str">
        <f t="shared" si="10"/>
        <v/>
      </c>
      <c r="BZ31" s="4" t="str">
        <f t="shared" si="11"/>
        <v/>
      </c>
      <c r="CA31" s="53">
        <f t="shared" si="12"/>
        <v>0</v>
      </c>
      <c r="CB31" s="55" t="str">
        <f t="shared" si="13"/>
        <v/>
      </c>
      <c r="CC31" s="4" t="str">
        <f t="shared" si="14"/>
        <v/>
      </c>
      <c r="CD31" s="4" t="str">
        <f t="shared" si="15"/>
        <v/>
      </c>
      <c r="CE31" s="4" t="str">
        <f t="shared" si="16"/>
        <v/>
      </c>
      <c r="CF31" s="4" t="str">
        <f t="shared" si="17"/>
        <v/>
      </c>
      <c r="CG31" s="4" t="str">
        <f t="shared" si="18"/>
        <v/>
      </c>
      <c r="CH31" s="4" t="str">
        <f t="shared" si="19"/>
        <v/>
      </c>
      <c r="CI31" s="104" t="str">
        <f t="shared" si="20"/>
        <v/>
      </c>
      <c r="CJ31" s="94" t="str">
        <f t="shared" si="21"/>
        <v/>
      </c>
      <c r="CK31" s="4" t="str">
        <f t="shared" si="22"/>
        <v/>
      </c>
      <c r="CL31" s="107" t="str">
        <f t="shared" si="23"/>
        <v/>
      </c>
      <c r="CM31" s="107" t="str">
        <f t="shared" si="24"/>
        <v/>
      </c>
      <c r="CN31" s="139" t="str">
        <f t="shared" si="25"/>
        <v/>
      </c>
      <c r="CO31" s="139" t="str">
        <f t="shared" si="26"/>
        <v/>
      </c>
      <c r="CP31" s="149" t="str">
        <f t="shared" si="27"/>
        <v/>
      </c>
      <c r="CQ31" s="149" t="str">
        <f t="shared" si="28"/>
        <v/>
      </c>
      <c r="CR31" s="148" t="str">
        <f t="shared" si="29"/>
        <v/>
      </c>
      <c r="CS31" s="152" t="str">
        <f t="shared" si="30"/>
        <v/>
      </c>
      <c r="CT31" s="107" t="str">
        <f t="shared" si="31"/>
        <v/>
      </c>
      <c r="CU31" s="155" t="str">
        <f t="shared" si="32"/>
        <v/>
      </c>
      <c r="CV31">
        <v>7.74</v>
      </c>
      <c r="CW31" s="4">
        <v>7.67</v>
      </c>
      <c r="CX31" s="4">
        <v>8</v>
      </c>
      <c r="CY31" s="4">
        <v>-0.4</v>
      </c>
      <c r="CZ31" s="4">
        <v>0.04</v>
      </c>
      <c r="DA31" s="4">
        <v>0.24</v>
      </c>
      <c r="DB31" s="4">
        <v>2.63</v>
      </c>
      <c r="DC31" s="4">
        <v>3.22</v>
      </c>
      <c r="DD31" s="4">
        <v>588</v>
      </c>
      <c r="DE31" s="4">
        <v>593</v>
      </c>
      <c r="DF31" s="4">
        <v>627</v>
      </c>
      <c r="DG31" s="4">
        <v>624</v>
      </c>
      <c r="DH31" s="4">
        <v>633</v>
      </c>
      <c r="DI31" s="4">
        <v>620</v>
      </c>
      <c r="DJ31" s="4">
        <v>574</v>
      </c>
      <c r="DK31" s="4">
        <v>0.84</v>
      </c>
      <c r="DL31" s="4">
        <v>1.1599999999999999</v>
      </c>
      <c r="DM31" s="4">
        <v>7.75</v>
      </c>
      <c r="DN31" s="4">
        <v>7.64</v>
      </c>
      <c r="DO31" s="4">
        <v>7.61</v>
      </c>
      <c r="DP31" s="4">
        <v>7.66</v>
      </c>
      <c r="DQ31" s="4">
        <v>7.85</v>
      </c>
      <c r="DR31" s="4">
        <v>7.87</v>
      </c>
      <c r="DS31" s="4">
        <v>0</v>
      </c>
      <c r="DT31" s="4">
        <v>1</v>
      </c>
      <c r="DU31" s="4">
        <v>6.83</v>
      </c>
      <c r="DV31" s="4">
        <v>6.79</v>
      </c>
      <c r="DW31" s="4">
        <v>6.64</v>
      </c>
      <c r="DX31" s="4">
        <v>6.76</v>
      </c>
      <c r="DY31" s="4">
        <v>6.97</v>
      </c>
      <c r="DZ31" s="4">
        <v>0</v>
      </c>
      <c r="EA31" s="4">
        <v>0</v>
      </c>
      <c r="EB31" s="100">
        <v>1</v>
      </c>
      <c r="EC31" s="122">
        <v>43.6</v>
      </c>
      <c r="ED31" s="122">
        <v>44</v>
      </c>
      <c r="EE31" s="122">
        <v>43.8</v>
      </c>
      <c r="EF31" s="122">
        <v>8</v>
      </c>
      <c r="EG31" s="122">
        <v>0.4</v>
      </c>
      <c r="EH31" s="122">
        <v>-5.8</v>
      </c>
      <c r="EI31" s="122">
        <v>-5.9</v>
      </c>
      <c r="EJ31" s="122">
        <v>-5.9</v>
      </c>
      <c r="EK31" s="122">
        <v>15.1</v>
      </c>
      <c r="EL31" s="122">
        <v>0.1</v>
      </c>
      <c r="EM31" s="122">
        <v>4.2</v>
      </c>
      <c r="EN31" s="122">
        <v>12.1</v>
      </c>
      <c r="EO31" s="122">
        <v>25.1</v>
      </c>
      <c r="EP31" s="122">
        <v>58.1</v>
      </c>
      <c r="EQ31" s="126">
        <v>19</v>
      </c>
      <c r="IJ31" s="94" t="str">
        <f t="shared" si="33"/>
        <v/>
      </c>
      <c r="IK31" s="4" t="str">
        <f t="shared" si="34"/>
        <v/>
      </c>
      <c r="IL31" s="4" t="str">
        <f t="shared" si="35"/>
        <v/>
      </c>
      <c r="IM31" s="4" t="str">
        <f t="shared" si="36"/>
        <v/>
      </c>
      <c r="IN31" s="4" t="str">
        <f t="shared" si="37"/>
        <v/>
      </c>
      <c r="IO31" s="4" t="str">
        <f t="shared" si="38"/>
        <v/>
      </c>
      <c r="IP31" s="4" t="str">
        <f t="shared" si="39"/>
        <v/>
      </c>
      <c r="IQ31" s="4" t="str">
        <f t="shared" si="40"/>
        <v/>
      </c>
      <c r="IR31" s="4" t="str">
        <f t="shared" si="41"/>
        <v/>
      </c>
      <c r="IS31" s="4" t="str">
        <f t="shared" si="42"/>
        <v/>
      </c>
      <c r="IT31" s="4" t="str">
        <f t="shared" si="43"/>
        <v/>
      </c>
      <c r="IU31" s="4" t="str">
        <f t="shared" si="44"/>
        <v/>
      </c>
      <c r="IV31" s="4" t="str">
        <f t="shared" si="45"/>
        <v/>
      </c>
      <c r="IW31" s="4" t="str">
        <f t="shared" si="46"/>
        <v/>
      </c>
      <c r="IX31" s="4" t="str">
        <f t="shared" si="47"/>
        <v/>
      </c>
      <c r="IY31" s="4" t="str">
        <f t="shared" si="48"/>
        <v/>
      </c>
      <c r="IZ31" s="4" t="str">
        <f t="shared" si="49"/>
        <v/>
      </c>
      <c r="JA31" s="4" t="str">
        <f t="shared" si="50"/>
        <v/>
      </c>
      <c r="JB31" s="4" t="str">
        <f t="shared" si="51"/>
        <v/>
      </c>
      <c r="JC31" s="4" t="str">
        <f t="shared" si="52"/>
        <v/>
      </c>
      <c r="JD31" s="4" t="str">
        <f t="shared" si="53"/>
        <v/>
      </c>
      <c r="JE31" s="4" t="str">
        <f t="shared" si="54"/>
        <v/>
      </c>
      <c r="JF31" s="4" t="str">
        <f t="shared" si="55"/>
        <v/>
      </c>
      <c r="JG31" s="4" t="str">
        <f t="shared" si="56"/>
        <v/>
      </c>
      <c r="JH31" s="4" t="str">
        <f t="shared" si="57"/>
        <v/>
      </c>
      <c r="JI31" s="4" t="str">
        <f t="shared" si="58"/>
        <v/>
      </c>
      <c r="JJ31" s="4" t="str">
        <f t="shared" si="59"/>
        <v/>
      </c>
      <c r="JK31" s="4" t="str">
        <f t="shared" si="60"/>
        <v/>
      </c>
      <c r="JL31" s="4" t="str">
        <f t="shared" si="61"/>
        <v/>
      </c>
      <c r="JM31" s="4" t="str">
        <f t="shared" si="62"/>
        <v/>
      </c>
      <c r="JN31" s="4" t="str">
        <f t="shared" si="63"/>
        <v/>
      </c>
      <c r="JO31" s="129" t="str">
        <f t="shared" si="64"/>
        <v/>
      </c>
      <c r="JP31" s="122" t="str">
        <f t="shared" si="65"/>
        <v/>
      </c>
      <c r="JQ31" s="122" t="str">
        <f t="shared" si="66"/>
        <v/>
      </c>
      <c r="JR31" s="122" t="str">
        <f t="shared" si="67"/>
        <v/>
      </c>
      <c r="JS31" s="122" t="str">
        <f t="shared" si="68"/>
        <v/>
      </c>
      <c r="JT31" s="122" t="str">
        <f t="shared" si="69"/>
        <v/>
      </c>
      <c r="JU31" s="122" t="str">
        <f t="shared" si="70"/>
        <v/>
      </c>
      <c r="JV31" s="122" t="str">
        <f t="shared" si="71"/>
        <v/>
      </c>
      <c r="JW31" s="122" t="str">
        <f t="shared" si="72"/>
        <v/>
      </c>
      <c r="JX31" s="122" t="str">
        <f t="shared" si="73"/>
        <v/>
      </c>
      <c r="JY31" s="122" t="str">
        <f t="shared" si="74"/>
        <v/>
      </c>
      <c r="JZ31" s="122" t="str">
        <f t="shared" si="75"/>
        <v/>
      </c>
      <c r="KA31" s="122" t="str">
        <f t="shared" si="76"/>
        <v/>
      </c>
      <c r="KB31" s="122" t="str">
        <f t="shared" si="77"/>
        <v/>
      </c>
      <c r="KC31" s="122" t="str">
        <f t="shared" si="78"/>
        <v/>
      </c>
      <c r="KD31" s="122" t="str">
        <f t="shared" si="79"/>
        <v/>
      </c>
      <c r="KE31" s="133" t="str">
        <f t="shared" si="80"/>
        <v/>
      </c>
      <c r="KF31" s="94" t="str">
        <f t="shared" si="81"/>
        <v/>
      </c>
      <c r="KG31" s="4" t="str">
        <f t="shared" si="82"/>
        <v/>
      </c>
      <c r="KH31" s="4" t="str">
        <f t="shared" si="83"/>
        <v/>
      </c>
      <c r="KI31" s="4" t="str">
        <f t="shared" si="84"/>
        <v/>
      </c>
      <c r="KJ31" s="4" t="str">
        <f t="shared" si="85"/>
        <v/>
      </c>
      <c r="KK31" s="4" t="str">
        <f t="shared" si="86"/>
        <v/>
      </c>
      <c r="KL31" s="4" t="str">
        <f t="shared" si="87"/>
        <v/>
      </c>
      <c r="KM31" s="4" t="str">
        <f t="shared" si="88"/>
        <v/>
      </c>
      <c r="KN31" s="4" t="str">
        <f t="shared" si="89"/>
        <v/>
      </c>
      <c r="KO31" s="4" t="str">
        <f t="shared" si="90"/>
        <v/>
      </c>
      <c r="KP31" s="4" t="str">
        <f t="shared" si="91"/>
        <v/>
      </c>
      <c r="KQ31" s="4" t="str">
        <f t="shared" si="92"/>
        <v/>
      </c>
      <c r="KR31" s="4" t="str">
        <f t="shared" si="93"/>
        <v/>
      </c>
      <c r="KS31" s="4" t="str">
        <f t="shared" si="94"/>
        <v/>
      </c>
      <c r="KT31" s="4" t="str">
        <f t="shared" si="95"/>
        <v/>
      </c>
      <c r="KU31" s="4" t="str">
        <f t="shared" si="96"/>
        <v/>
      </c>
      <c r="KV31" s="4" t="str">
        <f t="shared" si="97"/>
        <v/>
      </c>
      <c r="KW31" s="4" t="str">
        <f t="shared" si="98"/>
        <v/>
      </c>
      <c r="KX31" s="4" t="str">
        <f t="shared" si="99"/>
        <v/>
      </c>
      <c r="KY31" s="4" t="str">
        <f t="shared" si="100"/>
        <v/>
      </c>
      <c r="KZ31" s="4" t="str">
        <f t="shared" si="101"/>
        <v/>
      </c>
      <c r="LA31" s="4" t="str">
        <f t="shared" si="102"/>
        <v/>
      </c>
      <c r="LB31" s="4" t="str">
        <f t="shared" si="103"/>
        <v/>
      </c>
      <c r="LC31" s="4" t="str">
        <f t="shared" si="104"/>
        <v/>
      </c>
      <c r="LD31" s="4" t="str">
        <f t="shared" si="105"/>
        <v/>
      </c>
      <c r="LE31" s="4" t="str">
        <f t="shared" si="106"/>
        <v/>
      </c>
      <c r="LF31" s="4" t="str">
        <f t="shared" si="107"/>
        <v/>
      </c>
      <c r="LG31" s="4" t="str">
        <f t="shared" si="108"/>
        <v/>
      </c>
      <c r="LH31" s="4" t="str">
        <f t="shared" si="109"/>
        <v/>
      </c>
      <c r="LI31" s="4" t="str">
        <f t="shared" si="110"/>
        <v/>
      </c>
      <c r="LJ31" s="4" t="str">
        <f t="shared" si="111"/>
        <v/>
      </c>
      <c r="LK31" s="4" t="str">
        <f t="shared" si="112"/>
        <v/>
      </c>
      <c r="LL31" s="4" t="str">
        <f t="shared" si="113"/>
        <v/>
      </c>
      <c r="LM31" s="4" t="str">
        <f t="shared" si="114"/>
        <v/>
      </c>
      <c r="LN31" s="4" t="str">
        <f t="shared" si="115"/>
        <v/>
      </c>
      <c r="LO31" s="4" t="str">
        <f t="shared" si="116"/>
        <v/>
      </c>
      <c r="LP31" s="4" t="str">
        <f t="shared" si="117"/>
        <v/>
      </c>
      <c r="LQ31" s="4" t="str">
        <f t="shared" si="118"/>
        <v/>
      </c>
      <c r="LR31" s="4" t="str">
        <f t="shared" si="119"/>
        <v/>
      </c>
      <c r="LS31" s="4" t="str">
        <f t="shared" si="120"/>
        <v/>
      </c>
      <c r="LT31" s="4" t="str">
        <f t="shared" si="121"/>
        <v/>
      </c>
      <c r="LU31" s="4" t="str">
        <f t="shared" si="122"/>
        <v/>
      </c>
      <c r="LV31" s="4" t="str">
        <f t="shared" si="123"/>
        <v/>
      </c>
      <c r="LW31" s="4" t="str">
        <f t="shared" si="124"/>
        <v/>
      </c>
      <c r="LX31" s="4" t="str">
        <f t="shared" si="125"/>
        <v/>
      </c>
      <c r="LY31" s="4" t="str">
        <f t="shared" si="126"/>
        <v/>
      </c>
      <c r="LZ31" s="4" t="str">
        <f t="shared" si="127"/>
        <v/>
      </c>
      <c r="MA31" s="4" t="str">
        <f t="shared" si="128"/>
        <v/>
      </c>
      <c r="MB31" s="4" t="str">
        <f t="shared" si="129"/>
        <v/>
      </c>
      <c r="MC31" s="4" t="str">
        <f t="shared" si="130"/>
        <v/>
      </c>
      <c r="MD31" s="4" t="str">
        <f t="shared" si="131"/>
        <v/>
      </c>
      <c r="ME31" s="4">
        <f t="shared" si="132"/>
        <v>0</v>
      </c>
    </row>
    <row r="32" spans="1:343" ht="26.25" customHeight="1" thickBot="1" x14ac:dyDescent="0.25">
      <c r="A32" s="35">
        <v>41367</v>
      </c>
      <c r="B32" s="36" t="s">
        <v>134</v>
      </c>
      <c r="C32" s="36" t="s">
        <v>135</v>
      </c>
      <c r="D32" s="31" t="s">
        <v>111</v>
      </c>
      <c r="E32" s="4">
        <v>67</v>
      </c>
      <c r="F32" s="3">
        <v>16757</v>
      </c>
      <c r="G32" s="4" t="s">
        <v>87</v>
      </c>
      <c r="H32" s="4" t="s">
        <v>112</v>
      </c>
      <c r="I32" s="4">
        <v>1836540</v>
      </c>
      <c r="K32" s="80"/>
      <c r="L32" s="81"/>
      <c r="M32" s="81"/>
      <c r="N32" s="81"/>
      <c r="O32" s="81"/>
      <c r="P32" s="33">
        <v>-2.08</v>
      </c>
      <c r="Q32" s="33">
        <v>-1.5</v>
      </c>
      <c r="R32" s="39" t="s">
        <v>249</v>
      </c>
      <c r="S32" s="67">
        <v>26</v>
      </c>
      <c r="T32" s="136">
        <v>41365</v>
      </c>
      <c r="U32" s="67">
        <v>1</v>
      </c>
      <c r="V32" s="67">
        <v>0.75</v>
      </c>
      <c r="W32" s="4">
        <v>175</v>
      </c>
      <c r="X32" s="4">
        <v>80</v>
      </c>
      <c r="Y32" s="4">
        <v>10</v>
      </c>
      <c r="Z32" s="4">
        <v>554</v>
      </c>
      <c r="AI32" s="4">
        <v>1</v>
      </c>
      <c r="AJ32" s="4" t="b">
        <f t="shared" si="0"/>
        <v>1</v>
      </c>
      <c r="AK32" s="54"/>
      <c r="AL32" s="37" t="s">
        <v>78</v>
      </c>
      <c r="AM32" s="61"/>
      <c r="BA32" s="4" t="str">
        <f t="shared" si="1"/>
        <v/>
      </c>
      <c r="BB32" s="4" t="str">
        <f t="shared" si="2"/>
        <v/>
      </c>
      <c r="BC32" s="4" t="str">
        <f t="shared" si="3"/>
        <v/>
      </c>
      <c r="BD32" s="51" t="s">
        <v>505</v>
      </c>
      <c r="BS32" s="4" t="str">
        <f t="shared" si="4"/>
        <v/>
      </c>
      <c r="BT32" s="4" t="str">
        <f t="shared" si="5"/>
        <v/>
      </c>
      <c r="BU32" s="4" t="str">
        <f t="shared" si="6"/>
        <v/>
      </c>
      <c r="BV32" s="4">
        <f>IF(AND(ISBLANK(SPH_6),ISBLANK(SPH_12)),0,1)</f>
        <v>0</v>
      </c>
      <c r="BW32" s="4">
        <f t="shared" si="8"/>
        <v>0</v>
      </c>
      <c r="BX32" s="4" t="str">
        <f t="shared" si="9"/>
        <v/>
      </c>
      <c r="BY32" s="4" t="str">
        <f t="shared" si="10"/>
        <v/>
      </c>
      <c r="BZ32" s="4" t="str">
        <f t="shared" si="11"/>
        <v/>
      </c>
      <c r="CA32" s="53">
        <f t="shared" si="12"/>
        <v>0</v>
      </c>
      <c r="CB32" s="55" t="str">
        <f t="shared" si="13"/>
        <v/>
      </c>
      <c r="CC32" s="4" t="str">
        <f t="shared" si="14"/>
        <v/>
      </c>
      <c r="CD32" s="4" t="str">
        <f t="shared" si="15"/>
        <v/>
      </c>
      <c r="CE32" s="4" t="str">
        <f t="shared" si="16"/>
        <v/>
      </c>
      <c r="CF32" s="4" t="str">
        <f t="shared" si="17"/>
        <v/>
      </c>
      <c r="CH32" s="4" t="str">
        <f t="shared" si="19"/>
        <v/>
      </c>
      <c r="CI32" s="104" t="str">
        <f t="shared" si="20"/>
        <v/>
      </c>
      <c r="CJ32" s="94" t="str">
        <f t="shared" si="21"/>
        <v/>
      </c>
      <c r="CK32" s="4" t="str">
        <f t="shared" si="22"/>
        <v/>
      </c>
      <c r="CL32" s="107" t="str">
        <f t="shared" si="23"/>
        <v/>
      </c>
      <c r="CM32" s="107" t="str">
        <f t="shared" si="24"/>
        <v/>
      </c>
      <c r="CN32" s="139" t="str">
        <f t="shared" si="25"/>
        <v/>
      </c>
      <c r="CO32" s="139" t="str">
        <f t="shared" si="26"/>
        <v/>
      </c>
      <c r="CP32" s="149" t="str">
        <f t="shared" si="27"/>
        <v/>
      </c>
      <c r="CQ32" s="149" t="str">
        <f t="shared" si="28"/>
        <v/>
      </c>
      <c r="CR32" s="148" t="str">
        <f t="shared" si="29"/>
        <v/>
      </c>
      <c r="CS32" s="152" t="str">
        <f t="shared" si="30"/>
        <v/>
      </c>
      <c r="CT32" s="107" t="str">
        <f t="shared" si="31"/>
        <v/>
      </c>
      <c r="CU32" s="155" t="str">
        <f t="shared" si="32"/>
        <v/>
      </c>
      <c r="CV32">
        <v>7.41</v>
      </c>
      <c r="CW32" s="4">
        <v>7.34</v>
      </c>
      <c r="CX32" s="4">
        <v>146.30000000000001</v>
      </c>
      <c r="CY32" s="4">
        <v>-0.4</v>
      </c>
      <c r="CZ32" s="4">
        <v>0.61</v>
      </c>
      <c r="DA32" s="4">
        <v>0.66</v>
      </c>
      <c r="DB32" s="4">
        <v>2.61</v>
      </c>
      <c r="DC32" s="4">
        <v>3.17</v>
      </c>
      <c r="DD32" s="4">
        <v>562</v>
      </c>
      <c r="DE32" s="4">
        <v>563</v>
      </c>
      <c r="DF32" s="4">
        <v>639</v>
      </c>
      <c r="DG32" s="4">
        <v>617</v>
      </c>
      <c r="DH32" s="4">
        <v>605</v>
      </c>
      <c r="DI32" s="4">
        <v>612</v>
      </c>
      <c r="DJ32" s="4">
        <v>560</v>
      </c>
      <c r="DK32" s="4">
        <v>0.25</v>
      </c>
      <c r="DL32" s="4">
        <v>0.5</v>
      </c>
      <c r="DM32" s="4">
        <v>7.34</v>
      </c>
      <c r="DN32" s="4">
        <v>7.41</v>
      </c>
      <c r="DO32" s="4">
        <v>7.5</v>
      </c>
      <c r="DP32" s="4">
        <v>7.73</v>
      </c>
      <c r="DQ32" s="4">
        <v>7.96</v>
      </c>
      <c r="DR32" s="4">
        <v>8.1300000000000008</v>
      </c>
      <c r="DS32" s="4">
        <v>0</v>
      </c>
      <c r="DT32" s="4">
        <v>0.9</v>
      </c>
      <c r="DU32" s="4">
        <v>6.38</v>
      </c>
      <c r="DV32" s="4">
        <v>6.28</v>
      </c>
      <c r="DW32" s="4">
        <v>6.33</v>
      </c>
      <c r="DX32" s="4">
        <v>6.56</v>
      </c>
      <c r="DY32" s="4">
        <v>6.7</v>
      </c>
      <c r="DZ32" s="4">
        <v>0</v>
      </c>
      <c r="EA32" s="4">
        <v>0</v>
      </c>
      <c r="EB32" s="100">
        <v>0.9</v>
      </c>
      <c r="EC32" s="122">
        <v>45.6</v>
      </c>
      <c r="ED32" s="122">
        <v>46</v>
      </c>
      <c r="EE32" s="122">
        <v>45.8</v>
      </c>
      <c r="EF32" s="122">
        <v>146.30000000000001</v>
      </c>
      <c r="EG32" s="122">
        <v>0.4</v>
      </c>
      <c r="EH32" s="122">
        <v>-6.2</v>
      </c>
      <c r="EI32" s="122">
        <v>-6.4</v>
      </c>
      <c r="EJ32" s="122">
        <v>-6.3</v>
      </c>
      <c r="EK32" s="122">
        <v>157.9</v>
      </c>
      <c r="EL32" s="122">
        <v>0.2</v>
      </c>
      <c r="EM32" s="122">
        <v>4</v>
      </c>
      <c r="EN32" s="122">
        <v>11.7</v>
      </c>
      <c r="EO32" s="122">
        <v>24.8</v>
      </c>
      <c r="EP32" s="122">
        <v>59.6</v>
      </c>
      <c r="EQ32" s="126">
        <v>21</v>
      </c>
      <c r="IJ32" s="94" t="str">
        <f t="shared" si="33"/>
        <v/>
      </c>
      <c r="IK32" s="4" t="str">
        <f t="shared" si="34"/>
        <v/>
      </c>
      <c r="IL32" s="4" t="str">
        <f t="shared" si="35"/>
        <v/>
      </c>
      <c r="IM32" s="4" t="str">
        <f t="shared" si="36"/>
        <v/>
      </c>
      <c r="IN32" s="4" t="str">
        <f t="shared" si="37"/>
        <v/>
      </c>
      <c r="IO32" s="4" t="str">
        <f t="shared" si="38"/>
        <v/>
      </c>
      <c r="IP32" s="4" t="str">
        <f t="shared" si="39"/>
        <v/>
      </c>
      <c r="IQ32" s="4" t="str">
        <f t="shared" si="40"/>
        <v/>
      </c>
      <c r="IR32" s="4" t="str">
        <f t="shared" si="41"/>
        <v/>
      </c>
      <c r="IS32" s="4" t="str">
        <f t="shared" si="42"/>
        <v/>
      </c>
      <c r="IT32" s="4" t="str">
        <f t="shared" si="43"/>
        <v/>
      </c>
      <c r="IU32" s="4" t="str">
        <f t="shared" si="44"/>
        <v/>
      </c>
      <c r="IV32" s="4" t="str">
        <f t="shared" si="45"/>
        <v/>
      </c>
      <c r="IW32" s="4" t="str">
        <f t="shared" si="46"/>
        <v/>
      </c>
      <c r="IX32" s="4" t="str">
        <f t="shared" si="47"/>
        <v/>
      </c>
      <c r="IY32" s="4" t="str">
        <f t="shared" si="48"/>
        <v/>
      </c>
      <c r="IZ32" s="4" t="str">
        <f t="shared" si="49"/>
        <v/>
      </c>
      <c r="JA32" s="4" t="str">
        <f t="shared" si="50"/>
        <v/>
      </c>
      <c r="JB32" s="4" t="str">
        <f t="shared" si="51"/>
        <v/>
      </c>
      <c r="JC32" s="4" t="str">
        <f t="shared" si="52"/>
        <v/>
      </c>
      <c r="JD32" s="4" t="str">
        <f t="shared" si="53"/>
        <v/>
      </c>
      <c r="JE32" s="4" t="str">
        <f t="shared" si="54"/>
        <v/>
      </c>
      <c r="JF32" s="4" t="str">
        <f t="shared" si="55"/>
        <v/>
      </c>
      <c r="JG32" s="4" t="str">
        <f t="shared" si="56"/>
        <v/>
      </c>
      <c r="JH32" s="4" t="str">
        <f t="shared" si="57"/>
        <v/>
      </c>
      <c r="JI32" s="4" t="str">
        <f t="shared" si="58"/>
        <v/>
      </c>
      <c r="JJ32" s="4" t="str">
        <f t="shared" si="59"/>
        <v/>
      </c>
      <c r="JK32" s="4" t="str">
        <f t="shared" si="60"/>
        <v/>
      </c>
      <c r="JL32" s="4" t="str">
        <f t="shared" si="61"/>
        <v/>
      </c>
      <c r="JM32" s="4" t="str">
        <f t="shared" si="62"/>
        <v/>
      </c>
      <c r="JN32" s="4" t="str">
        <f t="shared" si="63"/>
        <v/>
      </c>
      <c r="JO32" s="129" t="str">
        <f t="shared" si="64"/>
        <v/>
      </c>
      <c r="JP32" s="122" t="str">
        <f t="shared" si="65"/>
        <v/>
      </c>
      <c r="JQ32" s="122" t="str">
        <f t="shared" si="66"/>
        <v/>
      </c>
      <c r="JR32" s="122" t="str">
        <f t="shared" si="67"/>
        <v/>
      </c>
      <c r="JS32" s="122" t="str">
        <f t="shared" si="68"/>
        <v/>
      </c>
      <c r="JT32" s="122" t="str">
        <f t="shared" si="69"/>
        <v/>
      </c>
      <c r="JU32" s="122" t="str">
        <f t="shared" si="70"/>
        <v/>
      </c>
      <c r="JV32" s="122" t="str">
        <f t="shared" si="71"/>
        <v/>
      </c>
      <c r="JW32" s="122" t="str">
        <f t="shared" si="72"/>
        <v/>
      </c>
      <c r="JX32" s="122" t="str">
        <f t="shared" si="73"/>
        <v/>
      </c>
      <c r="JY32" s="122" t="str">
        <f t="shared" si="74"/>
        <v/>
      </c>
      <c r="JZ32" s="122" t="str">
        <f t="shared" si="75"/>
        <v/>
      </c>
      <c r="KA32" s="122" t="str">
        <f t="shared" si="76"/>
        <v/>
      </c>
      <c r="KB32" s="122" t="str">
        <f t="shared" si="77"/>
        <v/>
      </c>
      <c r="KC32" s="122" t="str">
        <f t="shared" si="78"/>
        <v/>
      </c>
      <c r="KD32" s="122" t="str">
        <f t="shared" si="79"/>
        <v/>
      </c>
      <c r="KE32" s="133" t="str">
        <f t="shared" si="80"/>
        <v/>
      </c>
      <c r="KF32" s="94" t="str">
        <f t="shared" si="81"/>
        <v/>
      </c>
      <c r="KG32" s="4" t="str">
        <f t="shared" si="82"/>
        <v/>
      </c>
      <c r="KH32" s="4" t="str">
        <f t="shared" si="83"/>
        <v/>
      </c>
      <c r="KI32" s="4" t="str">
        <f t="shared" si="84"/>
        <v/>
      </c>
      <c r="KJ32" s="4" t="str">
        <f t="shared" si="85"/>
        <v/>
      </c>
      <c r="KK32" s="4" t="str">
        <f t="shared" si="86"/>
        <v/>
      </c>
      <c r="KL32" s="4" t="str">
        <f t="shared" si="87"/>
        <v/>
      </c>
      <c r="KM32" s="4" t="str">
        <f t="shared" si="88"/>
        <v/>
      </c>
      <c r="KN32" s="4" t="str">
        <f t="shared" si="89"/>
        <v/>
      </c>
      <c r="KO32" s="4" t="str">
        <f t="shared" si="90"/>
        <v/>
      </c>
      <c r="KP32" s="4" t="str">
        <f t="shared" si="91"/>
        <v/>
      </c>
      <c r="KQ32" s="4" t="str">
        <f t="shared" si="92"/>
        <v/>
      </c>
      <c r="KR32" s="4" t="str">
        <f t="shared" si="93"/>
        <v/>
      </c>
      <c r="KS32" s="4" t="str">
        <f t="shared" si="94"/>
        <v/>
      </c>
      <c r="KT32" s="4" t="str">
        <f t="shared" si="95"/>
        <v/>
      </c>
      <c r="KU32" s="4" t="str">
        <f t="shared" si="96"/>
        <v/>
      </c>
      <c r="KV32" s="4" t="str">
        <f t="shared" si="97"/>
        <v/>
      </c>
      <c r="KW32" s="4" t="str">
        <f t="shared" si="98"/>
        <v/>
      </c>
      <c r="KX32" s="4" t="str">
        <f t="shared" si="99"/>
        <v/>
      </c>
      <c r="KY32" s="4" t="str">
        <f t="shared" si="100"/>
        <v/>
      </c>
      <c r="KZ32" s="4" t="str">
        <f t="shared" si="101"/>
        <v/>
      </c>
      <c r="LA32" s="4" t="str">
        <f t="shared" si="102"/>
        <v/>
      </c>
      <c r="LB32" s="4" t="str">
        <f t="shared" si="103"/>
        <v/>
      </c>
      <c r="LC32" s="4" t="str">
        <f t="shared" si="104"/>
        <v/>
      </c>
      <c r="LD32" s="4" t="str">
        <f t="shared" si="105"/>
        <v/>
      </c>
      <c r="LE32" s="4" t="str">
        <f t="shared" si="106"/>
        <v/>
      </c>
      <c r="LF32" s="4" t="str">
        <f t="shared" si="107"/>
        <v/>
      </c>
      <c r="LG32" s="4" t="str">
        <f t="shared" si="108"/>
        <v/>
      </c>
      <c r="LH32" s="4" t="str">
        <f t="shared" si="109"/>
        <v/>
      </c>
      <c r="LI32" s="4" t="str">
        <f t="shared" si="110"/>
        <v/>
      </c>
      <c r="LJ32" s="4" t="str">
        <f t="shared" si="111"/>
        <v/>
      </c>
      <c r="LK32" s="4" t="str">
        <f t="shared" si="112"/>
        <v/>
      </c>
      <c r="LL32" s="4" t="str">
        <f t="shared" si="113"/>
        <v/>
      </c>
      <c r="LM32" s="4" t="str">
        <f t="shared" si="114"/>
        <v/>
      </c>
      <c r="LN32" s="4" t="str">
        <f t="shared" si="115"/>
        <v/>
      </c>
      <c r="LO32" s="4" t="str">
        <f t="shared" si="116"/>
        <v/>
      </c>
      <c r="LP32" s="4" t="str">
        <f t="shared" si="117"/>
        <v/>
      </c>
      <c r="LQ32" s="4" t="str">
        <f t="shared" si="118"/>
        <v/>
      </c>
      <c r="LR32" s="4" t="str">
        <f t="shared" si="119"/>
        <v/>
      </c>
      <c r="LS32" s="4" t="str">
        <f t="shared" si="120"/>
        <v/>
      </c>
      <c r="LT32" s="4" t="str">
        <f t="shared" si="121"/>
        <v/>
      </c>
      <c r="LU32" s="4" t="str">
        <f t="shared" si="122"/>
        <v/>
      </c>
      <c r="LV32" s="4" t="str">
        <f t="shared" si="123"/>
        <v/>
      </c>
      <c r="LW32" s="4" t="str">
        <f t="shared" si="124"/>
        <v/>
      </c>
      <c r="LX32" s="4" t="str">
        <f t="shared" si="125"/>
        <v/>
      </c>
      <c r="LY32" s="4" t="str">
        <f t="shared" si="126"/>
        <v/>
      </c>
      <c r="LZ32" s="4" t="str">
        <f t="shared" si="127"/>
        <v/>
      </c>
      <c r="MA32" s="4" t="str">
        <f t="shared" si="128"/>
        <v/>
      </c>
      <c r="MB32" s="4" t="str">
        <f t="shared" si="129"/>
        <v/>
      </c>
      <c r="MC32" s="4" t="str">
        <f t="shared" si="130"/>
        <v/>
      </c>
      <c r="MD32" s="4" t="str">
        <f t="shared" si="131"/>
        <v/>
      </c>
      <c r="ME32" s="4">
        <f t="shared" si="132"/>
        <v>0</v>
      </c>
    </row>
    <row r="33" spans="1:343" ht="26.25" customHeight="1" thickBot="1" x14ac:dyDescent="0.25">
      <c r="A33" s="35">
        <v>41395</v>
      </c>
      <c r="B33" s="36" t="s">
        <v>220</v>
      </c>
      <c r="C33" s="36" t="s">
        <v>169</v>
      </c>
      <c r="D33" s="31" t="s">
        <v>111</v>
      </c>
      <c r="E33" s="4">
        <v>65</v>
      </c>
      <c r="F33" s="3">
        <v>17331</v>
      </c>
      <c r="G33" s="4" t="s">
        <v>87</v>
      </c>
      <c r="H33" s="4" t="s">
        <v>112</v>
      </c>
      <c r="I33" s="4">
        <v>1836712</v>
      </c>
      <c r="K33" s="80"/>
      <c r="L33" s="81"/>
      <c r="M33" s="81"/>
      <c r="N33" s="81"/>
      <c r="O33" s="81"/>
      <c r="P33" s="33">
        <v>-0.5</v>
      </c>
      <c r="Q33" s="33">
        <v>-0.51</v>
      </c>
      <c r="R33" s="39" t="s">
        <v>249</v>
      </c>
      <c r="S33" s="67">
        <v>22.5</v>
      </c>
      <c r="T33" s="136">
        <v>41393</v>
      </c>
      <c r="U33" s="67">
        <v>1.5</v>
      </c>
      <c r="V33" s="67">
        <v>0</v>
      </c>
      <c r="W33" s="4">
        <v>0</v>
      </c>
      <c r="X33" s="4">
        <v>40</v>
      </c>
      <c r="Z33" s="4">
        <v>606</v>
      </c>
      <c r="AI33" s="4">
        <v>1</v>
      </c>
      <c r="AJ33" s="4" t="b">
        <f t="shared" si="0"/>
        <v>1</v>
      </c>
      <c r="AK33" s="54"/>
      <c r="AL33" s="51" t="s">
        <v>78</v>
      </c>
      <c r="AM33" s="61"/>
      <c r="BA33" s="4" t="str">
        <f t="shared" si="1"/>
        <v/>
      </c>
      <c r="BB33" s="4" t="str">
        <f t="shared" si="2"/>
        <v/>
      </c>
      <c r="BC33" s="4" t="str">
        <f t="shared" si="3"/>
        <v/>
      </c>
      <c r="BD33" s="51" t="s">
        <v>505</v>
      </c>
      <c r="BS33" s="4" t="str">
        <f t="shared" si="4"/>
        <v/>
      </c>
      <c r="BT33" s="4" t="str">
        <f t="shared" si="5"/>
        <v/>
      </c>
      <c r="BU33" s="4" t="str">
        <f t="shared" si="6"/>
        <v/>
      </c>
      <c r="BV33" s="4">
        <f>IF(AND(ISBLANK(SPH_6),ISBLANK(SPH_12)),0,1)</f>
        <v>0</v>
      </c>
      <c r="BW33" s="4">
        <f t="shared" si="8"/>
        <v>0</v>
      </c>
      <c r="BX33" s="4" t="str">
        <f t="shared" si="9"/>
        <v/>
      </c>
      <c r="BY33" s="4" t="str">
        <f t="shared" si="10"/>
        <v/>
      </c>
      <c r="BZ33" s="4" t="str">
        <f t="shared" si="11"/>
        <v/>
      </c>
      <c r="CA33" s="53">
        <f t="shared" si="12"/>
        <v>0</v>
      </c>
      <c r="CB33" s="55" t="str">
        <f t="shared" si="13"/>
        <v/>
      </c>
      <c r="CC33" s="4" t="str">
        <f t="shared" si="14"/>
        <v/>
      </c>
      <c r="CD33" s="4" t="str">
        <f t="shared" si="15"/>
        <v/>
      </c>
      <c r="CE33" s="4" t="str">
        <f t="shared" si="16"/>
        <v/>
      </c>
      <c r="CF33" s="4" t="str">
        <f t="shared" si="17"/>
        <v/>
      </c>
      <c r="CH33" s="4" t="str">
        <f t="shared" si="19"/>
        <v/>
      </c>
      <c r="CI33" s="104" t="str">
        <f t="shared" si="20"/>
        <v/>
      </c>
      <c r="CJ33" s="94" t="str">
        <f t="shared" si="21"/>
        <v/>
      </c>
      <c r="CK33" s="4" t="str">
        <f t="shared" si="22"/>
        <v/>
      </c>
      <c r="CL33" s="107" t="str">
        <f t="shared" si="23"/>
        <v/>
      </c>
      <c r="CM33" s="107" t="str">
        <f t="shared" si="24"/>
        <v/>
      </c>
      <c r="CN33" s="139" t="str">
        <f t="shared" si="25"/>
        <v/>
      </c>
      <c r="CO33" s="139" t="str">
        <f t="shared" si="26"/>
        <v/>
      </c>
      <c r="CP33" s="149" t="str">
        <f t="shared" si="27"/>
        <v/>
      </c>
      <c r="CQ33" s="149" t="str">
        <f t="shared" si="28"/>
        <v/>
      </c>
      <c r="CR33" s="148" t="str">
        <f t="shared" si="29"/>
        <v/>
      </c>
      <c r="CS33" s="152" t="str">
        <f t="shared" si="30"/>
        <v/>
      </c>
      <c r="CT33" s="107" t="str">
        <f t="shared" si="31"/>
        <v/>
      </c>
      <c r="CU33" s="155" t="str">
        <f t="shared" si="32"/>
        <v/>
      </c>
      <c r="CV33">
        <v>7.66</v>
      </c>
      <c r="CW33" s="4">
        <v>7.49</v>
      </c>
      <c r="CX33" s="4">
        <v>153.5</v>
      </c>
      <c r="CY33" s="4">
        <v>-1</v>
      </c>
      <c r="CZ33" s="4">
        <v>0.75</v>
      </c>
      <c r="DA33" s="4">
        <v>0.76</v>
      </c>
      <c r="DB33" s="4">
        <v>2.41</v>
      </c>
      <c r="DC33" s="4">
        <v>3.01</v>
      </c>
      <c r="DD33" s="4">
        <v>604</v>
      </c>
      <c r="DE33" s="4">
        <v>600</v>
      </c>
      <c r="DF33" s="4">
        <v>695</v>
      </c>
      <c r="DG33" s="4">
        <v>672</v>
      </c>
      <c r="DH33" s="4">
        <v>678</v>
      </c>
      <c r="DI33" s="4">
        <v>668</v>
      </c>
      <c r="DJ33" s="4">
        <v>599</v>
      </c>
      <c r="DK33" s="4">
        <v>-0.71</v>
      </c>
      <c r="DL33" s="4">
        <v>-0.39</v>
      </c>
      <c r="DM33" s="4">
        <v>7.58</v>
      </c>
      <c r="DN33" s="4">
        <v>7.61</v>
      </c>
      <c r="DO33" s="4">
        <v>7.73</v>
      </c>
      <c r="DP33" s="4">
        <v>8</v>
      </c>
      <c r="DQ33" s="4">
        <v>8.1999999999999993</v>
      </c>
      <c r="DR33" s="4">
        <v>8.61</v>
      </c>
      <c r="DS33" s="4">
        <v>0</v>
      </c>
      <c r="DT33" s="4">
        <v>1.2</v>
      </c>
      <c r="DU33" s="4">
        <v>6.31</v>
      </c>
      <c r="DV33" s="4">
        <v>6.27</v>
      </c>
      <c r="DW33" s="4">
        <v>6.37</v>
      </c>
      <c r="DX33" s="4">
        <v>6.61</v>
      </c>
      <c r="DY33" s="4">
        <v>6.82</v>
      </c>
      <c r="DZ33" s="4">
        <v>0</v>
      </c>
      <c r="EA33" s="4">
        <v>0</v>
      </c>
      <c r="EB33" s="100">
        <v>1.2</v>
      </c>
      <c r="IJ33" s="94" t="str">
        <f t="shared" si="33"/>
        <v/>
      </c>
      <c r="IK33" s="4" t="str">
        <f t="shared" si="34"/>
        <v/>
      </c>
      <c r="IL33" s="4" t="str">
        <f t="shared" si="35"/>
        <v/>
      </c>
      <c r="IM33" s="4" t="str">
        <f t="shared" si="36"/>
        <v/>
      </c>
      <c r="IN33" s="4" t="str">
        <f t="shared" si="37"/>
        <v/>
      </c>
      <c r="IO33" s="4" t="str">
        <f t="shared" si="38"/>
        <v/>
      </c>
      <c r="IP33" s="4" t="str">
        <f t="shared" si="39"/>
        <v/>
      </c>
      <c r="IQ33" s="4" t="str">
        <f t="shared" si="40"/>
        <v/>
      </c>
      <c r="IR33" s="4" t="str">
        <f t="shared" si="41"/>
        <v/>
      </c>
      <c r="IS33" s="4" t="str">
        <f t="shared" si="42"/>
        <v/>
      </c>
      <c r="IT33" s="4" t="str">
        <f t="shared" si="43"/>
        <v/>
      </c>
      <c r="IU33" s="4" t="str">
        <f t="shared" si="44"/>
        <v/>
      </c>
      <c r="IV33" s="4" t="str">
        <f t="shared" si="45"/>
        <v/>
      </c>
      <c r="IW33" s="4" t="str">
        <f t="shared" si="46"/>
        <v/>
      </c>
      <c r="IX33" s="4" t="str">
        <f t="shared" si="47"/>
        <v/>
      </c>
      <c r="IY33" s="4" t="str">
        <f t="shared" si="48"/>
        <v/>
      </c>
      <c r="IZ33" s="4" t="str">
        <f t="shared" si="49"/>
        <v/>
      </c>
      <c r="JA33" s="4" t="str">
        <f t="shared" si="50"/>
        <v/>
      </c>
      <c r="JB33" s="4" t="str">
        <f t="shared" si="51"/>
        <v/>
      </c>
      <c r="JC33" s="4" t="str">
        <f t="shared" si="52"/>
        <v/>
      </c>
      <c r="JD33" s="4" t="str">
        <f t="shared" si="53"/>
        <v/>
      </c>
      <c r="JE33" s="4" t="str">
        <f t="shared" si="54"/>
        <v/>
      </c>
      <c r="JF33" s="4" t="str">
        <f t="shared" si="55"/>
        <v/>
      </c>
      <c r="JG33" s="4" t="str">
        <f t="shared" si="56"/>
        <v/>
      </c>
      <c r="JH33" s="4" t="str">
        <f t="shared" si="57"/>
        <v/>
      </c>
      <c r="JI33" s="4" t="str">
        <f t="shared" si="58"/>
        <v/>
      </c>
      <c r="JJ33" s="4" t="str">
        <f t="shared" si="59"/>
        <v/>
      </c>
      <c r="JK33" s="4" t="str">
        <f t="shared" si="60"/>
        <v/>
      </c>
      <c r="JL33" s="4" t="str">
        <f t="shared" si="61"/>
        <v/>
      </c>
      <c r="JM33" s="4" t="str">
        <f t="shared" si="62"/>
        <v/>
      </c>
      <c r="JN33" s="4" t="str">
        <f t="shared" si="63"/>
        <v/>
      </c>
      <c r="JO33" s="129" t="str">
        <f t="shared" si="64"/>
        <v/>
      </c>
      <c r="JP33" s="122" t="str">
        <f t="shared" si="65"/>
        <v/>
      </c>
      <c r="JQ33" s="122" t="str">
        <f t="shared" si="66"/>
        <v/>
      </c>
      <c r="JR33" s="122" t="str">
        <f t="shared" si="67"/>
        <v/>
      </c>
      <c r="JS33" s="122" t="str">
        <f t="shared" si="68"/>
        <v/>
      </c>
      <c r="JT33" s="122" t="str">
        <f t="shared" si="69"/>
        <v/>
      </c>
      <c r="JU33" s="122" t="str">
        <f t="shared" si="70"/>
        <v/>
      </c>
      <c r="JV33" s="122" t="str">
        <f t="shared" si="71"/>
        <v/>
      </c>
      <c r="JW33" s="122" t="str">
        <f t="shared" si="72"/>
        <v/>
      </c>
      <c r="JX33" s="122" t="str">
        <f t="shared" si="73"/>
        <v/>
      </c>
      <c r="JY33" s="122" t="str">
        <f t="shared" si="74"/>
        <v/>
      </c>
      <c r="JZ33" s="122" t="str">
        <f t="shared" si="75"/>
        <v/>
      </c>
      <c r="KA33" s="122" t="str">
        <f t="shared" si="76"/>
        <v/>
      </c>
      <c r="KB33" s="122" t="str">
        <f t="shared" si="77"/>
        <v/>
      </c>
      <c r="KC33" s="122" t="str">
        <f t="shared" si="78"/>
        <v/>
      </c>
      <c r="KD33" s="122" t="str">
        <f t="shared" si="79"/>
        <v/>
      </c>
      <c r="KE33" s="133" t="str">
        <f t="shared" si="80"/>
        <v/>
      </c>
      <c r="KF33" s="94" t="str">
        <f t="shared" si="81"/>
        <v/>
      </c>
      <c r="KG33" s="4" t="str">
        <f t="shared" si="82"/>
        <v/>
      </c>
      <c r="KH33" s="4" t="str">
        <f t="shared" si="83"/>
        <v/>
      </c>
      <c r="KI33" s="4" t="str">
        <f t="shared" si="84"/>
        <v/>
      </c>
      <c r="KJ33" s="4" t="str">
        <f t="shared" si="85"/>
        <v/>
      </c>
      <c r="KK33" s="4" t="str">
        <f t="shared" si="86"/>
        <v/>
      </c>
      <c r="KL33" s="4" t="str">
        <f t="shared" si="87"/>
        <v/>
      </c>
      <c r="KM33" s="4" t="str">
        <f t="shared" si="88"/>
        <v/>
      </c>
      <c r="KN33" s="4" t="str">
        <f t="shared" si="89"/>
        <v/>
      </c>
      <c r="KO33" s="4" t="str">
        <f t="shared" si="90"/>
        <v/>
      </c>
      <c r="KP33" s="4" t="str">
        <f t="shared" si="91"/>
        <v/>
      </c>
      <c r="KQ33" s="4" t="str">
        <f t="shared" si="92"/>
        <v/>
      </c>
      <c r="KR33" s="4" t="str">
        <f t="shared" si="93"/>
        <v/>
      </c>
      <c r="KS33" s="4" t="str">
        <f t="shared" si="94"/>
        <v/>
      </c>
      <c r="KT33" s="4" t="str">
        <f t="shared" si="95"/>
        <v/>
      </c>
      <c r="KU33" s="4" t="str">
        <f t="shared" si="96"/>
        <v/>
      </c>
      <c r="KV33" s="4" t="str">
        <f t="shared" si="97"/>
        <v/>
      </c>
      <c r="KW33" s="4" t="str">
        <f t="shared" si="98"/>
        <v/>
      </c>
      <c r="KX33" s="4" t="str">
        <f t="shared" si="99"/>
        <v/>
      </c>
      <c r="KY33" s="4" t="str">
        <f t="shared" si="100"/>
        <v/>
      </c>
      <c r="KZ33" s="4" t="str">
        <f t="shared" si="101"/>
        <v/>
      </c>
      <c r="LA33" s="4" t="str">
        <f t="shared" si="102"/>
        <v/>
      </c>
      <c r="LB33" s="4" t="str">
        <f t="shared" si="103"/>
        <v/>
      </c>
      <c r="LC33" s="4" t="str">
        <f t="shared" si="104"/>
        <v/>
      </c>
      <c r="LD33" s="4" t="str">
        <f t="shared" si="105"/>
        <v/>
      </c>
      <c r="LE33" s="4" t="str">
        <f t="shared" si="106"/>
        <v/>
      </c>
      <c r="LF33" s="4" t="str">
        <f t="shared" si="107"/>
        <v/>
      </c>
      <c r="LG33" s="4" t="str">
        <f t="shared" si="108"/>
        <v/>
      </c>
      <c r="LH33" s="4" t="str">
        <f t="shared" si="109"/>
        <v/>
      </c>
      <c r="LI33" s="4" t="str">
        <f t="shared" si="110"/>
        <v/>
      </c>
      <c r="LJ33" s="4" t="str">
        <f t="shared" si="111"/>
        <v/>
      </c>
      <c r="LK33" s="4" t="str">
        <f t="shared" si="112"/>
        <v/>
      </c>
      <c r="LL33" s="4" t="str">
        <f t="shared" si="113"/>
        <v/>
      </c>
      <c r="LM33" s="4" t="str">
        <f t="shared" si="114"/>
        <v/>
      </c>
      <c r="LN33" s="4" t="str">
        <f t="shared" si="115"/>
        <v/>
      </c>
      <c r="LO33" s="4" t="str">
        <f t="shared" si="116"/>
        <v/>
      </c>
      <c r="LP33" s="4" t="str">
        <f t="shared" si="117"/>
        <v/>
      </c>
      <c r="LQ33" s="4" t="str">
        <f t="shared" si="118"/>
        <v/>
      </c>
      <c r="LR33" s="4" t="str">
        <f t="shared" si="119"/>
        <v/>
      </c>
      <c r="LS33" s="4" t="str">
        <f t="shared" si="120"/>
        <v/>
      </c>
      <c r="LT33" s="4" t="str">
        <f t="shared" si="121"/>
        <v/>
      </c>
      <c r="LU33" s="4" t="str">
        <f t="shared" si="122"/>
        <v/>
      </c>
      <c r="LV33" s="4" t="str">
        <f t="shared" si="123"/>
        <v/>
      </c>
      <c r="LW33" s="4" t="str">
        <f t="shared" si="124"/>
        <v/>
      </c>
      <c r="LX33" s="4" t="str">
        <f t="shared" si="125"/>
        <v/>
      </c>
      <c r="LY33" s="4" t="str">
        <f t="shared" si="126"/>
        <v/>
      </c>
      <c r="LZ33" s="4" t="str">
        <f t="shared" si="127"/>
        <v/>
      </c>
      <c r="MA33" s="4" t="str">
        <f t="shared" si="128"/>
        <v/>
      </c>
      <c r="MB33" s="4" t="str">
        <f t="shared" si="129"/>
        <v/>
      </c>
      <c r="MC33" s="4" t="str">
        <f t="shared" si="130"/>
        <v/>
      </c>
      <c r="MD33" s="4" t="str">
        <f t="shared" si="131"/>
        <v/>
      </c>
      <c r="ME33" s="4">
        <f t="shared" si="132"/>
        <v>0</v>
      </c>
    </row>
    <row r="34" spans="1:343" ht="26.25" customHeight="1" thickBot="1" x14ac:dyDescent="0.25">
      <c r="A34" s="35">
        <v>41409</v>
      </c>
      <c r="B34" s="36" t="s">
        <v>206</v>
      </c>
      <c r="C34" s="36" t="s">
        <v>207</v>
      </c>
      <c r="D34" s="31" t="s">
        <v>111</v>
      </c>
      <c r="E34" s="4">
        <v>73</v>
      </c>
      <c r="F34" s="3">
        <v>14730</v>
      </c>
      <c r="G34" s="4" t="s">
        <v>87</v>
      </c>
      <c r="H34" s="4" t="s">
        <v>112</v>
      </c>
      <c r="I34" s="4">
        <v>1836787</v>
      </c>
      <c r="K34" s="80"/>
      <c r="L34" s="81"/>
      <c r="M34" s="81"/>
      <c r="N34" s="81"/>
      <c r="O34" s="81"/>
      <c r="P34" s="33">
        <v>-0.5</v>
      </c>
      <c r="Q34" s="33">
        <v>-0.56999999999999995</v>
      </c>
      <c r="R34" s="39" t="s">
        <v>249</v>
      </c>
      <c r="S34" s="67">
        <v>22.5</v>
      </c>
      <c r="T34" s="136">
        <v>41375</v>
      </c>
      <c r="U34" s="67">
        <v>0.5</v>
      </c>
      <c r="V34" s="67">
        <v>1.5</v>
      </c>
      <c r="W34" s="4">
        <v>10</v>
      </c>
      <c r="X34" s="4">
        <v>60</v>
      </c>
      <c r="Y34" s="4">
        <v>11</v>
      </c>
      <c r="Z34" s="4">
        <v>731</v>
      </c>
      <c r="AI34" s="4">
        <v>0</v>
      </c>
      <c r="AJ34" s="4" t="b">
        <f t="shared" ref="AJ34:AJ65" si="133">IF(AND(ISNUMBER(SK),SK&gt;0),TRUE,FALSE)</f>
        <v>0</v>
      </c>
      <c r="AL34" s="51" t="s">
        <v>78</v>
      </c>
      <c r="BA34" s="4" t="str">
        <f t="shared" ref="BA34:BA65" si="134">IF(ISNUMBER(AN34),AN34+0.5*AO34,"")</f>
        <v/>
      </c>
      <c r="BB34" s="4" t="str">
        <f t="shared" ref="BB34:BB65" si="135">IF(ISNUMBER(BA34),IF(ISNUMBER(Q34),BA34-Q34,"MISSING"),"")</f>
        <v/>
      </c>
      <c r="BC34" s="4" t="str">
        <f t="shared" ref="BC34:BC65" si="136">IF(AND(ISNUMBER(AS34),ISNUMBER(Z34)),AS34-Z34,IF(ISNUMBER(AS34),"MISSING",""))</f>
        <v/>
      </c>
      <c r="BD34" s="51" t="s">
        <v>505</v>
      </c>
      <c r="BS34" s="4" t="str">
        <f t="shared" ref="BS34:BS61" si="137">IF(ISNUMBER(BF34),BF34+0.5*BG34,"")</f>
        <v/>
      </c>
      <c r="BT34" s="4" t="str">
        <f t="shared" ref="BT34:BT65" si="138">IF(ISNUMBER(BS34),IF(ISNUMBER($Q34),BS34-$Q34,"MISSING"),"")</f>
        <v/>
      </c>
      <c r="BU34" s="4" t="str">
        <f t="shared" ref="BU34:BU65" si="139">IF(AND(ISNUMBER(BK34),ISNUMBER($Z34)),BK34-$Z34,IF(ISNUMBER(BK34),"MISSING",""))</f>
        <v/>
      </c>
      <c r="BV34" s="4">
        <f>IF(AND(ISBLANK(SPH_6),ISBLANK(SPH_12)),0,1)</f>
        <v>0</v>
      </c>
      <c r="BW34" s="4">
        <f t="shared" ref="BW34:BW65" si="140">IF(AND(ISNUMBER($AN34),ISNUMBER($BF34)),1,0)</f>
        <v>0</v>
      </c>
      <c r="BX34" s="4" t="str">
        <f t="shared" ref="BX34:BX65" si="141">IF(BW34,SE_PREOP,"")</f>
        <v/>
      </c>
      <c r="BY34" s="4" t="str">
        <f t="shared" ref="BY34:BY65" si="142">IF(FU_6_AND_12,SE_6,"")</f>
        <v/>
      </c>
      <c r="BZ34" s="4" t="str">
        <f t="shared" ref="BZ34:BZ65" si="143">IF(FU_6_AND_12,SE_12,"")</f>
        <v/>
      </c>
      <c r="CA34" s="53">
        <f t="shared" ref="CA34:CA65" si="144">IF(AND(ISNUMBER(BD34),ISNUMBER(BF34)),BD34-A34,IF(ISNUMBER(AL34),AL34-A34,0))</f>
        <v>0</v>
      </c>
      <c r="CB34" s="55" t="str">
        <f t="shared" ref="CB34:CB65" si="145">IF(CA34&gt;0,CA34/30,"")</f>
        <v/>
      </c>
      <c r="CC34" s="4" t="str">
        <f t="shared" ref="CC34:CC65" si="146">IF(AND(ISNUMBER(BA34),ISNUMBER(BS34)),(BS34-BA34),"")</f>
        <v/>
      </c>
      <c r="CD34" s="4" t="str">
        <f t="shared" ref="CD34:CD65" si="147">IF(AND(ISNUMBER(AY34), ISNUMBER(AE34)), AVERAGE(AY34,AW34)-AVERAGE(AE34,AG34),"")</f>
        <v/>
      </c>
      <c r="CE34" s="4" t="str">
        <f t="shared" ref="CE34:CE65" si="148">IF(AND(ISNUMBER(BO34), ISNUMBER(AE34)), AVERAGE(BO34,BQ34)-AVERAGE(AE34,AG34),"")</f>
        <v/>
      </c>
      <c r="CF34" s="4" t="str">
        <f t="shared" ref="CF34:CF65" si="149">IF(ISNUMBER(CE34),CE34,IF(ISNUMBER(CD34),CD34,""))</f>
        <v/>
      </c>
      <c r="CH34" s="4" t="str">
        <f t="shared" ref="CH34:CH65" si="150">IF(ISNUMBER(SE_12),SE_12,IF(ISNUMBER(SE_6),SE_6,""))</f>
        <v/>
      </c>
      <c r="CI34" s="104" t="str">
        <f t="shared" ref="CI34:CI65" si="151">IF(AND(ISNUMBER(SE_LAST_),ISNUMBER(REF_TARGET)),SE_LAST_-REF_TARGET,"")</f>
        <v/>
      </c>
      <c r="CJ34" s="94" t="str">
        <f t="shared" ref="CJ34:CJ65" si="152">IF(ISNUMBER(Z34),IF(ISNUMBER(BK34),BK34-Z34,IF(ISNUMBER(AS34),AS34-Z34,"")),"")</f>
        <v/>
      </c>
      <c r="CK34" s="4" t="str">
        <f t="shared" ref="CK34:CK65" si="153">IF(ISNUMBER(AA34),IF(ISNUMBER(AU34),AU34-AA34,IF(ISNUMBER(BM34),BM34-AA34,"")),"")</f>
        <v/>
      </c>
      <c r="CL34" s="107" t="str">
        <f t="shared" ref="CL34:CL65" si="154">IF(ISNUMBER(LAST_SE_ERROR),REF_TARGET,"")</f>
        <v/>
      </c>
      <c r="CM34" s="107" t="str">
        <f t="shared" si="24"/>
        <v/>
      </c>
      <c r="CN34" s="139" t="str">
        <f t="shared" ref="CN34:CN65" si="155">IF(ISNUMBER(BG34),BG34,IF(ISNUMBER(AO34),AO34,""))</f>
        <v/>
      </c>
      <c r="CO34" s="139" t="str">
        <f t="shared" ref="CO34:CO65" si="156">IF(AND(ISNUMBER(CN34),ISNUMBER(V34)),CN34-V34,"")</f>
        <v/>
      </c>
      <c r="CP34" s="149" t="str">
        <f t="shared" ref="CP34:CP65" si="157">IF(ISNUMBER(BCVA_12),BCVA_12,IF(ISNUMBER(BCVA_6),BCVA_6,""))</f>
        <v/>
      </c>
      <c r="CQ34" s="149" t="str">
        <f t="shared" ref="CQ34:CQ65" si="158">IF(ISNUMBER(CP34),PREOP_BCVA,"")</f>
        <v/>
      </c>
      <c r="CR34" s="148" t="str">
        <f t="shared" ref="CR34:CR65" si="159">IF(AND(REF_TARGET&lt;=0,REF_TARGET&gt;-1),IF(ISNUMBER(UDVA_12),UDVA_12,IF(ISNUMBER(UDVA_6),UDVA_6,"")),"")</f>
        <v/>
      </c>
      <c r="CS34" s="152" t="str">
        <f t="shared" ref="CS34:CS65" si="160">IF(ISNUMBER(PREOP_PENTACAM_RV),IF(ISNUMBER(SPH_6),IF(ISNUMBER($ER34),0,1),""),"")</f>
        <v/>
      </c>
      <c r="CT34" s="107" t="str">
        <f t="shared" ref="CT34:CT65" si="161">IF(ISNUMBER(PREOP_PENTACAM_RV),IF(ISNUMBER(SPH_12),IF(ISNUMBER($GN34),0,1),""),"")</f>
        <v/>
      </c>
      <c r="CU34" s="155" t="str">
        <f t="shared" ref="CU34:CU65" si="162">IF(OR(ISNUMBER(MISSING_PENT_6),ISNUMBER(MISSING_PENT_12)),IF(AND(ISNUMBER(MISSING_PENT_6),ISNUMBER(MISSING_PENT_12)),AND(MISSING_PENT_6,MISSING_PENT_12),IF(ISNUMBER(MISSING_PENT_6),INT(MISSING_PENT_6)&gt;0,INT(MISSING_PENT_12)&gt;0)),"")</f>
        <v/>
      </c>
      <c r="CV34">
        <v>7.59</v>
      </c>
      <c r="CW34" s="142">
        <v>7.46</v>
      </c>
      <c r="CX34" s="142">
        <v>146.1</v>
      </c>
      <c r="CY34" s="142">
        <v>-0.8</v>
      </c>
      <c r="CZ34" s="142">
        <v>0.33</v>
      </c>
      <c r="DA34" s="142">
        <v>0.53</v>
      </c>
      <c r="DB34" s="142">
        <v>2.09</v>
      </c>
      <c r="DC34" s="142">
        <v>2.82</v>
      </c>
      <c r="DD34" s="142">
        <v>733</v>
      </c>
      <c r="DE34" s="142">
        <v>732</v>
      </c>
      <c r="DF34" s="142">
        <v>776</v>
      </c>
      <c r="DG34" s="142">
        <v>740</v>
      </c>
      <c r="DH34" s="142">
        <v>732</v>
      </c>
      <c r="DI34" s="142">
        <v>832</v>
      </c>
      <c r="DJ34" s="142">
        <v>710</v>
      </c>
      <c r="DK34" s="142">
        <v>-1</v>
      </c>
      <c r="DL34" s="142">
        <v>-2.06</v>
      </c>
      <c r="DM34" s="142">
        <v>7.56</v>
      </c>
      <c r="DN34" s="142">
        <v>7.5</v>
      </c>
      <c r="DO34" s="142">
        <v>7.52</v>
      </c>
      <c r="DP34" s="142">
        <v>7.66</v>
      </c>
      <c r="DQ34" s="142">
        <v>7.9</v>
      </c>
      <c r="DR34" s="142">
        <v>8.1</v>
      </c>
      <c r="DS34" s="142">
        <v>0</v>
      </c>
      <c r="DT34" s="142">
        <v>1.1000000000000001</v>
      </c>
      <c r="DU34" s="142">
        <v>6.49</v>
      </c>
      <c r="DV34" s="142">
        <v>6.33</v>
      </c>
      <c r="DW34" s="142">
        <v>6.34</v>
      </c>
      <c r="DX34" s="142">
        <v>6.42</v>
      </c>
      <c r="DY34" s="142">
        <v>6.68</v>
      </c>
      <c r="DZ34" s="142">
        <v>0</v>
      </c>
      <c r="EA34" s="142">
        <v>0</v>
      </c>
      <c r="EB34" s="143">
        <v>1.1000000000000001</v>
      </c>
      <c r="EC34" s="124"/>
      <c r="ED34" s="124"/>
      <c r="EE34" s="124"/>
      <c r="EF34" s="124"/>
      <c r="EG34" s="124"/>
      <c r="EH34" s="124"/>
      <c r="EI34" s="124"/>
      <c r="EJ34" s="124"/>
      <c r="EK34" s="124"/>
      <c r="EL34" s="124"/>
      <c r="EM34" s="124"/>
      <c r="EN34" s="124"/>
      <c r="EO34" s="124"/>
      <c r="EP34" s="124"/>
      <c r="EQ34" s="144"/>
      <c r="IJ34" s="94" t="str">
        <f t="shared" ref="IJ34:IJ65" si="163">IF(ISNUMBER(GN34),GN34,IF(ISNUMBER(ER34),ER34,""))</f>
        <v/>
      </c>
      <c r="IK34" s="4" t="str">
        <f t="shared" ref="IK34:IK65" si="164">IF(ISNUMBER(GO34),GO34,IF(ISNUMBER(ES34),ES34,""))</f>
        <v/>
      </c>
      <c r="IL34" s="4" t="str">
        <f t="shared" ref="IL34:IL65" si="165">IF(ISNUMBER(GP34),GP34,IF(ISNUMBER(ET34),ET34,""))</f>
        <v/>
      </c>
      <c r="IM34" s="4" t="str">
        <f t="shared" ref="IM34:IM65" si="166">IF(ISNUMBER(GQ34),GQ34,IF(ISNUMBER(EU34),EU34,""))</f>
        <v/>
      </c>
      <c r="IN34" s="4" t="str">
        <f t="shared" ref="IN34:IN65" si="167">IF(ISNUMBER(GR34),GR34,IF(ISNUMBER(EV34),EV34,""))</f>
        <v/>
      </c>
      <c r="IO34" s="4" t="str">
        <f t="shared" ref="IO34:IO65" si="168">IF(ISNUMBER(GS34),GS34,IF(ISNUMBER(EW34),EW34,""))</f>
        <v/>
      </c>
      <c r="IP34" s="4" t="str">
        <f t="shared" ref="IP34:IP65" si="169">IF(ISNUMBER(GT34),GT34,IF(ISNUMBER(EX34),EX34,""))</f>
        <v/>
      </c>
      <c r="IQ34" s="4" t="str">
        <f t="shared" ref="IQ34:IQ65" si="170">IF(ISNUMBER(GU34),GU34,IF(ISNUMBER(EY34),EY34,""))</f>
        <v/>
      </c>
      <c r="IR34" s="4" t="str">
        <f t="shared" ref="IR34:IR65" si="171">IF(ISNUMBER(GV34),GV34,IF(ISNUMBER(EZ34),EZ34,""))</f>
        <v/>
      </c>
      <c r="IS34" s="4" t="str">
        <f t="shared" ref="IS34:IS65" si="172">IF(ISNUMBER(GW34),GW34,IF(ISNUMBER(FA34),FA34,""))</f>
        <v/>
      </c>
      <c r="IT34" s="4" t="str">
        <f t="shared" ref="IT34:IT65" si="173">IF(ISNUMBER(GX34),GX34,IF(ISNUMBER(FB34),FB34,""))</f>
        <v/>
      </c>
      <c r="IU34" s="4" t="str">
        <f t="shared" ref="IU34:IU65" si="174">IF(ISNUMBER(GY34),GY34,IF(ISNUMBER(FC34),FC34,""))</f>
        <v/>
      </c>
      <c r="IV34" s="4" t="str">
        <f t="shared" ref="IV34:IV65" si="175">IF(ISNUMBER(GZ34),GZ34,IF(ISNUMBER(FD34),FD34,""))</f>
        <v/>
      </c>
      <c r="IW34" s="4" t="str">
        <f t="shared" ref="IW34:IW65" si="176">IF(ISNUMBER(HA34),HA34,IF(ISNUMBER(FE34),FE34,""))</f>
        <v/>
      </c>
      <c r="IX34" s="4" t="str">
        <f t="shared" ref="IX34:IX65" si="177">IF(ISNUMBER(HB34),HB34,IF(ISNUMBER(FF34),FF34,""))</f>
        <v/>
      </c>
      <c r="IY34" s="4" t="str">
        <f t="shared" ref="IY34:IY65" si="178">IF(ISNUMBER(HC34),HC34,IF(ISNUMBER(FG34),FG34,""))</f>
        <v/>
      </c>
      <c r="IZ34" s="4" t="str">
        <f t="shared" ref="IZ34:IZ65" si="179">IF(ISNUMBER(HD34),HD34,IF(ISNUMBER(FH34),FH34,""))</f>
        <v/>
      </c>
      <c r="JA34" s="4" t="str">
        <f t="shared" ref="JA34:JA65" si="180">IF(ISNUMBER(HE34),HE34,IF(ISNUMBER(FI34),FI34,""))</f>
        <v/>
      </c>
      <c r="JB34" s="4" t="str">
        <f t="shared" ref="JB34:JB65" si="181">IF(ISNUMBER(HF34),HF34,IF(ISNUMBER(FJ34),FJ34,""))</f>
        <v/>
      </c>
      <c r="JC34" s="4" t="str">
        <f t="shared" ref="JC34:JC65" si="182">IF(ISNUMBER(HG34),HG34,IF(ISNUMBER(FK34),FK34,""))</f>
        <v/>
      </c>
      <c r="JD34" s="4" t="str">
        <f t="shared" ref="JD34:JD65" si="183">IF(ISNUMBER(HH34),HH34,IF(ISNUMBER(FL34),FL34,""))</f>
        <v/>
      </c>
      <c r="JE34" s="4" t="str">
        <f t="shared" ref="JE34:JE65" si="184">IF(ISNUMBER(HI34),HI34,IF(ISNUMBER(FM34),FM34,""))</f>
        <v/>
      </c>
      <c r="JF34" s="4" t="str">
        <f t="shared" ref="JF34:JF65" si="185">IF(ISNUMBER(HJ34),HJ34,IF(ISNUMBER(FN34),FN34,""))</f>
        <v/>
      </c>
      <c r="JG34" s="4" t="str">
        <f t="shared" ref="JG34:JG65" si="186">IF(ISNUMBER(HK34),HK34,IF(ISNUMBER(FO34),FO34,""))</f>
        <v/>
      </c>
      <c r="JH34" s="4" t="str">
        <f t="shared" ref="JH34:JH65" si="187">IF(ISNUMBER(HL34),HL34,IF(ISNUMBER(FP34),FP34,""))</f>
        <v/>
      </c>
      <c r="JI34" s="4" t="str">
        <f t="shared" ref="JI34:JI65" si="188">IF(ISNUMBER(HM34),HM34,IF(ISNUMBER(FQ34),FQ34,""))</f>
        <v/>
      </c>
      <c r="JJ34" s="4" t="str">
        <f t="shared" ref="JJ34:JJ65" si="189">IF(ISNUMBER(HN34),HN34,IF(ISNUMBER(FR34),FR34,""))</f>
        <v/>
      </c>
      <c r="JK34" s="4" t="str">
        <f t="shared" ref="JK34:JK65" si="190">IF(ISNUMBER(HO34),HO34,IF(ISNUMBER(FS34),FS34,""))</f>
        <v/>
      </c>
      <c r="JL34" s="4" t="str">
        <f t="shared" ref="JL34:JL65" si="191">IF(ISNUMBER(HP34),HP34,IF(ISNUMBER(FT34),FT34,""))</f>
        <v/>
      </c>
      <c r="JM34" s="4" t="str">
        <f t="shared" ref="JM34:JM65" si="192">IF(ISNUMBER(HQ34),HQ34,IF(ISNUMBER(FU34),FU34,""))</f>
        <v/>
      </c>
      <c r="JN34" s="4" t="str">
        <f t="shared" ref="JN34:JN65" si="193">IF(ISNUMBER(HR34),HR34,IF(ISNUMBER(FV34),FV34,""))</f>
        <v/>
      </c>
      <c r="JO34" s="129" t="str">
        <f t="shared" ref="JO34:JO65" si="194">IF(ISNUMBER(HS34),HS34,IF(ISNUMBER(FW34),FW34,""))</f>
        <v/>
      </c>
      <c r="JP34" s="122" t="str">
        <f t="shared" ref="JP34:JP65" si="195">IF(ISNUMBER(HT34),HT34,IF(ISNUMBER(FX34),FX34,""))</f>
        <v/>
      </c>
      <c r="JQ34" s="122" t="str">
        <f t="shared" ref="JQ34:JQ65" si="196">IF(ISNUMBER(HU34),HU34,IF(ISNUMBER(FY34),FY34,""))</f>
        <v/>
      </c>
      <c r="JR34" s="122" t="str">
        <f t="shared" ref="JR34:JR65" si="197">IF(ISNUMBER(HV34),HV34,IF(ISNUMBER(FZ34),FZ34,""))</f>
        <v/>
      </c>
      <c r="JS34" s="122" t="str">
        <f t="shared" ref="JS34:JS65" si="198">IF(ISNUMBER(HW34),HW34,IF(ISNUMBER(GA34),GA34,""))</f>
        <v/>
      </c>
      <c r="JT34" s="122" t="str">
        <f t="shared" ref="JT34:JT65" si="199">IF(ISNUMBER(HX34),HX34,IF(ISNUMBER(GB34),GB34,""))</f>
        <v/>
      </c>
      <c r="JU34" s="122" t="str">
        <f t="shared" ref="JU34:JU65" si="200">IF(ISNUMBER(HY34),HY34,IF(ISNUMBER(GC34),GC34,""))</f>
        <v/>
      </c>
      <c r="JV34" s="122" t="str">
        <f t="shared" ref="JV34:JV65" si="201">IF(ISNUMBER(HZ34),HZ34,IF(ISNUMBER(GD34),GD34,""))</f>
        <v/>
      </c>
      <c r="JW34" s="122" t="str">
        <f t="shared" ref="JW34:JW65" si="202">IF(ISNUMBER(IA34),IA34,IF(ISNUMBER(GE34),GE34,""))</f>
        <v/>
      </c>
      <c r="JX34" s="122" t="str">
        <f t="shared" ref="JX34:JX65" si="203">IF(ISNUMBER(IB34),IB34,IF(ISNUMBER(GF34),GF34,""))</f>
        <v/>
      </c>
      <c r="JY34" s="122" t="str">
        <f t="shared" ref="JY34:JY65" si="204">IF(ISNUMBER(IC34),IC34,IF(ISNUMBER(GG34),GG34,""))</f>
        <v/>
      </c>
      <c r="JZ34" s="122" t="str">
        <f t="shared" ref="JZ34:JZ65" si="205">IF(ISNUMBER(ID34),ID34,IF(ISNUMBER(GH34),GH34,""))</f>
        <v/>
      </c>
      <c r="KA34" s="122" t="str">
        <f t="shared" ref="KA34:KA65" si="206">IF(ISNUMBER(IE34),IE34,IF(ISNUMBER(GI34),GI34,""))</f>
        <v/>
      </c>
      <c r="KB34" s="122" t="str">
        <f t="shared" ref="KB34:KB65" si="207">IF(ISNUMBER(IF34),IF34,IF(ISNUMBER(GJ34),GJ34,""))</f>
        <v/>
      </c>
      <c r="KC34" s="122" t="str">
        <f t="shared" ref="KC34:KC65" si="208">IF(ISNUMBER(IG34),IG34,IF(ISNUMBER(GK34),GK34,""))</f>
        <v/>
      </c>
      <c r="KD34" s="122" t="str">
        <f t="shared" ref="KD34:KD65" si="209">IF(ISNUMBER(IH34),IH34,IF(ISNUMBER(GL34),GL34,""))</f>
        <v/>
      </c>
      <c r="KE34" s="133" t="str">
        <f t="shared" ref="KE34:KE65" si="210">IF(ISNUMBER(II34),II34,IF(ISNUMBER(GM34),GM34,""))</f>
        <v/>
      </c>
      <c r="KF34" s="94" t="str">
        <f t="shared" ref="KF34:KF65" si="211">IF(AND(ISNUMBER(IJ34),ISNUMBER(CV34)),IJ34-CV34,"")</f>
        <v/>
      </c>
      <c r="KG34" s="4" t="str">
        <f t="shared" ref="KG34:KG65" si="212">IF(AND(ISNUMBER(IK34),ISNUMBER(CW34)),IK34-CW34,"")</f>
        <v/>
      </c>
      <c r="KH34" s="4" t="str">
        <f t="shared" ref="KH34:KH65" si="213">IF(AND(ISNUMBER(IL34),ISNUMBER(CX34)),IL34-CX34,"")</f>
        <v/>
      </c>
      <c r="KI34" s="4" t="str">
        <f t="shared" ref="KI34:KI65" si="214">IF(AND(ISNUMBER(IM34),ISNUMBER(CY34)),IM34-CY34,"")</f>
        <v/>
      </c>
      <c r="KJ34" s="4" t="str">
        <f t="shared" ref="KJ34:KJ65" si="215">IF(AND(ISNUMBER(IN34),ISNUMBER(CZ34)),IN34-CZ34,"")</f>
        <v/>
      </c>
      <c r="KK34" s="4" t="str">
        <f t="shared" ref="KK34:KK65" si="216">IF(AND(ISNUMBER(IO34),ISNUMBER(DA34)),IO34-DA34,"")</f>
        <v/>
      </c>
      <c r="KL34" s="4" t="str">
        <f t="shared" ref="KL34:KL65" si="217">IF(AND(ISNUMBER(IP34),ISNUMBER(DB34)),IP34-DB34,"")</f>
        <v/>
      </c>
      <c r="KM34" s="4" t="str">
        <f t="shared" ref="KM34:KM65" si="218">IF(AND(ISNUMBER(IQ34),ISNUMBER(DC34)),IQ34-DC34,"")</f>
        <v/>
      </c>
      <c r="KN34" s="4" t="str">
        <f t="shared" ref="KN34:KN65" si="219">IF(AND(ISNUMBER(IR34),ISNUMBER(DD34)),IR34-DD34,"")</f>
        <v/>
      </c>
      <c r="KO34" s="4" t="str">
        <f t="shared" ref="KO34:KO65" si="220">IF(AND(ISNUMBER(IS34),ISNUMBER(DE34)),IS34-DE34,"")</f>
        <v/>
      </c>
      <c r="KP34" s="4" t="str">
        <f t="shared" ref="KP34:KP65" si="221">IF(AND(ISNUMBER(IT34),ISNUMBER(DF34)),IT34-DF34,"")</f>
        <v/>
      </c>
      <c r="KQ34" s="4" t="str">
        <f t="shared" ref="KQ34:KQ65" si="222">IF(AND(ISNUMBER(IU34),ISNUMBER(DG34)),IU34-DG34,"")</f>
        <v/>
      </c>
      <c r="KR34" s="4" t="str">
        <f t="shared" ref="KR34:KR65" si="223">IF(AND(ISNUMBER(IV34),ISNUMBER(DH34)),IV34-DH34,"")</f>
        <v/>
      </c>
      <c r="KS34" s="4" t="str">
        <f t="shared" ref="KS34:KS65" si="224">IF(AND(ISNUMBER(IW34),ISNUMBER(DI34)),IW34-DI34,"")</f>
        <v/>
      </c>
      <c r="KT34" s="4" t="str">
        <f t="shared" ref="KT34:KT65" si="225">IF(AND(ISNUMBER(IX34),ISNUMBER(DJ34)),IX34-DJ34,"")</f>
        <v/>
      </c>
      <c r="KU34" s="4" t="str">
        <f t="shared" ref="KU34:KU65" si="226">IF(AND(ISNUMBER(IY34),ISNUMBER(DK34)),IY34-DK34,"")</f>
        <v/>
      </c>
      <c r="KV34" s="4" t="str">
        <f t="shared" ref="KV34:KV65" si="227">IF(AND(ISNUMBER(IZ34),ISNUMBER(DL34)),IZ34-DL34,"")</f>
        <v/>
      </c>
      <c r="KW34" s="4" t="str">
        <f t="shared" ref="KW34:KW65" si="228">IF(AND(ISNUMBER(JA34),ISNUMBER(DM34)),JA34-DM34,"")</f>
        <v/>
      </c>
      <c r="KX34" s="4" t="str">
        <f t="shared" ref="KX34:KX65" si="229">IF(AND(ISNUMBER(JB34),ISNUMBER(DN34)),JB34-DN34,"")</f>
        <v/>
      </c>
      <c r="KY34" s="4" t="str">
        <f t="shared" ref="KY34:KY65" si="230">IF(AND(ISNUMBER(JC34),ISNUMBER(DO34)),JC34-DO34,"")</f>
        <v/>
      </c>
      <c r="KZ34" s="4" t="str">
        <f t="shared" ref="KZ34:KZ65" si="231">IF(AND(ISNUMBER(JD34),ISNUMBER(DP34)),JD34-DP34,"")</f>
        <v/>
      </c>
      <c r="LA34" s="4" t="str">
        <f t="shared" ref="LA34:LA65" si="232">IF(AND(ISNUMBER(JE34),ISNUMBER(DQ34)),JE34-DQ34,"")</f>
        <v/>
      </c>
      <c r="LB34" s="4" t="str">
        <f t="shared" ref="LB34:LB65" si="233">IF(AND(ISNUMBER(JF34),ISNUMBER(DR34)),JF34-DR34,"")</f>
        <v/>
      </c>
      <c r="LC34" s="4" t="str">
        <f t="shared" ref="LC34:LC65" si="234">IF(AND(ISNUMBER(JG34),ISNUMBER(DS34)),JG34-DS34,"")</f>
        <v/>
      </c>
      <c r="LD34" s="4" t="str">
        <f t="shared" ref="LD34:LD65" si="235">IF(AND(ISNUMBER(JH34),ISNUMBER(DT34)),JH34-DT34,"")</f>
        <v/>
      </c>
      <c r="LE34" s="4" t="str">
        <f t="shared" ref="LE34:LE65" si="236">IF(AND(ISNUMBER(JI34),ISNUMBER(DU34)),JI34-DU34,"")</f>
        <v/>
      </c>
      <c r="LF34" s="4" t="str">
        <f t="shared" ref="LF34:LF65" si="237">IF(AND(ISNUMBER(JJ34),ISNUMBER(DV34)),JJ34-DV34,"")</f>
        <v/>
      </c>
      <c r="LG34" s="4" t="str">
        <f t="shared" ref="LG34:LG65" si="238">IF(AND(ISNUMBER(JK34),ISNUMBER(DW34)),JK34-DW34,"")</f>
        <v/>
      </c>
      <c r="LH34" s="4" t="str">
        <f t="shared" ref="LH34:LH65" si="239">IF(AND(ISNUMBER(JL34),ISNUMBER(DX34)),JL34-DX34,"")</f>
        <v/>
      </c>
      <c r="LI34" s="4" t="str">
        <f t="shared" ref="LI34:LI65" si="240">IF(AND(ISNUMBER(JM34),ISNUMBER(DY34)),JM34-DY34,"")</f>
        <v/>
      </c>
      <c r="LJ34" s="4" t="str">
        <f t="shared" ref="LJ34:LJ65" si="241">IF(AND(ISNUMBER(JN34),ISNUMBER(DZ34)),JN34-DZ34,"")</f>
        <v/>
      </c>
      <c r="LK34" s="4" t="str">
        <f t="shared" ref="LK34:LK65" si="242">IF(AND(ISNUMBER(JO34),ISNUMBER(EA34)),JO34-EA34,"")</f>
        <v/>
      </c>
      <c r="LL34" s="4" t="str">
        <f t="shared" ref="LL34:LL65" si="243">IF(AND(ISNUMBER(JP34),ISNUMBER(EB34)),JP34-EB34,"")</f>
        <v/>
      </c>
      <c r="LM34" s="4" t="str">
        <f t="shared" ref="LM34:LM65" si="244">IF(AND(ISNUMBER(JQ34),ISNUMBER(EC34)),JQ34-EC34,"")</f>
        <v/>
      </c>
      <c r="LN34" s="4" t="str">
        <f t="shared" ref="LN34:LN65" si="245">IF(AND(ISNUMBER(JR34),ISNUMBER(ED34)),JR34-ED34,"")</f>
        <v/>
      </c>
      <c r="LO34" s="4" t="str">
        <f t="shared" ref="LO34:LO65" si="246">IF(AND(ISNUMBER(JS34),ISNUMBER(EE34)),JS34-EE34,"")</f>
        <v/>
      </c>
      <c r="LP34" s="4" t="str">
        <f t="shared" ref="LP34:LP65" si="247">IF(AND(ISNUMBER(JT34),ISNUMBER(EF34)),JT34-EF34,"")</f>
        <v/>
      </c>
      <c r="LQ34" s="4" t="str">
        <f t="shared" ref="LQ34:LQ65" si="248">IF(AND(ISNUMBER(JU34),ISNUMBER(EG34)),JU34-EG34,"")</f>
        <v/>
      </c>
      <c r="LR34" s="4" t="str">
        <f t="shared" ref="LR34:LR65" si="249">IF(AND(ISNUMBER(JV34),ISNUMBER(EH34)),JV34-EH34,"")</f>
        <v/>
      </c>
      <c r="LS34" s="4" t="str">
        <f t="shared" ref="LS34:LS65" si="250">IF(AND(ISNUMBER(JW34),ISNUMBER(EI34)),JW34-EI34,"")</f>
        <v/>
      </c>
      <c r="LT34" s="4" t="str">
        <f t="shared" ref="LT34:LT65" si="251">IF(AND(ISNUMBER(JX34),ISNUMBER(EJ34)),JX34-EJ34,"")</f>
        <v/>
      </c>
      <c r="LU34" s="4" t="str">
        <f t="shared" ref="LU34:LU65" si="252">IF(AND(ISNUMBER(JY34),ISNUMBER(EK34)),JY34-EK34,"")</f>
        <v/>
      </c>
      <c r="LV34" s="4" t="str">
        <f t="shared" ref="LV34:LV65" si="253">IF(AND(ISNUMBER(JZ34),ISNUMBER(EL34)),JZ34-EL34,"")</f>
        <v/>
      </c>
      <c r="LW34" s="4" t="str">
        <f t="shared" ref="LW34:LW65" si="254">IF(AND(ISNUMBER(KA34),ISNUMBER(EM34)),KA34-EM34,"")</f>
        <v/>
      </c>
      <c r="LX34" s="4" t="str">
        <f t="shared" ref="LX34:LX65" si="255">IF(AND(ISNUMBER(KB34),ISNUMBER(EN34)),KB34-EN34,"")</f>
        <v/>
      </c>
      <c r="LY34" s="4" t="str">
        <f t="shared" ref="LY34:LY65" si="256">IF(AND(ISNUMBER(KC34),ISNUMBER(EO34)),KC34-EO34,"")</f>
        <v/>
      </c>
      <c r="LZ34" s="4" t="str">
        <f t="shared" ref="LZ34:LZ65" si="257">IF(AND(ISNUMBER(KD34),ISNUMBER(EP34)),KD34-EP34,"")</f>
        <v/>
      </c>
      <c r="MA34" s="4" t="str">
        <f t="shared" ref="MA34:MA65" si="258">IF(AND(ISNUMBER(KE34),ISNUMBER(EQ34)),KE34-EQ34,"")</f>
        <v/>
      </c>
      <c r="MB34" s="4" t="str">
        <f t="shared" ref="MB34:MB65" si="259">IF(AND(ISNUMBER(HU34),ISNUMBER(FY34)),HU34-FY34,"")</f>
        <v/>
      </c>
      <c r="MC34" s="4" t="str">
        <f t="shared" ref="MC34:MC65" si="260">IF(AND(ISNUMBER(HV34),ISNUMBER(FZ34)),HV34-FZ34,"")</f>
        <v/>
      </c>
      <c r="MD34" s="4" t="str">
        <f t="shared" ref="MD34:MD65" si="261">IF(AND(ISNUMBER(HZ34),ISNUMBER(GD34)),HZ34-GD34,"")</f>
        <v/>
      </c>
      <c r="ME34" s="4">
        <f t="shared" ref="ME34:ME65" si="262">IA34-GE34</f>
        <v>0</v>
      </c>
    </row>
    <row r="35" spans="1:343" ht="26.25" customHeight="1" thickBot="1" x14ac:dyDescent="0.25">
      <c r="A35" s="35">
        <v>41407</v>
      </c>
      <c r="B35" s="36" t="s">
        <v>170</v>
      </c>
      <c r="C35" s="36" t="s">
        <v>230</v>
      </c>
      <c r="D35" s="31" t="s">
        <v>111</v>
      </c>
      <c r="E35" s="4">
        <v>49</v>
      </c>
      <c r="F35" s="3">
        <v>23176</v>
      </c>
      <c r="G35" s="4" t="s">
        <v>87</v>
      </c>
      <c r="H35" s="4" t="s">
        <v>108</v>
      </c>
      <c r="I35" s="4">
        <v>1836935</v>
      </c>
      <c r="K35" s="80"/>
      <c r="L35" s="81"/>
      <c r="M35" s="81"/>
      <c r="N35" s="81"/>
      <c r="O35" s="81"/>
      <c r="P35" s="33">
        <v>-0.5</v>
      </c>
      <c r="Q35" s="33">
        <v>-0.51</v>
      </c>
      <c r="R35" s="39" t="s">
        <v>249</v>
      </c>
      <c r="S35" s="67">
        <v>22.5</v>
      </c>
      <c r="T35" s="136">
        <v>41394</v>
      </c>
      <c r="U35" s="67">
        <v>0.5</v>
      </c>
      <c r="V35" s="67">
        <v>1</v>
      </c>
      <c r="W35" s="4">
        <v>175</v>
      </c>
      <c r="X35" s="4">
        <v>20</v>
      </c>
      <c r="Y35" s="4">
        <v>15</v>
      </c>
      <c r="AI35" s="4">
        <v>0</v>
      </c>
      <c r="AJ35" s="4" t="b">
        <f t="shared" si="133"/>
        <v>0</v>
      </c>
      <c r="AL35" s="51" t="s">
        <v>78</v>
      </c>
      <c r="BA35" s="4" t="str">
        <f t="shared" si="134"/>
        <v/>
      </c>
      <c r="BB35" s="4" t="str">
        <f t="shared" si="135"/>
        <v/>
      </c>
      <c r="BC35" s="4" t="str">
        <f t="shared" si="136"/>
        <v/>
      </c>
      <c r="BD35" s="51" t="s">
        <v>505</v>
      </c>
      <c r="BS35" s="4" t="str">
        <f t="shared" si="137"/>
        <v/>
      </c>
      <c r="BT35" s="4" t="str">
        <f t="shared" si="138"/>
        <v/>
      </c>
      <c r="BU35" s="4" t="str">
        <f t="shared" si="139"/>
        <v/>
      </c>
      <c r="BV35" s="4">
        <f>IF(AND(ISBLANK(SPH_6),ISBLANK(SPH_12)),0,1)</f>
        <v>0</v>
      </c>
      <c r="BW35" s="4">
        <f t="shared" si="140"/>
        <v>0</v>
      </c>
      <c r="BX35" s="4" t="str">
        <f t="shared" si="141"/>
        <v/>
      </c>
      <c r="BY35" s="4" t="str">
        <f t="shared" si="142"/>
        <v/>
      </c>
      <c r="BZ35" s="4" t="str">
        <f t="shared" si="143"/>
        <v/>
      </c>
      <c r="CA35" s="53">
        <f t="shared" si="144"/>
        <v>0</v>
      </c>
      <c r="CB35" s="55" t="str">
        <f t="shared" si="145"/>
        <v/>
      </c>
      <c r="CC35" s="4" t="str">
        <f t="shared" si="146"/>
        <v/>
      </c>
      <c r="CD35" s="4" t="str">
        <f t="shared" si="147"/>
        <v/>
      </c>
      <c r="CE35" s="4" t="str">
        <f t="shared" si="148"/>
        <v/>
      </c>
      <c r="CF35" s="4" t="str">
        <f t="shared" si="149"/>
        <v/>
      </c>
      <c r="CH35" s="4" t="str">
        <f t="shared" si="150"/>
        <v/>
      </c>
      <c r="CI35" s="104" t="str">
        <f t="shared" si="151"/>
        <v/>
      </c>
      <c r="CJ35" s="94" t="str">
        <f t="shared" si="152"/>
        <v/>
      </c>
      <c r="CK35" s="4" t="str">
        <f t="shared" si="153"/>
        <v/>
      </c>
      <c r="CL35" s="107" t="str">
        <f t="shared" si="154"/>
        <v/>
      </c>
      <c r="CM35" s="107" t="str">
        <f t="shared" si="24"/>
        <v/>
      </c>
      <c r="CN35" s="139" t="str">
        <f t="shared" si="155"/>
        <v/>
      </c>
      <c r="CO35" s="139" t="str">
        <f t="shared" si="156"/>
        <v/>
      </c>
      <c r="CP35" s="149" t="str">
        <f t="shared" si="157"/>
        <v/>
      </c>
      <c r="CQ35" s="149" t="str">
        <f t="shared" si="158"/>
        <v/>
      </c>
      <c r="CR35" s="148" t="str">
        <f t="shared" si="159"/>
        <v/>
      </c>
      <c r="CS35" s="152" t="str">
        <f t="shared" si="160"/>
        <v/>
      </c>
      <c r="CT35" s="107" t="str">
        <f t="shared" si="161"/>
        <v/>
      </c>
      <c r="CU35" s="155" t="str">
        <f t="shared" si="162"/>
        <v/>
      </c>
      <c r="CV35">
        <v>7.51</v>
      </c>
      <c r="CW35" s="4">
        <v>7.55</v>
      </c>
      <c r="CX35" s="4">
        <v>126.7</v>
      </c>
      <c r="CY35" s="4">
        <v>0.2</v>
      </c>
      <c r="CZ35" s="4">
        <v>0.3</v>
      </c>
      <c r="DA35" s="4">
        <v>0.41</v>
      </c>
      <c r="DB35" s="4">
        <v>2.9</v>
      </c>
      <c r="DC35" s="4">
        <v>3.47</v>
      </c>
      <c r="DD35" s="4">
        <v>577</v>
      </c>
      <c r="DE35" s="4">
        <v>581</v>
      </c>
      <c r="DF35" s="4">
        <v>721</v>
      </c>
      <c r="DG35" s="4">
        <v>665</v>
      </c>
      <c r="DH35" s="4">
        <v>699</v>
      </c>
      <c r="DI35" s="4">
        <v>658</v>
      </c>
      <c r="DJ35" s="4">
        <v>574</v>
      </c>
      <c r="DK35" s="4">
        <v>-0.5</v>
      </c>
      <c r="DL35" s="4">
        <v>-0.25</v>
      </c>
      <c r="DM35" s="4">
        <v>7.54</v>
      </c>
      <c r="DN35" s="4">
        <v>7.53</v>
      </c>
      <c r="DO35" s="4">
        <v>7.54</v>
      </c>
      <c r="DP35" s="4">
        <v>7.65</v>
      </c>
      <c r="DQ35" s="4">
        <v>7.81</v>
      </c>
      <c r="DR35" s="4">
        <v>8.0399999999999991</v>
      </c>
      <c r="DS35" s="4">
        <v>0</v>
      </c>
      <c r="DT35" s="4">
        <v>1.6</v>
      </c>
      <c r="DU35" s="4">
        <v>5.97</v>
      </c>
      <c r="DV35" s="4">
        <v>5.94</v>
      </c>
      <c r="DW35" s="4">
        <v>6.08</v>
      </c>
      <c r="DX35" s="4">
        <v>6.27</v>
      </c>
      <c r="DY35" s="4">
        <v>6.31</v>
      </c>
      <c r="DZ35" s="4">
        <v>0</v>
      </c>
      <c r="EA35" s="4">
        <v>0</v>
      </c>
      <c r="EB35" s="100">
        <v>1.6</v>
      </c>
      <c r="IJ35" s="94" t="str">
        <f t="shared" si="163"/>
        <v/>
      </c>
      <c r="IK35" s="4" t="str">
        <f t="shared" si="164"/>
        <v/>
      </c>
      <c r="IL35" s="4" t="str">
        <f t="shared" si="165"/>
        <v/>
      </c>
      <c r="IM35" s="4" t="str">
        <f t="shared" si="166"/>
        <v/>
      </c>
      <c r="IN35" s="4" t="str">
        <f t="shared" si="167"/>
        <v/>
      </c>
      <c r="IO35" s="4" t="str">
        <f t="shared" si="168"/>
        <v/>
      </c>
      <c r="IP35" s="4" t="str">
        <f t="shared" si="169"/>
        <v/>
      </c>
      <c r="IQ35" s="4" t="str">
        <f t="shared" si="170"/>
        <v/>
      </c>
      <c r="IR35" s="4" t="str">
        <f t="shared" si="171"/>
        <v/>
      </c>
      <c r="IS35" s="4" t="str">
        <f t="shared" si="172"/>
        <v/>
      </c>
      <c r="IT35" s="4" t="str">
        <f t="shared" si="173"/>
        <v/>
      </c>
      <c r="IU35" s="4" t="str">
        <f t="shared" si="174"/>
        <v/>
      </c>
      <c r="IV35" s="4" t="str">
        <f t="shared" si="175"/>
        <v/>
      </c>
      <c r="IW35" s="4" t="str">
        <f t="shared" si="176"/>
        <v/>
      </c>
      <c r="IX35" s="4" t="str">
        <f t="shared" si="177"/>
        <v/>
      </c>
      <c r="IY35" s="4" t="str">
        <f t="shared" si="178"/>
        <v/>
      </c>
      <c r="IZ35" s="4" t="str">
        <f t="shared" si="179"/>
        <v/>
      </c>
      <c r="JA35" s="4" t="str">
        <f t="shared" si="180"/>
        <v/>
      </c>
      <c r="JB35" s="4" t="str">
        <f t="shared" si="181"/>
        <v/>
      </c>
      <c r="JC35" s="4" t="str">
        <f t="shared" si="182"/>
        <v/>
      </c>
      <c r="JD35" s="4" t="str">
        <f t="shared" si="183"/>
        <v/>
      </c>
      <c r="JE35" s="4" t="str">
        <f t="shared" si="184"/>
        <v/>
      </c>
      <c r="JF35" s="4" t="str">
        <f t="shared" si="185"/>
        <v/>
      </c>
      <c r="JG35" s="4" t="str">
        <f t="shared" si="186"/>
        <v/>
      </c>
      <c r="JH35" s="4" t="str">
        <f t="shared" si="187"/>
        <v/>
      </c>
      <c r="JI35" s="4" t="str">
        <f t="shared" si="188"/>
        <v/>
      </c>
      <c r="JJ35" s="4" t="str">
        <f t="shared" si="189"/>
        <v/>
      </c>
      <c r="JK35" s="4" t="str">
        <f t="shared" si="190"/>
        <v/>
      </c>
      <c r="JL35" s="4" t="str">
        <f t="shared" si="191"/>
        <v/>
      </c>
      <c r="JM35" s="4" t="str">
        <f t="shared" si="192"/>
        <v/>
      </c>
      <c r="JN35" s="4" t="str">
        <f t="shared" si="193"/>
        <v/>
      </c>
      <c r="JO35" s="129" t="str">
        <f t="shared" si="194"/>
        <v/>
      </c>
      <c r="JP35" s="122" t="str">
        <f t="shared" si="195"/>
        <v/>
      </c>
      <c r="JQ35" s="122" t="str">
        <f t="shared" si="196"/>
        <v/>
      </c>
      <c r="JR35" s="122" t="str">
        <f t="shared" si="197"/>
        <v/>
      </c>
      <c r="JS35" s="122" t="str">
        <f t="shared" si="198"/>
        <v/>
      </c>
      <c r="JT35" s="122" t="str">
        <f t="shared" si="199"/>
        <v/>
      </c>
      <c r="JU35" s="122" t="str">
        <f t="shared" si="200"/>
        <v/>
      </c>
      <c r="JV35" s="122" t="str">
        <f t="shared" si="201"/>
        <v/>
      </c>
      <c r="JW35" s="122" t="str">
        <f t="shared" si="202"/>
        <v/>
      </c>
      <c r="JX35" s="122" t="str">
        <f t="shared" si="203"/>
        <v/>
      </c>
      <c r="JY35" s="122" t="str">
        <f t="shared" si="204"/>
        <v/>
      </c>
      <c r="JZ35" s="122" t="str">
        <f t="shared" si="205"/>
        <v/>
      </c>
      <c r="KA35" s="122" t="str">
        <f t="shared" si="206"/>
        <v/>
      </c>
      <c r="KB35" s="122" t="str">
        <f t="shared" si="207"/>
        <v/>
      </c>
      <c r="KC35" s="122" t="str">
        <f t="shared" si="208"/>
        <v/>
      </c>
      <c r="KD35" s="122" t="str">
        <f t="shared" si="209"/>
        <v/>
      </c>
      <c r="KE35" s="133" t="str">
        <f t="shared" si="210"/>
        <v/>
      </c>
      <c r="KF35" s="94" t="str">
        <f t="shared" si="211"/>
        <v/>
      </c>
      <c r="KG35" s="4" t="str">
        <f t="shared" si="212"/>
        <v/>
      </c>
      <c r="KH35" s="4" t="str">
        <f t="shared" si="213"/>
        <v/>
      </c>
      <c r="KI35" s="4" t="str">
        <f t="shared" si="214"/>
        <v/>
      </c>
      <c r="KJ35" s="4" t="str">
        <f t="shared" si="215"/>
        <v/>
      </c>
      <c r="KK35" s="4" t="str">
        <f t="shared" si="216"/>
        <v/>
      </c>
      <c r="KL35" s="4" t="str">
        <f t="shared" si="217"/>
        <v/>
      </c>
      <c r="KM35" s="4" t="str">
        <f t="shared" si="218"/>
        <v/>
      </c>
      <c r="KN35" s="4" t="str">
        <f t="shared" si="219"/>
        <v/>
      </c>
      <c r="KO35" s="4" t="str">
        <f t="shared" si="220"/>
        <v/>
      </c>
      <c r="KP35" s="4" t="str">
        <f t="shared" si="221"/>
        <v/>
      </c>
      <c r="KQ35" s="4" t="str">
        <f t="shared" si="222"/>
        <v/>
      </c>
      <c r="KR35" s="4" t="str">
        <f t="shared" si="223"/>
        <v/>
      </c>
      <c r="KS35" s="4" t="str">
        <f t="shared" si="224"/>
        <v/>
      </c>
      <c r="KT35" s="4" t="str">
        <f t="shared" si="225"/>
        <v/>
      </c>
      <c r="KU35" s="4" t="str">
        <f t="shared" si="226"/>
        <v/>
      </c>
      <c r="KV35" s="4" t="str">
        <f t="shared" si="227"/>
        <v/>
      </c>
      <c r="KW35" s="4" t="str">
        <f t="shared" si="228"/>
        <v/>
      </c>
      <c r="KX35" s="4" t="str">
        <f t="shared" si="229"/>
        <v/>
      </c>
      <c r="KY35" s="4" t="str">
        <f t="shared" si="230"/>
        <v/>
      </c>
      <c r="KZ35" s="4" t="str">
        <f t="shared" si="231"/>
        <v/>
      </c>
      <c r="LA35" s="4" t="str">
        <f t="shared" si="232"/>
        <v/>
      </c>
      <c r="LB35" s="4" t="str">
        <f t="shared" si="233"/>
        <v/>
      </c>
      <c r="LC35" s="4" t="str">
        <f t="shared" si="234"/>
        <v/>
      </c>
      <c r="LD35" s="4" t="str">
        <f t="shared" si="235"/>
        <v/>
      </c>
      <c r="LE35" s="4" t="str">
        <f t="shared" si="236"/>
        <v/>
      </c>
      <c r="LF35" s="4" t="str">
        <f t="shared" si="237"/>
        <v/>
      </c>
      <c r="LG35" s="4" t="str">
        <f t="shared" si="238"/>
        <v/>
      </c>
      <c r="LH35" s="4" t="str">
        <f t="shared" si="239"/>
        <v/>
      </c>
      <c r="LI35" s="4" t="str">
        <f t="shared" si="240"/>
        <v/>
      </c>
      <c r="LJ35" s="4" t="str">
        <f t="shared" si="241"/>
        <v/>
      </c>
      <c r="LK35" s="4" t="str">
        <f t="shared" si="242"/>
        <v/>
      </c>
      <c r="LL35" s="4" t="str">
        <f t="shared" si="243"/>
        <v/>
      </c>
      <c r="LM35" s="4" t="str">
        <f t="shared" si="244"/>
        <v/>
      </c>
      <c r="LN35" s="4" t="str">
        <f t="shared" si="245"/>
        <v/>
      </c>
      <c r="LO35" s="4" t="str">
        <f t="shared" si="246"/>
        <v/>
      </c>
      <c r="LP35" s="4" t="str">
        <f t="shared" si="247"/>
        <v/>
      </c>
      <c r="LQ35" s="4" t="str">
        <f t="shared" si="248"/>
        <v/>
      </c>
      <c r="LR35" s="4" t="str">
        <f t="shared" si="249"/>
        <v/>
      </c>
      <c r="LS35" s="4" t="str">
        <f t="shared" si="250"/>
        <v/>
      </c>
      <c r="LT35" s="4" t="str">
        <f t="shared" si="251"/>
        <v/>
      </c>
      <c r="LU35" s="4" t="str">
        <f t="shared" si="252"/>
        <v/>
      </c>
      <c r="LV35" s="4" t="str">
        <f t="shared" si="253"/>
        <v/>
      </c>
      <c r="LW35" s="4" t="str">
        <f t="shared" si="254"/>
        <v/>
      </c>
      <c r="LX35" s="4" t="str">
        <f t="shared" si="255"/>
        <v/>
      </c>
      <c r="LY35" s="4" t="str">
        <f t="shared" si="256"/>
        <v/>
      </c>
      <c r="LZ35" s="4" t="str">
        <f t="shared" si="257"/>
        <v/>
      </c>
      <c r="MA35" s="4" t="str">
        <f t="shared" si="258"/>
        <v/>
      </c>
      <c r="MB35" s="4" t="str">
        <f t="shared" si="259"/>
        <v/>
      </c>
      <c r="MC35" s="4" t="str">
        <f t="shared" si="260"/>
        <v/>
      </c>
      <c r="MD35" s="4" t="str">
        <f t="shared" si="261"/>
        <v/>
      </c>
      <c r="ME35" s="4">
        <f t="shared" si="262"/>
        <v>0</v>
      </c>
    </row>
    <row r="36" spans="1:343" ht="26.25" customHeight="1" x14ac:dyDescent="0.2">
      <c r="A36" s="35">
        <v>41332</v>
      </c>
      <c r="B36" s="36" t="s">
        <v>121</v>
      </c>
      <c r="C36" s="36" t="s">
        <v>119</v>
      </c>
      <c r="D36" s="31" t="s">
        <v>110</v>
      </c>
      <c r="E36" s="4">
        <v>65</v>
      </c>
      <c r="F36" s="3">
        <v>17337</v>
      </c>
      <c r="G36" s="4" t="s">
        <v>87</v>
      </c>
      <c r="H36" s="4" t="s">
        <v>112</v>
      </c>
      <c r="I36" s="4">
        <v>1805730</v>
      </c>
      <c r="J36" s="4" t="s">
        <v>310</v>
      </c>
      <c r="P36" s="33">
        <v>-0.5</v>
      </c>
      <c r="Q36" s="4">
        <v>-0.56999999999999995</v>
      </c>
      <c r="R36" s="4" t="s">
        <v>249</v>
      </c>
      <c r="S36" s="67">
        <v>18.5</v>
      </c>
      <c r="T36" s="136">
        <v>41288</v>
      </c>
      <c r="U36" s="67">
        <v>-0.75</v>
      </c>
      <c r="V36" s="67">
        <v>1.25</v>
      </c>
      <c r="W36" s="4">
        <v>140</v>
      </c>
      <c r="X36" s="4">
        <v>70</v>
      </c>
      <c r="Y36" s="4">
        <v>19</v>
      </c>
      <c r="Z36" s="4">
        <v>599</v>
      </c>
      <c r="AA36" s="4">
        <v>25.07</v>
      </c>
      <c r="AB36" s="4">
        <v>11.9</v>
      </c>
      <c r="AC36" s="4">
        <v>4.4400000000000004</v>
      </c>
      <c r="AD36" s="4">
        <v>3.45</v>
      </c>
      <c r="AE36" s="4">
        <v>41.62</v>
      </c>
      <c r="AF36" s="4">
        <v>29</v>
      </c>
      <c r="AG36" s="4">
        <v>42.67</v>
      </c>
      <c r="AH36" s="4">
        <v>119</v>
      </c>
      <c r="AI36" s="4">
        <v>0</v>
      </c>
      <c r="AJ36" s="4" t="b">
        <f t="shared" si="133"/>
        <v>0</v>
      </c>
      <c r="AL36" s="32">
        <v>41526</v>
      </c>
      <c r="AM36" s="60"/>
      <c r="AN36" s="67">
        <v>-1</v>
      </c>
      <c r="AO36" s="67">
        <v>1</v>
      </c>
      <c r="AP36" s="4">
        <v>75</v>
      </c>
      <c r="AQ36" s="4">
        <v>20</v>
      </c>
      <c r="AR36" s="4">
        <v>10</v>
      </c>
      <c r="AS36" s="4">
        <v>533</v>
      </c>
      <c r="AT36" s="4">
        <v>1577</v>
      </c>
      <c r="BA36" s="4">
        <f t="shared" si="134"/>
        <v>-0.5</v>
      </c>
      <c r="BB36" s="4">
        <f t="shared" si="135"/>
        <v>6.9999999999999951E-2</v>
      </c>
      <c r="BC36" s="4">
        <f t="shared" si="136"/>
        <v>-66</v>
      </c>
      <c r="BD36" s="150">
        <v>41722</v>
      </c>
      <c r="BS36" s="4" t="str">
        <f t="shared" si="137"/>
        <v/>
      </c>
      <c r="BT36" s="4" t="str">
        <f t="shared" si="138"/>
        <v/>
      </c>
      <c r="BU36" s="4" t="str">
        <f t="shared" si="139"/>
        <v/>
      </c>
      <c r="BV36" s="4">
        <f>IF(AND(ISBLANK(SPH_6),ISBLANK(SPH_12)),0,1)</f>
        <v>1</v>
      </c>
      <c r="BW36" s="4">
        <f t="shared" si="140"/>
        <v>0</v>
      </c>
      <c r="BX36" s="4" t="str">
        <f t="shared" si="141"/>
        <v/>
      </c>
      <c r="BY36" s="4" t="str">
        <f t="shared" si="142"/>
        <v/>
      </c>
      <c r="BZ36" s="4" t="str">
        <f t="shared" si="143"/>
        <v/>
      </c>
      <c r="CA36" s="53">
        <f t="shared" si="144"/>
        <v>194</v>
      </c>
      <c r="CB36" s="55">
        <f t="shared" si="145"/>
        <v>6.4666666666666668</v>
      </c>
      <c r="CC36" s="4" t="str">
        <f t="shared" si="146"/>
        <v/>
      </c>
      <c r="CD36" s="4" t="str">
        <f t="shared" si="147"/>
        <v/>
      </c>
      <c r="CE36" s="4" t="str">
        <f t="shared" si="148"/>
        <v/>
      </c>
      <c r="CF36" s="4" t="str">
        <f t="shared" si="149"/>
        <v/>
      </c>
      <c r="CG36" s="4">
        <f t="shared" ref="CG36:CG67" si="263">IF(AND(ISNUMBER(SPH_PREOP),ISNUMBER(SE_LAST_)),SPH_PREOP+CYL_PREOP/2,"")</f>
        <v>-0.125</v>
      </c>
      <c r="CH36" s="4">
        <f t="shared" si="150"/>
        <v>-0.5</v>
      </c>
      <c r="CI36" s="104">
        <f t="shared" si="151"/>
        <v>6.9999999999999951E-2</v>
      </c>
      <c r="CJ36" s="94">
        <f t="shared" si="152"/>
        <v>-66</v>
      </c>
      <c r="CK36" s="4" t="str">
        <f t="shared" si="153"/>
        <v/>
      </c>
      <c r="CL36" s="107">
        <f t="shared" si="154"/>
        <v>-0.56999999999999995</v>
      </c>
      <c r="CM36" s="107">
        <f t="shared" si="24"/>
        <v>0.54406804435027567</v>
      </c>
      <c r="CN36" s="139">
        <f t="shared" si="155"/>
        <v>1</v>
      </c>
      <c r="CO36" s="139">
        <f t="shared" si="156"/>
        <v>-0.25</v>
      </c>
      <c r="CP36" s="149">
        <f t="shared" si="157"/>
        <v>20</v>
      </c>
      <c r="CQ36" s="149">
        <f t="shared" si="158"/>
        <v>70</v>
      </c>
      <c r="CR36" s="148" t="str">
        <f t="shared" si="159"/>
        <v/>
      </c>
      <c r="CS36" s="152" t="str">
        <f t="shared" si="160"/>
        <v/>
      </c>
      <c r="CT36" s="107" t="str">
        <f t="shared" si="161"/>
        <v/>
      </c>
      <c r="CU36" s="155" t="str">
        <f t="shared" si="162"/>
        <v/>
      </c>
      <c r="EC36" s="122">
        <v>40.799999999999997</v>
      </c>
      <c r="ED36" s="122">
        <v>41.9</v>
      </c>
      <c r="EE36" s="122">
        <v>41.3</v>
      </c>
      <c r="EF36" s="122">
        <v>18.2</v>
      </c>
      <c r="EG36" s="122">
        <v>1.1000000000000001</v>
      </c>
      <c r="EH36" s="122">
        <v>-5.7</v>
      </c>
      <c r="EI36" s="122">
        <v>-5.8</v>
      </c>
      <c r="EJ36" s="122">
        <v>-5.7</v>
      </c>
      <c r="EK36" s="122">
        <v>122.5</v>
      </c>
      <c r="EL36" s="122">
        <v>0.2</v>
      </c>
      <c r="EM36" s="122">
        <v>4.4000000000000004</v>
      </c>
      <c r="EN36" s="122">
        <v>12.5</v>
      </c>
      <c r="EO36" s="122">
        <v>25.9</v>
      </c>
      <c r="EP36" s="122">
        <v>58.7</v>
      </c>
      <c r="EQ36" s="126">
        <v>39</v>
      </c>
      <c r="IJ36" s="94" t="str">
        <f t="shared" si="163"/>
        <v/>
      </c>
      <c r="IK36" s="4" t="str">
        <f t="shared" si="164"/>
        <v/>
      </c>
      <c r="IL36" s="4" t="str">
        <f t="shared" si="165"/>
        <v/>
      </c>
      <c r="IM36" s="4" t="str">
        <f t="shared" si="166"/>
        <v/>
      </c>
      <c r="IN36" s="4" t="str">
        <f t="shared" si="167"/>
        <v/>
      </c>
      <c r="IO36" s="4" t="str">
        <f t="shared" si="168"/>
        <v/>
      </c>
      <c r="IP36" s="4" t="str">
        <f t="shared" si="169"/>
        <v/>
      </c>
      <c r="IQ36" s="4" t="str">
        <f t="shared" si="170"/>
        <v/>
      </c>
      <c r="IR36" s="4" t="str">
        <f t="shared" si="171"/>
        <v/>
      </c>
      <c r="IS36" s="4" t="str">
        <f t="shared" si="172"/>
        <v/>
      </c>
      <c r="IT36" s="4" t="str">
        <f t="shared" si="173"/>
        <v/>
      </c>
      <c r="IU36" s="4" t="str">
        <f t="shared" si="174"/>
        <v/>
      </c>
      <c r="IV36" s="4" t="str">
        <f t="shared" si="175"/>
        <v/>
      </c>
      <c r="IW36" s="4" t="str">
        <f t="shared" si="176"/>
        <v/>
      </c>
      <c r="IX36" s="4" t="str">
        <f t="shared" si="177"/>
        <v/>
      </c>
      <c r="IY36" s="4" t="str">
        <f t="shared" si="178"/>
        <v/>
      </c>
      <c r="IZ36" s="4" t="str">
        <f t="shared" si="179"/>
        <v/>
      </c>
      <c r="JA36" s="4" t="str">
        <f t="shared" si="180"/>
        <v/>
      </c>
      <c r="JB36" s="4" t="str">
        <f t="shared" si="181"/>
        <v/>
      </c>
      <c r="JC36" s="4" t="str">
        <f t="shared" si="182"/>
        <v/>
      </c>
      <c r="JD36" s="4" t="str">
        <f t="shared" si="183"/>
        <v/>
      </c>
      <c r="JE36" s="4" t="str">
        <f t="shared" si="184"/>
        <v/>
      </c>
      <c r="JF36" s="4" t="str">
        <f t="shared" si="185"/>
        <v/>
      </c>
      <c r="JG36" s="4" t="str">
        <f t="shared" si="186"/>
        <v/>
      </c>
      <c r="JH36" s="4" t="str">
        <f t="shared" si="187"/>
        <v/>
      </c>
      <c r="JI36" s="4" t="str">
        <f t="shared" si="188"/>
        <v/>
      </c>
      <c r="JJ36" s="4" t="str">
        <f t="shared" si="189"/>
        <v/>
      </c>
      <c r="JK36" s="4" t="str">
        <f t="shared" si="190"/>
        <v/>
      </c>
      <c r="JL36" s="4" t="str">
        <f t="shared" si="191"/>
        <v/>
      </c>
      <c r="JM36" s="4" t="str">
        <f t="shared" si="192"/>
        <v/>
      </c>
      <c r="JN36" s="4" t="str">
        <f t="shared" si="193"/>
        <v/>
      </c>
      <c r="JO36" s="129" t="str">
        <f t="shared" si="194"/>
        <v/>
      </c>
      <c r="JP36" s="122" t="str">
        <f t="shared" si="195"/>
        <v/>
      </c>
      <c r="JQ36" s="122" t="str">
        <f t="shared" si="196"/>
        <v/>
      </c>
      <c r="JR36" s="122" t="str">
        <f t="shared" si="197"/>
        <v/>
      </c>
      <c r="JS36" s="122" t="str">
        <f t="shared" si="198"/>
        <v/>
      </c>
      <c r="JT36" s="122" t="str">
        <f t="shared" si="199"/>
        <v/>
      </c>
      <c r="JU36" s="122" t="str">
        <f t="shared" si="200"/>
        <v/>
      </c>
      <c r="JV36" s="122" t="str">
        <f t="shared" si="201"/>
        <v/>
      </c>
      <c r="JW36" s="122" t="str">
        <f t="shared" si="202"/>
        <v/>
      </c>
      <c r="JX36" s="122" t="str">
        <f t="shared" si="203"/>
        <v/>
      </c>
      <c r="JY36" s="122" t="str">
        <f t="shared" si="204"/>
        <v/>
      </c>
      <c r="JZ36" s="122" t="str">
        <f t="shared" si="205"/>
        <v/>
      </c>
      <c r="KA36" s="122" t="str">
        <f t="shared" si="206"/>
        <v/>
      </c>
      <c r="KB36" s="122" t="str">
        <f t="shared" si="207"/>
        <v/>
      </c>
      <c r="KC36" s="122" t="str">
        <f t="shared" si="208"/>
        <v/>
      </c>
      <c r="KD36" s="122" t="str">
        <f t="shared" si="209"/>
        <v/>
      </c>
      <c r="KE36" s="133" t="str">
        <f t="shared" si="210"/>
        <v/>
      </c>
      <c r="KF36" s="94" t="str">
        <f t="shared" si="211"/>
        <v/>
      </c>
      <c r="KG36" s="4" t="str">
        <f t="shared" si="212"/>
        <v/>
      </c>
      <c r="KH36" s="4" t="str">
        <f t="shared" si="213"/>
        <v/>
      </c>
      <c r="KI36" s="4" t="str">
        <f t="shared" si="214"/>
        <v/>
      </c>
      <c r="KJ36" s="4" t="str">
        <f t="shared" si="215"/>
        <v/>
      </c>
      <c r="KK36" s="4" t="str">
        <f t="shared" si="216"/>
        <v/>
      </c>
      <c r="KL36" s="4" t="str">
        <f t="shared" si="217"/>
        <v/>
      </c>
      <c r="KM36" s="4" t="str">
        <f t="shared" si="218"/>
        <v/>
      </c>
      <c r="KN36" s="4" t="str">
        <f t="shared" si="219"/>
        <v/>
      </c>
      <c r="KO36" s="4" t="str">
        <f t="shared" si="220"/>
        <v/>
      </c>
      <c r="KP36" s="4" t="str">
        <f t="shared" si="221"/>
        <v/>
      </c>
      <c r="KQ36" s="4" t="str">
        <f t="shared" si="222"/>
        <v/>
      </c>
      <c r="KR36" s="4" t="str">
        <f t="shared" si="223"/>
        <v/>
      </c>
      <c r="KS36" s="4" t="str">
        <f t="shared" si="224"/>
        <v/>
      </c>
      <c r="KT36" s="4" t="str">
        <f t="shared" si="225"/>
        <v/>
      </c>
      <c r="KU36" s="4" t="str">
        <f t="shared" si="226"/>
        <v/>
      </c>
      <c r="KV36" s="4" t="str">
        <f t="shared" si="227"/>
        <v/>
      </c>
      <c r="KW36" s="4" t="str">
        <f t="shared" si="228"/>
        <v/>
      </c>
      <c r="KX36" s="4" t="str">
        <f t="shared" si="229"/>
        <v/>
      </c>
      <c r="KY36" s="4" t="str">
        <f t="shared" si="230"/>
        <v/>
      </c>
      <c r="KZ36" s="4" t="str">
        <f t="shared" si="231"/>
        <v/>
      </c>
      <c r="LA36" s="4" t="str">
        <f t="shared" si="232"/>
        <v/>
      </c>
      <c r="LB36" s="4" t="str">
        <f t="shared" si="233"/>
        <v/>
      </c>
      <c r="LC36" s="4" t="str">
        <f t="shared" si="234"/>
        <v/>
      </c>
      <c r="LD36" s="4" t="str">
        <f t="shared" si="235"/>
        <v/>
      </c>
      <c r="LE36" s="4" t="str">
        <f t="shared" si="236"/>
        <v/>
      </c>
      <c r="LF36" s="4" t="str">
        <f t="shared" si="237"/>
        <v/>
      </c>
      <c r="LG36" s="4" t="str">
        <f t="shared" si="238"/>
        <v/>
      </c>
      <c r="LH36" s="4" t="str">
        <f t="shared" si="239"/>
        <v/>
      </c>
      <c r="LI36" s="4" t="str">
        <f t="shared" si="240"/>
        <v/>
      </c>
      <c r="LJ36" s="4" t="str">
        <f t="shared" si="241"/>
        <v/>
      </c>
      <c r="LK36" s="4" t="str">
        <f t="shared" si="242"/>
        <v/>
      </c>
      <c r="LL36" s="4" t="str">
        <f t="shared" si="243"/>
        <v/>
      </c>
      <c r="LM36" s="4" t="str">
        <f t="shared" si="244"/>
        <v/>
      </c>
      <c r="LN36" s="4" t="str">
        <f t="shared" si="245"/>
        <v/>
      </c>
      <c r="LO36" s="4" t="str">
        <f t="shared" si="246"/>
        <v/>
      </c>
      <c r="LP36" s="4" t="str">
        <f t="shared" si="247"/>
        <v/>
      </c>
      <c r="LQ36" s="4" t="str">
        <f t="shared" si="248"/>
        <v/>
      </c>
      <c r="LR36" s="4" t="str">
        <f t="shared" si="249"/>
        <v/>
      </c>
      <c r="LS36" s="4" t="str">
        <f t="shared" si="250"/>
        <v/>
      </c>
      <c r="LT36" s="4" t="str">
        <f t="shared" si="251"/>
        <v/>
      </c>
      <c r="LU36" s="4" t="str">
        <f t="shared" si="252"/>
        <v/>
      </c>
      <c r="LV36" s="4" t="str">
        <f t="shared" si="253"/>
        <v/>
      </c>
      <c r="LW36" s="4" t="str">
        <f t="shared" si="254"/>
        <v/>
      </c>
      <c r="LX36" s="4" t="str">
        <f t="shared" si="255"/>
        <v/>
      </c>
      <c r="LY36" s="4" t="str">
        <f t="shared" si="256"/>
        <v/>
      </c>
      <c r="LZ36" s="4" t="str">
        <f t="shared" si="257"/>
        <v/>
      </c>
      <c r="MA36" s="4" t="str">
        <f t="shared" si="258"/>
        <v/>
      </c>
      <c r="MB36" s="4" t="str">
        <f t="shared" si="259"/>
        <v/>
      </c>
      <c r="MC36" s="4" t="str">
        <f t="shared" si="260"/>
        <v/>
      </c>
      <c r="MD36" s="4" t="str">
        <f t="shared" si="261"/>
        <v/>
      </c>
      <c r="ME36" s="4">
        <f t="shared" si="262"/>
        <v>0</v>
      </c>
    </row>
    <row r="37" spans="1:343" ht="26.25" customHeight="1" x14ac:dyDescent="0.2">
      <c r="A37" s="35">
        <v>41213</v>
      </c>
      <c r="B37" s="36" t="s">
        <v>182</v>
      </c>
      <c r="C37" s="36" t="s">
        <v>14</v>
      </c>
      <c r="D37" s="31" t="s">
        <v>110</v>
      </c>
      <c r="E37" s="4">
        <v>73</v>
      </c>
      <c r="F37" s="3">
        <v>14247</v>
      </c>
      <c r="G37" s="4" t="s">
        <v>87</v>
      </c>
      <c r="H37" s="4" t="s">
        <v>112</v>
      </c>
      <c r="I37" s="4">
        <v>1824311</v>
      </c>
      <c r="J37" s="4" t="s">
        <v>310</v>
      </c>
      <c r="P37" s="4">
        <v>-0.5</v>
      </c>
      <c r="Q37" s="4">
        <v>-0.55000000000000004</v>
      </c>
      <c r="R37" s="4" t="s">
        <v>249</v>
      </c>
      <c r="S37" s="67">
        <v>14.5</v>
      </c>
      <c r="T37" s="136">
        <v>41127</v>
      </c>
      <c r="U37" s="67">
        <v>-4.5</v>
      </c>
      <c r="V37" s="67">
        <v>0.5</v>
      </c>
      <c r="W37" s="4">
        <v>30</v>
      </c>
      <c r="X37" s="4">
        <v>25</v>
      </c>
      <c r="Y37" s="4">
        <v>12</v>
      </c>
      <c r="Z37" s="4">
        <v>605</v>
      </c>
      <c r="AA37" s="4">
        <v>25.32</v>
      </c>
      <c r="AB37" s="4">
        <v>12</v>
      </c>
      <c r="AC37" s="4">
        <v>4.4400000000000004</v>
      </c>
      <c r="AD37" s="4">
        <v>3.24</v>
      </c>
      <c r="AE37" s="4">
        <v>44.41</v>
      </c>
      <c r="AF37" s="4">
        <v>9</v>
      </c>
      <c r="AG37" s="4">
        <v>44.76</v>
      </c>
      <c r="AH37" s="4">
        <v>99</v>
      </c>
      <c r="AI37" s="4">
        <v>2</v>
      </c>
      <c r="AJ37" s="4" t="b">
        <f t="shared" si="133"/>
        <v>1</v>
      </c>
      <c r="AL37" s="32">
        <v>41334</v>
      </c>
      <c r="AM37" s="60">
        <v>40</v>
      </c>
      <c r="AN37" s="67">
        <v>-0.75</v>
      </c>
      <c r="AO37" s="67">
        <v>1.75</v>
      </c>
      <c r="AP37" s="4">
        <v>75</v>
      </c>
      <c r="AQ37" s="4">
        <v>30</v>
      </c>
      <c r="AR37" s="4">
        <v>15</v>
      </c>
      <c r="AS37" s="4">
        <v>566</v>
      </c>
      <c r="AT37" s="4">
        <v>1996</v>
      </c>
      <c r="BA37" s="4">
        <f t="shared" si="134"/>
        <v>0.125</v>
      </c>
      <c r="BB37" s="4">
        <f t="shared" si="135"/>
        <v>0.67500000000000004</v>
      </c>
      <c r="BC37" s="4">
        <f t="shared" si="136"/>
        <v>-39</v>
      </c>
      <c r="BD37" s="3">
        <v>41561</v>
      </c>
      <c r="BE37" s="56">
        <v>25</v>
      </c>
      <c r="BF37" s="67">
        <v>-0.5</v>
      </c>
      <c r="BG37" s="67">
        <v>1.25</v>
      </c>
      <c r="BH37" s="4">
        <v>74</v>
      </c>
      <c r="BI37" s="4">
        <v>25</v>
      </c>
      <c r="BJ37" s="4">
        <v>11</v>
      </c>
      <c r="BK37" s="4">
        <v>569</v>
      </c>
      <c r="BL37" s="4">
        <v>1729</v>
      </c>
      <c r="BM37" s="4">
        <v>25.27</v>
      </c>
      <c r="BN37" s="4">
        <v>6.25</v>
      </c>
      <c r="BO37" s="4">
        <v>43.89</v>
      </c>
      <c r="BP37" s="4">
        <v>169</v>
      </c>
      <c r="BQ37" s="4">
        <v>44.82</v>
      </c>
      <c r="BR37" s="4">
        <v>79</v>
      </c>
      <c r="BS37" s="4">
        <f t="shared" si="137"/>
        <v>0.125</v>
      </c>
      <c r="BT37" s="4">
        <f t="shared" si="138"/>
        <v>0.67500000000000004</v>
      </c>
      <c r="BU37" s="4">
        <f t="shared" si="139"/>
        <v>-36</v>
      </c>
      <c r="BV37" s="4">
        <f>IF(AND(ISBLANK(SPH_6),ISBLANK(SPH_12)),0,1)</f>
        <v>1</v>
      </c>
      <c r="BW37" s="4">
        <f t="shared" si="140"/>
        <v>1</v>
      </c>
      <c r="BX37" s="4">
        <f t="shared" si="141"/>
        <v>-4.25</v>
      </c>
      <c r="BY37" s="4">
        <f t="shared" si="142"/>
        <v>0.125</v>
      </c>
      <c r="BZ37" s="4">
        <f t="shared" si="143"/>
        <v>0.125</v>
      </c>
      <c r="CA37" s="53">
        <f t="shared" si="144"/>
        <v>348</v>
      </c>
      <c r="CB37" s="55">
        <f t="shared" si="145"/>
        <v>11.6</v>
      </c>
      <c r="CC37" s="4">
        <f t="shared" si="146"/>
        <v>0</v>
      </c>
      <c r="CD37" s="4" t="str">
        <f t="shared" si="147"/>
        <v/>
      </c>
      <c r="CE37" s="4">
        <f t="shared" si="148"/>
        <v>-0.22999999999998977</v>
      </c>
      <c r="CF37" s="4">
        <f t="shared" si="149"/>
        <v>-0.22999999999998977</v>
      </c>
      <c r="CG37" s="4">
        <f t="shared" si="263"/>
        <v>-4.25</v>
      </c>
      <c r="CH37" s="4">
        <f t="shared" si="150"/>
        <v>0.125</v>
      </c>
      <c r="CI37" s="104">
        <f t="shared" si="151"/>
        <v>0.67500000000000004</v>
      </c>
      <c r="CJ37" s="94">
        <f t="shared" si="152"/>
        <v>-36</v>
      </c>
      <c r="CK37" s="4">
        <f t="shared" si="153"/>
        <v>-5.0000000000000711E-2</v>
      </c>
      <c r="CL37" s="107">
        <f t="shared" si="154"/>
        <v>-0.55000000000000004</v>
      </c>
      <c r="CM37" s="107">
        <f>IF(AND(OR(ISNUMBER(BCVA_12),ISNUMBER(BCVA_6)),ISNUMBER(BCVA_PREOP)),-LOG(20/BCVA_PREOP)-(-LOG(20/IF(ISNUMBER(BCVA_12),BCVA_12,BCVA_6))),"")</f>
        <v>0</v>
      </c>
      <c r="CN37" s="139">
        <f t="shared" si="155"/>
        <v>1.25</v>
      </c>
      <c r="CO37" s="139">
        <f t="shared" si="156"/>
        <v>0.75</v>
      </c>
      <c r="CP37" s="149">
        <f t="shared" si="157"/>
        <v>25</v>
      </c>
      <c r="CQ37" s="149">
        <f t="shared" si="158"/>
        <v>25</v>
      </c>
      <c r="CR37" s="148">
        <f t="shared" si="159"/>
        <v>25</v>
      </c>
      <c r="CS37" s="152">
        <f t="shared" si="160"/>
        <v>1</v>
      </c>
      <c r="CT37" s="107">
        <f t="shared" si="161"/>
        <v>0</v>
      </c>
      <c r="CU37" s="155" t="b">
        <f t="shared" si="162"/>
        <v>0</v>
      </c>
      <c r="CV37">
        <v>7.8</v>
      </c>
      <c r="CW37" s="4">
        <v>7.54</v>
      </c>
      <c r="CX37" s="4">
        <v>165.4</v>
      </c>
      <c r="CY37" s="4">
        <v>-1.5</v>
      </c>
      <c r="CZ37" s="4">
        <v>0.23</v>
      </c>
      <c r="DA37" s="4">
        <v>0.49</v>
      </c>
      <c r="DB37" s="4">
        <v>2.81</v>
      </c>
      <c r="DC37" s="4">
        <v>3.45</v>
      </c>
      <c r="DD37" s="4">
        <v>642</v>
      </c>
      <c r="DE37" s="4">
        <v>648</v>
      </c>
      <c r="DF37" s="4">
        <v>709</v>
      </c>
      <c r="DG37" s="4">
        <v>749</v>
      </c>
      <c r="DH37" s="4">
        <v>748</v>
      </c>
      <c r="DI37" s="4">
        <v>685</v>
      </c>
      <c r="DJ37" s="4">
        <v>640</v>
      </c>
      <c r="DK37" s="4">
        <v>0.36</v>
      </c>
      <c r="DL37" s="4">
        <v>-0.21</v>
      </c>
      <c r="DM37" s="4">
        <v>7.64</v>
      </c>
      <c r="DN37" s="4">
        <v>7.65</v>
      </c>
      <c r="DO37" s="4">
        <v>7.67</v>
      </c>
      <c r="DP37" s="4">
        <v>7.79</v>
      </c>
      <c r="DQ37" s="4">
        <v>8.17</v>
      </c>
      <c r="DR37" s="4">
        <v>8.67</v>
      </c>
      <c r="DS37" s="4">
        <v>0</v>
      </c>
      <c r="DT37" s="4">
        <v>1.3</v>
      </c>
      <c r="DU37" s="4">
        <v>6.25</v>
      </c>
      <c r="DV37" s="4">
        <v>6.24</v>
      </c>
      <c r="DW37" s="4">
        <v>6.41</v>
      </c>
      <c r="DX37" s="4">
        <v>6.82</v>
      </c>
      <c r="DY37" s="4">
        <v>7.29</v>
      </c>
      <c r="DZ37" s="4">
        <v>7.46</v>
      </c>
      <c r="EA37" s="4">
        <v>0</v>
      </c>
      <c r="EB37" s="100">
        <v>1.3</v>
      </c>
      <c r="EC37" s="122">
        <v>43.3</v>
      </c>
      <c r="ED37" s="122">
        <v>44.8</v>
      </c>
      <c r="EE37" s="122">
        <v>44</v>
      </c>
      <c r="EF37" s="122">
        <v>165.4</v>
      </c>
      <c r="EG37" s="122">
        <v>1.5</v>
      </c>
      <c r="EH37" s="122">
        <v>-6.2</v>
      </c>
      <c r="EI37" s="122">
        <v>-6.6</v>
      </c>
      <c r="EJ37" s="122">
        <v>-6.4</v>
      </c>
      <c r="EK37" s="122">
        <v>152.6</v>
      </c>
      <c r="EL37" s="122">
        <v>0.3</v>
      </c>
      <c r="EM37" s="122">
        <v>4.5999999999999996</v>
      </c>
      <c r="EN37" s="122">
        <v>13.5</v>
      </c>
      <c r="EO37" s="122">
        <v>28.6</v>
      </c>
      <c r="EP37" s="122">
        <v>66.599999999999994</v>
      </c>
      <c r="EQ37" s="126">
        <v>13</v>
      </c>
      <c r="GN37" s="94">
        <v>7.71</v>
      </c>
      <c r="GO37" s="4">
        <v>7.55</v>
      </c>
      <c r="GP37" s="4">
        <v>157.6</v>
      </c>
      <c r="GQ37" s="4">
        <v>-0.9</v>
      </c>
      <c r="GR37" s="4">
        <v>0.66</v>
      </c>
      <c r="GS37" s="4">
        <v>0.67</v>
      </c>
      <c r="GT37" s="4">
        <v>-0.61</v>
      </c>
      <c r="GU37" s="4">
        <v>-0.04</v>
      </c>
      <c r="GV37" s="4">
        <v>567</v>
      </c>
      <c r="GW37" s="4">
        <v>568</v>
      </c>
      <c r="GX37" s="4">
        <v>688</v>
      </c>
      <c r="GY37" s="4">
        <v>693</v>
      </c>
      <c r="GZ37" s="4">
        <v>661</v>
      </c>
      <c r="HA37" s="4">
        <v>675</v>
      </c>
      <c r="HB37" s="4">
        <v>564</v>
      </c>
      <c r="HC37" s="4">
        <v>0.32</v>
      </c>
      <c r="HD37" s="4">
        <v>-0.32</v>
      </c>
      <c r="HE37" s="4">
        <v>7.63</v>
      </c>
      <c r="HF37" s="4">
        <v>7.62</v>
      </c>
      <c r="HG37" s="4">
        <v>7.73</v>
      </c>
      <c r="HH37" s="4">
        <v>7.98</v>
      </c>
      <c r="HI37" s="4">
        <v>8.36</v>
      </c>
      <c r="HJ37" s="4">
        <v>8.75</v>
      </c>
      <c r="HK37" s="4">
        <v>0</v>
      </c>
      <c r="HL37" s="4">
        <v>1.6</v>
      </c>
      <c r="HM37" s="4">
        <v>6.02</v>
      </c>
      <c r="HN37" s="4">
        <v>5.97</v>
      </c>
      <c r="HO37" s="4">
        <v>6.11</v>
      </c>
      <c r="HP37" s="4">
        <v>6.58</v>
      </c>
      <c r="HQ37" s="4">
        <v>7.01</v>
      </c>
      <c r="HR37" s="4">
        <v>0</v>
      </c>
      <c r="HS37" s="4">
        <v>0</v>
      </c>
      <c r="HT37" s="104">
        <v>1.6</v>
      </c>
      <c r="HU37" s="122">
        <v>43.8</v>
      </c>
      <c r="HV37" s="122">
        <v>44.7</v>
      </c>
      <c r="HW37" s="122">
        <v>44.2</v>
      </c>
      <c r="HX37" s="122">
        <v>157.6</v>
      </c>
      <c r="HY37" s="122">
        <v>0.9</v>
      </c>
      <c r="HZ37" s="122">
        <v>-6.5</v>
      </c>
      <c r="IA37" s="122">
        <v>-6.8</v>
      </c>
      <c r="IB37" s="122">
        <v>-6.6</v>
      </c>
      <c r="IC37" s="122">
        <v>156</v>
      </c>
      <c r="ID37" s="122">
        <v>0.4</v>
      </c>
      <c r="IE37" s="122">
        <v>4.0999999999999996</v>
      </c>
      <c r="IF37" s="122">
        <v>12.2</v>
      </c>
      <c r="IG37" s="122">
        <v>26.7</v>
      </c>
      <c r="IH37" s="122">
        <v>66.400000000000006</v>
      </c>
      <c r="II37" s="133">
        <v>24</v>
      </c>
      <c r="IJ37" s="94">
        <f t="shared" si="163"/>
        <v>7.71</v>
      </c>
      <c r="IK37" s="4">
        <f t="shared" si="164"/>
        <v>7.55</v>
      </c>
      <c r="IL37" s="4">
        <f t="shared" si="165"/>
        <v>157.6</v>
      </c>
      <c r="IM37" s="4">
        <f t="shared" si="166"/>
        <v>-0.9</v>
      </c>
      <c r="IN37" s="4">
        <f t="shared" si="167"/>
        <v>0.66</v>
      </c>
      <c r="IO37" s="4">
        <f t="shared" si="168"/>
        <v>0.67</v>
      </c>
      <c r="IP37" s="4">
        <f t="shared" si="169"/>
        <v>-0.61</v>
      </c>
      <c r="IQ37" s="4">
        <f t="shared" si="170"/>
        <v>-0.04</v>
      </c>
      <c r="IR37" s="4">
        <f t="shared" si="171"/>
        <v>567</v>
      </c>
      <c r="IS37" s="4">
        <f t="shared" si="172"/>
        <v>568</v>
      </c>
      <c r="IT37" s="4">
        <f t="shared" si="173"/>
        <v>688</v>
      </c>
      <c r="IU37" s="4">
        <f t="shared" si="174"/>
        <v>693</v>
      </c>
      <c r="IV37" s="4">
        <f t="shared" si="175"/>
        <v>661</v>
      </c>
      <c r="IW37" s="4">
        <f t="shared" si="176"/>
        <v>675</v>
      </c>
      <c r="IX37" s="4">
        <f t="shared" si="177"/>
        <v>564</v>
      </c>
      <c r="IY37" s="4">
        <f t="shared" si="178"/>
        <v>0.32</v>
      </c>
      <c r="IZ37" s="4">
        <f t="shared" si="179"/>
        <v>-0.32</v>
      </c>
      <c r="JA37" s="4">
        <f t="shared" si="180"/>
        <v>7.63</v>
      </c>
      <c r="JB37" s="4">
        <f t="shared" si="181"/>
        <v>7.62</v>
      </c>
      <c r="JC37" s="4">
        <f t="shared" si="182"/>
        <v>7.73</v>
      </c>
      <c r="JD37" s="4">
        <f t="shared" si="183"/>
        <v>7.98</v>
      </c>
      <c r="JE37" s="4">
        <f t="shared" si="184"/>
        <v>8.36</v>
      </c>
      <c r="JF37" s="4">
        <f t="shared" si="185"/>
        <v>8.75</v>
      </c>
      <c r="JG37" s="4">
        <f t="shared" si="186"/>
        <v>0</v>
      </c>
      <c r="JH37" s="4">
        <f t="shared" si="187"/>
        <v>1.6</v>
      </c>
      <c r="JI37" s="4">
        <f t="shared" si="188"/>
        <v>6.02</v>
      </c>
      <c r="JJ37" s="4">
        <f t="shared" si="189"/>
        <v>5.97</v>
      </c>
      <c r="JK37" s="4">
        <f t="shared" si="190"/>
        <v>6.11</v>
      </c>
      <c r="JL37" s="4">
        <f t="shared" si="191"/>
        <v>6.58</v>
      </c>
      <c r="JM37" s="4">
        <f t="shared" si="192"/>
        <v>7.01</v>
      </c>
      <c r="JN37" s="4">
        <f t="shared" si="193"/>
        <v>0</v>
      </c>
      <c r="JO37" s="129">
        <f t="shared" si="194"/>
        <v>0</v>
      </c>
      <c r="JP37" s="122">
        <f t="shared" si="195"/>
        <v>1.6</v>
      </c>
      <c r="JQ37" s="122">
        <f t="shared" si="196"/>
        <v>43.8</v>
      </c>
      <c r="JR37" s="122">
        <f t="shared" si="197"/>
        <v>44.7</v>
      </c>
      <c r="JS37" s="122">
        <f t="shared" si="198"/>
        <v>44.2</v>
      </c>
      <c r="JT37" s="122">
        <f t="shared" si="199"/>
        <v>157.6</v>
      </c>
      <c r="JU37" s="122">
        <f t="shared" si="200"/>
        <v>0.9</v>
      </c>
      <c r="JV37" s="122">
        <f t="shared" si="201"/>
        <v>-6.5</v>
      </c>
      <c r="JW37" s="122">
        <f t="shared" si="202"/>
        <v>-6.8</v>
      </c>
      <c r="JX37" s="122">
        <f t="shared" si="203"/>
        <v>-6.6</v>
      </c>
      <c r="JY37" s="122">
        <f t="shared" si="204"/>
        <v>156</v>
      </c>
      <c r="JZ37" s="122">
        <f t="shared" si="205"/>
        <v>0.4</v>
      </c>
      <c r="KA37" s="122">
        <f t="shared" si="206"/>
        <v>4.0999999999999996</v>
      </c>
      <c r="KB37" s="122">
        <f t="shared" si="207"/>
        <v>12.2</v>
      </c>
      <c r="KC37" s="122">
        <f t="shared" si="208"/>
        <v>26.7</v>
      </c>
      <c r="KD37" s="122">
        <f t="shared" si="209"/>
        <v>66.400000000000006</v>
      </c>
      <c r="KE37" s="133">
        <f t="shared" si="210"/>
        <v>24</v>
      </c>
      <c r="KF37" s="94">
        <f t="shared" si="211"/>
        <v>-8.9999999999999858E-2</v>
      </c>
      <c r="KG37" s="4">
        <f t="shared" si="212"/>
        <v>9.9999999999997868E-3</v>
      </c>
      <c r="KH37" s="4">
        <f t="shared" si="213"/>
        <v>-7.8000000000000114</v>
      </c>
      <c r="KI37" s="4">
        <f t="shared" si="214"/>
        <v>0.6</v>
      </c>
      <c r="KJ37" s="4">
        <f t="shared" si="215"/>
        <v>0.43000000000000005</v>
      </c>
      <c r="KK37" s="4">
        <f t="shared" si="216"/>
        <v>0.18000000000000005</v>
      </c>
      <c r="KL37" s="4">
        <f t="shared" si="217"/>
        <v>-3.42</v>
      </c>
      <c r="KM37" s="4">
        <f t="shared" si="218"/>
        <v>-3.49</v>
      </c>
      <c r="KN37" s="4">
        <f t="shared" si="219"/>
        <v>-75</v>
      </c>
      <c r="KO37" s="4">
        <f t="shared" si="220"/>
        <v>-80</v>
      </c>
      <c r="KP37" s="4">
        <f t="shared" si="221"/>
        <v>-21</v>
      </c>
      <c r="KQ37" s="4">
        <f t="shared" si="222"/>
        <v>-56</v>
      </c>
      <c r="KR37" s="4">
        <f t="shared" si="223"/>
        <v>-87</v>
      </c>
      <c r="KS37" s="4">
        <f t="shared" si="224"/>
        <v>-10</v>
      </c>
      <c r="KT37" s="4">
        <f t="shared" si="225"/>
        <v>-76</v>
      </c>
      <c r="KU37" s="4">
        <f t="shared" si="226"/>
        <v>-3.999999999999998E-2</v>
      </c>
      <c r="KV37" s="4">
        <f t="shared" si="227"/>
        <v>-0.11000000000000001</v>
      </c>
      <c r="KW37" s="4">
        <f t="shared" si="228"/>
        <v>-9.9999999999997868E-3</v>
      </c>
      <c r="KX37" s="4">
        <f t="shared" si="229"/>
        <v>-3.0000000000000249E-2</v>
      </c>
      <c r="KY37" s="4">
        <f t="shared" si="230"/>
        <v>6.0000000000000497E-2</v>
      </c>
      <c r="KZ37" s="4">
        <f t="shared" si="231"/>
        <v>0.19000000000000039</v>
      </c>
      <c r="LA37" s="4">
        <f t="shared" si="232"/>
        <v>0.1899999999999995</v>
      </c>
      <c r="LB37" s="4">
        <f t="shared" si="233"/>
        <v>8.0000000000000071E-2</v>
      </c>
      <c r="LC37" s="4">
        <f t="shared" si="234"/>
        <v>0</v>
      </c>
      <c r="LD37" s="4">
        <f t="shared" si="235"/>
        <v>0.30000000000000004</v>
      </c>
      <c r="LE37" s="4">
        <f t="shared" si="236"/>
        <v>-0.23000000000000043</v>
      </c>
      <c r="LF37" s="4">
        <f t="shared" si="237"/>
        <v>-0.27000000000000046</v>
      </c>
      <c r="LG37" s="4">
        <f t="shared" si="238"/>
        <v>-0.29999999999999982</v>
      </c>
      <c r="LH37" s="4">
        <f t="shared" si="239"/>
        <v>-0.24000000000000021</v>
      </c>
      <c r="LI37" s="4">
        <f t="shared" si="240"/>
        <v>-0.28000000000000025</v>
      </c>
      <c r="LJ37" s="4">
        <f t="shared" si="241"/>
        <v>-7.46</v>
      </c>
      <c r="LK37" s="4">
        <f t="shared" si="242"/>
        <v>0</v>
      </c>
      <c r="LL37" s="4">
        <f t="shared" si="243"/>
        <v>0.30000000000000004</v>
      </c>
      <c r="LM37" s="4">
        <f t="shared" si="244"/>
        <v>0.5</v>
      </c>
      <c r="LN37" s="4">
        <f t="shared" si="245"/>
        <v>-9.9999999999994316E-2</v>
      </c>
      <c r="LO37" s="4">
        <f t="shared" si="246"/>
        <v>0.20000000000000284</v>
      </c>
      <c r="LP37" s="4">
        <f t="shared" si="247"/>
        <v>-7.8000000000000114</v>
      </c>
      <c r="LQ37" s="4">
        <f t="shared" si="248"/>
        <v>-0.6</v>
      </c>
      <c r="LR37" s="4">
        <f t="shared" si="249"/>
        <v>-0.29999999999999982</v>
      </c>
      <c r="LS37" s="4">
        <f t="shared" si="250"/>
        <v>-0.20000000000000018</v>
      </c>
      <c r="LT37" s="4">
        <f t="shared" si="251"/>
        <v>-0.19999999999999929</v>
      </c>
      <c r="LU37" s="4">
        <f t="shared" si="252"/>
        <v>3.4000000000000057</v>
      </c>
      <c r="LV37" s="4">
        <f t="shared" si="253"/>
        <v>0.10000000000000003</v>
      </c>
      <c r="LW37" s="4">
        <f t="shared" si="254"/>
        <v>-0.5</v>
      </c>
      <c r="LX37" s="4">
        <f t="shared" si="255"/>
        <v>-1.3000000000000007</v>
      </c>
      <c r="LY37" s="4">
        <f t="shared" si="256"/>
        <v>-1.9000000000000021</v>
      </c>
      <c r="LZ37" s="4">
        <f t="shared" si="257"/>
        <v>-0.19999999999998863</v>
      </c>
      <c r="MA37" s="4">
        <f t="shared" si="258"/>
        <v>11</v>
      </c>
      <c r="MB37" s="4" t="str">
        <f t="shared" si="259"/>
        <v/>
      </c>
      <c r="MC37" s="4" t="str">
        <f t="shared" si="260"/>
        <v/>
      </c>
      <c r="MD37" s="4" t="str">
        <f t="shared" si="261"/>
        <v/>
      </c>
      <c r="ME37" s="4">
        <f t="shared" si="262"/>
        <v>-6.8</v>
      </c>
    </row>
    <row r="38" spans="1:343" ht="26.25" customHeight="1" thickBot="1" x14ac:dyDescent="0.25">
      <c r="A38" s="35">
        <v>41206</v>
      </c>
      <c r="B38" s="36" t="s">
        <v>217</v>
      </c>
      <c r="C38" s="36" t="s">
        <v>12</v>
      </c>
      <c r="D38" s="31" t="s">
        <v>111</v>
      </c>
      <c r="E38" s="4">
        <v>53</v>
      </c>
      <c r="F38" s="3">
        <v>21519</v>
      </c>
      <c r="G38" s="4" t="s">
        <v>243</v>
      </c>
      <c r="H38" s="4" t="s">
        <v>108</v>
      </c>
      <c r="I38" s="4">
        <v>1824933</v>
      </c>
      <c r="J38" s="4" t="s">
        <v>310</v>
      </c>
      <c r="P38" s="4">
        <v>-0.5</v>
      </c>
      <c r="Q38" s="4">
        <v>-0.52</v>
      </c>
      <c r="R38" s="4" t="s">
        <v>249</v>
      </c>
      <c r="S38" s="67">
        <v>17</v>
      </c>
      <c r="T38" s="136">
        <v>41186</v>
      </c>
      <c r="U38" s="67">
        <v>-3.5</v>
      </c>
      <c r="V38" s="67">
        <v>3</v>
      </c>
      <c r="W38" s="4">
        <v>137</v>
      </c>
      <c r="X38" s="4">
        <v>30</v>
      </c>
      <c r="Y38" s="4">
        <v>11</v>
      </c>
      <c r="Z38" s="4">
        <v>615</v>
      </c>
      <c r="AA38" s="4">
        <v>24.04</v>
      </c>
      <c r="AB38" s="4">
        <v>11.8</v>
      </c>
      <c r="AC38" s="4">
        <v>4.21</v>
      </c>
      <c r="AD38" s="4">
        <v>3.71</v>
      </c>
      <c r="AE38" s="4">
        <v>44.7</v>
      </c>
      <c r="AF38" s="4">
        <v>22</v>
      </c>
      <c r="AG38" s="4">
        <v>46.62</v>
      </c>
      <c r="AH38" s="4">
        <v>112</v>
      </c>
      <c r="AI38" s="4">
        <v>1</v>
      </c>
      <c r="AJ38" s="4" t="b">
        <f t="shared" si="133"/>
        <v>1</v>
      </c>
      <c r="AL38" s="32">
        <v>41360</v>
      </c>
      <c r="AM38" s="60">
        <v>30</v>
      </c>
      <c r="AN38" s="67">
        <v>-0.5</v>
      </c>
      <c r="AO38" s="67">
        <v>1.25</v>
      </c>
      <c r="AP38" s="4">
        <v>180</v>
      </c>
      <c r="AQ38" s="4">
        <v>25</v>
      </c>
      <c r="AR38" s="4">
        <v>17</v>
      </c>
      <c r="AS38" s="4">
        <v>487</v>
      </c>
      <c r="AT38" s="4">
        <v>2347</v>
      </c>
      <c r="BA38" s="4">
        <f t="shared" si="134"/>
        <v>0.125</v>
      </c>
      <c r="BB38" s="4">
        <f t="shared" si="135"/>
        <v>0.64500000000000002</v>
      </c>
      <c r="BC38" s="4">
        <f t="shared" si="136"/>
        <v>-128</v>
      </c>
      <c r="BD38" s="3">
        <v>41549</v>
      </c>
      <c r="BE38" s="56">
        <v>25</v>
      </c>
      <c r="BF38" s="67">
        <v>-0.5</v>
      </c>
      <c r="BG38" s="67">
        <v>0.75</v>
      </c>
      <c r="BH38" s="4">
        <v>155</v>
      </c>
      <c r="BI38" s="4">
        <v>20</v>
      </c>
      <c r="BJ38" s="4">
        <v>20</v>
      </c>
      <c r="BK38" s="4">
        <v>486</v>
      </c>
      <c r="BL38" s="4">
        <v>2179</v>
      </c>
      <c r="BM38" s="4">
        <v>23.98</v>
      </c>
      <c r="BN38" s="4">
        <v>2.72</v>
      </c>
      <c r="BO38" s="4">
        <v>44.58</v>
      </c>
      <c r="BP38" s="4">
        <v>1</v>
      </c>
      <c r="BQ38" s="4">
        <v>45.36</v>
      </c>
      <c r="BR38" s="4">
        <v>91</v>
      </c>
      <c r="BS38" s="4">
        <f t="shared" si="137"/>
        <v>-0.125</v>
      </c>
      <c r="BT38" s="4">
        <f t="shared" si="138"/>
        <v>0.39500000000000002</v>
      </c>
      <c r="BU38" s="4">
        <f t="shared" si="139"/>
        <v>-129</v>
      </c>
      <c r="BV38" s="4">
        <f>IF(AND(ISBLANK(SPH_6),ISBLANK(SPH_12)),0,1)</f>
        <v>1</v>
      </c>
      <c r="BW38" s="4">
        <f t="shared" si="140"/>
        <v>1</v>
      </c>
      <c r="BX38" s="4">
        <f t="shared" si="141"/>
        <v>-2</v>
      </c>
      <c r="BY38" s="4">
        <f t="shared" si="142"/>
        <v>0.125</v>
      </c>
      <c r="BZ38" s="4">
        <f t="shared" si="143"/>
        <v>-0.125</v>
      </c>
      <c r="CA38" s="53">
        <f t="shared" si="144"/>
        <v>343</v>
      </c>
      <c r="CB38" s="55">
        <f t="shared" si="145"/>
        <v>11.433333333333334</v>
      </c>
      <c r="CC38" s="4">
        <f t="shared" si="146"/>
        <v>-0.25</v>
      </c>
      <c r="CD38" s="4" t="str">
        <f t="shared" si="147"/>
        <v/>
      </c>
      <c r="CE38" s="4">
        <f t="shared" si="148"/>
        <v>-0.68999999999999773</v>
      </c>
      <c r="CF38" s="4">
        <f t="shared" si="149"/>
        <v>-0.68999999999999773</v>
      </c>
      <c r="CG38" s="4">
        <f t="shared" si="263"/>
        <v>-2</v>
      </c>
      <c r="CH38" s="4">
        <f t="shared" si="150"/>
        <v>-0.125</v>
      </c>
      <c r="CI38" s="104">
        <f t="shared" si="151"/>
        <v>0.39500000000000002</v>
      </c>
      <c r="CJ38" s="94">
        <f t="shared" si="152"/>
        <v>-129</v>
      </c>
      <c r="CK38" s="4">
        <f t="shared" si="153"/>
        <v>-5.9999999999998721E-2</v>
      </c>
      <c r="CL38" s="107">
        <f t="shared" si="154"/>
        <v>-0.52</v>
      </c>
      <c r="CM38" s="107">
        <f t="shared" ref="CM38:CM65" si="264">IF(AND(OR(ISNUMBER(BI38),ISNUMBER(AQ38)),ISNUMBER(X38)),-LOG(20/X38)--LOG(20/IF(ISNUMBER(BI38),BI38,AQ38)),"")</f>
        <v>0.17609125905568127</v>
      </c>
      <c r="CN38" s="139">
        <f t="shared" si="155"/>
        <v>0.75</v>
      </c>
      <c r="CO38" s="139">
        <f t="shared" si="156"/>
        <v>-2.25</v>
      </c>
      <c r="CP38" s="149">
        <f t="shared" si="157"/>
        <v>20</v>
      </c>
      <c r="CQ38" s="149">
        <f t="shared" si="158"/>
        <v>30</v>
      </c>
      <c r="CR38" s="148">
        <f t="shared" si="159"/>
        <v>25</v>
      </c>
      <c r="CS38" s="152" t="str">
        <f t="shared" si="160"/>
        <v/>
      </c>
      <c r="CT38" s="107" t="str">
        <f t="shared" si="161"/>
        <v/>
      </c>
      <c r="CU38" s="155" t="str">
        <f t="shared" si="162"/>
        <v/>
      </c>
      <c r="ER38" s="108">
        <v>7.64</v>
      </c>
      <c r="ES38" s="4">
        <v>7.49</v>
      </c>
      <c r="ET38" s="4">
        <v>163.4</v>
      </c>
      <c r="EU38" s="4">
        <v>-0.9</v>
      </c>
      <c r="EV38" s="4">
        <v>0.64</v>
      </c>
      <c r="EW38" s="4">
        <v>0.67</v>
      </c>
      <c r="EX38" s="4">
        <v>5.13</v>
      </c>
      <c r="EY38" s="4">
        <v>5.62</v>
      </c>
      <c r="EZ38" s="4">
        <v>491</v>
      </c>
      <c r="FA38" s="4">
        <v>484</v>
      </c>
      <c r="FB38" s="4">
        <v>673</v>
      </c>
      <c r="FC38" s="4">
        <v>557</v>
      </c>
      <c r="FD38" s="4">
        <v>616</v>
      </c>
      <c r="FE38" s="4">
        <v>545</v>
      </c>
      <c r="FF38" s="4">
        <v>474</v>
      </c>
      <c r="FG38" s="4">
        <v>-1.1599999999999999</v>
      </c>
      <c r="FH38" s="4">
        <v>-0.91</v>
      </c>
      <c r="FI38" s="4">
        <v>7.58</v>
      </c>
      <c r="FJ38" s="4">
        <v>7.55</v>
      </c>
      <c r="FK38" s="4">
        <v>7.66</v>
      </c>
      <c r="FL38" s="4">
        <v>7.92</v>
      </c>
      <c r="FM38" s="4">
        <v>8.1199999999999992</v>
      </c>
      <c r="FN38" s="4">
        <v>8.35</v>
      </c>
      <c r="FO38" s="4">
        <v>0</v>
      </c>
      <c r="FP38" s="4">
        <v>1.2</v>
      </c>
      <c r="FQ38" s="4">
        <v>6.24</v>
      </c>
      <c r="FR38" s="4">
        <v>6</v>
      </c>
      <c r="FS38" s="4">
        <v>6.19</v>
      </c>
      <c r="FT38" s="4">
        <v>6.8</v>
      </c>
      <c r="FU38" s="4">
        <v>6.83</v>
      </c>
      <c r="FV38" s="4">
        <v>0</v>
      </c>
      <c r="FW38" s="4">
        <v>0</v>
      </c>
      <c r="FX38" s="97">
        <v>1.2</v>
      </c>
      <c r="GN38" s="94">
        <v>7.62</v>
      </c>
      <c r="GO38" s="4">
        <v>7.45</v>
      </c>
      <c r="GP38" s="4">
        <v>178.3</v>
      </c>
      <c r="GQ38" s="4">
        <v>-1</v>
      </c>
      <c r="GR38" s="4">
        <v>0.67</v>
      </c>
      <c r="GS38" s="4">
        <v>0.73</v>
      </c>
      <c r="GT38" s="4">
        <v>4.83</v>
      </c>
      <c r="GU38" s="4">
        <v>5.31</v>
      </c>
      <c r="GV38" s="4">
        <v>489</v>
      </c>
      <c r="GW38" s="4">
        <v>486</v>
      </c>
      <c r="GX38" s="4">
        <v>628</v>
      </c>
      <c r="GY38" s="4">
        <v>552</v>
      </c>
      <c r="GZ38" s="4">
        <v>584</v>
      </c>
      <c r="HA38" s="4">
        <v>553</v>
      </c>
      <c r="HB38" s="4">
        <v>478</v>
      </c>
      <c r="HC38" s="4">
        <v>-1.01</v>
      </c>
      <c r="HD38" s="4">
        <v>-1.08</v>
      </c>
      <c r="HE38" s="4">
        <v>7.53</v>
      </c>
      <c r="HF38" s="4">
        <v>7.53</v>
      </c>
      <c r="HG38" s="4">
        <v>7.64</v>
      </c>
      <c r="HH38" s="4">
        <v>7.94</v>
      </c>
      <c r="HI38" s="4">
        <v>8.23</v>
      </c>
      <c r="HJ38" s="4">
        <v>8.43</v>
      </c>
      <c r="HK38" s="4">
        <v>0</v>
      </c>
      <c r="HL38" s="4">
        <v>1.2</v>
      </c>
      <c r="HM38" s="4">
        <v>6.29</v>
      </c>
      <c r="HN38" s="4">
        <v>6.14</v>
      </c>
      <c r="HO38" s="4">
        <v>6.31</v>
      </c>
      <c r="HP38" s="4">
        <v>6.79</v>
      </c>
      <c r="HQ38" s="4">
        <v>6.95</v>
      </c>
      <c r="HR38" s="4">
        <v>0</v>
      </c>
      <c r="HS38" s="4">
        <v>0</v>
      </c>
      <c r="HT38" s="104">
        <v>1.2</v>
      </c>
      <c r="IJ38" s="94">
        <f t="shared" si="163"/>
        <v>7.62</v>
      </c>
      <c r="IK38" s="4">
        <f t="shared" si="164"/>
        <v>7.45</v>
      </c>
      <c r="IL38" s="4">
        <f t="shared" si="165"/>
        <v>178.3</v>
      </c>
      <c r="IM38" s="4">
        <f t="shared" si="166"/>
        <v>-1</v>
      </c>
      <c r="IN38" s="4">
        <f t="shared" si="167"/>
        <v>0.67</v>
      </c>
      <c r="IO38" s="4">
        <f t="shared" si="168"/>
        <v>0.73</v>
      </c>
      <c r="IP38" s="4">
        <f t="shared" si="169"/>
        <v>4.83</v>
      </c>
      <c r="IQ38" s="4">
        <f t="shared" si="170"/>
        <v>5.31</v>
      </c>
      <c r="IR38" s="4">
        <f t="shared" si="171"/>
        <v>489</v>
      </c>
      <c r="IS38" s="4">
        <f t="shared" si="172"/>
        <v>486</v>
      </c>
      <c r="IT38" s="4">
        <f t="shared" si="173"/>
        <v>628</v>
      </c>
      <c r="IU38" s="4">
        <f t="shared" si="174"/>
        <v>552</v>
      </c>
      <c r="IV38" s="4">
        <f t="shared" si="175"/>
        <v>584</v>
      </c>
      <c r="IW38" s="4">
        <f t="shared" si="176"/>
        <v>553</v>
      </c>
      <c r="IX38" s="4">
        <f t="shared" si="177"/>
        <v>478</v>
      </c>
      <c r="IY38" s="4">
        <f t="shared" si="178"/>
        <v>-1.01</v>
      </c>
      <c r="IZ38" s="4">
        <f t="shared" si="179"/>
        <v>-1.08</v>
      </c>
      <c r="JA38" s="4">
        <f t="shared" si="180"/>
        <v>7.53</v>
      </c>
      <c r="JB38" s="4">
        <f t="shared" si="181"/>
        <v>7.53</v>
      </c>
      <c r="JC38" s="4">
        <f t="shared" si="182"/>
        <v>7.64</v>
      </c>
      <c r="JD38" s="4">
        <f t="shared" si="183"/>
        <v>7.94</v>
      </c>
      <c r="JE38" s="4">
        <f t="shared" si="184"/>
        <v>8.23</v>
      </c>
      <c r="JF38" s="4">
        <f t="shared" si="185"/>
        <v>8.43</v>
      </c>
      <c r="JG38" s="4">
        <f t="shared" si="186"/>
        <v>0</v>
      </c>
      <c r="JH38" s="4">
        <f t="shared" si="187"/>
        <v>1.2</v>
      </c>
      <c r="JI38" s="4">
        <f t="shared" si="188"/>
        <v>6.29</v>
      </c>
      <c r="JJ38" s="4">
        <f t="shared" si="189"/>
        <v>6.14</v>
      </c>
      <c r="JK38" s="4">
        <f t="shared" si="190"/>
        <v>6.31</v>
      </c>
      <c r="JL38" s="4">
        <f t="shared" si="191"/>
        <v>6.79</v>
      </c>
      <c r="JM38" s="4">
        <f t="shared" si="192"/>
        <v>6.95</v>
      </c>
      <c r="JN38" s="4">
        <f t="shared" si="193"/>
        <v>0</v>
      </c>
      <c r="JO38" s="129">
        <f t="shared" si="194"/>
        <v>0</v>
      </c>
      <c r="JP38" s="122">
        <f t="shared" si="195"/>
        <v>1.2</v>
      </c>
      <c r="JQ38" s="122" t="str">
        <f t="shared" si="196"/>
        <v/>
      </c>
      <c r="JR38" s="122" t="str">
        <f t="shared" si="197"/>
        <v/>
      </c>
      <c r="JS38" s="122" t="str">
        <f t="shared" si="198"/>
        <v/>
      </c>
      <c r="JT38" s="122" t="str">
        <f t="shared" si="199"/>
        <v/>
      </c>
      <c r="JU38" s="122" t="str">
        <f t="shared" si="200"/>
        <v/>
      </c>
      <c r="JV38" s="122" t="str">
        <f t="shared" si="201"/>
        <v/>
      </c>
      <c r="JW38" s="122" t="str">
        <f t="shared" si="202"/>
        <v/>
      </c>
      <c r="JX38" s="122" t="str">
        <f t="shared" si="203"/>
        <v/>
      </c>
      <c r="JY38" s="122" t="str">
        <f t="shared" si="204"/>
        <v/>
      </c>
      <c r="JZ38" s="122" t="str">
        <f t="shared" si="205"/>
        <v/>
      </c>
      <c r="KA38" s="122" t="str">
        <f t="shared" si="206"/>
        <v/>
      </c>
      <c r="KB38" s="122" t="str">
        <f t="shared" si="207"/>
        <v/>
      </c>
      <c r="KC38" s="122" t="str">
        <f t="shared" si="208"/>
        <v/>
      </c>
      <c r="KD38" s="122" t="str">
        <f t="shared" si="209"/>
        <v/>
      </c>
      <c r="KE38" s="133" t="str">
        <f t="shared" si="210"/>
        <v/>
      </c>
      <c r="KF38" s="94" t="str">
        <f t="shared" si="211"/>
        <v/>
      </c>
      <c r="KG38" s="4" t="str">
        <f t="shared" si="212"/>
        <v/>
      </c>
      <c r="KH38" s="4" t="str">
        <f t="shared" si="213"/>
        <v/>
      </c>
      <c r="KI38" s="4" t="str">
        <f t="shared" si="214"/>
        <v/>
      </c>
      <c r="KJ38" s="4" t="str">
        <f t="shared" si="215"/>
        <v/>
      </c>
      <c r="KK38" s="4" t="str">
        <f t="shared" si="216"/>
        <v/>
      </c>
      <c r="KL38" s="4" t="str">
        <f t="shared" si="217"/>
        <v/>
      </c>
      <c r="KM38" s="4" t="str">
        <f t="shared" si="218"/>
        <v/>
      </c>
      <c r="KN38" s="4" t="str">
        <f t="shared" si="219"/>
        <v/>
      </c>
      <c r="KO38" s="4" t="str">
        <f t="shared" si="220"/>
        <v/>
      </c>
      <c r="KP38" s="4" t="str">
        <f t="shared" si="221"/>
        <v/>
      </c>
      <c r="KQ38" s="4" t="str">
        <f t="shared" si="222"/>
        <v/>
      </c>
      <c r="KR38" s="4" t="str">
        <f t="shared" si="223"/>
        <v/>
      </c>
      <c r="KS38" s="4" t="str">
        <f t="shared" si="224"/>
        <v/>
      </c>
      <c r="KT38" s="4" t="str">
        <f t="shared" si="225"/>
        <v/>
      </c>
      <c r="KU38" s="4" t="str">
        <f t="shared" si="226"/>
        <v/>
      </c>
      <c r="KV38" s="4" t="str">
        <f t="shared" si="227"/>
        <v/>
      </c>
      <c r="KW38" s="4" t="str">
        <f t="shared" si="228"/>
        <v/>
      </c>
      <c r="KX38" s="4" t="str">
        <f t="shared" si="229"/>
        <v/>
      </c>
      <c r="KY38" s="4" t="str">
        <f t="shared" si="230"/>
        <v/>
      </c>
      <c r="KZ38" s="4" t="str">
        <f t="shared" si="231"/>
        <v/>
      </c>
      <c r="LA38" s="4" t="str">
        <f t="shared" si="232"/>
        <v/>
      </c>
      <c r="LB38" s="4" t="str">
        <f t="shared" si="233"/>
        <v/>
      </c>
      <c r="LC38" s="4" t="str">
        <f t="shared" si="234"/>
        <v/>
      </c>
      <c r="LD38" s="4" t="str">
        <f t="shared" si="235"/>
        <v/>
      </c>
      <c r="LE38" s="4" t="str">
        <f t="shared" si="236"/>
        <v/>
      </c>
      <c r="LF38" s="4" t="str">
        <f t="shared" si="237"/>
        <v/>
      </c>
      <c r="LG38" s="4" t="str">
        <f t="shared" si="238"/>
        <v/>
      </c>
      <c r="LH38" s="4" t="str">
        <f t="shared" si="239"/>
        <v/>
      </c>
      <c r="LI38" s="4" t="str">
        <f t="shared" si="240"/>
        <v/>
      </c>
      <c r="LJ38" s="4" t="str">
        <f t="shared" si="241"/>
        <v/>
      </c>
      <c r="LK38" s="4" t="str">
        <f t="shared" si="242"/>
        <v/>
      </c>
      <c r="LL38" s="4" t="str">
        <f t="shared" si="243"/>
        <v/>
      </c>
      <c r="LM38" s="4" t="str">
        <f t="shared" si="244"/>
        <v/>
      </c>
      <c r="LN38" s="4" t="str">
        <f t="shared" si="245"/>
        <v/>
      </c>
      <c r="LO38" s="4" t="str">
        <f t="shared" si="246"/>
        <v/>
      </c>
      <c r="LP38" s="4" t="str">
        <f t="shared" si="247"/>
        <v/>
      </c>
      <c r="LQ38" s="4" t="str">
        <f t="shared" si="248"/>
        <v/>
      </c>
      <c r="LR38" s="4" t="str">
        <f t="shared" si="249"/>
        <v/>
      </c>
      <c r="LS38" s="4" t="str">
        <f t="shared" si="250"/>
        <v/>
      </c>
      <c r="LT38" s="4" t="str">
        <f t="shared" si="251"/>
        <v/>
      </c>
      <c r="LU38" s="4" t="str">
        <f t="shared" si="252"/>
        <v/>
      </c>
      <c r="LV38" s="4" t="str">
        <f t="shared" si="253"/>
        <v/>
      </c>
      <c r="LW38" s="4" t="str">
        <f t="shared" si="254"/>
        <v/>
      </c>
      <c r="LX38" s="4" t="str">
        <f t="shared" si="255"/>
        <v/>
      </c>
      <c r="LY38" s="4" t="str">
        <f t="shared" si="256"/>
        <v/>
      </c>
      <c r="LZ38" s="4" t="str">
        <f t="shared" si="257"/>
        <v/>
      </c>
      <c r="MA38" s="4" t="str">
        <f t="shared" si="258"/>
        <v/>
      </c>
      <c r="MB38" s="4" t="str">
        <f t="shared" si="259"/>
        <v/>
      </c>
      <c r="MC38" s="4" t="str">
        <f t="shared" si="260"/>
        <v/>
      </c>
      <c r="MD38" s="4" t="str">
        <f t="shared" si="261"/>
        <v/>
      </c>
      <c r="ME38" s="4">
        <f t="shared" si="262"/>
        <v>0</v>
      </c>
    </row>
    <row r="39" spans="1:343" ht="26.25" customHeight="1" thickBot="1" x14ac:dyDescent="0.25">
      <c r="A39" s="35">
        <v>41234</v>
      </c>
      <c r="B39" s="36" t="s">
        <v>217</v>
      </c>
      <c r="C39" s="36" t="s">
        <v>12</v>
      </c>
      <c r="D39" s="31" t="s">
        <v>110</v>
      </c>
      <c r="E39" s="4">
        <v>53</v>
      </c>
      <c r="F39" s="3">
        <v>21519</v>
      </c>
      <c r="G39" s="4" t="s">
        <v>243</v>
      </c>
      <c r="H39" s="4" t="s">
        <v>108</v>
      </c>
      <c r="I39" s="4">
        <v>1824933</v>
      </c>
      <c r="J39" s="4" t="s">
        <v>310</v>
      </c>
      <c r="K39" s="80"/>
      <c r="L39" s="81"/>
      <c r="M39" s="81"/>
      <c r="N39" s="81"/>
      <c r="O39" s="81"/>
      <c r="P39" s="4">
        <v>-0.5</v>
      </c>
      <c r="Q39" s="4">
        <v>-0.47</v>
      </c>
      <c r="R39" s="4" t="s">
        <v>249</v>
      </c>
      <c r="S39" s="67">
        <v>19.25</v>
      </c>
      <c r="T39" s="136">
        <v>41186</v>
      </c>
      <c r="U39" s="67">
        <v>-1</v>
      </c>
      <c r="V39" s="67">
        <v>0.5</v>
      </c>
      <c r="W39" s="4">
        <v>44</v>
      </c>
      <c r="X39" s="4">
        <v>30</v>
      </c>
      <c r="Y39" s="4">
        <v>12</v>
      </c>
      <c r="Z39" s="4">
        <v>618</v>
      </c>
      <c r="AA39" s="4">
        <v>23.4</v>
      </c>
      <c r="AB39" s="4">
        <v>11.7</v>
      </c>
      <c r="AC39" s="4">
        <v>4.8499999999999996</v>
      </c>
      <c r="AD39" s="4">
        <v>3.09</v>
      </c>
      <c r="AE39" s="4">
        <v>45.06</v>
      </c>
      <c r="AF39" s="4">
        <v>158</v>
      </c>
      <c r="AG39" s="4">
        <v>46.04</v>
      </c>
      <c r="AH39" s="4">
        <v>68</v>
      </c>
      <c r="AI39" s="4">
        <v>0</v>
      </c>
      <c r="AJ39" s="4" t="b">
        <f t="shared" si="133"/>
        <v>0</v>
      </c>
      <c r="AL39" s="4" t="s">
        <v>78</v>
      </c>
      <c r="AM39" s="59" t="s">
        <v>282</v>
      </c>
      <c r="BA39" s="4" t="str">
        <f t="shared" si="134"/>
        <v/>
      </c>
      <c r="BB39" s="4" t="str">
        <f t="shared" si="135"/>
        <v/>
      </c>
      <c r="BC39" s="4" t="str">
        <f t="shared" si="136"/>
        <v/>
      </c>
      <c r="BD39" s="3">
        <v>41549</v>
      </c>
      <c r="BE39" s="56">
        <v>30</v>
      </c>
      <c r="BF39" s="67">
        <v>-0.25</v>
      </c>
      <c r="BG39" s="67">
        <v>1</v>
      </c>
      <c r="BH39" s="4">
        <v>145</v>
      </c>
      <c r="BI39" s="4">
        <v>25</v>
      </c>
      <c r="BJ39" s="4">
        <v>18</v>
      </c>
      <c r="BK39" s="4">
        <v>482</v>
      </c>
      <c r="BL39" s="4">
        <v>1642</v>
      </c>
      <c r="BM39" s="4">
        <v>27.31</v>
      </c>
      <c r="BN39" s="4">
        <v>2.66</v>
      </c>
      <c r="BO39" s="4">
        <v>44.41</v>
      </c>
      <c r="BP39" s="4">
        <v>17</v>
      </c>
      <c r="BQ39" s="4">
        <v>45.98</v>
      </c>
      <c r="BR39" s="4">
        <v>107</v>
      </c>
      <c r="BS39" s="4">
        <f t="shared" si="137"/>
        <v>0.25</v>
      </c>
      <c r="BT39" s="4">
        <f t="shared" si="138"/>
        <v>0.72</v>
      </c>
      <c r="BU39" s="4">
        <f t="shared" si="139"/>
        <v>-136</v>
      </c>
      <c r="BV39" s="4">
        <f>IF(AND(ISBLANK(SPH_6),ISBLANK(SPH_12)),0,1)</f>
        <v>1</v>
      </c>
      <c r="BW39" s="4">
        <f t="shared" si="140"/>
        <v>0</v>
      </c>
      <c r="BX39" s="4" t="str">
        <f t="shared" si="141"/>
        <v/>
      </c>
      <c r="BY39" s="4" t="str">
        <f t="shared" si="142"/>
        <v/>
      </c>
      <c r="BZ39" s="4" t="str">
        <f t="shared" si="143"/>
        <v/>
      </c>
      <c r="CA39" s="53">
        <f t="shared" si="144"/>
        <v>315</v>
      </c>
      <c r="CB39" s="55">
        <f t="shared" si="145"/>
        <v>10.5</v>
      </c>
      <c r="CC39" s="4" t="str">
        <f t="shared" si="146"/>
        <v/>
      </c>
      <c r="CD39" s="4" t="str">
        <f t="shared" si="147"/>
        <v/>
      </c>
      <c r="CE39" s="4">
        <f t="shared" si="148"/>
        <v>-0.35500000000000398</v>
      </c>
      <c r="CF39" s="4">
        <f t="shared" si="149"/>
        <v>-0.35500000000000398</v>
      </c>
      <c r="CG39" s="4">
        <f t="shared" si="263"/>
        <v>-0.75</v>
      </c>
      <c r="CH39" s="4">
        <f t="shared" si="150"/>
        <v>0.25</v>
      </c>
      <c r="CI39" s="104">
        <f t="shared" si="151"/>
        <v>0.72</v>
      </c>
      <c r="CJ39" s="94">
        <f t="shared" si="152"/>
        <v>-136</v>
      </c>
      <c r="CK39" s="2">
        <f t="shared" si="153"/>
        <v>3.91</v>
      </c>
      <c r="CL39" s="107">
        <f t="shared" si="154"/>
        <v>-0.47</v>
      </c>
      <c r="CM39" s="107">
        <f t="shared" si="264"/>
        <v>7.9181246047624873E-2</v>
      </c>
      <c r="CN39" s="139">
        <f t="shared" si="155"/>
        <v>1</v>
      </c>
      <c r="CO39" s="139">
        <f t="shared" si="156"/>
        <v>0.5</v>
      </c>
      <c r="CP39" s="149">
        <f t="shared" si="157"/>
        <v>25</v>
      </c>
      <c r="CQ39" s="149">
        <f t="shared" si="158"/>
        <v>30</v>
      </c>
      <c r="CR39" s="148">
        <f t="shared" si="159"/>
        <v>30</v>
      </c>
      <c r="CS39" s="152" t="str">
        <f t="shared" si="160"/>
        <v/>
      </c>
      <c r="CT39" s="107" t="str">
        <f t="shared" si="161"/>
        <v/>
      </c>
      <c r="CU39" s="155" t="str">
        <f t="shared" si="162"/>
        <v/>
      </c>
      <c r="IJ39" s="94" t="str">
        <f t="shared" si="163"/>
        <v/>
      </c>
      <c r="IK39" s="4" t="str">
        <f t="shared" si="164"/>
        <v/>
      </c>
      <c r="IL39" s="4" t="str">
        <f t="shared" si="165"/>
        <v/>
      </c>
      <c r="IM39" s="4" t="str">
        <f t="shared" si="166"/>
        <v/>
      </c>
      <c r="IN39" s="4" t="str">
        <f t="shared" si="167"/>
        <v/>
      </c>
      <c r="IO39" s="4" t="str">
        <f t="shared" si="168"/>
        <v/>
      </c>
      <c r="IP39" s="4" t="str">
        <f t="shared" si="169"/>
        <v/>
      </c>
      <c r="IQ39" s="4" t="str">
        <f t="shared" si="170"/>
        <v/>
      </c>
      <c r="IR39" s="4" t="str">
        <f t="shared" si="171"/>
        <v/>
      </c>
      <c r="IS39" s="4" t="str">
        <f t="shared" si="172"/>
        <v/>
      </c>
      <c r="IT39" s="4" t="str">
        <f t="shared" si="173"/>
        <v/>
      </c>
      <c r="IU39" s="4" t="str">
        <f t="shared" si="174"/>
        <v/>
      </c>
      <c r="IV39" s="4" t="str">
        <f t="shared" si="175"/>
        <v/>
      </c>
      <c r="IW39" s="4" t="str">
        <f t="shared" si="176"/>
        <v/>
      </c>
      <c r="IX39" s="4" t="str">
        <f t="shared" si="177"/>
        <v/>
      </c>
      <c r="IY39" s="4" t="str">
        <f t="shared" si="178"/>
        <v/>
      </c>
      <c r="IZ39" s="4" t="str">
        <f t="shared" si="179"/>
        <v/>
      </c>
      <c r="JA39" s="4" t="str">
        <f t="shared" si="180"/>
        <v/>
      </c>
      <c r="JB39" s="4" t="str">
        <f t="shared" si="181"/>
        <v/>
      </c>
      <c r="JC39" s="4" t="str">
        <f t="shared" si="182"/>
        <v/>
      </c>
      <c r="JD39" s="4" t="str">
        <f t="shared" si="183"/>
        <v/>
      </c>
      <c r="JE39" s="4" t="str">
        <f t="shared" si="184"/>
        <v/>
      </c>
      <c r="JF39" s="4" t="str">
        <f t="shared" si="185"/>
        <v/>
      </c>
      <c r="JG39" s="4" t="str">
        <f t="shared" si="186"/>
        <v/>
      </c>
      <c r="JH39" s="4" t="str">
        <f t="shared" si="187"/>
        <v/>
      </c>
      <c r="JI39" s="4" t="str">
        <f t="shared" si="188"/>
        <v/>
      </c>
      <c r="JJ39" s="4" t="str">
        <f t="shared" si="189"/>
        <v/>
      </c>
      <c r="JK39" s="4" t="str">
        <f t="shared" si="190"/>
        <v/>
      </c>
      <c r="JL39" s="4" t="str">
        <f t="shared" si="191"/>
        <v/>
      </c>
      <c r="JM39" s="4" t="str">
        <f t="shared" si="192"/>
        <v/>
      </c>
      <c r="JN39" s="4" t="str">
        <f t="shared" si="193"/>
        <v/>
      </c>
      <c r="JO39" s="129" t="str">
        <f t="shared" si="194"/>
        <v/>
      </c>
      <c r="JP39" s="122" t="str">
        <f t="shared" si="195"/>
        <v/>
      </c>
      <c r="JQ39" s="122" t="str">
        <f t="shared" si="196"/>
        <v/>
      </c>
      <c r="JR39" s="122" t="str">
        <f t="shared" si="197"/>
        <v/>
      </c>
      <c r="JS39" s="122" t="str">
        <f t="shared" si="198"/>
        <v/>
      </c>
      <c r="JT39" s="122" t="str">
        <f t="shared" si="199"/>
        <v/>
      </c>
      <c r="JU39" s="122" t="str">
        <f t="shared" si="200"/>
        <v/>
      </c>
      <c r="JV39" s="122" t="str">
        <f t="shared" si="201"/>
        <v/>
      </c>
      <c r="JW39" s="122" t="str">
        <f t="shared" si="202"/>
        <v/>
      </c>
      <c r="JX39" s="122" t="str">
        <f t="shared" si="203"/>
        <v/>
      </c>
      <c r="JY39" s="122" t="str">
        <f t="shared" si="204"/>
        <v/>
      </c>
      <c r="JZ39" s="122" t="str">
        <f t="shared" si="205"/>
        <v/>
      </c>
      <c r="KA39" s="122" t="str">
        <f t="shared" si="206"/>
        <v/>
      </c>
      <c r="KB39" s="122" t="str">
        <f t="shared" si="207"/>
        <v/>
      </c>
      <c r="KC39" s="122" t="str">
        <f t="shared" si="208"/>
        <v/>
      </c>
      <c r="KD39" s="122" t="str">
        <f t="shared" si="209"/>
        <v/>
      </c>
      <c r="KE39" s="133" t="str">
        <f t="shared" si="210"/>
        <v/>
      </c>
      <c r="KF39" s="94" t="str">
        <f t="shared" si="211"/>
        <v/>
      </c>
      <c r="KG39" s="4" t="str">
        <f t="shared" si="212"/>
        <v/>
      </c>
      <c r="KH39" s="4" t="str">
        <f t="shared" si="213"/>
        <v/>
      </c>
      <c r="KI39" s="4" t="str">
        <f t="shared" si="214"/>
        <v/>
      </c>
      <c r="KJ39" s="4" t="str">
        <f t="shared" si="215"/>
        <v/>
      </c>
      <c r="KK39" s="4" t="str">
        <f t="shared" si="216"/>
        <v/>
      </c>
      <c r="KL39" s="4" t="str">
        <f t="shared" si="217"/>
        <v/>
      </c>
      <c r="KM39" s="4" t="str">
        <f t="shared" si="218"/>
        <v/>
      </c>
      <c r="KN39" s="4" t="str">
        <f t="shared" si="219"/>
        <v/>
      </c>
      <c r="KO39" s="4" t="str">
        <f t="shared" si="220"/>
        <v/>
      </c>
      <c r="KP39" s="4" t="str">
        <f t="shared" si="221"/>
        <v/>
      </c>
      <c r="KQ39" s="4" t="str">
        <f t="shared" si="222"/>
        <v/>
      </c>
      <c r="KR39" s="4" t="str">
        <f t="shared" si="223"/>
        <v/>
      </c>
      <c r="KS39" s="4" t="str">
        <f t="shared" si="224"/>
        <v/>
      </c>
      <c r="KT39" s="4" t="str">
        <f t="shared" si="225"/>
        <v/>
      </c>
      <c r="KU39" s="4" t="str">
        <f t="shared" si="226"/>
        <v/>
      </c>
      <c r="KV39" s="4" t="str">
        <f t="shared" si="227"/>
        <v/>
      </c>
      <c r="KW39" s="4" t="str">
        <f t="shared" si="228"/>
        <v/>
      </c>
      <c r="KX39" s="4" t="str">
        <f t="shared" si="229"/>
        <v/>
      </c>
      <c r="KY39" s="4" t="str">
        <f t="shared" si="230"/>
        <v/>
      </c>
      <c r="KZ39" s="4" t="str">
        <f t="shared" si="231"/>
        <v/>
      </c>
      <c r="LA39" s="4" t="str">
        <f t="shared" si="232"/>
        <v/>
      </c>
      <c r="LB39" s="4" t="str">
        <f t="shared" si="233"/>
        <v/>
      </c>
      <c r="LC39" s="4" t="str">
        <f t="shared" si="234"/>
        <v/>
      </c>
      <c r="LD39" s="4" t="str">
        <f t="shared" si="235"/>
        <v/>
      </c>
      <c r="LE39" s="4" t="str">
        <f t="shared" si="236"/>
        <v/>
      </c>
      <c r="LF39" s="4" t="str">
        <f t="shared" si="237"/>
        <v/>
      </c>
      <c r="LG39" s="4" t="str">
        <f t="shared" si="238"/>
        <v/>
      </c>
      <c r="LH39" s="4" t="str">
        <f t="shared" si="239"/>
        <v/>
      </c>
      <c r="LI39" s="4" t="str">
        <f t="shared" si="240"/>
        <v/>
      </c>
      <c r="LJ39" s="4" t="str">
        <f t="shared" si="241"/>
        <v/>
      </c>
      <c r="LK39" s="4" t="str">
        <f t="shared" si="242"/>
        <v/>
      </c>
      <c r="LL39" s="4" t="str">
        <f t="shared" si="243"/>
        <v/>
      </c>
      <c r="LM39" s="4" t="str">
        <f t="shared" si="244"/>
        <v/>
      </c>
      <c r="LN39" s="4" t="str">
        <f t="shared" si="245"/>
        <v/>
      </c>
      <c r="LO39" s="4" t="str">
        <f t="shared" si="246"/>
        <v/>
      </c>
      <c r="LP39" s="4" t="str">
        <f t="shared" si="247"/>
        <v/>
      </c>
      <c r="LQ39" s="4" t="str">
        <f t="shared" si="248"/>
        <v/>
      </c>
      <c r="LR39" s="4" t="str">
        <f t="shared" si="249"/>
        <v/>
      </c>
      <c r="LS39" s="4" t="str">
        <f t="shared" si="250"/>
        <v/>
      </c>
      <c r="LT39" s="4" t="str">
        <f t="shared" si="251"/>
        <v/>
      </c>
      <c r="LU39" s="4" t="str">
        <f t="shared" si="252"/>
        <v/>
      </c>
      <c r="LV39" s="4" t="str">
        <f t="shared" si="253"/>
        <v/>
      </c>
      <c r="LW39" s="4" t="str">
        <f t="shared" si="254"/>
        <v/>
      </c>
      <c r="LX39" s="4" t="str">
        <f t="shared" si="255"/>
        <v/>
      </c>
      <c r="LY39" s="4" t="str">
        <f t="shared" si="256"/>
        <v/>
      </c>
      <c r="LZ39" s="4" t="str">
        <f t="shared" si="257"/>
        <v/>
      </c>
      <c r="MA39" s="4" t="str">
        <f t="shared" si="258"/>
        <v/>
      </c>
      <c r="MB39" s="4" t="str">
        <f t="shared" si="259"/>
        <v/>
      </c>
      <c r="MC39" s="4" t="str">
        <f t="shared" si="260"/>
        <v/>
      </c>
      <c r="MD39" s="4" t="str">
        <f t="shared" si="261"/>
        <v/>
      </c>
      <c r="ME39" s="4">
        <f t="shared" si="262"/>
        <v>0</v>
      </c>
    </row>
    <row r="40" spans="1:343" ht="26.25" customHeight="1" thickBot="1" x14ac:dyDescent="0.25">
      <c r="A40" s="35">
        <v>41199</v>
      </c>
      <c r="B40" s="36" t="s">
        <v>151</v>
      </c>
      <c r="C40" s="36" t="s">
        <v>11</v>
      </c>
      <c r="D40" s="31" t="s">
        <v>110</v>
      </c>
      <c r="E40" s="4">
        <v>63</v>
      </c>
      <c r="F40" s="3">
        <v>18043</v>
      </c>
      <c r="G40" s="4" t="s">
        <v>87</v>
      </c>
      <c r="H40" s="4" t="s">
        <v>108</v>
      </c>
      <c r="I40" s="4">
        <v>1827255</v>
      </c>
      <c r="J40" s="4" t="s">
        <v>310</v>
      </c>
      <c r="K40" s="80"/>
      <c r="L40" s="81"/>
      <c r="M40" s="81"/>
      <c r="N40" s="81"/>
      <c r="O40" s="81"/>
      <c r="P40" s="33">
        <v>-0.5</v>
      </c>
      <c r="Q40" s="4">
        <v>-0.87</v>
      </c>
      <c r="R40" s="4" t="s">
        <v>249</v>
      </c>
      <c r="S40" s="67">
        <v>24.5</v>
      </c>
      <c r="T40" s="136">
        <v>41151</v>
      </c>
      <c r="U40" s="67">
        <v>0.5</v>
      </c>
      <c r="V40" s="67">
        <v>1.5</v>
      </c>
      <c r="W40" s="4">
        <v>90</v>
      </c>
      <c r="X40" s="4">
        <v>40</v>
      </c>
      <c r="Y40" s="4">
        <v>12</v>
      </c>
      <c r="Z40" s="4">
        <v>661</v>
      </c>
      <c r="AA40" s="4">
        <v>23.08</v>
      </c>
      <c r="AB40" s="4">
        <v>12.1</v>
      </c>
      <c r="AC40" s="4">
        <v>5.05</v>
      </c>
      <c r="AD40" s="4">
        <v>2.97</v>
      </c>
      <c r="AE40" s="4">
        <v>41.46</v>
      </c>
      <c r="AF40" s="4">
        <v>8</v>
      </c>
      <c r="AG40" s="4">
        <v>42.94</v>
      </c>
      <c r="AH40" s="4">
        <v>98</v>
      </c>
      <c r="AI40" s="4">
        <v>0</v>
      </c>
      <c r="AJ40" s="4" t="b">
        <f t="shared" si="133"/>
        <v>0</v>
      </c>
      <c r="AL40" s="3">
        <v>41318</v>
      </c>
      <c r="AM40" s="56">
        <v>40</v>
      </c>
      <c r="AN40" s="67">
        <v>-0.25</v>
      </c>
      <c r="AO40" s="67">
        <v>1.5</v>
      </c>
      <c r="AP40" s="4">
        <v>165</v>
      </c>
      <c r="AQ40" s="4">
        <v>30</v>
      </c>
      <c r="AR40" s="4">
        <v>10</v>
      </c>
      <c r="AS40" s="4">
        <v>464</v>
      </c>
      <c r="AT40" s="4">
        <v>2000</v>
      </c>
      <c r="BA40" s="4">
        <f t="shared" si="134"/>
        <v>0.5</v>
      </c>
      <c r="BB40" s="4">
        <f t="shared" si="135"/>
        <v>1.37</v>
      </c>
      <c r="BC40" s="4">
        <f t="shared" si="136"/>
        <v>-197</v>
      </c>
      <c r="BD40" s="3">
        <v>41562</v>
      </c>
      <c r="BF40" s="67">
        <v>-1</v>
      </c>
      <c r="BG40" s="67">
        <v>1</v>
      </c>
      <c r="BH40" s="4">
        <v>90</v>
      </c>
      <c r="BI40" s="4">
        <v>20</v>
      </c>
      <c r="BJ40" s="4">
        <v>10</v>
      </c>
      <c r="BK40" s="4">
        <v>484</v>
      </c>
      <c r="BL40" s="4">
        <v>1761</v>
      </c>
      <c r="BM40" s="4" t="s">
        <v>282</v>
      </c>
      <c r="BN40" s="4" t="s">
        <v>282</v>
      </c>
      <c r="BO40" s="4">
        <v>40.369999999999997</v>
      </c>
      <c r="BP40" s="4">
        <v>165</v>
      </c>
      <c r="BQ40" s="4">
        <v>43.77</v>
      </c>
      <c r="BR40" s="4">
        <v>75</v>
      </c>
      <c r="BS40" s="4">
        <f t="shared" si="137"/>
        <v>-0.5</v>
      </c>
      <c r="BT40" s="4">
        <f t="shared" si="138"/>
        <v>0.37</v>
      </c>
      <c r="BU40" s="4">
        <f t="shared" si="139"/>
        <v>-177</v>
      </c>
      <c r="BV40" s="4">
        <f>IF(AND(ISBLANK(SPH_6),ISBLANK(SPH_12)),0,1)</f>
        <v>1</v>
      </c>
      <c r="BW40" s="4">
        <f t="shared" si="140"/>
        <v>1</v>
      </c>
      <c r="BX40" s="4">
        <f t="shared" si="141"/>
        <v>1.25</v>
      </c>
      <c r="BY40" s="4">
        <f t="shared" si="142"/>
        <v>0.5</v>
      </c>
      <c r="BZ40" s="4">
        <f t="shared" si="143"/>
        <v>-0.5</v>
      </c>
      <c r="CA40" s="53">
        <f t="shared" si="144"/>
        <v>363</v>
      </c>
      <c r="CB40" s="55">
        <f t="shared" si="145"/>
        <v>12.1</v>
      </c>
      <c r="CC40" s="4">
        <f t="shared" si="146"/>
        <v>-1</v>
      </c>
      <c r="CD40" s="4" t="str">
        <f t="shared" si="147"/>
        <v/>
      </c>
      <c r="CE40" s="4">
        <f t="shared" si="148"/>
        <v>-0.13000000000000256</v>
      </c>
      <c r="CF40" s="4">
        <f t="shared" si="149"/>
        <v>-0.13000000000000256</v>
      </c>
      <c r="CG40" s="4">
        <f t="shared" si="263"/>
        <v>1.25</v>
      </c>
      <c r="CH40" s="4">
        <f t="shared" si="150"/>
        <v>-0.5</v>
      </c>
      <c r="CI40" s="104">
        <f t="shared" si="151"/>
        <v>0.37</v>
      </c>
      <c r="CJ40" s="94">
        <f t="shared" si="152"/>
        <v>-177</v>
      </c>
      <c r="CK40" s="4" t="str">
        <f t="shared" si="153"/>
        <v/>
      </c>
      <c r="CL40" s="107">
        <f t="shared" si="154"/>
        <v>-0.87</v>
      </c>
      <c r="CM40" s="107">
        <f t="shared" si="264"/>
        <v>0.3010299956639812</v>
      </c>
      <c r="CN40" s="139">
        <f t="shared" si="155"/>
        <v>1</v>
      </c>
      <c r="CO40" s="139">
        <f t="shared" si="156"/>
        <v>-0.5</v>
      </c>
      <c r="CP40" s="149">
        <f t="shared" si="157"/>
        <v>20</v>
      </c>
      <c r="CQ40" s="149">
        <f t="shared" si="158"/>
        <v>40</v>
      </c>
      <c r="CR40" s="148">
        <f t="shared" si="159"/>
        <v>40</v>
      </c>
      <c r="CS40" s="152" t="str">
        <f t="shared" si="160"/>
        <v/>
      </c>
      <c r="CT40" s="107" t="str">
        <f t="shared" si="161"/>
        <v/>
      </c>
      <c r="CU40" s="155" t="str">
        <f t="shared" si="162"/>
        <v/>
      </c>
      <c r="IJ40" s="94" t="str">
        <f t="shared" si="163"/>
        <v/>
      </c>
      <c r="IK40" s="4" t="str">
        <f t="shared" si="164"/>
        <v/>
      </c>
      <c r="IL40" s="4" t="str">
        <f t="shared" si="165"/>
        <v/>
      </c>
      <c r="IM40" s="4" t="str">
        <f t="shared" si="166"/>
        <v/>
      </c>
      <c r="IN40" s="4" t="str">
        <f t="shared" si="167"/>
        <v/>
      </c>
      <c r="IO40" s="4" t="str">
        <f t="shared" si="168"/>
        <v/>
      </c>
      <c r="IP40" s="4" t="str">
        <f t="shared" si="169"/>
        <v/>
      </c>
      <c r="IQ40" s="4" t="str">
        <f t="shared" si="170"/>
        <v/>
      </c>
      <c r="IR40" s="4" t="str">
        <f t="shared" si="171"/>
        <v/>
      </c>
      <c r="IS40" s="4" t="str">
        <f t="shared" si="172"/>
        <v/>
      </c>
      <c r="IT40" s="4" t="str">
        <f t="shared" si="173"/>
        <v/>
      </c>
      <c r="IU40" s="4" t="str">
        <f t="shared" si="174"/>
        <v/>
      </c>
      <c r="IV40" s="4" t="str">
        <f t="shared" si="175"/>
        <v/>
      </c>
      <c r="IW40" s="4" t="str">
        <f t="shared" si="176"/>
        <v/>
      </c>
      <c r="IX40" s="4" t="str">
        <f t="shared" si="177"/>
        <v/>
      </c>
      <c r="IY40" s="4" t="str">
        <f t="shared" si="178"/>
        <v/>
      </c>
      <c r="IZ40" s="4" t="str">
        <f t="shared" si="179"/>
        <v/>
      </c>
      <c r="JA40" s="4" t="str">
        <f t="shared" si="180"/>
        <v/>
      </c>
      <c r="JB40" s="4" t="str">
        <f t="shared" si="181"/>
        <v/>
      </c>
      <c r="JC40" s="4" t="str">
        <f t="shared" si="182"/>
        <v/>
      </c>
      <c r="JD40" s="4" t="str">
        <f t="shared" si="183"/>
        <v/>
      </c>
      <c r="JE40" s="4" t="str">
        <f t="shared" si="184"/>
        <v/>
      </c>
      <c r="JF40" s="4" t="str">
        <f t="shared" si="185"/>
        <v/>
      </c>
      <c r="JG40" s="4" t="str">
        <f t="shared" si="186"/>
        <v/>
      </c>
      <c r="JH40" s="4" t="str">
        <f t="shared" si="187"/>
        <v/>
      </c>
      <c r="JI40" s="4" t="str">
        <f t="shared" si="188"/>
        <v/>
      </c>
      <c r="JJ40" s="4" t="str">
        <f t="shared" si="189"/>
        <v/>
      </c>
      <c r="JK40" s="4" t="str">
        <f t="shared" si="190"/>
        <v/>
      </c>
      <c r="JL40" s="4" t="str">
        <f t="shared" si="191"/>
        <v/>
      </c>
      <c r="JM40" s="4" t="str">
        <f t="shared" si="192"/>
        <v/>
      </c>
      <c r="JN40" s="4" t="str">
        <f t="shared" si="193"/>
        <v/>
      </c>
      <c r="JO40" s="129" t="str">
        <f t="shared" si="194"/>
        <v/>
      </c>
      <c r="JP40" s="122" t="str">
        <f t="shared" si="195"/>
        <v/>
      </c>
      <c r="JQ40" s="122" t="str">
        <f t="shared" si="196"/>
        <v/>
      </c>
      <c r="JR40" s="122" t="str">
        <f t="shared" si="197"/>
        <v/>
      </c>
      <c r="JS40" s="122" t="str">
        <f t="shared" si="198"/>
        <v/>
      </c>
      <c r="JT40" s="122" t="str">
        <f t="shared" si="199"/>
        <v/>
      </c>
      <c r="JU40" s="122" t="str">
        <f t="shared" si="200"/>
        <v/>
      </c>
      <c r="JV40" s="122" t="str">
        <f t="shared" si="201"/>
        <v/>
      </c>
      <c r="JW40" s="122" t="str">
        <f t="shared" si="202"/>
        <v/>
      </c>
      <c r="JX40" s="122" t="str">
        <f t="shared" si="203"/>
        <v/>
      </c>
      <c r="JY40" s="122" t="str">
        <f t="shared" si="204"/>
        <v/>
      </c>
      <c r="JZ40" s="122" t="str">
        <f t="shared" si="205"/>
        <v/>
      </c>
      <c r="KA40" s="122" t="str">
        <f t="shared" si="206"/>
        <v/>
      </c>
      <c r="KB40" s="122" t="str">
        <f t="shared" si="207"/>
        <v/>
      </c>
      <c r="KC40" s="122" t="str">
        <f t="shared" si="208"/>
        <v/>
      </c>
      <c r="KD40" s="122" t="str">
        <f t="shared" si="209"/>
        <v/>
      </c>
      <c r="KE40" s="133" t="str">
        <f t="shared" si="210"/>
        <v/>
      </c>
      <c r="KF40" s="94" t="str">
        <f t="shared" si="211"/>
        <v/>
      </c>
      <c r="KG40" s="4" t="str">
        <f t="shared" si="212"/>
        <v/>
      </c>
      <c r="KH40" s="4" t="str">
        <f t="shared" si="213"/>
        <v/>
      </c>
      <c r="KI40" s="4" t="str">
        <f t="shared" si="214"/>
        <v/>
      </c>
      <c r="KJ40" s="4" t="str">
        <f t="shared" si="215"/>
        <v/>
      </c>
      <c r="KK40" s="4" t="str">
        <f t="shared" si="216"/>
        <v/>
      </c>
      <c r="KL40" s="4" t="str">
        <f t="shared" si="217"/>
        <v/>
      </c>
      <c r="KM40" s="4" t="str">
        <f t="shared" si="218"/>
        <v/>
      </c>
      <c r="KN40" s="4" t="str">
        <f t="shared" si="219"/>
        <v/>
      </c>
      <c r="KO40" s="4" t="str">
        <f t="shared" si="220"/>
        <v/>
      </c>
      <c r="KP40" s="4" t="str">
        <f t="shared" si="221"/>
        <v/>
      </c>
      <c r="KQ40" s="4" t="str">
        <f t="shared" si="222"/>
        <v/>
      </c>
      <c r="KR40" s="4" t="str">
        <f t="shared" si="223"/>
        <v/>
      </c>
      <c r="KS40" s="4" t="str">
        <f t="shared" si="224"/>
        <v/>
      </c>
      <c r="KT40" s="4" t="str">
        <f t="shared" si="225"/>
        <v/>
      </c>
      <c r="KU40" s="4" t="str">
        <f t="shared" si="226"/>
        <v/>
      </c>
      <c r="KV40" s="4" t="str">
        <f t="shared" si="227"/>
        <v/>
      </c>
      <c r="KW40" s="4" t="str">
        <f t="shared" si="228"/>
        <v/>
      </c>
      <c r="KX40" s="4" t="str">
        <f t="shared" si="229"/>
        <v/>
      </c>
      <c r="KY40" s="4" t="str">
        <f t="shared" si="230"/>
        <v/>
      </c>
      <c r="KZ40" s="4" t="str">
        <f t="shared" si="231"/>
        <v/>
      </c>
      <c r="LA40" s="4" t="str">
        <f t="shared" si="232"/>
        <v/>
      </c>
      <c r="LB40" s="4" t="str">
        <f t="shared" si="233"/>
        <v/>
      </c>
      <c r="LC40" s="4" t="str">
        <f t="shared" si="234"/>
        <v/>
      </c>
      <c r="LD40" s="4" t="str">
        <f t="shared" si="235"/>
        <v/>
      </c>
      <c r="LE40" s="4" t="str">
        <f t="shared" si="236"/>
        <v/>
      </c>
      <c r="LF40" s="4" t="str">
        <f t="shared" si="237"/>
        <v/>
      </c>
      <c r="LG40" s="4" t="str">
        <f t="shared" si="238"/>
        <v/>
      </c>
      <c r="LH40" s="4" t="str">
        <f t="shared" si="239"/>
        <v/>
      </c>
      <c r="LI40" s="4" t="str">
        <f t="shared" si="240"/>
        <v/>
      </c>
      <c r="LJ40" s="4" t="str">
        <f t="shared" si="241"/>
        <v/>
      </c>
      <c r="LK40" s="4" t="str">
        <f t="shared" si="242"/>
        <v/>
      </c>
      <c r="LL40" s="4" t="str">
        <f t="shared" si="243"/>
        <v/>
      </c>
      <c r="LM40" s="4" t="str">
        <f t="shared" si="244"/>
        <v/>
      </c>
      <c r="LN40" s="4" t="str">
        <f t="shared" si="245"/>
        <v/>
      </c>
      <c r="LO40" s="4" t="str">
        <f t="shared" si="246"/>
        <v/>
      </c>
      <c r="LP40" s="4" t="str">
        <f t="shared" si="247"/>
        <v/>
      </c>
      <c r="LQ40" s="4" t="str">
        <f t="shared" si="248"/>
        <v/>
      </c>
      <c r="LR40" s="4" t="str">
        <f t="shared" si="249"/>
        <v/>
      </c>
      <c r="LS40" s="4" t="str">
        <f t="shared" si="250"/>
        <v/>
      </c>
      <c r="LT40" s="4" t="str">
        <f t="shared" si="251"/>
        <v/>
      </c>
      <c r="LU40" s="4" t="str">
        <f t="shared" si="252"/>
        <v/>
      </c>
      <c r="LV40" s="4" t="str">
        <f t="shared" si="253"/>
        <v/>
      </c>
      <c r="LW40" s="4" t="str">
        <f t="shared" si="254"/>
        <v/>
      </c>
      <c r="LX40" s="4" t="str">
        <f t="shared" si="255"/>
        <v/>
      </c>
      <c r="LY40" s="4" t="str">
        <f t="shared" si="256"/>
        <v/>
      </c>
      <c r="LZ40" s="4" t="str">
        <f t="shared" si="257"/>
        <v/>
      </c>
      <c r="MA40" s="4" t="str">
        <f t="shared" si="258"/>
        <v/>
      </c>
      <c r="MB40" s="4" t="str">
        <f t="shared" si="259"/>
        <v/>
      </c>
      <c r="MC40" s="4" t="str">
        <f t="shared" si="260"/>
        <v/>
      </c>
      <c r="MD40" s="4" t="str">
        <f t="shared" si="261"/>
        <v/>
      </c>
      <c r="ME40" s="4">
        <f t="shared" si="262"/>
        <v>0</v>
      </c>
    </row>
    <row r="41" spans="1:343" ht="26.25" customHeight="1" thickBot="1" x14ac:dyDescent="0.25">
      <c r="A41" s="35">
        <v>41220</v>
      </c>
      <c r="B41" s="36" t="s">
        <v>151</v>
      </c>
      <c r="C41" s="36" t="s">
        <v>11</v>
      </c>
      <c r="D41" s="31" t="s">
        <v>111</v>
      </c>
      <c r="E41" s="4">
        <v>63</v>
      </c>
      <c r="F41" s="3">
        <v>18043</v>
      </c>
      <c r="G41" s="4" t="s">
        <v>87</v>
      </c>
      <c r="H41" s="4" t="s">
        <v>108</v>
      </c>
      <c r="I41" s="4">
        <v>1827255</v>
      </c>
      <c r="J41" s="4" t="s">
        <v>310</v>
      </c>
      <c r="K41" s="76"/>
      <c r="L41" s="76"/>
      <c r="M41" s="76"/>
      <c r="N41" s="76"/>
      <c r="O41" s="76"/>
      <c r="P41" s="4">
        <v>-0.5</v>
      </c>
      <c r="Q41" s="4">
        <v>-0.56000000000000005</v>
      </c>
      <c r="R41" s="4" t="s">
        <v>249</v>
      </c>
      <c r="S41" s="67">
        <v>23.75</v>
      </c>
      <c r="T41" s="136">
        <v>41151</v>
      </c>
      <c r="U41" s="67">
        <v>1.5</v>
      </c>
      <c r="V41" s="67">
        <v>0</v>
      </c>
      <c r="W41" s="4">
        <v>0</v>
      </c>
      <c r="X41" s="4">
        <v>30</v>
      </c>
      <c r="Y41" s="4">
        <v>10</v>
      </c>
      <c r="Z41" s="4">
        <v>664</v>
      </c>
      <c r="AA41" s="4">
        <v>23.22</v>
      </c>
      <c r="AB41" s="4">
        <v>12</v>
      </c>
      <c r="AC41" s="4">
        <v>5.05</v>
      </c>
      <c r="AD41" s="4">
        <v>2.97</v>
      </c>
      <c r="AE41" s="4">
        <v>41.77</v>
      </c>
      <c r="AF41" s="4">
        <v>159</v>
      </c>
      <c r="AG41" s="4">
        <v>42.61</v>
      </c>
      <c r="AH41" s="4">
        <v>69</v>
      </c>
      <c r="AI41" s="4">
        <v>0</v>
      </c>
      <c r="AJ41" s="4" t="b">
        <f t="shared" si="133"/>
        <v>0</v>
      </c>
      <c r="AL41" s="32">
        <v>41381</v>
      </c>
      <c r="AM41" s="60">
        <v>25</v>
      </c>
      <c r="AN41" s="67">
        <v>0</v>
      </c>
      <c r="AO41" s="67">
        <v>1</v>
      </c>
      <c r="AP41" s="4">
        <v>155</v>
      </c>
      <c r="AQ41" s="4">
        <v>25</v>
      </c>
      <c r="AR41" s="4">
        <v>12</v>
      </c>
      <c r="AS41" s="4">
        <v>514</v>
      </c>
      <c r="BA41" s="4">
        <f t="shared" si="134"/>
        <v>0.5</v>
      </c>
      <c r="BB41" s="4">
        <f t="shared" si="135"/>
        <v>1.06</v>
      </c>
      <c r="BC41" s="4">
        <f t="shared" si="136"/>
        <v>-150</v>
      </c>
      <c r="BD41" s="3">
        <v>41562</v>
      </c>
      <c r="BF41" s="67">
        <v>0.25</v>
      </c>
      <c r="BG41" s="67">
        <v>0.5</v>
      </c>
      <c r="BH41" s="4">
        <v>161</v>
      </c>
      <c r="BI41" s="4">
        <v>20</v>
      </c>
      <c r="BJ41" s="4">
        <v>10</v>
      </c>
      <c r="BK41" s="4">
        <v>514</v>
      </c>
      <c r="BL41" s="4">
        <v>1701</v>
      </c>
      <c r="BM41" s="4" t="s">
        <v>282</v>
      </c>
      <c r="BN41" s="4" t="s">
        <v>282</v>
      </c>
      <c r="BO41" s="4">
        <v>41.77</v>
      </c>
      <c r="BP41" s="4">
        <v>149</v>
      </c>
      <c r="BQ41" s="4">
        <v>42.51</v>
      </c>
      <c r="BR41" s="4">
        <v>59</v>
      </c>
      <c r="BS41" s="4">
        <f t="shared" si="137"/>
        <v>0.5</v>
      </c>
      <c r="BT41" s="4">
        <f t="shared" si="138"/>
        <v>1.06</v>
      </c>
      <c r="BU41" s="4">
        <f t="shared" si="139"/>
        <v>-150</v>
      </c>
      <c r="BV41" s="4">
        <f>IF(AND(ISBLANK(SPH_6),ISBLANK(SPH_12)),0,1)</f>
        <v>1</v>
      </c>
      <c r="BW41" s="4">
        <f t="shared" si="140"/>
        <v>1</v>
      </c>
      <c r="BX41" s="4">
        <f t="shared" si="141"/>
        <v>1.5</v>
      </c>
      <c r="BY41" s="4">
        <f t="shared" si="142"/>
        <v>0.5</v>
      </c>
      <c r="BZ41" s="4">
        <f t="shared" si="143"/>
        <v>0.5</v>
      </c>
      <c r="CA41" s="53">
        <f t="shared" si="144"/>
        <v>342</v>
      </c>
      <c r="CB41" s="55">
        <f t="shared" si="145"/>
        <v>11.4</v>
      </c>
      <c r="CC41" s="4">
        <f t="shared" si="146"/>
        <v>0</v>
      </c>
      <c r="CD41" s="4" t="str">
        <f t="shared" si="147"/>
        <v/>
      </c>
      <c r="CE41" s="4">
        <f t="shared" si="148"/>
        <v>-4.9999999999997158E-2</v>
      </c>
      <c r="CF41" s="4">
        <f t="shared" si="149"/>
        <v>-4.9999999999997158E-2</v>
      </c>
      <c r="CG41" s="4">
        <f t="shared" si="263"/>
        <v>1.5</v>
      </c>
      <c r="CH41" s="4">
        <f t="shared" si="150"/>
        <v>0.5</v>
      </c>
      <c r="CI41" s="104">
        <f t="shared" si="151"/>
        <v>1.06</v>
      </c>
      <c r="CJ41" s="94">
        <f t="shared" si="152"/>
        <v>-150</v>
      </c>
      <c r="CK41" s="4" t="str">
        <f t="shared" si="153"/>
        <v/>
      </c>
      <c r="CL41" s="107">
        <f t="shared" si="154"/>
        <v>-0.56000000000000005</v>
      </c>
      <c r="CM41" s="107">
        <f t="shared" si="264"/>
        <v>0.17609125905568127</v>
      </c>
      <c r="CN41" s="139">
        <f t="shared" si="155"/>
        <v>0.5</v>
      </c>
      <c r="CO41" s="139">
        <f t="shared" si="156"/>
        <v>0.5</v>
      </c>
      <c r="CP41" s="149">
        <f t="shared" si="157"/>
        <v>20</v>
      </c>
      <c r="CQ41" s="149">
        <f t="shared" si="158"/>
        <v>30</v>
      </c>
      <c r="CR41" s="148">
        <f t="shared" si="159"/>
        <v>25</v>
      </c>
      <c r="CS41" s="152" t="str">
        <f t="shared" si="160"/>
        <v/>
      </c>
      <c r="CT41" s="107" t="str">
        <f t="shared" si="161"/>
        <v/>
      </c>
      <c r="CU41" s="155" t="str">
        <f t="shared" si="162"/>
        <v/>
      </c>
      <c r="IJ41" s="94" t="str">
        <f t="shared" si="163"/>
        <v/>
      </c>
      <c r="IK41" s="4" t="str">
        <f t="shared" si="164"/>
        <v/>
      </c>
      <c r="IL41" s="4" t="str">
        <f t="shared" si="165"/>
        <v/>
      </c>
      <c r="IM41" s="4" t="str">
        <f t="shared" si="166"/>
        <v/>
      </c>
      <c r="IN41" s="4" t="str">
        <f t="shared" si="167"/>
        <v/>
      </c>
      <c r="IO41" s="4" t="str">
        <f t="shared" si="168"/>
        <v/>
      </c>
      <c r="IP41" s="4" t="str">
        <f t="shared" si="169"/>
        <v/>
      </c>
      <c r="IQ41" s="4" t="str">
        <f t="shared" si="170"/>
        <v/>
      </c>
      <c r="IR41" s="4" t="str">
        <f t="shared" si="171"/>
        <v/>
      </c>
      <c r="IS41" s="4" t="str">
        <f t="shared" si="172"/>
        <v/>
      </c>
      <c r="IT41" s="4" t="str">
        <f t="shared" si="173"/>
        <v/>
      </c>
      <c r="IU41" s="4" t="str">
        <f t="shared" si="174"/>
        <v/>
      </c>
      <c r="IV41" s="4" t="str">
        <f t="shared" si="175"/>
        <v/>
      </c>
      <c r="IW41" s="4" t="str">
        <f t="shared" si="176"/>
        <v/>
      </c>
      <c r="IX41" s="4" t="str">
        <f t="shared" si="177"/>
        <v/>
      </c>
      <c r="IY41" s="4" t="str">
        <f t="shared" si="178"/>
        <v/>
      </c>
      <c r="IZ41" s="4" t="str">
        <f t="shared" si="179"/>
        <v/>
      </c>
      <c r="JA41" s="4" t="str">
        <f t="shared" si="180"/>
        <v/>
      </c>
      <c r="JB41" s="4" t="str">
        <f t="shared" si="181"/>
        <v/>
      </c>
      <c r="JC41" s="4" t="str">
        <f t="shared" si="182"/>
        <v/>
      </c>
      <c r="JD41" s="4" t="str">
        <f t="shared" si="183"/>
        <v/>
      </c>
      <c r="JE41" s="4" t="str">
        <f t="shared" si="184"/>
        <v/>
      </c>
      <c r="JF41" s="4" t="str">
        <f t="shared" si="185"/>
        <v/>
      </c>
      <c r="JG41" s="4" t="str">
        <f t="shared" si="186"/>
        <v/>
      </c>
      <c r="JH41" s="4" t="str">
        <f t="shared" si="187"/>
        <v/>
      </c>
      <c r="JI41" s="4" t="str">
        <f t="shared" si="188"/>
        <v/>
      </c>
      <c r="JJ41" s="4" t="str">
        <f t="shared" si="189"/>
        <v/>
      </c>
      <c r="JK41" s="4" t="str">
        <f t="shared" si="190"/>
        <v/>
      </c>
      <c r="JL41" s="4" t="str">
        <f t="shared" si="191"/>
        <v/>
      </c>
      <c r="JM41" s="4" t="str">
        <f t="shared" si="192"/>
        <v/>
      </c>
      <c r="JN41" s="4" t="str">
        <f t="shared" si="193"/>
        <v/>
      </c>
      <c r="JO41" s="129" t="str">
        <f t="shared" si="194"/>
        <v/>
      </c>
      <c r="JP41" s="122" t="str">
        <f t="shared" si="195"/>
        <v/>
      </c>
      <c r="JQ41" s="122" t="str">
        <f t="shared" si="196"/>
        <v/>
      </c>
      <c r="JR41" s="122" t="str">
        <f t="shared" si="197"/>
        <v/>
      </c>
      <c r="JS41" s="122" t="str">
        <f t="shared" si="198"/>
        <v/>
      </c>
      <c r="JT41" s="122" t="str">
        <f t="shared" si="199"/>
        <v/>
      </c>
      <c r="JU41" s="122" t="str">
        <f t="shared" si="200"/>
        <v/>
      </c>
      <c r="JV41" s="122" t="str">
        <f t="shared" si="201"/>
        <v/>
      </c>
      <c r="JW41" s="122" t="str">
        <f t="shared" si="202"/>
        <v/>
      </c>
      <c r="JX41" s="122" t="str">
        <f t="shared" si="203"/>
        <v/>
      </c>
      <c r="JY41" s="122" t="str">
        <f t="shared" si="204"/>
        <v/>
      </c>
      <c r="JZ41" s="122" t="str">
        <f t="shared" si="205"/>
        <v/>
      </c>
      <c r="KA41" s="122" t="str">
        <f t="shared" si="206"/>
        <v/>
      </c>
      <c r="KB41" s="122" t="str">
        <f t="shared" si="207"/>
        <v/>
      </c>
      <c r="KC41" s="122" t="str">
        <f t="shared" si="208"/>
        <v/>
      </c>
      <c r="KD41" s="122" t="str">
        <f t="shared" si="209"/>
        <v/>
      </c>
      <c r="KE41" s="133" t="str">
        <f t="shared" si="210"/>
        <v/>
      </c>
      <c r="KF41" s="94" t="str">
        <f t="shared" si="211"/>
        <v/>
      </c>
      <c r="KG41" s="4" t="str">
        <f t="shared" si="212"/>
        <v/>
      </c>
      <c r="KH41" s="4" t="str">
        <f t="shared" si="213"/>
        <v/>
      </c>
      <c r="KI41" s="4" t="str">
        <f t="shared" si="214"/>
        <v/>
      </c>
      <c r="KJ41" s="4" t="str">
        <f t="shared" si="215"/>
        <v/>
      </c>
      <c r="KK41" s="4" t="str">
        <f t="shared" si="216"/>
        <v/>
      </c>
      <c r="KL41" s="4" t="str">
        <f t="shared" si="217"/>
        <v/>
      </c>
      <c r="KM41" s="4" t="str">
        <f t="shared" si="218"/>
        <v/>
      </c>
      <c r="KN41" s="4" t="str">
        <f t="shared" si="219"/>
        <v/>
      </c>
      <c r="KO41" s="4" t="str">
        <f t="shared" si="220"/>
        <v/>
      </c>
      <c r="KP41" s="4" t="str">
        <f t="shared" si="221"/>
        <v/>
      </c>
      <c r="KQ41" s="4" t="str">
        <f t="shared" si="222"/>
        <v/>
      </c>
      <c r="KR41" s="4" t="str">
        <f t="shared" si="223"/>
        <v/>
      </c>
      <c r="KS41" s="4" t="str">
        <f t="shared" si="224"/>
        <v/>
      </c>
      <c r="KT41" s="4" t="str">
        <f t="shared" si="225"/>
        <v/>
      </c>
      <c r="KU41" s="4" t="str">
        <f t="shared" si="226"/>
        <v/>
      </c>
      <c r="KV41" s="4" t="str">
        <f t="shared" si="227"/>
        <v/>
      </c>
      <c r="KW41" s="4" t="str">
        <f t="shared" si="228"/>
        <v/>
      </c>
      <c r="KX41" s="4" t="str">
        <f t="shared" si="229"/>
        <v/>
      </c>
      <c r="KY41" s="4" t="str">
        <f t="shared" si="230"/>
        <v/>
      </c>
      <c r="KZ41" s="4" t="str">
        <f t="shared" si="231"/>
        <v/>
      </c>
      <c r="LA41" s="4" t="str">
        <f t="shared" si="232"/>
        <v/>
      </c>
      <c r="LB41" s="4" t="str">
        <f t="shared" si="233"/>
        <v/>
      </c>
      <c r="LC41" s="4" t="str">
        <f t="shared" si="234"/>
        <v/>
      </c>
      <c r="LD41" s="4" t="str">
        <f t="shared" si="235"/>
        <v/>
      </c>
      <c r="LE41" s="4" t="str">
        <f t="shared" si="236"/>
        <v/>
      </c>
      <c r="LF41" s="4" t="str">
        <f t="shared" si="237"/>
        <v/>
      </c>
      <c r="LG41" s="4" t="str">
        <f t="shared" si="238"/>
        <v/>
      </c>
      <c r="LH41" s="4" t="str">
        <f t="shared" si="239"/>
        <v/>
      </c>
      <c r="LI41" s="4" t="str">
        <f t="shared" si="240"/>
        <v/>
      </c>
      <c r="LJ41" s="4" t="str">
        <f t="shared" si="241"/>
        <v/>
      </c>
      <c r="LK41" s="4" t="str">
        <f t="shared" si="242"/>
        <v/>
      </c>
      <c r="LL41" s="4" t="str">
        <f t="shared" si="243"/>
        <v/>
      </c>
      <c r="LM41" s="4" t="str">
        <f t="shared" si="244"/>
        <v/>
      </c>
      <c r="LN41" s="4" t="str">
        <f t="shared" si="245"/>
        <v/>
      </c>
      <c r="LO41" s="4" t="str">
        <f t="shared" si="246"/>
        <v/>
      </c>
      <c r="LP41" s="4" t="str">
        <f t="shared" si="247"/>
        <v/>
      </c>
      <c r="LQ41" s="4" t="str">
        <f t="shared" si="248"/>
        <v/>
      </c>
      <c r="LR41" s="4" t="str">
        <f t="shared" si="249"/>
        <v/>
      </c>
      <c r="LS41" s="4" t="str">
        <f t="shared" si="250"/>
        <v/>
      </c>
      <c r="LT41" s="4" t="str">
        <f t="shared" si="251"/>
        <v/>
      </c>
      <c r="LU41" s="4" t="str">
        <f t="shared" si="252"/>
        <v/>
      </c>
      <c r="LV41" s="4" t="str">
        <f t="shared" si="253"/>
        <v/>
      </c>
      <c r="LW41" s="4" t="str">
        <f t="shared" si="254"/>
        <v/>
      </c>
      <c r="LX41" s="4" t="str">
        <f t="shared" si="255"/>
        <v/>
      </c>
      <c r="LY41" s="4" t="str">
        <f t="shared" si="256"/>
        <v/>
      </c>
      <c r="LZ41" s="4" t="str">
        <f t="shared" si="257"/>
        <v/>
      </c>
      <c r="MA41" s="4" t="str">
        <f t="shared" si="258"/>
        <v/>
      </c>
      <c r="MB41" s="4" t="str">
        <f t="shared" si="259"/>
        <v/>
      </c>
      <c r="MC41" s="4" t="str">
        <f t="shared" si="260"/>
        <v/>
      </c>
      <c r="MD41" s="4" t="str">
        <f t="shared" si="261"/>
        <v/>
      </c>
      <c r="ME41" s="4">
        <f t="shared" si="262"/>
        <v>0</v>
      </c>
    </row>
    <row r="42" spans="1:343" ht="26.25" customHeight="1" thickBot="1" x14ac:dyDescent="0.25">
      <c r="A42" s="35">
        <v>41213</v>
      </c>
      <c r="B42" s="36" t="s">
        <v>141</v>
      </c>
      <c r="C42" s="36" t="s">
        <v>15</v>
      </c>
      <c r="D42" s="31" t="s">
        <v>111</v>
      </c>
      <c r="E42" s="4">
        <v>65</v>
      </c>
      <c r="F42" s="3">
        <v>17133</v>
      </c>
      <c r="G42" s="4" t="s">
        <v>87</v>
      </c>
      <c r="H42" s="4" t="s">
        <v>108</v>
      </c>
      <c r="I42" s="4">
        <v>1827528</v>
      </c>
      <c r="J42" s="4" t="s">
        <v>310</v>
      </c>
      <c r="K42" s="153"/>
      <c r="L42" s="75"/>
      <c r="M42" s="75"/>
      <c r="N42" s="78"/>
      <c r="O42" s="75"/>
      <c r="P42" s="4">
        <v>-0.5</v>
      </c>
      <c r="Q42" s="4">
        <v>-0.53</v>
      </c>
      <c r="R42" s="39" t="s">
        <v>249</v>
      </c>
      <c r="S42" s="70">
        <v>25.5</v>
      </c>
      <c r="T42" s="136">
        <v>41038</v>
      </c>
      <c r="U42" s="67">
        <v>1</v>
      </c>
      <c r="V42" s="67">
        <v>2</v>
      </c>
      <c r="W42" s="4">
        <v>166</v>
      </c>
      <c r="X42" s="4">
        <v>100</v>
      </c>
      <c r="Y42" s="4">
        <v>10</v>
      </c>
      <c r="Z42" s="4">
        <v>516</v>
      </c>
      <c r="AA42" s="4">
        <v>22.7</v>
      </c>
      <c r="AD42" s="4">
        <v>2.59</v>
      </c>
      <c r="AE42" s="4">
        <v>41.82</v>
      </c>
      <c r="AF42" s="4">
        <v>164</v>
      </c>
      <c r="AG42" s="4">
        <v>43.27</v>
      </c>
      <c r="AH42" s="4">
        <v>74</v>
      </c>
      <c r="AI42" s="4">
        <v>2</v>
      </c>
      <c r="AJ42" s="4" t="b">
        <f t="shared" si="133"/>
        <v>1</v>
      </c>
      <c r="AK42" s="54"/>
      <c r="AL42" s="32">
        <v>41409</v>
      </c>
      <c r="AM42" s="60">
        <v>200</v>
      </c>
      <c r="AN42" s="67">
        <v>-3.75</v>
      </c>
      <c r="AO42" s="67">
        <v>3.25</v>
      </c>
      <c r="AP42" s="4">
        <v>75</v>
      </c>
      <c r="AQ42" s="4">
        <v>50</v>
      </c>
      <c r="AR42" s="4">
        <v>10</v>
      </c>
      <c r="AS42" s="4">
        <v>469</v>
      </c>
      <c r="AT42" s="4">
        <v>1304</v>
      </c>
      <c r="BA42" s="4">
        <f t="shared" si="134"/>
        <v>-2.125</v>
      </c>
      <c r="BB42" s="4">
        <f t="shared" si="135"/>
        <v>-1.595</v>
      </c>
      <c r="BC42" s="4">
        <f t="shared" si="136"/>
        <v>-47</v>
      </c>
      <c r="BD42" s="3">
        <v>41563</v>
      </c>
      <c r="BE42" s="56">
        <v>100</v>
      </c>
      <c r="BJ42" s="4">
        <v>11</v>
      </c>
      <c r="BK42" s="4">
        <v>474</v>
      </c>
      <c r="BL42" s="4">
        <v>1256</v>
      </c>
      <c r="BM42" s="4">
        <v>22.77</v>
      </c>
      <c r="BN42" s="4">
        <v>4.3099999999999996</v>
      </c>
      <c r="BO42" s="4">
        <v>41.62</v>
      </c>
      <c r="BP42" s="4">
        <v>159</v>
      </c>
      <c r="BQ42" s="4">
        <v>44.82</v>
      </c>
      <c r="BR42" s="4">
        <v>69</v>
      </c>
      <c r="BS42" s="4" t="str">
        <f t="shared" si="137"/>
        <v/>
      </c>
      <c r="BT42" s="4" t="str">
        <f t="shared" si="138"/>
        <v/>
      </c>
      <c r="BU42" s="4">
        <f t="shared" si="139"/>
        <v>-42</v>
      </c>
      <c r="BV42" s="4">
        <f>IF(AND(ISBLANK(SPH_6),ISBLANK(SPH_12)),0,1)</f>
        <v>1</v>
      </c>
      <c r="BW42" s="4">
        <f t="shared" si="140"/>
        <v>0</v>
      </c>
      <c r="BX42" s="4" t="str">
        <f t="shared" si="141"/>
        <v/>
      </c>
      <c r="BY42" s="4" t="str">
        <f t="shared" si="142"/>
        <v/>
      </c>
      <c r="BZ42" s="4" t="str">
        <f t="shared" si="143"/>
        <v/>
      </c>
      <c r="CA42" s="53">
        <f t="shared" si="144"/>
        <v>196</v>
      </c>
      <c r="CB42" s="55">
        <f t="shared" si="145"/>
        <v>6.5333333333333332</v>
      </c>
      <c r="CC42" s="4" t="str">
        <f t="shared" si="146"/>
        <v/>
      </c>
      <c r="CD42" s="4" t="str">
        <f t="shared" si="147"/>
        <v/>
      </c>
      <c r="CE42" s="4">
        <f t="shared" si="148"/>
        <v>0.67499999999999716</v>
      </c>
      <c r="CF42" s="4">
        <f t="shared" si="149"/>
        <v>0.67499999999999716</v>
      </c>
      <c r="CG42" s="4">
        <f t="shared" si="263"/>
        <v>2</v>
      </c>
      <c r="CH42" s="4">
        <f t="shared" si="150"/>
        <v>-2.125</v>
      </c>
      <c r="CI42" s="104">
        <f t="shared" si="151"/>
        <v>-1.595</v>
      </c>
      <c r="CJ42" s="94">
        <f t="shared" si="152"/>
        <v>-42</v>
      </c>
      <c r="CK42" s="4">
        <f t="shared" si="153"/>
        <v>7.0000000000000284E-2</v>
      </c>
      <c r="CL42" s="107">
        <f t="shared" si="154"/>
        <v>-0.53</v>
      </c>
      <c r="CM42" s="107">
        <f t="shared" si="264"/>
        <v>0.30102999566398114</v>
      </c>
      <c r="CN42" s="139">
        <f t="shared" si="155"/>
        <v>3.25</v>
      </c>
      <c r="CO42" s="139">
        <f t="shared" si="156"/>
        <v>1.25</v>
      </c>
      <c r="CP42" s="149">
        <f t="shared" si="157"/>
        <v>50</v>
      </c>
      <c r="CQ42" s="149">
        <f t="shared" si="158"/>
        <v>100</v>
      </c>
      <c r="CR42" s="148">
        <f t="shared" si="159"/>
        <v>100</v>
      </c>
      <c r="CS42" s="152" t="str">
        <f t="shared" si="160"/>
        <v/>
      </c>
      <c r="CT42" s="107" t="str">
        <f t="shared" si="161"/>
        <v/>
      </c>
      <c r="CU42" s="155" t="str">
        <f t="shared" si="162"/>
        <v/>
      </c>
      <c r="IJ42" s="94" t="str">
        <f t="shared" si="163"/>
        <v/>
      </c>
      <c r="IK42" s="4" t="str">
        <f t="shared" si="164"/>
        <v/>
      </c>
      <c r="IL42" s="4" t="str">
        <f t="shared" si="165"/>
        <v/>
      </c>
      <c r="IM42" s="4" t="str">
        <f t="shared" si="166"/>
        <v/>
      </c>
      <c r="IN42" s="4" t="str">
        <f t="shared" si="167"/>
        <v/>
      </c>
      <c r="IO42" s="4" t="str">
        <f t="shared" si="168"/>
        <v/>
      </c>
      <c r="IP42" s="4" t="str">
        <f t="shared" si="169"/>
        <v/>
      </c>
      <c r="IQ42" s="4" t="str">
        <f t="shared" si="170"/>
        <v/>
      </c>
      <c r="IR42" s="4" t="str">
        <f t="shared" si="171"/>
        <v/>
      </c>
      <c r="IS42" s="4" t="str">
        <f t="shared" si="172"/>
        <v/>
      </c>
      <c r="IT42" s="4" t="str">
        <f t="shared" si="173"/>
        <v/>
      </c>
      <c r="IU42" s="4" t="str">
        <f t="shared" si="174"/>
        <v/>
      </c>
      <c r="IV42" s="4" t="str">
        <f t="shared" si="175"/>
        <v/>
      </c>
      <c r="IW42" s="4" t="str">
        <f t="shared" si="176"/>
        <v/>
      </c>
      <c r="IX42" s="4" t="str">
        <f t="shared" si="177"/>
        <v/>
      </c>
      <c r="IY42" s="4" t="str">
        <f t="shared" si="178"/>
        <v/>
      </c>
      <c r="IZ42" s="4" t="str">
        <f t="shared" si="179"/>
        <v/>
      </c>
      <c r="JA42" s="4" t="str">
        <f t="shared" si="180"/>
        <v/>
      </c>
      <c r="JB42" s="4" t="str">
        <f t="shared" si="181"/>
        <v/>
      </c>
      <c r="JC42" s="4" t="str">
        <f t="shared" si="182"/>
        <v/>
      </c>
      <c r="JD42" s="4" t="str">
        <f t="shared" si="183"/>
        <v/>
      </c>
      <c r="JE42" s="4" t="str">
        <f t="shared" si="184"/>
        <v/>
      </c>
      <c r="JF42" s="4" t="str">
        <f t="shared" si="185"/>
        <v/>
      </c>
      <c r="JG42" s="4" t="str">
        <f t="shared" si="186"/>
        <v/>
      </c>
      <c r="JH42" s="4" t="str">
        <f t="shared" si="187"/>
        <v/>
      </c>
      <c r="JI42" s="4" t="str">
        <f t="shared" si="188"/>
        <v/>
      </c>
      <c r="JJ42" s="4" t="str">
        <f t="shared" si="189"/>
        <v/>
      </c>
      <c r="JK42" s="4" t="str">
        <f t="shared" si="190"/>
        <v/>
      </c>
      <c r="JL42" s="4" t="str">
        <f t="shared" si="191"/>
        <v/>
      </c>
      <c r="JM42" s="4" t="str">
        <f t="shared" si="192"/>
        <v/>
      </c>
      <c r="JN42" s="4" t="str">
        <f t="shared" si="193"/>
        <v/>
      </c>
      <c r="JO42" s="129" t="str">
        <f t="shared" si="194"/>
        <v/>
      </c>
      <c r="JP42" s="122" t="str">
        <f t="shared" si="195"/>
        <v/>
      </c>
      <c r="JQ42" s="122" t="str">
        <f t="shared" si="196"/>
        <v/>
      </c>
      <c r="JR42" s="122" t="str">
        <f t="shared" si="197"/>
        <v/>
      </c>
      <c r="JS42" s="122" t="str">
        <f t="shared" si="198"/>
        <v/>
      </c>
      <c r="JT42" s="122" t="str">
        <f t="shared" si="199"/>
        <v/>
      </c>
      <c r="JU42" s="122" t="str">
        <f t="shared" si="200"/>
        <v/>
      </c>
      <c r="JV42" s="122" t="str">
        <f t="shared" si="201"/>
        <v/>
      </c>
      <c r="JW42" s="122" t="str">
        <f t="shared" si="202"/>
        <v/>
      </c>
      <c r="JX42" s="122" t="str">
        <f t="shared" si="203"/>
        <v/>
      </c>
      <c r="JY42" s="122" t="str">
        <f t="shared" si="204"/>
        <v/>
      </c>
      <c r="JZ42" s="122" t="str">
        <f t="shared" si="205"/>
        <v/>
      </c>
      <c r="KA42" s="122" t="str">
        <f t="shared" si="206"/>
        <v/>
      </c>
      <c r="KB42" s="122" t="str">
        <f t="shared" si="207"/>
        <v/>
      </c>
      <c r="KC42" s="122" t="str">
        <f t="shared" si="208"/>
        <v/>
      </c>
      <c r="KD42" s="122" t="str">
        <f t="shared" si="209"/>
        <v/>
      </c>
      <c r="KE42" s="133" t="str">
        <f t="shared" si="210"/>
        <v/>
      </c>
      <c r="KF42" s="94" t="str">
        <f t="shared" si="211"/>
        <v/>
      </c>
      <c r="KG42" s="4" t="str">
        <f t="shared" si="212"/>
        <v/>
      </c>
      <c r="KH42" s="4" t="str">
        <f t="shared" si="213"/>
        <v/>
      </c>
      <c r="KI42" s="4" t="str">
        <f t="shared" si="214"/>
        <v/>
      </c>
      <c r="KJ42" s="4" t="str">
        <f t="shared" si="215"/>
        <v/>
      </c>
      <c r="KK42" s="4" t="str">
        <f t="shared" si="216"/>
        <v/>
      </c>
      <c r="KL42" s="4" t="str">
        <f t="shared" si="217"/>
        <v/>
      </c>
      <c r="KM42" s="4" t="str">
        <f t="shared" si="218"/>
        <v/>
      </c>
      <c r="KN42" s="4" t="str">
        <f t="shared" si="219"/>
        <v/>
      </c>
      <c r="KO42" s="4" t="str">
        <f t="shared" si="220"/>
        <v/>
      </c>
      <c r="KP42" s="4" t="str">
        <f t="shared" si="221"/>
        <v/>
      </c>
      <c r="KQ42" s="4" t="str">
        <f t="shared" si="222"/>
        <v/>
      </c>
      <c r="KR42" s="4" t="str">
        <f t="shared" si="223"/>
        <v/>
      </c>
      <c r="KS42" s="4" t="str">
        <f t="shared" si="224"/>
        <v/>
      </c>
      <c r="KT42" s="4" t="str">
        <f t="shared" si="225"/>
        <v/>
      </c>
      <c r="KU42" s="4" t="str">
        <f t="shared" si="226"/>
        <v/>
      </c>
      <c r="KV42" s="4" t="str">
        <f t="shared" si="227"/>
        <v/>
      </c>
      <c r="KW42" s="4" t="str">
        <f t="shared" si="228"/>
        <v/>
      </c>
      <c r="KX42" s="4" t="str">
        <f t="shared" si="229"/>
        <v/>
      </c>
      <c r="KY42" s="4" t="str">
        <f t="shared" si="230"/>
        <v/>
      </c>
      <c r="KZ42" s="4" t="str">
        <f t="shared" si="231"/>
        <v/>
      </c>
      <c r="LA42" s="4" t="str">
        <f t="shared" si="232"/>
        <v/>
      </c>
      <c r="LB42" s="4" t="str">
        <f t="shared" si="233"/>
        <v/>
      </c>
      <c r="LC42" s="4" t="str">
        <f t="shared" si="234"/>
        <v/>
      </c>
      <c r="LD42" s="4" t="str">
        <f t="shared" si="235"/>
        <v/>
      </c>
      <c r="LE42" s="4" t="str">
        <f t="shared" si="236"/>
        <v/>
      </c>
      <c r="LF42" s="4" t="str">
        <f t="shared" si="237"/>
        <v/>
      </c>
      <c r="LG42" s="4" t="str">
        <f t="shared" si="238"/>
        <v/>
      </c>
      <c r="LH42" s="4" t="str">
        <f t="shared" si="239"/>
        <v/>
      </c>
      <c r="LI42" s="4" t="str">
        <f t="shared" si="240"/>
        <v/>
      </c>
      <c r="LJ42" s="4" t="str">
        <f t="shared" si="241"/>
        <v/>
      </c>
      <c r="LK42" s="4" t="str">
        <f t="shared" si="242"/>
        <v/>
      </c>
      <c r="LL42" s="4" t="str">
        <f t="shared" si="243"/>
        <v/>
      </c>
      <c r="LM42" s="4" t="str">
        <f t="shared" si="244"/>
        <v/>
      </c>
      <c r="LN42" s="4" t="str">
        <f t="shared" si="245"/>
        <v/>
      </c>
      <c r="LO42" s="4" t="str">
        <f t="shared" si="246"/>
        <v/>
      </c>
      <c r="LP42" s="4" t="str">
        <f t="shared" si="247"/>
        <v/>
      </c>
      <c r="LQ42" s="4" t="str">
        <f t="shared" si="248"/>
        <v/>
      </c>
      <c r="LR42" s="4" t="str">
        <f t="shared" si="249"/>
        <v/>
      </c>
      <c r="LS42" s="4" t="str">
        <f t="shared" si="250"/>
        <v/>
      </c>
      <c r="LT42" s="4" t="str">
        <f t="shared" si="251"/>
        <v/>
      </c>
      <c r="LU42" s="4" t="str">
        <f t="shared" si="252"/>
        <v/>
      </c>
      <c r="LV42" s="4" t="str">
        <f t="shared" si="253"/>
        <v/>
      </c>
      <c r="LW42" s="4" t="str">
        <f t="shared" si="254"/>
        <v/>
      </c>
      <c r="LX42" s="4" t="str">
        <f t="shared" si="255"/>
        <v/>
      </c>
      <c r="LY42" s="4" t="str">
        <f t="shared" si="256"/>
        <v/>
      </c>
      <c r="LZ42" s="4" t="str">
        <f t="shared" si="257"/>
        <v/>
      </c>
      <c r="MA42" s="4" t="str">
        <f t="shared" si="258"/>
        <v/>
      </c>
      <c r="MB42" s="4" t="str">
        <f t="shared" si="259"/>
        <v/>
      </c>
      <c r="MC42" s="4" t="str">
        <f t="shared" si="260"/>
        <v/>
      </c>
      <c r="MD42" s="4" t="str">
        <f t="shared" si="261"/>
        <v/>
      </c>
      <c r="ME42" s="4">
        <f t="shared" si="262"/>
        <v>0</v>
      </c>
    </row>
    <row r="43" spans="1:343" ht="26.25" customHeight="1" thickBot="1" x14ac:dyDescent="0.25">
      <c r="A43" s="35">
        <v>41367</v>
      </c>
      <c r="B43" s="36" t="s">
        <v>180</v>
      </c>
      <c r="C43" s="36" t="s">
        <v>44</v>
      </c>
      <c r="D43" s="31" t="s">
        <v>111</v>
      </c>
      <c r="E43" s="4">
        <v>67</v>
      </c>
      <c r="F43" s="3">
        <v>16661</v>
      </c>
      <c r="G43" s="4" t="s">
        <v>87</v>
      </c>
      <c r="H43" s="4" t="s">
        <v>108</v>
      </c>
      <c r="I43" s="4">
        <v>1828136</v>
      </c>
      <c r="J43" s="4" t="s">
        <v>310</v>
      </c>
      <c r="K43" s="119"/>
      <c r="L43" s="157"/>
      <c r="M43" s="157"/>
      <c r="N43" s="157"/>
      <c r="O43" s="157"/>
      <c r="P43" s="33">
        <v>-0.5</v>
      </c>
      <c r="Q43" s="4">
        <v>-0.59</v>
      </c>
      <c r="R43" s="4" t="s">
        <v>249</v>
      </c>
      <c r="S43" s="67">
        <v>21.5</v>
      </c>
      <c r="T43" s="136">
        <v>41365</v>
      </c>
      <c r="U43" s="67">
        <v>-1</v>
      </c>
      <c r="V43" s="67">
        <v>1.5</v>
      </c>
      <c r="W43" s="4">
        <v>23</v>
      </c>
      <c r="X43" s="4">
        <v>60</v>
      </c>
      <c r="Y43" s="4">
        <v>16</v>
      </c>
      <c r="Z43" s="4">
        <v>647</v>
      </c>
      <c r="AA43" s="4">
        <v>22.95</v>
      </c>
      <c r="AD43" s="4">
        <v>2.67</v>
      </c>
      <c r="AE43" s="4">
        <v>44.12</v>
      </c>
      <c r="AF43" s="4">
        <v>150</v>
      </c>
      <c r="AG43" s="4">
        <v>46.75</v>
      </c>
      <c r="AH43" s="4">
        <v>60</v>
      </c>
      <c r="AI43" s="4">
        <v>2</v>
      </c>
      <c r="AJ43" s="4" t="b">
        <f t="shared" si="133"/>
        <v>1</v>
      </c>
      <c r="AK43" s="54"/>
      <c r="AL43" s="32">
        <v>41562</v>
      </c>
      <c r="AM43" s="59"/>
      <c r="AN43" s="67">
        <v>-1.25</v>
      </c>
      <c r="AO43" s="67">
        <v>1</v>
      </c>
      <c r="AP43" s="4">
        <v>30</v>
      </c>
      <c r="AQ43" s="4">
        <v>30</v>
      </c>
      <c r="AR43" s="4">
        <v>20</v>
      </c>
      <c r="AS43" s="4">
        <v>530</v>
      </c>
      <c r="AT43" s="4">
        <v>2288</v>
      </c>
      <c r="AU43" s="4">
        <v>23.05</v>
      </c>
      <c r="AV43" s="4">
        <v>2.99</v>
      </c>
      <c r="AW43" s="4">
        <v>43.77</v>
      </c>
      <c r="AX43" s="4">
        <v>126</v>
      </c>
      <c r="AY43" s="4">
        <v>45.73</v>
      </c>
      <c r="AZ43" s="4">
        <v>36</v>
      </c>
      <c r="BA43" s="4">
        <f t="shared" si="134"/>
        <v>-0.75</v>
      </c>
      <c r="BB43" s="4">
        <f t="shared" si="135"/>
        <v>-0.16000000000000003</v>
      </c>
      <c r="BC43" s="4">
        <f t="shared" si="136"/>
        <v>-117</v>
      </c>
      <c r="BD43" s="40">
        <v>41758</v>
      </c>
      <c r="BE43" s="58"/>
      <c r="BS43" s="4" t="str">
        <f t="shared" si="137"/>
        <v/>
      </c>
      <c r="BT43" s="4" t="str">
        <f t="shared" si="138"/>
        <v/>
      </c>
      <c r="BU43" s="4" t="str">
        <f t="shared" si="139"/>
        <v/>
      </c>
      <c r="BV43" s="4">
        <f>IF(AND(ISBLANK(SPH_6),ISBLANK(SPH_12)),0,1)</f>
        <v>1</v>
      </c>
      <c r="BW43" s="4">
        <f t="shared" si="140"/>
        <v>0</v>
      </c>
      <c r="BX43" s="4" t="str">
        <f t="shared" si="141"/>
        <v/>
      </c>
      <c r="BY43" s="4" t="str">
        <f t="shared" si="142"/>
        <v/>
      </c>
      <c r="BZ43" s="4" t="str">
        <f t="shared" si="143"/>
        <v/>
      </c>
      <c r="CA43" s="53">
        <f t="shared" si="144"/>
        <v>195</v>
      </c>
      <c r="CB43" s="55">
        <f t="shared" si="145"/>
        <v>6.5</v>
      </c>
      <c r="CC43" s="4" t="str">
        <f t="shared" si="146"/>
        <v/>
      </c>
      <c r="CD43" s="4">
        <f t="shared" si="147"/>
        <v>-0.68500000000000227</v>
      </c>
      <c r="CE43" s="4" t="str">
        <f t="shared" si="148"/>
        <v/>
      </c>
      <c r="CF43" s="4">
        <f t="shared" si="149"/>
        <v>-0.68500000000000227</v>
      </c>
      <c r="CG43" s="4">
        <f t="shared" si="263"/>
        <v>-0.25</v>
      </c>
      <c r="CH43" s="4">
        <f t="shared" si="150"/>
        <v>-0.75</v>
      </c>
      <c r="CI43" s="104">
        <f t="shared" si="151"/>
        <v>-0.16000000000000003</v>
      </c>
      <c r="CJ43" s="94">
        <f t="shared" si="152"/>
        <v>-117</v>
      </c>
      <c r="CK43" s="4">
        <f t="shared" si="153"/>
        <v>0.10000000000000142</v>
      </c>
      <c r="CL43" s="107">
        <f t="shared" si="154"/>
        <v>-0.59</v>
      </c>
      <c r="CM43" s="107">
        <f t="shared" si="264"/>
        <v>0.30102999566398114</v>
      </c>
      <c r="CN43" s="139">
        <f t="shared" si="155"/>
        <v>1</v>
      </c>
      <c r="CO43" s="139">
        <f t="shared" si="156"/>
        <v>-0.5</v>
      </c>
      <c r="CP43" s="149">
        <f t="shared" si="157"/>
        <v>30</v>
      </c>
      <c r="CQ43" s="149">
        <f t="shared" si="158"/>
        <v>60</v>
      </c>
      <c r="CR43" s="148" t="str">
        <f t="shared" si="159"/>
        <v/>
      </c>
      <c r="CS43" s="152">
        <f t="shared" si="160"/>
        <v>0</v>
      </c>
      <c r="CT43" s="107" t="str">
        <f t="shared" si="161"/>
        <v/>
      </c>
      <c r="CU43" s="155" t="b">
        <f t="shared" si="162"/>
        <v>0</v>
      </c>
      <c r="CV43">
        <v>7.42</v>
      </c>
      <c r="CW43" s="4">
        <v>7.98</v>
      </c>
      <c r="CX43" s="4">
        <v>120.3</v>
      </c>
      <c r="CY43" s="4">
        <v>3.2</v>
      </c>
      <c r="CZ43" s="4">
        <v>0.38</v>
      </c>
      <c r="DA43" s="4">
        <v>0.55000000000000004</v>
      </c>
      <c r="DB43" s="4">
        <v>2.2599999999999998</v>
      </c>
      <c r="DC43" s="4">
        <v>2.92</v>
      </c>
      <c r="DD43" s="4">
        <v>660</v>
      </c>
      <c r="DE43" s="4">
        <v>660</v>
      </c>
      <c r="DF43" s="4">
        <v>736</v>
      </c>
      <c r="DG43" s="4">
        <v>707</v>
      </c>
      <c r="DH43" s="4">
        <v>731</v>
      </c>
      <c r="DI43" s="4">
        <v>722</v>
      </c>
      <c r="DJ43" s="4">
        <v>634</v>
      </c>
      <c r="DK43" s="4">
        <v>-0.94</v>
      </c>
      <c r="DL43" s="4">
        <v>1.4</v>
      </c>
      <c r="DM43" s="4">
        <v>7.63</v>
      </c>
      <c r="DN43" s="4">
        <v>7.89</v>
      </c>
      <c r="DO43" s="4">
        <v>7.93</v>
      </c>
      <c r="DP43" s="4">
        <v>8.01</v>
      </c>
      <c r="DQ43" s="4">
        <v>8.2100000000000009</v>
      </c>
      <c r="DR43" s="4">
        <v>8.23</v>
      </c>
      <c r="DS43" s="4">
        <v>0</v>
      </c>
      <c r="DT43" s="4">
        <v>0.7</v>
      </c>
      <c r="DU43" s="4">
        <v>7.02</v>
      </c>
      <c r="DV43" s="4">
        <v>6.51</v>
      </c>
      <c r="DW43" s="4">
        <v>6.44</v>
      </c>
      <c r="DX43" s="4">
        <v>6.73</v>
      </c>
      <c r="DY43" s="4">
        <v>6.77</v>
      </c>
      <c r="DZ43" s="4">
        <v>0</v>
      </c>
      <c r="EA43" s="4">
        <v>0</v>
      </c>
      <c r="EB43" s="100">
        <v>0.7</v>
      </c>
      <c r="EC43" s="122">
        <v>42.3</v>
      </c>
      <c r="ED43" s="122">
        <v>45.5</v>
      </c>
      <c r="EE43" s="122">
        <v>43.8</v>
      </c>
      <c r="EF43" s="122">
        <v>120.3</v>
      </c>
      <c r="EG43" s="122">
        <v>3.2</v>
      </c>
      <c r="EH43" s="122">
        <v>-5.4</v>
      </c>
      <c r="EI43" s="122">
        <v>-6.4</v>
      </c>
      <c r="EJ43" s="122">
        <v>-5.9</v>
      </c>
      <c r="EK43" s="122">
        <v>115.2</v>
      </c>
      <c r="EL43" s="122">
        <v>1</v>
      </c>
      <c r="EM43" s="122">
        <v>4.7</v>
      </c>
      <c r="EN43" s="122">
        <v>13.5</v>
      </c>
      <c r="EO43" s="122">
        <v>28.8</v>
      </c>
      <c r="EP43" s="122">
        <v>68.900000000000006</v>
      </c>
      <c r="EQ43" s="126">
        <v>54</v>
      </c>
      <c r="ER43" s="94">
        <v>7.72</v>
      </c>
      <c r="ES43" s="4">
        <v>7.38</v>
      </c>
      <c r="ET43" s="4">
        <v>141.5</v>
      </c>
      <c r="EU43" s="4">
        <v>-2</v>
      </c>
      <c r="EV43" s="4">
        <v>0.73</v>
      </c>
      <c r="EW43" s="4">
        <v>0.75</v>
      </c>
      <c r="EX43" s="4">
        <v>4.3600000000000003</v>
      </c>
      <c r="EY43" s="4">
        <v>4.87</v>
      </c>
      <c r="EZ43" s="4">
        <v>506</v>
      </c>
      <c r="FA43" s="4">
        <v>494</v>
      </c>
      <c r="FB43" s="4">
        <v>667</v>
      </c>
      <c r="FC43" s="4">
        <v>589</v>
      </c>
      <c r="FD43" s="4">
        <v>618</v>
      </c>
      <c r="FE43" s="4">
        <v>606</v>
      </c>
      <c r="FF43" s="4">
        <v>462</v>
      </c>
      <c r="FG43" s="4">
        <v>-0.93</v>
      </c>
      <c r="FH43" s="4">
        <v>-1.33</v>
      </c>
      <c r="FI43" s="4">
        <v>7.52</v>
      </c>
      <c r="FJ43" s="4">
        <v>7.69</v>
      </c>
      <c r="FK43" s="4">
        <v>7.82</v>
      </c>
      <c r="FL43" s="4">
        <v>8.02</v>
      </c>
      <c r="FM43" s="4">
        <v>8.4</v>
      </c>
      <c r="FN43" s="4">
        <v>8.61</v>
      </c>
      <c r="FO43" s="4">
        <v>0</v>
      </c>
      <c r="FP43" s="4">
        <v>1.3</v>
      </c>
      <c r="FQ43" s="4">
        <v>6.13</v>
      </c>
      <c r="FR43" s="4">
        <v>5.99</v>
      </c>
      <c r="FS43" s="4">
        <v>6.09</v>
      </c>
      <c r="FT43" s="4">
        <v>6.37</v>
      </c>
      <c r="FU43" s="4">
        <v>6.63</v>
      </c>
      <c r="FV43" s="4">
        <v>0</v>
      </c>
      <c r="FW43" s="4">
        <v>0</v>
      </c>
      <c r="FX43" s="97">
        <v>1.3</v>
      </c>
      <c r="FY43" s="122">
        <v>43.7</v>
      </c>
      <c r="FZ43" s="122">
        <v>45.7</v>
      </c>
      <c r="GA43" s="122">
        <v>44.7</v>
      </c>
      <c r="GB43" s="122">
        <v>141.5</v>
      </c>
      <c r="GC43" s="122">
        <v>2</v>
      </c>
      <c r="GD43" s="122">
        <v>-6.5</v>
      </c>
      <c r="GE43" s="122">
        <v>-6.7</v>
      </c>
      <c r="GF43" s="122">
        <v>-6.6</v>
      </c>
      <c r="GG43" s="122">
        <v>29.9</v>
      </c>
      <c r="GH43" s="122">
        <v>0.1</v>
      </c>
      <c r="GI43" s="122">
        <v>3.7</v>
      </c>
      <c r="GJ43" s="122">
        <v>10.9</v>
      </c>
      <c r="GK43" s="122">
        <v>24.2</v>
      </c>
      <c r="GL43" s="122">
        <v>62.1</v>
      </c>
      <c r="GM43" s="131">
        <v>37</v>
      </c>
      <c r="IJ43" s="94">
        <f t="shared" si="163"/>
        <v>7.72</v>
      </c>
      <c r="IK43" s="4">
        <f t="shared" si="164"/>
        <v>7.38</v>
      </c>
      <c r="IL43" s="4">
        <f t="shared" si="165"/>
        <v>141.5</v>
      </c>
      <c r="IM43" s="4">
        <f t="shared" si="166"/>
        <v>-2</v>
      </c>
      <c r="IN43" s="4">
        <f t="shared" si="167"/>
        <v>0.73</v>
      </c>
      <c r="IO43" s="4">
        <f t="shared" si="168"/>
        <v>0.75</v>
      </c>
      <c r="IP43" s="4">
        <f t="shared" si="169"/>
        <v>4.3600000000000003</v>
      </c>
      <c r="IQ43" s="4">
        <f t="shared" si="170"/>
        <v>4.87</v>
      </c>
      <c r="IR43" s="4">
        <f t="shared" si="171"/>
        <v>506</v>
      </c>
      <c r="IS43" s="4">
        <f t="shared" si="172"/>
        <v>494</v>
      </c>
      <c r="IT43" s="4">
        <f t="shared" si="173"/>
        <v>667</v>
      </c>
      <c r="IU43" s="4">
        <f t="shared" si="174"/>
        <v>589</v>
      </c>
      <c r="IV43" s="4">
        <f t="shared" si="175"/>
        <v>618</v>
      </c>
      <c r="IW43" s="4">
        <f t="shared" si="176"/>
        <v>606</v>
      </c>
      <c r="IX43" s="4">
        <f t="shared" si="177"/>
        <v>462</v>
      </c>
      <c r="IY43" s="4">
        <f t="shared" si="178"/>
        <v>-0.93</v>
      </c>
      <c r="IZ43" s="4">
        <f t="shared" si="179"/>
        <v>-1.33</v>
      </c>
      <c r="JA43" s="4">
        <f t="shared" si="180"/>
        <v>7.52</v>
      </c>
      <c r="JB43" s="4">
        <f t="shared" si="181"/>
        <v>7.69</v>
      </c>
      <c r="JC43" s="4">
        <f t="shared" si="182"/>
        <v>7.82</v>
      </c>
      <c r="JD43" s="4">
        <f t="shared" si="183"/>
        <v>8.02</v>
      </c>
      <c r="JE43" s="4">
        <f t="shared" si="184"/>
        <v>8.4</v>
      </c>
      <c r="JF43" s="4">
        <f t="shared" si="185"/>
        <v>8.61</v>
      </c>
      <c r="JG43" s="4">
        <f t="shared" si="186"/>
        <v>0</v>
      </c>
      <c r="JH43" s="4">
        <f t="shared" si="187"/>
        <v>1.3</v>
      </c>
      <c r="JI43" s="4">
        <f t="shared" si="188"/>
        <v>6.13</v>
      </c>
      <c r="JJ43" s="4">
        <f t="shared" si="189"/>
        <v>5.99</v>
      </c>
      <c r="JK43" s="4">
        <f t="shared" si="190"/>
        <v>6.09</v>
      </c>
      <c r="JL43" s="4">
        <f t="shared" si="191"/>
        <v>6.37</v>
      </c>
      <c r="JM43" s="4">
        <f t="shared" si="192"/>
        <v>6.63</v>
      </c>
      <c r="JN43" s="4">
        <f t="shared" si="193"/>
        <v>0</v>
      </c>
      <c r="JO43" s="129">
        <f t="shared" si="194"/>
        <v>0</v>
      </c>
      <c r="JP43" s="122">
        <f t="shared" si="195"/>
        <v>1.3</v>
      </c>
      <c r="JQ43" s="122">
        <f t="shared" si="196"/>
        <v>43.7</v>
      </c>
      <c r="JR43" s="122">
        <f t="shared" si="197"/>
        <v>45.7</v>
      </c>
      <c r="JS43" s="122">
        <f t="shared" si="198"/>
        <v>44.7</v>
      </c>
      <c r="JT43" s="122">
        <f t="shared" si="199"/>
        <v>141.5</v>
      </c>
      <c r="JU43" s="122">
        <f t="shared" si="200"/>
        <v>2</v>
      </c>
      <c r="JV43" s="122">
        <f t="shared" si="201"/>
        <v>-6.5</v>
      </c>
      <c r="JW43" s="122">
        <f t="shared" si="202"/>
        <v>-6.7</v>
      </c>
      <c r="JX43" s="122">
        <f t="shared" si="203"/>
        <v>-6.6</v>
      </c>
      <c r="JY43" s="122">
        <f t="shared" si="204"/>
        <v>29.9</v>
      </c>
      <c r="JZ43" s="122">
        <f t="shared" si="205"/>
        <v>0.1</v>
      </c>
      <c r="KA43" s="122">
        <f t="shared" si="206"/>
        <v>3.7</v>
      </c>
      <c r="KB43" s="122">
        <f t="shared" si="207"/>
        <v>10.9</v>
      </c>
      <c r="KC43" s="122">
        <f t="shared" si="208"/>
        <v>24.2</v>
      </c>
      <c r="KD43" s="122">
        <f t="shared" si="209"/>
        <v>62.1</v>
      </c>
      <c r="KE43" s="133">
        <f t="shared" si="210"/>
        <v>37</v>
      </c>
      <c r="KF43" s="94">
        <f t="shared" si="211"/>
        <v>0.29999999999999982</v>
      </c>
      <c r="KG43" s="4">
        <f t="shared" si="212"/>
        <v>-0.60000000000000053</v>
      </c>
      <c r="KH43" s="4">
        <f t="shared" si="213"/>
        <v>21.200000000000003</v>
      </c>
      <c r="KI43" s="4">
        <f t="shared" si="214"/>
        <v>-5.2</v>
      </c>
      <c r="KJ43" s="4">
        <f t="shared" si="215"/>
        <v>0.35</v>
      </c>
      <c r="KK43" s="4">
        <f t="shared" si="216"/>
        <v>0.19999999999999996</v>
      </c>
      <c r="KL43" s="4">
        <f t="shared" si="217"/>
        <v>2.1000000000000005</v>
      </c>
      <c r="KM43" s="4">
        <f t="shared" si="218"/>
        <v>1.9500000000000002</v>
      </c>
      <c r="KN43" s="4">
        <f t="shared" si="219"/>
        <v>-154</v>
      </c>
      <c r="KO43" s="4">
        <f t="shared" si="220"/>
        <v>-166</v>
      </c>
      <c r="KP43" s="4">
        <f t="shared" si="221"/>
        <v>-69</v>
      </c>
      <c r="KQ43" s="4">
        <f t="shared" si="222"/>
        <v>-118</v>
      </c>
      <c r="KR43" s="4">
        <f t="shared" si="223"/>
        <v>-113</v>
      </c>
      <c r="KS43" s="4">
        <f t="shared" si="224"/>
        <v>-116</v>
      </c>
      <c r="KT43" s="4">
        <f t="shared" si="225"/>
        <v>-172</v>
      </c>
      <c r="KU43" s="4">
        <f t="shared" si="226"/>
        <v>9.9999999999998979E-3</v>
      </c>
      <c r="KV43" s="4">
        <f t="shared" si="227"/>
        <v>-2.73</v>
      </c>
      <c r="KW43" s="4">
        <f t="shared" si="228"/>
        <v>-0.11000000000000032</v>
      </c>
      <c r="KX43" s="4">
        <f t="shared" si="229"/>
        <v>-0.19999999999999929</v>
      </c>
      <c r="KY43" s="4">
        <f t="shared" si="230"/>
        <v>-0.10999999999999943</v>
      </c>
      <c r="KZ43" s="4">
        <f t="shared" si="231"/>
        <v>9.9999999999997868E-3</v>
      </c>
      <c r="LA43" s="4">
        <f t="shared" si="232"/>
        <v>0.1899999999999995</v>
      </c>
      <c r="LB43" s="4">
        <f t="shared" si="233"/>
        <v>0.37999999999999901</v>
      </c>
      <c r="LC43" s="4">
        <f t="shared" si="234"/>
        <v>0</v>
      </c>
      <c r="LD43" s="4">
        <f t="shared" si="235"/>
        <v>0.60000000000000009</v>
      </c>
      <c r="LE43" s="4">
        <f t="shared" si="236"/>
        <v>-0.88999999999999968</v>
      </c>
      <c r="LF43" s="4">
        <f t="shared" si="237"/>
        <v>-0.51999999999999957</v>
      </c>
      <c r="LG43" s="4">
        <f t="shared" si="238"/>
        <v>-0.35000000000000053</v>
      </c>
      <c r="LH43" s="4">
        <f t="shared" si="239"/>
        <v>-0.36000000000000032</v>
      </c>
      <c r="LI43" s="4">
        <f t="shared" si="240"/>
        <v>-0.13999999999999968</v>
      </c>
      <c r="LJ43" s="4">
        <f t="shared" si="241"/>
        <v>0</v>
      </c>
      <c r="LK43" s="4">
        <f t="shared" si="242"/>
        <v>0</v>
      </c>
      <c r="LL43" s="4">
        <f t="shared" si="243"/>
        <v>0.60000000000000009</v>
      </c>
      <c r="LM43" s="4">
        <f t="shared" si="244"/>
        <v>1.4000000000000057</v>
      </c>
      <c r="LN43" s="4">
        <f t="shared" si="245"/>
        <v>0.20000000000000284</v>
      </c>
      <c r="LO43" s="4">
        <f t="shared" si="246"/>
        <v>0.90000000000000568</v>
      </c>
      <c r="LP43" s="4">
        <f t="shared" si="247"/>
        <v>21.200000000000003</v>
      </c>
      <c r="LQ43" s="4">
        <f t="shared" si="248"/>
        <v>-1.2000000000000002</v>
      </c>
      <c r="LR43" s="4">
        <f t="shared" si="249"/>
        <v>-1.0999999999999996</v>
      </c>
      <c r="LS43" s="4">
        <f t="shared" si="250"/>
        <v>-0.29999999999999982</v>
      </c>
      <c r="LT43" s="4">
        <f t="shared" si="251"/>
        <v>-0.69999999999999929</v>
      </c>
      <c r="LU43" s="4">
        <f t="shared" si="252"/>
        <v>-85.300000000000011</v>
      </c>
      <c r="LV43" s="4">
        <f t="shared" si="253"/>
        <v>-0.9</v>
      </c>
      <c r="LW43" s="4">
        <f t="shared" si="254"/>
        <v>-1</v>
      </c>
      <c r="LX43" s="4">
        <f t="shared" si="255"/>
        <v>-2.5999999999999996</v>
      </c>
      <c r="LY43" s="4">
        <f t="shared" si="256"/>
        <v>-4.6000000000000014</v>
      </c>
      <c r="LZ43" s="4">
        <f t="shared" si="257"/>
        <v>-6.8000000000000043</v>
      </c>
      <c r="MA43" s="4">
        <f t="shared" si="258"/>
        <v>-17</v>
      </c>
      <c r="MB43" s="4" t="str">
        <f t="shared" si="259"/>
        <v/>
      </c>
      <c r="MC43" s="4" t="str">
        <f t="shared" si="260"/>
        <v/>
      </c>
      <c r="MD43" s="4" t="str">
        <f t="shared" si="261"/>
        <v/>
      </c>
      <c r="ME43" s="4">
        <f t="shared" si="262"/>
        <v>6.7</v>
      </c>
    </row>
    <row r="44" spans="1:343" ht="26.25" customHeight="1" thickBot="1" x14ac:dyDescent="0.25">
      <c r="A44" s="35">
        <v>41185</v>
      </c>
      <c r="B44" s="36" t="s">
        <v>180</v>
      </c>
      <c r="C44" s="36" t="s">
        <v>6</v>
      </c>
      <c r="D44" s="31" t="s">
        <v>110</v>
      </c>
      <c r="E44" s="4">
        <v>67</v>
      </c>
      <c r="F44" s="3">
        <v>16661</v>
      </c>
      <c r="G44" s="4" t="s">
        <v>87</v>
      </c>
      <c r="H44" s="4" t="s">
        <v>108</v>
      </c>
      <c r="I44" s="4">
        <v>1828136</v>
      </c>
      <c r="J44" s="4" t="s">
        <v>310</v>
      </c>
      <c r="K44" s="80"/>
      <c r="L44" s="81"/>
      <c r="M44" s="81"/>
      <c r="N44" s="81"/>
      <c r="O44" s="81"/>
      <c r="P44" s="33">
        <v>-0.5</v>
      </c>
      <c r="Q44" s="4">
        <v>-0.52</v>
      </c>
      <c r="R44" s="4" t="s">
        <v>249</v>
      </c>
      <c r="S44" s="67">
        <v>23.25</v>
      </c>
      <c r="T44" s="136">
        <v>41113</v>
      </c>
      <c r="U44" s="67">
        <v>-0.25</v>
      </c>
      <c r="V44" s="67">
        <v>1.25</v>
      </c>
      <c r="W44" s="4">
        <v>166</v>
      </c>
      <c r="X44" s="4">
        <v>60</v>
      </c>
      <c r="Y44" s="4">
        <v>22</v>
      </c>
      <c r="Z44" s="4">
        <v>684</v>
      </c>
      <c r="AA44" s="4">
        <v>23.02</v>
      </c>
      <c r="AD44" s="4" t="s">
        <v>82</v>
      </c>
      <c r="AE44" s="4">
        <v>42.92</v>
      </c>
      <c r="AF44" s="4">
        <v>66</v>
      </c>
      <c r="AG44" s="4">
        <v>44.1</v>
      </c>
      <c r="AH44" s="4">
        <v>156</v>
      </c>
      <c r="AI44" s="4">
        <v>1</v>
      </c>
      <c r="AJ44" s="4" t="b">
        <f t="shared" si="133"/>
        <v>1</v>
      </c>
      <c r="AK44" s="54"/>
      <c r="AL44" s="32">
        <v>41365</v>
      </c>
      <c r="AM44" s="60">
        <v>40</v>
      </c>
      <c r="AN44" s="67">
        <v>-3</v>
      </c>
      <c r="AO44" s="67">
        <v>1</v>
      </c>
      <c r="AP44" s="4">
        <v>112</v>
      </c>
      <c r="AQ44" s="4">
        <v>25</v>
      </c>
      <c r="AR44" s="4">
        <v>20</v>
      </c>
      <c r="AS44" s="4">
        <v>519</v>
      </c>
      <c r="AT44" s="4">
        <v>2395</v>
      </c>
      <c r="AU44" s="4">
        <v>23.12</v>
      </c>
      <c r="AV44" s="4">
        <v>3.34</v>
      </c>
      <c r="AW44" s="4">
        <v>44.23</v>
      </c>
      <c r="AX44" s="4">
        <v>52</v>
      </c>
      <c r="AY44" s="4">
        <v>45.18</v>
      </c>
      <c r="AZ44" s="4">
        <v>142</v>
      </c>
      <c r="BA44" s="4">
        <f t="shared" si="134"/>
        <v>-2.5</v>
      </c>
      <c r="BB44" s="4">
        <f t="shared" si="135"/>
        <v>-1.98</v>
      </c>
      <c r="BC44" s="4">
        <f t="shared" si="136"/>
        <v>-165</v>
      </c>
      <c r="BD44" s="3">
        <v>41562</v>
      </c>
      <c r="BF44" s="67">
        <v>-3.25</v>
      </c>
      <c r="BG44" s="67">
        <v>1</v>
      </c>
      <c r="BH44" s="4">
        <v>108</v>
      </c>
      <c r="BI44" s="4">
        <v>30</v>
      </c>
      <c r="BJ44" s="4">
        <v>16</v>
      </c>
      <c r="BK44" s="4">
        <v>514</v>
      </c>
      <c r="BL44" s="4">
        <v>2309</v>
      </c>
      <c r="BM44" s="4">
        <v>23.06</v>
      </c>
      <c r="BN44" s="4">
        <v>3.65</v>
      </c>
      <c r="BO44" s="4">
        <v>43.55</v>
      </c>
      <c r="BP44" s="4">
        <v>65</v>
      </c>
      <c r="BQ44" s="4">
        <v>44.88</v>
      </c>
      <c r="BR44" s="4">
        <v>155</v>
      </c>
      <c r="BS44" s="4">
        <f t="shared" si="137"/>
        <v>-2.75</v>
      </c>
      <c r="BT44" s="4">
        <f t="shared" si="138"/>
        <v>-2.23</v>
      </c>
      <c r="BU44" s="4">
        <f t="shared" si="139"/>
        <v>-170</v>
      </c>
      <c r="BV44" s="4">
        <f>IF(AND(ISBLANK(SPH_6),ISBLANK(SPH_12)),0,1)</f>
        <v>1</v>
      </c>
      <c r="BW44" s="4">
        <f t="shared" si="140"/>
        <v>1</v>
      </c>
      <c r="BX44" s="4">
        <f t="shared" si="141"/>
        <v>0.375</v>
      </c>
      <c r="BY44" s="4">
        <f t="shared" si="142"/>
        <v>-2.5</v>
      </c>
      <c r="BZ44" s="4">
        <f t="shared" si="143"/>
        <v>-2.75</v>
      </c>
      <c r="CA44" s="53">
        <f t="shared" si="144"/>
        <v>377</v>
      </c>
      <c r="CB44" s="55">
        <f t="shared" si="145"/>
        <v>12.566666666666666</v>
      </c>
      <c r="CC44" s="4">
        <f t="shared" si="146"/>
        <v>-0.25</v>
      </c>
      <c r="CD44" s="4">
        <f t="shared" si="147"/>
        <v>1.1949999999999932</v>
      </c>
      <c r="CE44" s="4">
        <f t="shared" si="148"/>
        <v>0.70499999999999829</v>
      </c>
      <c r="CF44" s="4">
        <f t="shared" si="149"/>
        <v>0.70499999999999829</v>
      </c>
      <c r="CG44" s="4">
        <f t="shared" si="263"/>
        <v>0.375</v>
      </c>
      <c r="CH44" s="4">
        <f t="shared" si="150"/>
        <v>-2.75</v>
      </c>
      <c r="CI44" s="104">
        <f t="shared" si="151"/>
        <v>-2.23</v>
      </c>
      <c r="CJ44" s="94">
        <f t="shared" si="152"/>
        <v>-170</v>
      </c>
      <c r="CK44" s="4">
        <f t="shared" si="153"/>
        <v>0.10000000000000142</v>
      </c>
      <c r="CL44" s="107">
        <f t="shared" si="154"/>
        <v>-0.52</v>
      </c>
      <c r="CM44" s="107">
        <f t="shared" si="264"/>
        <v>0.30102999566398114</v>
      </c>
      <c r="CN44" s="139">
        <f t="shared" si="155"/>
        <v>1</v>
      </c>
      <c r="CO44" s="139">
        <f t="shared" si="156"/>
        <v>-0.25</v>
      </c>
      <c r="CP44" s="149">
        <f t="shared" si="157"/>
        <v>30</v>
      </c>
      <c r="CQ44" s="149">
        <f t="shared" si="158"/>
        <v>60</v>
      </c>
      <c r="CR44" s="148">
        <f t="shared" si="159"/>
        <v>40</v>
      </c>
      <c r="CS44" s="152" t="str">
        <f t="shared" si="160"/>
        <v/>
      </c>
      <c r="CT44" s="107" t="str">
        <f t="shared" si="161"/>
        <v/>
      </c>
      <c r="CU44" s="155" t="str">
        <f t="shared" si="162"/>
        <v/>
      </c>
      <c r="ER44" s="94">
        <v>7.5</v>
      </c>
      <c r="ES44" s="4">
        <v>7.7</v>
      </c>
      <c r="ET44" s="4">
        <v>57.9</v>
      </c>
      <c r="EU44" s="4">
        <v>1.1000000000000001</v>
      </c>
      <c r="EV44" s="4">
        <v>0.73</v>
      </c>
      <c r="EW44" s="4">
        <v>0.73</v>
      </c>
      <c r="EX44" s="4">
        <v>-0.54</v>
      </c>
      <c r="EY44" s="4">
        <v>0.01</v>
      </c>
      <c r="EZ44" s="4">
        <v>546</v>
      </c>
      <c r="FA44" s="4">
        <v>545</v>
      </c>
      <c r="FB44" s="4">
        <v>726</v>
      </c>
      <c r="FC44" s="4">
        <v>635</v>
      </c>
      <c r="FD44" s="4">
        <v>721</v>
      </c>
      <c r="FE44" s="4">
        <v>639</v>
      </c>
      <c r="FF44" s="4">
        <v>525</v>
      </c>
      <c r="FG44" s="4">
        <v>1.0900000000000001</v>
      </c>
      <c r="FH44" s="4">
        <v>-1.0900000000000001</v>
      </c>
      <c r="FI44" s="4">
        <v>7.58</v>
      </c>
      <c r="FJ44" s="4">
        <v>7.68</v>
      </c>
      <c r="FK44" s="4">
        <v>7.85</v>
      </c>
      <c r="FL44" s="4">
        <v>8.09</v>
      </c>
      <c r="FM44" s="4">
        <v>8.3000000000000007</v>
      </c>
      <c r="FN44" s="4">
        <v>0</v>
      </c>
      <c r="FO44" s="4">
        <v>0</v>
      </c>
      <c r="FP44" s="4">
        <v>1.1000000000000001</v>
      </c>
      <c r="FQ44" s="4">
        <v>6.22</v>
      </c>
      <c r="FR44" s="4">
        <v>5.82</v>
      </c>
      <c r="FS44" s="4">
        <v>5.99</v>
      </c>
      <c r="FT44" s="4">
        <v>6.62</v>
      </c>
      <c r="FU44" s="4">
        <v>6.59</v>
      </c>
      <c r="FV44" s="4">
        <v>0</v>
      </c>
      <c r="FW44" s="4">
        <v>0</v>
      </c>
      <c r="FX44" s="97">
        <v>1.1000000000000001</v>
      </c>
      <c r="IJ44" s="94">
        <f t="shared" si="163"/>
        <v>7.5</v>
      </c>
      <c r="IK44" s="4">
        <f t="shared" si="164"/>
        <v>7.7</v>
      </c>
      <c r="IL44" s="4">
        <f t="shared" si="165"/>
        <v>57.9</v>
      </c>
      <c r="IM44" s="4">
        <f t="shared" si="166"/>
        <v>1.1000000000000001</v>
      </c>
      <c r="IN44" s="4">
        <f t="shared" si="167"/>
        <v>0.73</v>
      </c>
      <c r="IO44" s="4">
        <f t="shared" si="168"/>
        <v>0.73</v>
      </c>
      <c r="IP44" s="4">
        <f t="shared" si="169"/>
        <v>-0.54</v>
      </c>
      <c r="IQ44" s="4">
        <f t="shared" si="170"/>
        <v>0.01</v>
      </c>
      <c r="IR44" s="4">
        <f t="shared" si="171"/>
        <v>546</v>
      </c>
      <c r="IS44" s="4">
        <f t="shared" si="172"/>
        <v>545</v>
      </c>
      <c r="IT44" s="4">
        <f t="shared" si="173"/>
        <v>726</v>
      </c>
      <c r="IU44" s="4">
        <f t="shared" si="174"/>
        <v>635</v>
      </c>
      <c r="IV44" s="4">
        <f t="shared" si="175"/>
        <v>721</v>
      </c>
      <c r="IW44" s="4">
        <f t="shared" si="176"/>
        <v>639</v>
      </c>
      <c r="IX44" s="4">
        <f t="shared" si="177"/>
        <v>525</v>
      </c>
      <c r="IY44" s="4">
        <f t="shared" si="178"/>
        <v>1.0900000000000001</v>
      </c>
      <c r="IZ44" s="4">
        <f t="shared" si="179"/>
        <v>-1.0900000000000001</v>
      </c>
      <c r="JA44" s="4">
        <f t="shared" si="180"/>
        <v>7.58</v>
      </c>
      <c r="JB44" s="4">
        <f t="shared" si="181"/>
        <v>7.68</v>
      </c>
      <c r="JC44" s="4">
        <f t="shared" si="182"/>
        <v>7.85</v>
      </c>
      <c r="JD44" s="4">
        <f t="shared" si="183"/>
        <v>8.09</v>
      </c>
      <c r="JE44" s="4">
        <f t="shared" si="184"/>
        <v>8.3000000000000007</v>
      </c>
      <c r="JF44" s="4">
        <f t="shared" si="185"/>
        <v>0</v>
      </c>
      <c r="JG44" s="4">
        <f t="shared" si="186"/>
        <v>0</v>
      </c>
      <c r="JH44" s="4">
        <f t="shared" si="187"/>
        <v>1.1000000000000001</v>
      </c>
      <c r="JI44" s="4">
        <f t="shared" si="188"/>
        <v>6.22</v>
      </c>
      <c r="JJ44" s="4">
        <f t="shared" si="189"/>
        <v>5.82</v>
      </c>
      <c r="JK44" s="4">
        <f t="shared" si="190"/>
        <v>5.99</v>
      </c>
      <c r="JL44" s="4">
        <f t="shared" si="191"/>
        <v>6.62</v>
      </c>
      <c r="JM44" s="4">
        <f t="shared" si="192"/>
        <v>6.59</v>
      </c>
      <c r="JN44" s="4">
        <f t="shared" si="193"/>
        <v>0</v>
      </c>
      <c r="JO44" s="129">
        <f t="shared" si="194"/>
        <v>0</v>
      </c>
      <c r="JP44" s="122">
        <f t="shared" si="195"/>
        <v>1.1000000000000001</v>
      </c>
      <c r="JQ44" s="122" t="str">
        <f t="shared" si="196"/>
        <v/>
      </c>
      <c r="JR44" s="122" t="str">
        <f t="shared" si="197"/>
        <v/>
      </c>
      <c r="JS44" s="122" t="str">
        <f t="shared" si="198"/>
        <v/>
      </c>
      <c r="JT44" s="122" t="str">
        <f t="shared" si="199"/>
        <v/>
      </c>
      <c r="JU44" s="122" t="str">
        <f t="shared" si="200"/>
        <v/>
      </c>
      <c r="JV44" s="122" t="str">
        <f t="shared" si="201"/>
        <v/>
      </c>
      <c r="JW44" s="122" t="str">
        <f t="shared" si="202"/>
        <v/>
      </c>
      <c r="JX44" s="122" t="str">
        <f t="shared" si="203"/>
        <v/>
      </c>
      <c r="JY44" s="122" t="str">
        <f t="shared" si="204"/>
        <v/>
      </c>
      <c r="JZ44" s="122" t="str">
        <f t="shared" si="205"/>
        <v/>
      </c>
      <c r="KA44" s="122" t="str">
        <f t="shared" si="206"/>
        <v/>
      </c>
      <c r="KB44" s="122" t="str">
        <f t="shared" si="207"/>
        <v/>
      </c>
      <c r="KC44" s="122" t="str">
        <f t="shared" si="208"/>
        <v/>
      </c>
      <c r="KD44" s="122" t="str">
        <f t="shared" si="209"/>
        <v/>
      </c>
      <c r="KE44" s="133" t="str">
        <f t="shared" si="210"/>
        <v/>
      </c>
      <c r="KF44" s="94" t="str">
        <f t="shared" si="211"/>
        <v/>
      </c>
      <c r="KG44" s="4" t="str">
        <f t="shared" si="212"/>
        <v/>
      </c>
      <c r="KH44" s="4" t="str">
        <f t="shared" si="213"/>
        <v/>
      </c>
      <c r="KI44" s="4" t="str">
        <f t="shared" si="214"/>
        <v/>
      </c>
      <c r="KJ44" s="4" t="str">
        <f t="shared" si="215"/>
        <v/>
      </c>
      <c r="KK44" s="4" t="str">
        <f t="shared" si="216"/>
        <v/>
      </c>
      <c r="KL44" s="4" t="str">
        <f t="shared" si="217"/>
        <v/>
      </c>
      <c r="KM44" s="4" t="str">
        <f t="shared" si="218"/>
        <v/>
      </c>
      <c r="KN44" s="4" t="str">
        <f t="shared" si="219"/>
        <v/>
      </c>
      <c r="KO44" s="4" t="str">
        <f t="shared" si="220"/>
        <v/>
      </c>
      <c r="KP44" s="4" t="str">
        <f t="shared" si="221"/>
        <v/>
      </c>
      <c r="KQ44" s="4" t="str">
        <f t="shared" si="222"/>
        <v/>
      </c>
      <c r="KR44" s="4" t="str">
        <f t="shared" si="223"/>
        <v/>
      </c>
      <c r="KS44" s="4" t="str">
        <f t="shared" si="224"/>
        <v/>
      </c>
      <c r="KT44" s="4" t="str">
        <f t="shared" si="225"/>
        <v/>
      </c>
      <c r="KU44" s="4" t="str">
        <f t="shared" si="226"/>
        <v/>
      </c>
      <c r="KV44" s="4" t="str">
        <f t="shared" si="227"/>
        <v/>
      </c>
      <c r="KW44" s="4" t="str">
        <f t="shared" si="228"/>
        <v/>
      </c>
      <c r="KX44" s="4" t="str">
        <f t="shared" si="229"/>
        <v/>
      </c>
      <c r="KY44" s="4" t="str">
        <f t="shared" si="230"/>
        <v/>
      </c>
      <c r="KZ44" s="4" t="str">
        <f t="shared" si="231"/>
        <v/>
      </c>
      <c r="LA44" s="4" t="str">
        <f t="shared" si="232"/>
        <v/>
      </c>
      <c r="LB44" s="4" t="str">
        <f t="shared" si="233"/>
        <v/>
      </c>
      <c r="LC44" s="4" t="str">
        <f t="shared" si="234"/>
        <v/>
      </c>
      <c r="LD44" s="4" t="str">
        <f t="shared" si="235"/>
        <v/>
      </c>
      <c r="LE44" s="4" t="str">
        <f t="shared" si="236"/>
        <v/>
      </c>
      <c r="LF44" s="4" t="str">
        <f t="shared" si="237"/>
        <v/>
      </c>
      <c r="LG44" s="4" t="str">
        <f t="shared" si="238"/>
        <v/>
      </c>
      <c r="LH44" s="4" t="str">
        <f t="shared" si="239"/>
        <v/>
      </c>
      <c r="LI44" s="4" t="str">
        <f t="shared" si="240"/>
        <v/>
      </c>
      <c r="LJ44" s="4" t="str">
        <f t="shared" si="241"/>
        <v/>
      </c>
      <c r="LK44" s="4" t="str">
        <f t="shared" si="242"/>
        <v/>
      </c>
      <c r="LL44" s="4" t="str">
        <f t="shared" si="243"/>
        <v/>
      </c>
      <c r="LM44" s="4" t="str">
        <f t="shared" si="244"/>
        <v/>
      </c>
      <c r="LN44" s="4" t="str">
        <f t="shared" si="245"/>
        <v/>
      </c>
      <c r="LO44" s="4" t="str">
        <f t="shared" si="246"/>
        <v/>
      </c>
      <c r="LP44" s="4" t="str">
        <f t="shared" si="247"/>
        <v/>
      </c>
      <c r="LQ44" s="4" t="str">
        <f t="shared" si="248"/>
        <v/>
      </c>
      <c r="LR44" s="4" t="str">
        <f t="shared" si="249"/>
        <v/>
      </c>
      <c r="LS44" s="4" t="str">
        <f t="shared" si="250"/>
        <v/>
      </c>
      <c r="LT44" s="4" t="str">
        <f t="shared" si="251"/>
        <v/>
      </c>
      <c r="LU44" s="4" t="str">
        <f t="shared" si="252"/>
        <v/>
      </c>
      <c r="LV44" s="4" t="str">
        <f t="shared" si="253"/>
        <v/>
      </c>
      <c r="LW44" s="4" t="str">
        <f t="shared" si="254"/>
        <v/>
      </c>
      <c r="LX44" s="4" t="str">
        <f t="shared" si="255"/>
        <v/>
      </c>
      <c r="LY44" s="4" t="str">
        <f t="shared" si="256"/>
        <v/>
      </c>
      <c r="LZ44" s="4" t="str">
        <f t="shared" si="257"/>
        <v/>
      </c>
      <c r="MA44" s="4" t="str">
        <f t="shared" si="258"/>
        <v/>
      </c>
      <c r="MB44" s="4" t="str">
        <f t="shared" si="259"/>
        <v/>
      </c>
      <c r="MC44" s="4" t="str">
        <f t="shared" si="260"/>
        <v/>
      </c>
      <c r="MD44" s="4" t="str">
        <f t="shared" si="261"/>
        <v/>
      </c>
      <c r="ME44" s="4">
        <f t="shared" si="262"/>
        <v>0</v>
      </c>
    </row>
    <row r="45" spans="1:343" ht="26.25" customHeight="1" thickBot="1" x14ac:dyDescent="0.25">
      <c r="A45" s="35">
        <v>41367</v>
      </c>
      <c r="B45" s="36" t="s">
        <v>147</v>
      </c>
      <c r="C45" s="36" t="s">
        <v>232</v>
      </c>
      <c r="D45" s="31" t="s">
        <v>110</v>
      </c>
      <c r="E45" s="4">
        <v>65</v>
      </c>
      <c r="F45" s="3">
        <v>17231</v>
      </c>
      <c r="G45" s="4" t="s">
        <v>87</v>
      </c>
      <c r="H45" s="4" t="s">
        <v>108</v>
      </c>
      <c r="I45" s="4">
        <v>1828940</v>
      </c>
      <c r="J45" s="4" t="s">
        <v>310</v>
      </c>
      <c r="K45" s="80"/>
      <c r="L45" s="81"/>
      <c r="M45" s="81"/>
      <c r="N45" s="81"/>
      <c r="O45" s="81"/>
      <c r="P45" s="33">
        <v>-0.5</v>
      </c>
      <c r="Q45" s="4">
        <v>-0.48</v>
      </c>
      <c r="R45" s="4" t="s">
        <v>249</v>
      </c>
      <c r="S45" s="67">
        <v>17.5</v>
      </c>
      <c r="T45" s="136">
        <v>41316</v>
      </c>
      <c r="U45" s="67">
        <v>-3</v>
      </c>
      <c r="V45" s="67">
        <v>1.5</v>
      </c>
      <c r="W45" s="4">
        <v>25</v>
      </c>
      <c r="X45" s="4">
        <v>30</v>
      </c>
      <c r="Y45" s="4">
        <v>13</v>
      </c>
      <c r="Z45" s="4">
        <v>553</v>
      </c>
      <c r="AA45" s="4">
        <v>23.91</v>
      </c>
      <c r="AD45" s="4">
        <v>2.5099999999999998</v>
      </c>
      <c r="AE45" s="4">
        <v>45.36</v>
      </c>
      <c r="AF45" s="4">
        <v>115</v>
      </c>
      <c r="AG45" s="4">
        <v>46.23</v>
      </c>
      <c r="AH45" s="4">
        <v>25</v>
      </c>
      <c r="AI45" s="4">
        <v>0</v>
      </c>
      <c r="AJ45" s="4" t="b">
        <f t="shared" si="133"/>
        <v>0</v>
      </c>
      <c r="AL45" s="32">
        <v>41561</v>
      </c>
      <c r="AM45" s="60">
        <v>30</v>
      </c>
      <c r="AN45" s="67">
        <v>-0.5</v>
      </c>
      <c r="AO45" s="67">
        <v>1</v>
      </c>
      <c r="AP45" s="4">
        <v>165</v>
      </c>
      <c r="AQ45" s="4">
        <v>25</v>
      </c>
      <c r="AR45" s="4">
        <v>14</v>
      </c>
      <c r="AS45" s="4">
        <v>537</v>
      </c>
      <c r="AT45" s="4">
        <v>2151</v>
      </c>
      <c r="AU45" s="4">
        <v>24</v>
      </c>
      <c r="AV45" s="4">
        <v>4.88</v>
      </c>
      <c r="AW45" s="4">
        <v>44.35</v>
      </c>
      <c r="AX45" s="4">
        <v>70</v>
      </c>
      <c r="AY45" s="4">
        <v>45.67</v>
      </c>
      <c r="AZ45" s="4">
        <v>160</v>
      </c>
      <c r="BA45" s="4">
        <f t="shared" si="134"/>
        <v>0</v>
      </c>
      <c r="BB45" s="4">
        <f t="shared" si="135"/>
        <v>0.48</v>
      </c>
      <c r="BC45" s="4">
        <f t="shared" si="136"/>
        <v>-16</v>
      </c>
      <c r="BD45" s="40">
        <v>41743</v>
      </c>
      <c r="BE45" s="59" t="s">
        <v>282</v>
      </c>
      <c r="BS45" s="4" t="str">
        <f t="shared" si="137"/>
        <v/>
      </c>
      <c r="BT45" s="4" t="str">
        <f t="shared" si="138"/>
        <v/>
      </c>
      <c r="BU45" s="4" t="str">
        <f t="shared" si="139"/>
        <v/>
      </c>
      <c r="BV45" s="4">
        <f>IF(AND(ISBLANK(SPH_6),ISBLANK(SPH_12)),0,1)</f>
        <v>1</v>
      </c>
      <c r="BW45" s="4">
        <f t="shared" si="140"/>
        <v>0</v>
      </c>
      <c r="BX45" s="4" t="str">
        <f t="shared" si="141"/>
        <v/>
      </c>
      <c r="BY45" s="4" t="str">
        <f t="shared" si="142"/>
        <v/>
      </c>
      <c r="BZ45" s="4" t="str">
        <f t="shared" si="143"/>
        <v/>
      </c>
      <c r="CA45" s="53">
        <f t="shared" si="144"/>
        <v>194</v>
      </c>
      <c r="CB45" s="55">
        <f t="shared" si="145"/>
        <v>6.4666666666666668</v>
      </c>
      <c r="CC45" s="4" t="str">
        <f t="shared" si="146"/>
        <v/>
      </c>
      <c r="CD45" s="4">
        <f t="shared" si="147"/>
        <v>-0.78499999999999659</v>
      </c>
      <c r="CE45" s="4" t="str">
        <f t="shared" si="148"/>
        <v/>
      </c>
      <c r="CF45" s="4">
        <f t="shared" si="149"/>
        <v>-0.78499999999999659</v>
      </c>
      <c r="CG45" s="4">
        <f t="shared" si="263"/>
        <v>-2.25</v>
      </c>
      <c r="CH45" s="4">
        <f t="shared" si="150"/>
        <v>0</v>
      </c>
      <c r="CI45" s="104">
        <f t="shared" si="151"/>
        <v>0.48</v>
      </c>
      <c r="CJ45" s="94">
        <f t="shared" si="152"/>
        <v>-16</v>
      </c>
      <c r="CK45" s="4">
        <f t="shared" si="153"/>
        <v>8.9999999999999858E-2</v>
      </c>
      <c r="CL45" s="107">
        <f t="shared" si="154"/>
        <v>-0.48</v>
      </c>
      <c r="CM45" s="107">
        <f t="shared" si="264"/>
        <v>7.9181246047624873E-2</v>
      </c>
      <c r="CN45" s="139">
        <f t="shared" si="155"/>
        <v>1</v>
      </c>
      <c r="CO45" s="139">
        <f t="shared" si="156"/>
        <v>-0.5</v>
      </c>
      <c r="CP45" s="149">
        <f t="shared" si="157"/>
        <v>25</v>
      </c>
      <c r="CQ45" s="149">
        <f t="shared" si="158"/>
        <v>30</v>
      </c>
      <c r="CR45" s="148">
        <f t="shared" si="159"/>
        <v>30</v>
      </c>
      <c r="CS45" s="152">
        <f t="shared" si="160"/>
        <v>0</v>
      </c>
      <c r="CT45" s="107" t="str">
        <f t="shared" si="161"/>
        <v/>
      </c>
      <c r="CU45" s="155" t="b">
        <f t="shared" si="162"/>
        <v>0</v>
      </c>
      <c r="CV45">
        <v>7.49</v>
      </c>
      <c r="CW45" s="4">
        <v>7.65</v>
      </c>
      <c r="CX45" s="4">
        <v>82.8</v>
      </c>
      <c r="CY45" s="4">
        <v>0.9</v>
      </c>
      <c r="CZ45" s="4">
        <v>7.0000000000000007E-2</v>
      </c>
      <c r="DA45" s="4">
        <v>0.51</v>
      </c>
      <c r="DB45" s="4">
        <v>3.42</v>
      </c>
      <c r="DC45" s="4">
        <v>3.99</v>
      </c>
      <c r="DD45" s="4">
        <v>578</v>
      </c>
      <c r="DE45" s="4">
        <v>579</v>
      </c>
      <c r="DF45" s="4">
        <v>661</v>
      </c>
      <c r="DG45" s="4">
        <v>601</v>
      </c>
      <c r="DH45" s="4">
        <v>637</v>
      </c>
      <c r="DI45" s="4">
        <v>629</v>
      </c>
      <c r="DJ45" s="4">
        <v>572</v>
      </c>
      <c r="DK45" s="4">
        <v>-1.03</v>
      </c>
      <c r="DL45" s="4">
        <v>-0.96</v>
      </c>
      <c r="DM45" s="4">
        <v>7.6</v>
      </c>
      <c r="DN45" s="4">
        <v>7.53</v>
      </c>
      <c r="DO45" s="4">
        <v>7.53</v>
      </c>
      <c r="DP45" s="4">
        <v>7.71</v>
      </c>
      <c r="DQ45" s="4">
        <v>8.14</v>
      </c>
      <c r="DR45" s="4">
        <v>8.5</v>
      </c>
      <c r="DS45" s="4">
        <v>0</v>
      </c>
      <c r="DT45" s="4">
        <v>0.9</v>
      </c>
      <c r="DU45" s="4">
        <v>6.67</v>
      </c>
      <c r="DV45" s="4">
        <v>6.42</v>
      </c>
      <c r="DW45" s="4">
        <v>6.38</v>
      </c>
      <c r="DX45" s="4">
        <v>6.56</v>
      </c>
      <c r="DY45" s="4">
        <v>6.84</v>
      </c>
      <c r="DZ45" s="4">
        <v>6.89</v>
      </c>
      <c r="EA45" s="4">
        <v>0</v>
      </c>
      <c r="EB45" s="100">
        <v>0.9</v>
      </c>
      <c r="EC45" s="122">
        <v>44.1</v>
      </c>
      <c r="ED45" s="122">
        <v>45</v>
      </c>
      <c r="EE45" s="122">
        <v>44.6</v>
      </c>
      <c r="EF45" s="122">
        <v>82.8</v>
      </c>
      <c r="EG45" s="122">
        <v>0.9</v>
      </c>
      <c r="EH45" s="122">
        <v>-5.9</v>
      </c>
      <c r="EI45" s="122">
        <v>-6.3</v>
      </c>
      <c r="EJ45" s="122">
        <v>-6.1</v>
      </c>
      <c r="EK45" s="122">
        <v>57.9</v>
      </c>
      <c r="EL45" s="122">
        <v>0.4</v>
      </c>
      <c r="EM45" s="122">
        <v>4.0999999999999996</v>
      </c>
      <c r="EN45" s="122">
        <v>11.9</v>
      </c>
      <c r="EO45" s="122">
        <v>25.3</v>
      </c>
      <c r="EP45" s="122">
        <v>60.7</v>
      </c>
      <c r="EQ45" s="126">
        <v>11</v>
      </c>
      <c r="ER45" s="94">
        <v>7.47</v>
      </c>
      <c r="ES45" s="4">
        <v>7.61</v>
      </c>
      <c r="ET45" s="4">
        <v>68.2</v>
      </c>
      <c r="EU45" s="4">
        <v>0.8</v>
      </c>
      <c r="EV45" s="4">
        <v>0.34</v>
      </c>
      <c r="EW45" s="4">
        <v>0.53</v>
      </c>
      <c r="EX45" s="4">
        <v>4.75</v>
      </c>
      <c r="EY45" s="4">
        <v>5.27</v>
      </c>
      <c r="EZ45" s="4">
        <v>515</v>
      </c>
      <c r="FA45" s="4">
        <v>512</v>
      </c>
      <c r="FB45" s="4">
        <v>639</v>
      </c>
      <c r="FC45" s="4">
        <v>586</v>
      </c>
      <c r="FD45" s="4">
        <v>614</v>
      </c>
      <c r="FE45" s="4">
        <v>589</v>
      </c>
      <c r="FF45" s="4">
        <v>503</v>
      </c>
      <c r="FG45" s="4">
        <v>0.83</v>
      </c>
      <c r="FH45" s="4">
        <v>-0.56999999999999995</v>
      </c>
      <c r="FI45" s="4">
        <v>7.53</v>
      </c>
      <c r="FJ45" s="4">
        <v>7.56</v>
      </c>
      <c r="FK45" s="4">
        <v>7.59</v>
      </c>
      <c r="FL45" s="4">
        <v>7.74</v>
      </c>
      <c r="FM45" s="4">
        <v>8.02</v>
      </c>
      <c r="FN45" s="4">
        <v>8.27</v>
      </c>
      <c r="FO45" s="4">
        <v>0</v>
      </c>
      <c r="FP45" s="4">
        <v>1.2</v>
      </c>
      <c r="FQ45" s="4">
        <v>6.22</v>
      </c>
      <c r="FR45" s="4">
        <v>6.1</v>
      </c>
      <c r="FS45" s="4">
        <v>6.14</v>
      </c>
      <c r="FT45" s="4">
        <v>6.34</v>
      </c>
      <c r="FU45" s="4">
        <v>6.57</v>
      </c>
      <c r="FV45" s="4">
        <v>0</v>
      </c>
      <c r="FW45" s="4">
        <v>0</v>
      </c>
      <c r="FX45" s="97">
        <v>1.2</v>
      </c>
      <c r="FY45" s="122">
        <v>44.4</v>
      </c>
      <c r="FZ45" s="122">
        <v>45.2</v>
      </c>
      <c r="GA45" s="122">
        <v>44.8</v>
      </c>
      <c r="GB45" s="122">
        <v>68.2</v>
      </c>
      <c r="GC45" s="122">
        <v>0.8</v>
      </c>
      <c r="GD45" s="122">
        <v>-6.4</v>
      </c>
      <c r="GE45" s="122">
        <v>-6.5</v>
      </c>
      <c r="GF45" s="122">
        <v>-6.5</v>
      </c>
      <c r="GG45" s="122">
        <v>174.1</v>
      </c>
      <c r="GH45" s="122">
        <v>0.1</v>
      </c>
      <c r="GI45" s="122">
        <v>3.7</v>
      </c>
      <c r="GJ45" s="122">
        <v>11</v>
      </c>
      <c r="GK45" s="122">
        <v>24</v>
      </c>
      <c r="GL45" s="122">
        <v>60.8</v>
      </c>
      <c r="GM45" s="131">
        <v>16</v>
      </c>
      <c r="IJ45" s="94">
        <f t="shared" si="163"/>
        <v>7.47</v>
      </c>
      <c r="IK45" s="4">
        <f t="shared" si="164"/>
        <v>7.61</v>
      </c>
      <c r="IL45" s="4">
        <f t="shared" si="165"/>
        <v>68.2</v>
      </c>
      <c r="IM45" s="4">
        <f t="shared" si="166"/>
        <v>0.8</v>
      </c>
      <c r="IN45" s="4">
        <f t="shared" si="167"/>
        <v>0.34</v>
      </c>
      <c r="IO45" s="4">
        <f t="shared" si="168"/>
        <v>0.53</v>
      </c>
      <c r="IP45" s="4">
        <f t="shared" si="169"/>
        <v>4.75</v>
      </c>
      <c r="IQ45" s="4">
        <f t="shared" si="170"/>
        <v>5.27</v>
      </c>
      <c r="IR45" s="4">
        <f t="shared" si="171"/>
        <v>515</v>
      </c>
      <c r="IS45" s="4">
        <f t="shared" si="172"/>
        <v>512</v>
      </c>
      <c r="IT45" s="4">
        <f t="shared" si="173"/>
        <v>639</v>
      </c>
      <c r="IU45" s="4">
        <f t="shared" si="174"/>
        <v>586</v>
      </c>
      <c r="IV45" s="4">
        <f t="shared" si="175"/>
        <v>614</v>
      </c>
      <c r="IW45" s="4">
        <f t="shared" si="176"/>
        <v>589</v>
      </c>
      <c r="IX45" s="4">
        <f t="shared" si="177"/>
        <v>503</v>
      </c>
      <c r="IY45" s="4">
        <f t="shared" si="178"/>
        <v>0.83</v>
      </c>
      <c r="IZ45" s="4">
        <f t="shared" si="179"/>
        <v>-0.56999999999999995</v>
      </c>
      <c r="JA45" s="4">
        <f t="shared" si="180"/>
        <v>7.53</v>
      </c>
      <c r="JB45" s="4">
        <f t="shared" si="181"/>
        <v>7.56</v>
      </c>
      <c r="JC45" s="4">
        <f t="shared" si="182"/>
        <v>7.59</v>
      </c>
      <c r="JD45" s="4">
        <f t="shared" si="183"/>
        <v>7.74</v>
      </c>
      <c r="JE45" s="4">
        <f t="shared" si="184"/>
        <v>8.02</v>
      </c>
      <c r="JF45" s="4">
        <f t="shared" si="185"/>
        <v>8.27</v>
      </c>
      <c r="JG45" s="4">
        <f t="shared" si="186"/>
        <v>0</v>
      </c>
      <c r="JH45" s="4">
        <f t="shared" si="187"/>
        <v>1.2</v>
      </c>
      <c r="JI45" s="4">
        <f t="shared" si="188"/>
        <v>6.22</v>
      </c>
      <c r="JJ45" s="4">
        <f t="shared" si="189"/>
        <v>6.1</v>
      </c>
      <c r="JK45" s="4">
        <f t="shared" si="190"/>
        <v>6.14</v>
      </c>
      <c r="JL45" s="4">
        <f t="shared" si="191"/>
        <v>6.34</v>
      </c>
      <c r="JM45" s="4">
        <f t="shared" si="192"/>
        <v>6.57</v>
      </c>
      <c r="JN45" s="4">
        <f t="shared" si="193"/>
        <v>0</v>
      </c>
      <c r="JO45" s="129">
        <f t="shared" si="194"/>
        <v>0</v>
      </c>
      <c r="JP45" s="122">
        <f t="shared" si="195"/>
        <v>1.2</v>
      </c>
      <c r="JQ45" s="122">
        <f t="shared" si="196"/>
        <v>44.4</v>
      </c>
      <c r="JR45" s="122">
        <f t="shared" si="197"/>
        <v>45.2</v>
      </c>
      <c r="JS45" s="122">
        <f t="shared" si="198"/>
        <v>44.8</v>
      </c>
      <c r="JT45" s="122">
        <f t="shared" si="199"/>
        <v>68.2</v>
      </c>
      <c r="JU45" s="122">
        <f t="shared" si="200"/>
        <v>0.8</v>
      </c>
      <c r="JV45" s="122">
        <f t="shared" si="201"/>
        <v>-6.4</v>
      </c>
      <c r="JW45" s="122">
        <f t="shared" si="202"/>
        <v>-6.5</v>
      </c>
      <c r="JX45" s="122">
        <f t="shared" si="203"/>
        <v>-6.5</v>
      </c>
      <c r="JY45" s="122">
        <f t="shared" si="204"/>
        <v>174.1</v>
      </c>
      <c r="JZ45" s="122">
        <f t="shared" si="205"/>
        <v>0.1</v>
      </c>
      <c r="KA45" s="122">
        <f t="shared" si="206"/>
        <v>3.7</v>
      </c>
      <c r="KB45" s="122">
        <f t="shared" si="207"/>
        <v>11</v>
      </c>
      <c r="KC45" s="122">
        <f t="shared" si="208"/>
        <v>24</v>
      </c>
      <c r="KD45" s="122">
        <f t="shared" si="209"/>
        <v>60.8</v>
      </c>
      <c r="KE45" s="133">
        <f t="shared" si="210"/>
        <v>16</v>
      </c>
      <c r="KF45" s="94">
        <f t="shared" si="211"/>
        <v>-2.0000000000000462E-2</v>
      </c>
      <c r="KG45" s="4">
        <f t="shared" si="212"/>
        <v>-4.0000000000000036E-2</v>
      </c>
      <c r="KH45" s="4">
        <f t="shared" si="213"/>
        <v>-14.599999999999994</v>
      </c>
      <c r="KI45" s="4">
        <f t="shared" si="214"/>
        <v>-9.9999999999999978E-2</v>
      </c>
      <c r="KJ45" s="4">
        <f t="shared" si="215"/>
        <v>0.27</v>
      </c>
      <c r="KK45" s="4">
        <f t="shared" si="216"/>
        <v>2.0000000000000018E-2</v>
      </c>
      <c r="KL45" s="4">
        <f t="shared" si="217"/>
        <v>1.33</v>
      </c>
      <c r="KM45" s="4">
        <f t="shared" si="218"/>
        <v>1.2799999999999994</v>
      </c>
      <c r="KN45" s="4">
        <f t="shared" si="219"/>
        <v>-63</v>
      </c>
      <c r="KO45" s="4">
        <f t="shared" si="220"/>
        <v>-67</v>
      </c>
      <c r="KP45" s="4">
        <f t="shared" si="221"/>
        <v>-22</v>
      </c>
      <c r="KQ45" s="4">
        <f t="shared" si="222"/>
        <v>-15</v>
      </c>
      <c r="KR45" s="4">
        <f t="shared" si="223"/>
        <v>-23</v>
      </c>
      <c r="KS45" s="4">
        <f t="shared" si="224"/>
        <v>-40</v>
      </c>
      <c r="KT45" s="4">
        <f t="shared" si="225"/>
        <v>-69</v>
      </c>
      <c r="KU45" s="4">
        <f t="shared" si="226"/>
        <v>1.8599999999999999</v>
      </c>
      <c r="KV45" s="4">
        <f t="shared" si="227"/>
        <v>0.39</v>
      </c>
      <c r="KW45" s="4">
        <f t="shared" si="228"/>
        <v>-6.9999999999999396E-2</v>
      </c>
      <c r="KX45" s="4">
        <f t="shared" si="229"/>
        <v>2.9999999999999361E-2</v>
      </c>
      <c r="KY45" s="4">
        <f t="shared" si="230"/>
        <v>5.9999999999999609E-2</v>
      </c>
      <c r="KZ45" s="4">
        <f t="shared" si="231"/>
        <v>3.0000000000000249E-2</v>
      </c>
      <c r="LA45" s="4">
        <f t="shared" si="232"/>
        <v>-0.12000000000000099</v>
      </c>
      <c r="LB45" s="4">
        <f t="shared" si="233"/>
        <v>-0.23000000000000043</v>
      </c>
      <c r="LC45" s="4">
        <f t="shared" si="234"/>
        <v>0</v>
      </c>
      <c r="LD45" s="4">
        <f t="shared" si="235"/>
        <v>0.29999999999999993</v>
      </c>
      <c r="LE45" s="4">
        <f t="shared" si="236"/>
        <v>-0.45000000000000018</v>
      </c>
      <c r="LF45" s="4">
        <f t="shared" si="237"/>
        <v>-0.32000000000000028</v>
      </c>
      <c r="LG45" s="4">
        <f t="shared" si="238"/>
        <v>-0.24000000000000021</v>
      </c>
      <c r="LH45" s="4">
        <f t="shared" si="239"/>
        <v>-0.21999999999999975</v>
      </c>
      <c r="LI45" s="4">
        <f t="shared" si="240"/>
        <v>-0.26999999999999957</v>
      </c>
      <c r="LJ45" s="4">
        <f t="shared" si="241"/>
        <v>-6.89</v>
      </c>
      <c r="LK45" s="4">
        <f t="shared" si="242"/>
        <v>0</v>
      </c>
      <c r="LL45" s="4">
        <f t="shared" si="243"/>
        <v>0.29999999999999993</v>
      </c>
      <c r="LM45" s="4">
        <f t="shared" si="244"/>
        <v>0.29999999999999716</v>
      </c>
      <c r="LN45" s="4">
        <f t="shared" si="245"/>
        <v>0.20000000000000284</v>
      </c>
      <c r="LO45" s="4">
        <f t="shared" si="246"/>
        <v>0.19999999999999574</v>
      </c>
      <c r="LP45" s="4">
        <f t="shared" si="247"/>
        <v>-14.599999999999994</v>
      </c>
      <c r="LQ45" s="4">
        <f t="shared" si="248"/>
        <v>-9.9999999999999978E-2</v>
      </c>
      <c r="LR45" s="4">
        <f t="shared" si="249"/>
        <v>-0.5</v>
      </c>
      <c r="LS45" s="4">
        <f t="shared" si="250"/>
        <v>-0.20000000000000018</v>
      </c>
      <c r="LT45" s="4">
        <f t="shared" si="251"/>
        <v>-0.40000000000000036</v>
      </c>
      <c r="LU45" s="4">
        <f t="shared" si="252"/>
        <v>116.19999999999999</v>
      </c>
      <c r="LV45" s="4">
        <f t="shared" si="253"/>
        <v>-0.30000000000000004</v>
      </c>
      <c r="LW45" s="4">
        <f t="shared" si="254"/>
        <v>-0.39999999999999947</v>
      </c>
      <c r="LX45" s="4">
        <f t="shared" si="255"/>
        <v>-0.90000000000000036</v>
      </c>
      <c r="LY45" s="4">
        <f t="shared" si="256"/>
        <v>-1.3000000000000007</v>
      </c>
      <c r="LZ45" s="4">
        <f t="shared" si="257"/>
        <v>9.9999999999994316E-2</v>
      </c>
      <c r="MA45" s="4">
        <f t="shared" si="258"/>
        <v>5</v>
      </c>
      <c r="MB45" s="4" t="str">
        <f t="shared" si="259"/>
        <v/>
      </c>
      <c r="MC45" s="4" t="str">
        <f t="shared" si="260"/>
        <v/>
      </c>
      <c r="MD45" s="4" t="str">
        <f t="shared" si="261"/>
        <v/>
      </c>
      <c r="ME45" s="4">
        <f t="shared" si="262"/>
        <v>6.5</v>
      </c>
    </row>
    <row r="46" spans="1:343" ht="26.25" customHeight="1" thickBot="1" x14ac:dyDescent="0.25">
      <c r="A46" s="35">
        <v>41199</v>
      </c>
      <c r="B46" s="36" t="s">
        <v>158</v>
      </c>
      <c r="C46" s="36" t="s">
        <v>9</v>
      </c>
      <c r="D46" s="31" t="s">
        <v>111</v>
      </c>
      <c r="E46" s="4">
        <v>58</v>
      </c>
      <c r="F46" s="3">
        <v>19701</v>
      </c>
      <c r="G46" s="4" t="s">
        <v>87</v>
      </c>
      <c r="H46" s="4" t="s">
        <v>108</v>
      </c>
      <c r="I46" s="4">
        <v>1829576</v>
      </c>
      <c r="J46" s="4" t="s">
        <v>310</v>
      </c>
      <c r="K46" s="80"/>
      <c r="L46" s="81"/>
      <c r="M46" s="81"/>
      <c r="N46" s="81"/>
      <c r="O46" s="81"/>
      <c r="P46" s="4">
        <v>-0.5</v>
      </c>
      <c r="Q46" s="4">
        <v>-0.81</v>
      </c>
      <c r="R46" s="4" t="s">
        <v>249</v>
      </c>
      <c r="S46" s="67">
        <v>11</v>
      </c>
      <c r="T46" s="136">
        <v>41169</v>
      </c>
      <c r="U46" s="67">
        <v>-8.5</v>
      </c>
      <c r="V46" s="67">
        <v>1.25</v>
      </c>
      <c r="W46" s="4">
        <v>105</v>
      </c>
      <c r="X46" s="4">
        <v>30</v>
      </c>
      <c r="Y46" s="4">
        <v>14</v>
      </c>
      <c r="AA46" s="4">
        <v>26.19</v>
      </c>
      <c r="AD46" s="4">
        <v>3.06</v>
      </c>
      <c r="AE46" s="4">
        <v>44.12</v>
      </c>
      <c r="AF46" s="4">
        <v>8</v>
      </c>
      <c r="AG46" s="4">
        <v>46.3</v>
      </c>
      <c r="AH46" s="4">
        <v>98</v>
      </c>
      <c r="AI46" s="4">
        <v>0</v>
      </c>
      <c r="AJ46" s="4" t="b">
        <f t="shared" si="133"/>
        <v>0</v>
      </c>
      <c r="AK46" s="54" t="s">
        <v>300</v>
      </c>
      <c r="AL46" s="37">
        <v>41380</v>
      </c>
      <c r="AM46" s="59">
        <v>30</v>
      </c>
      <c r="AN46" s="67">
        <v>-0.5</v>
      </c>
      <c r="AO46" s="67">
        <v>0</v>
      </c>
      <c r="AP46" s="4">
        <v>0</v>
      </c>
      <c r="AQ46" s="4">
        <v>20</v>
      </c>
      <c r="AR46" s="4">
        <v>12</v>
      </c>
      <c r="BA46" s="4">
        <f t="shared" si="134"/>
        <v>-0.5</v>
      </c>
      <c r="BB46" s="4">
        <f t="shared" si="135"/>
        <v>0.31000000000000005</v>
      </c>
      <c r="BC46" s="4" t="str">
        <f t="shared" si="136"/>
        <v/>
      </c>
      <c r="BD46" s="3">
        <v>41562</v>
      </c>
      <c r="BE46" s="56">
        <v>20</v>
      </c>
      <c r="BF46" s="67">
        <v>0</v>
      </c>
      <c r="BG46" s="67">
        <v>0.5</v>
      </c>
      <c r="BH46" s="4">
        <v>88</v>
      </c>
      <c r="BI46" s="4">
        <v>20</v>
      </c>
      <c r="BJ46" s="4">
        <v>10</v>
      </c>
      <c r="BK46" s="4">
        <v>530</v>
      </c>
      <c r="BM46" s="4">
        <v>26.15</v>
      </c>
      <c r="BN46" s="4">
        <v>2.52</v>
      </c>
      <c r="BO46" s="4">
        <v>43.27</v>
      </c>
      <c r="BP46" s="4">
        <v>9</v>
      </c>
      <c r="BQ46" s="4">
        <v>44.64</v>
      </c>
      <c r="BR46" s="4">
        <v>99</v>
      </c>
      <c r="BS46" s="4">
        <f t="shared" si="137"/>
        <v>0.25</v>
      </c>
      <c r="BT46" s="4">
        <f t="shared" si="138"/>
        <v>1.06</v>
      </c>
      <c r="BU46" s="4" t="str">
        <f t="shared" si="139"/>
        <v>MISSING</v>
      </c>
      <c r="BV46" s="4">
        <f>IF(AND(ISBLANK(SPH_6),ISBLANK(SPH_12)),0,1)</f>
        <v>1</v>
      </c>
      <c r="BW46" s="4">
        <f t="shared" si="140"/>
        <v>1</v>
      </c>
      <c r="BX46" s="4">
        <f t="shared" si="141"/>
        <v>-7.875</v>
      </c>
      <c r="BY46" s="4">
        <f t="shared" si="142"/>
        <v>-0.5</v>
      </c>
      <c r="BZ46" s="4">
        <f t="shared" si="143"/>
        <v>0.25</v>
      </c>
      <c r="CA46" s="53">
        <f t="shared" si="144"/>
        <v>363</v>
      </c>
      <c r="CB46" s="55">
        <f t="shared" si="145"/>
        <v>12.1</v>
      </c>
      <c r="CC46" s="4">
        <f t="shared" si="146"/>
        <v>0.75</v>
      </c>
      <c r="CD46" s="4" t="str">
        <f t="shared" si="147"/>
        <v/>
      </c>
      <c r="CE46" s="4">
        <f t="shared" si="148"/>
        <v>-1.2549999999999955</v>
      </c>
      <c r="CF46" s="4">
        <f t="shared" si="149"/>
        <v>-1.2549999999999955</v>
      </c>
      <c r="CG46" s="4">
        <f t="shared" si="263"/>
        <v>-7.875</v>
      </c>
      <c r="CH46" s="4">
        <f t="shared" si="150"/>
        <v>0.25</v>
      </c>
      <c r="CI46" s="104">
        <f t="shared" si="151"/>
        <v>1.06</v>
      </c>
      <c r="CJ46" s="94" t="str">
        <f t="shared" si="152"/>
        <v/>
      </c>
      <c r="CK46" s="4">
        <f t="shared" si="153"/>
        <v>-4.00000000000027E-2</v>
      </c>
      <c r="CL46" s="107">
        <f t="shared" si="154"/>
        <v>-0.81</v>
      </c>
      <c r="CM46" s="107">
        <f t="shared" si="264"/>
        <v>0.17609125905568127</v>
      </c>
      <c r="CN46" s="139">
        <f t="shared" si="155"/>
        <v>0.5</v>
      </c>
      <c r="CO46" s="139">
        <f t="shared" si="156"/>
        <v>-0.75</v>
      </c>
      <c r="CP46" s="149">
        <f t="shared" si="157"/>
        <v>20</v>
      </c>
      <c r="CQ46" s="149">
        <f t="shared" si="158"/>
        <v>30</v>
      </c>
      <c r="CR46" s="148">
        <f t="shared" si="159"/>
        <v>20</v>
      </c>
      <c r="CS46" s="152">
        <f t="shared" si="160"/>
        <v>1</v>
      </c>
      <c r="CT46" s="107">
        <f t="shared" si="161"/>
        <v>0</v>
      </c>
      <c r="CU46" s="155" t="b">
        <f t="shared" si="162"/>
        <v>0</v>
      </c>
      <c r="CV46">
        <v>7.87</v>
      </c>
      <c r="CW46" s="4">
        <v>7.53</v>
      </c>
      <c r="CX46" s="4">
        <v>17.899999999999999</v>
      </c>
      <c r="CY46" s="4">
        <v>-2</v>
      </c>
      <c r="CZ46" s="4">
        <v>0.05</v>
      </c>
      <c r="DA46" s="4">
        <v>0.53</v>
      </c>
      <c r="DB46" s="4">
        <v>2.2999999999999998</v>
      </c>
      <c r="DC46" s="4">
        <v>2.89</v>
      </c>
      <c r="DD46" s="4">
        <v>590</v>
      </c>
      <c r="DE46" s="4">
        <v>588</v>
      </c>
      <c r="DF46" s="4">
        <v>669</v>
      </c>
      <c r="DG46" s="4">
        <v>628</v>
      </c>
      <c r="DH46" s="4">
        <v>644</v>
      </c>
      <c r="DI46" s="4">
        <v>647</v>
      </c>
      <c r="DJ46" s="4">
        <v>581</v>
      </c>
      <c r="DK46" s="4">
        <v>-7.0000000000000007E-2</v>
      </c>
      <c r="DL46" s="4">
        <v>0.98</v>
      </c>
      <c r="DM46" s="4">
        <v>7.72</v>
      </c>
      <c r="DN46" s="4">
        <v>7.64</v>
      </c>
      <c r="DO46" s="4">
        <v>7.65</v>
      </c>
      <c r="DP46" s="4">
        <v>7.84</v>
      </c>
      <c r="DQ46" s="4">
        <v>8.1199999999999992</v>
      </c>
      <c r="DR46" s="4">
        <v>8.5399999999999991</v>
      </c>
      <c r="DS46" s="4">
        <v>0</v>
      </c>
      <c r="DT46" s="4">
        <v>0.7</v>
      </c>
      <c r="DU46" s="4">
        <v>6.85</v>
      </c>
      <c r="DV46" s="4">
        <v>6.46</v>
      </c>
      <c r="DW46" s="4">
        <v>6.4</v>
      </c>
      <c r="DX46" s="4">
        <v>6.75</v>
      </c>
      <c r="DY46" s="4">
        <v>7.06</v>
      </c>
      <c r="DZ46" s="4">
        <v>7.18</v>
      </c>
      <c r="EA46" s="4">
        <v>0</v>
      </c>
      <c r="EB46" s="100">
        <v>0.7</v>
      </c>
      <c r="EC46" s="122">
        <v>42.9</v>
      </c>
      <c r="ED46" s="122">
        <v>44.8</v>
      </c>
      <c r="EE46" s="122">
        <v>43.8</v>
      </c>
      <c r="EF46" s="122">
        <v>17.899999999999999</v>
      </c>
      <c r="EG46" s="122">
        <v>2</v>
      </c>
      <c r="EH46" s="122">
        <v>-5.9</v>
      </c>
      <c r="EI46" s="122">
        <v>-6</v>
      </c>
      <c r="EJ46" s="122">
        <v>-6</v>
      </c>
      <c r="EK46" s="122">
        <v>163.19999999999999</v>
      </c>
      <c r="EL46" s="122">
        <v>0.2</v>
      </c>
      <c r="EM46" s="122">
        <v>4.2</v>
      </c>
      <c r="EN46" s="122">
        <v>12.1</v>
      </c>
      <c r="EO46" s="122">
        <v>25.8</v>
      </c>
      <c r="EP46" s="122">
        <v>61.3</v>
      </c>
      <c r="EQ46" s="126">
        <v>16</v>
      </c>
      <c r="GN46" s="94">
        <v>7.84</v>
      </c>
      <c r="GO46" s="4">
        <v>7.58</v>
      </c>
      <c r="GP46" s="4">
        <v>8.5</v>
      </c>
      <c r="GQ46" s="4">
        <v>-1.5</v>
      </c>
      <c r="GR46" s="4">
        <v>0.55000000000000004</v>
      </c>
      <c r="GS46" s="4">
        <v>0.55000000000000004</v>
      </c>
      <c r="GT46" s="4">
        <v>4.49</v>
      </c>
      <c r="GU46" s="4">
        <v>5.0199999999999996</v>
      </c>
      <c r="GV46" s="4">
        <v>529</v>
      </c>
      <c r="GW46" s="4">
        <v>529</v>
      </c>
      <c r="GX46" s="4">
        <v>655</v>
      </c>
      <c r="GY46" s="4">
        <v>604</v>
      </c>
      <c r="GZ46" s="4">
        <v>644</v>
      </c>
      <c r="HA46" s="4">
        <v>600</v>
      </c>
      <c r="HB46" s="4">
        <v>522</v>
      </c>
      <c r="HC46" s="4">
        <v>-0.92</v>
      </c>
      <c r="HD46" s="4">
        <v>-0.2</v>
      </c>
      <c r="HE46" s="4">
        <v>7.79</v>
      </c>
      <c r="HF46" s="4">
        <v>7.64</v>
      </c>
      <c r="HG46" s="4">
        <v>7.67</v>
      </c>
      <c r="HH46" s="4">
        <v>7.87</v>
      </c>
      <c r="HI46" s="4">
        <v>8.1199999999999992</v>
      </c>
      <c r="HJ46" s="4">
        <v>8.32</v>
      </c>
      <c r="HK46" s="4">
        <v>0</v>
      </c>
      <c r="HL46" s="4">
        <v>1.5</v>
      </c>
      <c r="HM46" s="4">
        <v>6.25</v>
      </c>
      <c r="HN46" s="4">
        <v>6.19</v>
      </c>
      <c r="HO46" s="4">
        <v>6.23</v>
      </c>
      <c r="HP46" s="4">
        <v>6.43</v>
      </c>
      <c r="HQ46" s="4">
        <v>6.65</v>
      </c>
      <c r="HR46" s="4">
        <v>0</v>
      </c>
      <c r="HS46" s="4">
        <v>0</v>
      </c>
      <c r="HT46" s="104">
        <v>1.5</v>
      </c>
      <c r="HU46" s="122">
        <v>43.1</v>
      </c>
      <c r="HV46" s="122">
        <v>44.5</v>
      </c>
      <c r="HW46" s="122">
        <v>43.8</v>
      </c>
      <c r="HX46" s="122">
        <v>8.5</v>
      </c>
      <c r="HY46" s="122">
        <v>1.5</v>
      </c>
      <c r="HZ46" s="122">
        <v>-6.3</v>
      </c>
      <c r="IA46" s="122">
        <v>-6.7</v>
      </c>
      <c r="IB46" s="122">
        <v>-6.4</v>
      </c>
      <c r="IC46" s="122">
        <v>9.1999999999999993</v>
      </c>
      <c r="ID46" s="122">
        <v>0.4</v>
      </c>
      <c r="IE46" s="122">
        <v>3.8</v>
      </c>
      <c r="IF46" s="122">
        <v>11.3</v>
      </c>
      <c r="IG46" s="122">
        <v>24.5</v>
      </c>
      <c r="IH46" s="122">
        <v>61.2</v>
      </c>
      <c r="II46" s="133">
        <v>18</v>
      </c>
      <c r="IJ46" s="94">
        <f t="shared" si="163"/>
        <v>7.84</v>
      </c>
      <c r="IK46" s="4">
        <f t="shared" si="164"/>
        <v>7.58</v>
      </c>
      <c r="IL46" s="4">
        <f t="shared" si="165"/>
        <v>8.5</v>
      </c>
      <c r="IM46" s="4">
        <f t="shared" si="166"/>
        <v>-1.5</v>
      </c>
      <c r="IN46" s="4">
        <f t="shared" si="167"/>
        <v>0.55000000000000004</v>
      </c>
      <c r="IO46" s="4">
        <f t="shared" si="168"/>
        <v>0.55000000000000004</v>
      </c>
      <c r="IP46" s="4">
        <f t="shared" si="169"/>
        <v>4.49</v>
      </c>
      <c r="IQ46" s="4">
        <f t="shared" si="170"/>
        <v>5.0199999999999996</v>
      </c>
      <c r="IR46" s="4">
        <f t="shared" si="171"/>
        <v>529</v>
      </c>
      <c r="IS46" s="4">
        <f t="shared" si="172"/>
        <v>529</v>
      </c>
      <c r="IT46" s="4">
        <f t="shared" si="173"/>
        <v>655</v>
      </c>
      <c r="IU46" s="4">
        <f t="shared" si="174"/>
        <v>604</v>
      </c>
      <c r="IV46" s="4">
        <f t="shared" si="175"/>
        <v>644</v>
      </c>
      <c r="IW46" s="4">
        <f t="shared" si="176"/>
        <v>600</v>
      </c>
      <c r="IX46" s="4">
        <f t="shared" si="177"/>
        <v>522</v>
      </c>
      <c r="IY46" s="4">
        <f t="shared" si="178"/>
        <v>-0.92</v>
      </c>
      <c r="IZ46" s="4">
        <f t="shared" si="179"/>
        <v>-0.2</v>
      </c>
      <c r="JA46" s="4">
        <f t="shared" si="180"/>
        <v>7.79</v>
      </c>
      <c r="JB46" s="4">
        <f t="shared" si="181"/>
        <v>7.64</v>
      </c>
      <c r="JC46" s="4">
        <f t="shared" si="182"/>
        <v>7.67</v>
      </c>
      <c r="JD46" s="4">
        <f t="shared" si="183"/>
        <v>7.87</v>
      </c>
      <c r="JE46" s="4">
        <f t="shared" si="184"/>
        <v>8.1199999999999992</v>
      </c>
      <c r="JF46" s="4">
        <f t="shared" si="185"/>
        <v>8.32</v>
      </c>
      <c r="JG46" s="4">
        <f t="shared" si="186"/>
        <v>0</v>
      </c>
      <c r="JH46" s="4">
        <f t="shared" si="187"/>
        <v>1.5</v>
      </c>
      <c r="JI46" s="4">
        <f t="shared" si="188"/>
        <v>6.25</v>
      </c>
      <c r="JJ46" s="4">
        <f t="shared" si="189"/>
        <v>6.19</v>
      </c>
      <c r="JK46" s="4">
        <f t="shared" si="190"/>
        <v>6.23</v>
      </c>
      <c r="JL46" s="4">
        <f t="shared" si="191"/>
        <v>6.43</v>
      </c>
      <c r="JM46" s="4">
        <f t="shared" si="192"/>
        <v>6.65</v>
      </c>
      <c r="JN46" s="4">
        <f t="shared" si="193"/>
        <v>0</v>
      </c>
      <c r="JO46" s="129">
        <f t="shared" si="194"/>
        <v>0</v>
      </c>
      <c r="JP46" s="122">
        <f t="shared" si="195"/>
        <v>1.5</v>
      </c>
      <c r="JQ46" s="122">
        <f t="shared" si="196"/>
        <v>43.1</v>
      </c>
      <c r="JR46" s="122">
        <f t="shared" si="197"/>
        <v>44.5</v>
      </c>
      <c r="JS46" s="122">
        <f t="shared" si="198"/>
        <v>43.8</v>
      </c>
      <c r="JT46" s="122">
        <f t="shared" si="199"/>
        <v>8.5</v>
      </c>
      <c r="JU46" s="122">
        <f t="shared" si="200"/>
        <v>1.5</v>
      </c>
      <c r="JV46" s="122">
        <f t="shared" si="201"/>
        <v>-6.3</v>
      </c>
      <c r="JW46" s="122">
        <f t="shared" si="202"/>
        <v>-6.7</v>
      </c>
      <c r="JX46" s="122">
        <f t="shared" si="203"/>
        <v>-6.4</v>
      </c>
      <c r="JY46" s="122">
        <f t="shared" si="204"/>
        <v>9.1999999999999993</v>
      </c>
      <c r="JZ46" s="122">
        <f t="shared" si="205"/>
        <v>0.4</v>
      </c>
      <c r="KA46" s="122">
        <f t="shared" si="206"/>
        <v>3.8</v>
      </c>
      <c r="KB46" s="122">
        <f t="shared" si="207"/>
        <v>11.3</v>
      </c>
      <c r="KC46" s="122">
        <f t="shared" si="208"/>
        <v>24.5</v>
      </c>
      <c r="KD46" s="122">
        <f t="shared" si="209"/>
        <v>61.2</v>
      </c>
      <c r="KE46" s="133">
        <f t="shared" si="210"/>
        <v>18</v>
      </c>
      <c r="KF46" s="94">
        <f t="shared" si="211"/>
        <v>-3.0000000000000249E-2</v>
      </c>
      <c r="KG46" s="4">
        <f t="shared" si="212"/>
        <v>4.9999999999999822E-2</v>
      </c>
      <c r="KH46" s="4">
        <f t="shared" si="213"/>
        <v>-9.3999999999999986</v>
      </c>
      <c r="KI46" s="4">
        <f t="shared" si="214"/>
        <v>0.5</v>
      </c>
      <c r="KJ46" s="4">
        <f t="shared" si="215"/>
        <v>0.5</v>
      </c>
      <c r="KK46" s="4">
        <f t="shared" si="216"/>
        <v>2.0000000000000018E-2</v>
      </c>
      <c r="KL46" s="4">
        <f t="shared" si="217"/>
        <v>2.1900000000000004</v>
      </c>
      <c r="KM46" s="4">
        <f t="shared" si="218"/>
        <v>2.1299999999999994</v>
      </c>
      <c r="KN46" s="4">
        <f t="shared" si="219"/>
        <v>-61</v>
      </c>
      <c r="KO46" s="4">
        <f t="shared" si="220"/>
        <v>-59</v>
      </c>
      <c r="KP46" s="4">
        <f t="shared" si="221"/>
        <v>-14</v>
      </c>
      <c r="KQ46" s="4">
        <f t="shared" si="222"/>
        <v>-24</v>
      </c>
      <c r="KR46" s="4">
        <f t="shared" si="223"/>
        <v>0</v>
      </c>
      <c r="KS46" s="4">
        <f t="shared" si="224"/>
        <v>-47</v>
      </c>
      <c r="KT46" s="4">
        <f t="shared" si="225"/>
        <v>-59</v>
      </c>
      <c r="KU46" s="4">
        <f t="shared" si="226"/>
        <v>-0.85000000000000009</v>
      </c>
      <c r="KV46" s="4">
        <f t="shared" si="227"/>
        <v>-1.18</v>
      </c>
      <c r="KW46" s="4">
        <f t="shared" si="228"/>
        <v>7.0000000000000284E-2</v>
      </c>
      <c r="KX46" s="4">
        <f t="shared" si="229"/>
        <v>0</v>
      </c>
      <c r="KY46" s="4">
        <f t="shared" si="230"/>
        <v>1.9999999999999574E-2</v>
      </c>
      <c r="KZ46" s="4">
        <f t="shared" si="231"/>
        <v>3.0000000000000249E-2</v>
      </c>
      <c r="LA46" s="4">
        <f t="shared" si="232"/>
        <v>0</v>
      </c>
      <c r="LB46" s="4">
        <f t="shared" si="233"/>
        <v>-0.21999999999999886</v>
      </c>
      <c r="LC46" s="4">
        <f t="shared" si="234"/>
        <v>0</v>
      </c>
      <c r="LD46" s="4">
        <f t="shared" si="235"/>
        <v>0.8</v>
      </c>
      <c r="LE46" s="4">
        <f t="shared" si="236"/>
        <v>-0.59999999999999964</v>
      </c>
      <c r="LF46" s="4">
        <f t="shared" si="237"/>
        <v>-0.26999999999999957</v>
      </c>
      <c r="LG46" s="4">
        <f t="shared" si="238"/>
        <v>-0.16999999999999993</v>
      </c>
      <c r="LH46" s="4">
        <f t="shared" si="239"/>
        <v>-0.32000000000000028</v>
      </c>
      <c r="LI46" s="4">
        <f t="shared" si="240"/>
        <v>-0.40999999999999925</v>
      </c>
      <c r="LJ46" s="4">
        <f t="shared" si="241"/>
        <v>-7.18</v>
      </c>
      <c r="LK46" s="4">
        <f t="shared" si="242"/>
        <v>0</v>
      </c>
      <c r="LL46" s="4">
        <f t="shared" si="243"/>
        <v>0.8</v>
      </c>
      <c r="LM46" s="4">
        <f t="shared" si="244"/>
        <v>0.20000000000000284</v>
      </c>
      <c r="LN46" s="4">
        <f t="shared" si="245"/>
        <v>-0.29999999999999716</v>
      </c>
      <c r="LO46" s="4">
        <f t="shared" si="246"/>
        <v>0</v>
      </c>
      <c r="LP46" s="4">
        <f t="shared" si="247"/>
        <v>-9.3999999999999986</v>
      </c>
      <c r="LQ46" s="4">
        <f t="shared" si="248"/>
        <v>-0.5</v>
      </c>
      <c r="LR46" s="4">
        <f t="shared" si="249"/>
        <v>-0.39999999999999947</v>
      </c>
      <c r="LS46" s="4">
        <f t="shared" si="250"/>
        <v>-0.70000000000000018</v>
      </c>
      <c r="LT46" s="4">
        <f t="shared" si="251"/>
        <v>-0.40000000000000036</v>
      </c>
      <c r="LU46" s="4">
        <f t="shared" si="252"/>
        <v>-154</v>
      </c>
      <c r="LV46" s="4">
        <f t="shared" si="253"/>
        <v>0.2</v>
      </c>
      <c r="LW46" s="4">
        <f t="shared" si="254"/>
        <v>-0.40000000000000036</v>
      </c>
      <c r="LX46" s="4">
        <f t="shared" si="255"/>
        <v>-0.79999999999999893</v>
      </c>
      <c r="LY46" s="4">
        <f t="shared" si="256"/>
        <v>-1.3000000000000007</v>
      </c>
      <c r="LZ46" s="4">
        <f t="shared" si="257"/>
        <v>-9.9999999999994316E-2</v>
      </c>
      <c r="MA46" s="4">
        <f t="shared" si="258"/>
        <v>2</v>
      </c>
      <c r="MB46" s="4" t="str">
        <f t="shared" si="259"/>
        <v/>
      </c>
      <c r="MC46" s="4" t="str">
        <f t="shared" si="260"/>
        <v/>
      </c>
      <c r="MD46" s="4" t="str">
        <f t="shared" si="261"/>
        <v/>
      </c>
      <c r="ME46" s="4">
        <f t="shared" si="262"/>
        <v>-6.7</v>
      </c>
    </row>
    <row r="47" spans="1:343" ht="26.25" customHeight="1" thickBot="1" x14ac:dyDescent="0.25">
      <c r="A47" s="35">
        <v>41206</v>
      </c>
      <c r="B47" s="36" t="s">
        <v>221</v>
      </c>
      <c r="C47" s="36" t="s">
        <v>13</v>
      </c>
      <c r="D47" s="31" t="s">
        <v>111</v>
      </c>
      <c r="E47" s="4">
        <v>60</v>
      </c>
      <c r="F47" s="3">
        <v>18907</v>
      </c>
      <c r="G47" s="4" t="s">
        <v>87</v>
      </c>
      <c r="H47" s="4" t="s">
        <v>108</v>
      </c>
      <c r="I47" s="4">
        <v>1831350</v>
      </c>
      <c r="J47" s="4" t="s">
        <v>310</v>
      </c>
      <c r="K47" s="80"/>
      <c r="L47" s="81"/>
      <c r="M47" s="81"/>
      <c r="N47" s="81"/>
      <c r="O47" s="81"/>
      <c r="P47" s="33">
        <v>-1.5</v>
      </c>
      <c r="Q47" s="33">
        <v>-1.51</v>
      </c>
      <c r="R47" s="4" t="s">
        <v>249</v>
      </c>
      <c r="S47" s="67">
        <v>22.75</v>
      </c>
      <c r="T47" s="136">
        <v>41165</v>
      </c>
      <c r="U47" s="67">
        <v>1.75</v>
      </c>
      <c r="V47" s="67">
        <v>0.25</v>
      </c>
      <c r="W47" s="4">
        <v>120</v>
      </c>
      <c r="X47" s="4">
        <v>50</v>
      </c>
      <c r="Y47" s="4">
        <v>12</v>
      </c>
      <c r="Z47" s="4">
        <v>644</v>
      </c>
      <c r="AA47" s="4">
        <v>23.13</v>
      </c>
      <c r="AD47" s="4">
        <v>2.81</v>
      </c>
      <c r="AE47" s="4">
        <v>42.83</v>
      </c>
      <c r="AF47" s="4">
        <v>176</v>
      </c>
      <c r="AG47" s="4">
        <v>44.12</v>
      </c>
      <c r="AH47" s="4">
        <v>86</v>
      </c>
      <c r="AI47" s="4">
        <v>1</v>
      </c>
      <c r="AJ47" s="4" t="b">
        <f t="shared" si="133"/>
        <v>1</v>
      </c>
      <c r="AK47" s="54"/>
      <c r="AL47" s="3">
        <v>41324</v>
      </c>
      <c r="AM47" s="56">
        <v>25</v>
      </c>
      <c r="AN47" s="67">
        <v>-1</v>
      </c>
      <c r="AO47" s="67">
        <v>1</v>
      </c>
      <c r="AP47" s="4">
        <v>30</v>
      </c>
      <c r="AQ47" s="4">
        <v>30</v>
      </c>
      <c r="AR47" s="4">
        <v>16</v>
      </c>
      <c r="AS47" s="4">
        <v>583</v>
      </c>
      <c r="AT47" s="4">
        <v>2176</v>
      </c>
      <c r="BA47" s="4">
        <f t="shared" si="134"/>
        <v>-0.5</v>
      </c>
      <c r="BB47" s="4">
        <f t="shared" si="135"/>
        <v>1.01</v>
      </c>
      <c r="BC47" s="4">
        <f t="shared" si="136"/>
        <v>-61</v>
      </c>
      <c r="BD47" s="3">
        <v>41542</v>
      </c>
      <c r="BE47" s="56">
        <v>20</v>
      </c>
      <c r="BF47" s="67">
        <v>-1</v>
      </c>
      <c r="BG47" s="67">
        <v>0.75</v>
      </c>
      <c r="BH47" s="4">
        <v>28</v>
      </c>
      <c r="BI47" s="4">
        <v>20</v>
      </c>
      <c r="BJ47" s="4">
        <v>15</v>
      </c>
      <c r="BK47" s="4">
        <v>542</v>
      </c>
      <c r="BL47" s="4">
        <v>1447</v>
      </c>
      <c r="BM47" s="4">
        <v>22.98</v>
      </c>
      <c r="BN47" s="4">
        <v>4.38</v>
      </c>
      <c r="BO47" s="4">
        <v>42.88</v>
      </c>
      <c r="BP47" s="4">
        <v>0</v>
      </c>
      <c r="BQ47" s="4">
        <v>44.06</v>
      </c>
      <c r="BR47" s="4">
        <v>90</v>
      </c>
      <c r="BS47" s="4">
        <f t="shared" si="137"/>
        <v>-0.625</v>
      </c>
      <c r="BT47" s="4">
        <f t="shared" si="138"/>
        <v>0.88500000000000001</v>
      </c>
      <c r="BU47" s="4">
        <f t="shared" si="139"/>
        <v>-102</v>
      </c>
      <c r="BV47" s="4">
        <f>IF(AND(ISBLANK(SPH_6),ISBLANK(SPH_12)),0,1)</f>
        <v>1</v>
      </c>
      <c r="BW47" s="4">
        <f t="shared" si="140"/>
        <v>1</v>
      </c>
      <c r="BX47" s="4">
        <f t="shared" si="141"/>
        <v>1.875</v>
      </c>
      <c r="BY47" s="4">
        <f t="shared" si="142"/>
        <v>-0.5</v>
      </c>
      <c r="BZ47" s="4">
        <f t="shared" si="143"/>
        <v>-0.625</v>
      </c>
      <c r="CA47" s="53">
        <f t="shared" si="144"/>
        <v>336</v>
      </c>
      <c r="CB47" s="55">
        <f t="shared" si="145"/>
        <v>11.2</v>
      </c>
      <c r="CC47" s="4">
        <f t="shared" si="146"/>
        <v>-0.125</v>
      </c>
      <c r="CD47" s="4" t="str">
        <f t="shared" si="147"/>
        <v/>
      </c>
      <c r="CE47" s="4">
        <f t="shared" si="148"/>
        <v>-4.9999999999954525E-3</v>
      </c>
      <c r="CF47" s="4">
        <f t="shared" si="149"/>
        <v>-4.9999999999954525E-3</v>
      </c>
      <c r="CG47" s="4">
        <f t="shared" si="263"/>
        <v>1.875</v>
      </c>
      <c r="CH47" s="4">
        <f t="shared" si="150"/>
        <v>-0.625</v>
      </c>
      <c r="CI47" s="104">
        <f t="shared" si="151"/>
        <v>0.88500000000000001</v>
      </c>
      <c r="CJ47" s="94">
        <f t="shared" si="152"/>
        <v>-102</v>
      </c>
      <c r="CK47" s="4">
        <f t="shared" si="153"/>
        <v>-0.14999999999999858</v>
      </c>
      <c r="CL47" s="107">
        <f t="shared" si="154"/>
        <v>-1.51</v>
      </c>
      <c r="CM47" s="107">
        <f t="shared" si="264"/>
        <v>0.3979400086720376</v>
      </c>
      <c r="CN47" s="139">
        <f t="shared" si="155"/>
        <v>0.75</v>
      </c>
      <c r="CO47" s="139">
        <f t="shared" si="156"/>
        <v>0.5</v>
      </c>
      <c r="CP47" s="149">
        <f t="shared" si="157"/>
        <v>20</v>
      </c>
      <c r="CQ47" s="149">
        <f t="shared" si="158"/>
        <v>50</v>
      </c>
      <c r="CR47" s="148" t="str">
        <f t="shared" si="159"/>
        <v/>
      </c>
      <c r="CS47" s="152" t="str">
        <f t="shared" si="160"/>
        <v/>
      </c>
      <c r="CT47" s="107" t="str">
        <f t="shared" si="161"/>
        <v/>
      </c>
      <c r="CU47" s="155" t="str">
        <f t="shared" si="162"/>
        <v/>
      </c>
      <c r="GN47" s="94">
        <v>7.88</v>
      </c>
      <c r="GO47" s="4">
        <v>7.71</v>
      </c>
      <c r="GP47" s="4">
        <v>2.9</v>
      </c>
      <c r="GQ47" s="4">
        <v>-1</v>
      </c>
      <c r="GR47" s="4">
        <v>0.61</v>
      </c>
      <c r="GS47" s="4">
        <v>0.62</v>
      </c>
      <c r="GT47" s="4">
        <v>3.68</v>
      </c>
      <c r="GU47" s="4">
        <v>4.2300000000000004</v>
      </c>
      <c r="GV47" s="4">
        <v>551</v>
      </c>
      <c r="GW47" s="4">
        <v>548</v>
      </c>
      <c r="GX47" s="4">
        <v>693</v>
      </c>
      <c r="GY47" s="4">
        <v>637</v>
      </c>
      <c r="GZ47" s="4">
        <v>683</v>
      </c>
      <c r="HA47" s="4">
        <v>602</v>
      </c>
      <c r="HB47" s="4">
        <v>543</v>
      </c>
      <c r="HC47" s="4">
        <v>-1.04</v>
      </c>
      <c r="HD47" s="4">
        <v>-0.14000000000000001</v>
      </c>
      <c r="HE47" s="4">
        <v>7.75</v>
      </c>
      <c r="HF47" s="4">
        <v>7.86</v>
      </c>
      <c r="HG47" s="4">
        <v>7.94</v>
      </c>
      <c r="HH47" s="4">
        <v>8.09</v>
      </c>
      <c r="HI47" s="4">
        <v>8.26</v>
      </c>
      <c r="HJ47" s="4">
        <v>8.39</v>
      </c>
      <c r="HK47" s="4">
        <v>0</v>
      </c>
      <c r="HL47" s="4">
        <v>1.4</v>
      </c>
      <c r="HM47" s="4">
        <v>6.25</v>
      </c>
      <c r="HN47" s="4">
        <v>6.15</v>
      </c>
      <c r="HO47" s="4">
        <v>6.2</v>
      </c>
      <c r="HP47" s="4">
        <v>6.41</v>
      </c>
      <c r="HQ47" s="4">
        <v>6.66</v>
      </c>
      <c r="HR47" s="4">
        <v>6.97</v>
      </c>
      <c r="HS47" s="4">
        <v>0</v>
      </c>
      <c r="HT47" s="104">
        <v>1.4</v>
      </c>
      <c r="IJ47" s="94">
        <f t="shared" si="163"/>
        <v>7.88</v>
      </c>
      <c r="IK47" s="4">
        <f t="shared" si="164"/>
        <v>7.71</v>
      </c>
      <c r="IL47" s="4">
        <f t="shared" si="165"/>
        <v>2.9</v>
      </c>
      <c r="IM47" s="4">
        <f t="shared" si="166"/>
        <v>-1</v>
      </c>
      <c r="IN47" s="4">
        <f t="shared" si="167"/>
        <v>0.61</v>
      </c>
      <c r="IO47" s="4">
        <f t="shared" si="168"/>
        <v>0.62</v>
      </c>
      <c r="IP47" s="4">
        <f t="shared" si="169"/>
        <v>3.68</v>
      </c>
      <c r="IQ47" s="4">
        <f t="shared" si="170"/>
        <v>4.2300000000000004</v>
      </c>
      <c r="IR47" s="4">
        <f t="shared" si="171"/>
        <v>551</v>
      </c>
      <c r="IS47" s="4">
        <f t="shared" si="172"/>
        <v>548</v>
      </c>
      <c r="IT47" s="4">
        <f t="shared" si="173"/>
        <v>693</v>
      </c>
      <c r="IU47" s="4">
        <f t="shared" si="174"/>
        <v>637</v>
      </c>
      <c r="IV47" s="4">
        <f t="shared" si="175"/>
        <v>683</v>
      </c>
      <c r="IW47" s="4">
        <f t="shared" si="176"/>
        <v>602</v>
      </c>
      <c r="IX47" s="4">
        <f t="shared" si="177"/>
        <v>543</v>
      </c>
      <c r="IY47" s="4">
        <f t="shared" si="178"/>
        <v>-1.04</v>
      </c>
      <c r="IZ47" s="4">
        <f t="shared" si="179"/>
        <v>-0.14000000000000001</v>
      </c>
      <c r="JA47" s="4">
        <f t="shared" si="180"/>
        <v>7.75</v>
      </c>
      <c r="JB47" s="4">
        <f t="shared" si="181"/>
        <v>7.86</v>
      </c>
      <c r="JC47" s="4">
        <f t="shared" si="182"/>
        <v>7.94</v>
      </c>
      <c r="JD47" s="4">
        <f t="shared" si="183"/>
        <v>8.09</v>
      </c>
      <c r="JE47" s="4">
        <f t="shared" si="184"/>
        <v>8.26</v>
      </c>
      <c r="JF47" s="4">
        <f t="shared" si="185"/>
        <v>8.39</v>
      </c>
      <c r="JG47" s="4">
        <f t="shared" si="186"/>
        <v>0</v>
      </c>
      <c r="JH47" s="4">
        <f t="shared" si="187"/>
        <v>1.4</v>
      </c>
      <c r="JI47" s="4">
        <f t="shared" si="188"/>
        <v>6.25</v>
      </c>
      <c r="JJ47" s="4">
        <f t="shared" si="189"/>
        <v>6.15</v>
      </c>
      <c r="JK47" s="4">
        <f t="shared" si="190"/>
        <v>6.2</v>
      </c>
      <c r="JL47" s="4">
        <f t="shared" si="191"/>
        <v>6.41</v>
      </c>
      <c r="JM47" s="4">
        <f t="shared" si="192"/>
        <v>6.66</v>
      </c>
      <c r="JN47" s="4">
        <f t="shared" si="193"/>
        <v>6.97</v>
      </c>
      <c r="JO47" s="129">
        <f t="shared" si="194"/>
        <v>0</v>
      </c>
      <c r="JP47" s="122">
        <f t="shared" si="195"/>
        <v>1.4</v>
      </c>
      <c r="JQ47" s="122" t="str">
        <f t="shared" si="196"/>
        <v/>
      </c>
      <c r="JR47" s="122" t="str">
        <f t="shared" si="197"/>
        <v/>
      </c>
      <c r="JS47" s="122" t="str">
        <f t="shared" si="198"/>
        <v/>
      </c>
      <c r="JT47" s="122" t="str">
        <f t="shared" si="199"/>
        <v/>
      </c>
      <c r="JU47" s="122" t="str">
        <f t="shared" si="200"/>
        <v/>
      </c>
      <c r="JV47" s="122" t="str">
        <f t="shared" si="201"/>
        <v/>
      </c>
      <c r="JW47" s="122" t="str">
        <f t="shared" si="202"/>
        <v/>
      </c>
      <c r="JX47" s="122" t="str">
        <f t="shared" si="203"/>
        <v/>
      </c>
      <c r="JY47" s="122" t="str">
        <f t="shared" si="204"/>
        <v/>
      </c>
      <c r="JZ47" s="122" t="str">
        <f t="shared" si="205"/>
        <v/>
      </c>
      <c r="KA47" s="122" t="str">
        <f t="shared" si="206"/>
        <v/>
      </c>
      <c r="KB47" s="122" t="str">
        <f t="shared" si="207"/>
        <v/>
      </c>
      <c r="KC47" s="122" t="str">
        <f t="shared" si="208"/>
        <v/>
      </c>
      <c r="KD47" s="122" t="str">
        <f t="shared" si="209"/>
        <v/>
      </c>
      <c r="KE47" s="133" t="str">
        <f t="shared" si="210"/>
        <v/>
      </c>
      <c r="KF47" s="94" t="str">
        <f t="shared" si="211"/>
        <v/>
      </c>
      <c r="KG47" s="4" t="str">
        <f t="shared" si="212"/>
        <v/>
      </c>
      <c r="KH47" s="4" t="str">
        <f t="shared" si="213"/>
        <v/>
      </c>
      <c r="KI47" s="4" t="str">
        <f t="shared" si="214"/>
        <v/>
      </c>
      <c r="KJ47" s="4" t="str">
        <f t="shared" si="215"/>
        <v/>
      </c>
      <c r="KK47" s="4" t="str">
        <f t="shared" si="216"/>
        <v/>
      </c>
      <c r="KL47" s="4" t="str">
        <f t="shared" si="217"/>
        <v/>
      </c>
      <c r="KM47" s="4" t="str">
        <f t="shared" si="218"/>
        <v/>
      </c>
      <c r="KN47" s="4" t="str">
        <f t="shared" si="219"/>
        <v/>
      </c>
      <c r="KO47" s="4" t="str">
        <f t="shared" si="220"/>
        <v/>
      </c>
      <c r="KP47" s="4" t="str">
        <f t="shared" si="221"/>
        <v/>
      </c>
      <c r="KQ47" s="4" t="str">
        <f t="shared" si="222"/>
        <v/>
      </c>
      <c r="KR47" s="4" t="str">
        <f t="shared" si="223"/>
        <v/>
      </c>
      <c r="KS47" s="4" t="str">
        <f t="shared" si="224"/>
        <v/>
      </c>
      <c r="KT47" s="4" t="str">
        <f t="shared" si="225"/>
        <v/>
      </c>
      <c r="KU47" s="4" t="str">
        <f t="shared" si="226"/>
        <v/>
      </c>
      <c r="KV47" s="4" t="str">
        <f t="shared" si="227"/>
        <v/>
      </c>
      <c r="KW47" s="4" t="str">
        <f t="shared" si="228"/>
        <v/>
      </c>
      <c r="KX47" s="4" t="str">
        <f t="shared" si="229"/>
        <v/>
      </c>
      <c r="KY47" s="4" t="str">
        <f t="shared" si="230"/>
        <v/>
      </c>
      <c r="KZ47" s="4" t="str">
        <f t="shared" si="231"/>
        <v/>
      </c>
      <c r="LA47" s="4" t="str">
        <f t="shared" si="232"/>
        <v/>
      </c>
      <c r="LB47" s="4" t="str">
        <f t="shared" si="233"/>
        <v/>
      </c>
      <c r="LC47" s="4" t="str">
        <f t="shared" si="234"/>
        <v/>
      </c>
      <c r="LD47" s="4" t="str">
        <f t="shared" si="235"/>
        <v/>
      </c>
      <c r="LE47" s="4" t="str">
        <f t="shared" si="236"/>
        <v/>
      </c>
      <c r="LF47" s="4" t="str">
        <f t="shared" si="237"/>
        <v/>
      </c>
      <c r="LG47" s="4" t="str">
        <f t="shared" si="238"/>
        <v/>
      </c>
      <c r="LH47" s="4" t="str">
        <f t="shared" si="239"/>
        <v/>
      </c>
      <c r="LI47" s="4" t="str">
        <f t="shared" si="240"/>
        <v/>
      </c>
      <c r="LJ47" s="4" t="str">
        <f t="shared" si="241"/>
        <v/>
      </c>
      <c r="LK47" s="4" t="str">
        <f t="shared" si="242"/>
        <v/>
      </c>
      <c r="LL47" s="4" t="str">
        <f t="shared" si="243"/>
        <v/>
      </c>
      <c r="LM47" s="4" t="str">
        <f t="shared" si="244"/>
        <v/>
      </c>
      <c r="LN47" s="4" t="str">
        <f t="shared" si="245"/>
        <v/>
      </c>
      <c r="LO47" s="4" t="str">
        <f t="shared" si="246"/>
        <v/>
      </c>
      <c r="LP47" s="4" t="str">
        <f t="shared" si="247"/>
        <v/>
      </c>
      <c r="LQ47" s="4" t="str">
        <f t="shared" si="248"/>
        <v/>
      </c>
      <c r="LR47" s="4" t="str">
        <f t="shared" si="249"/>
        <v/>
      </c>
      <c r="LS47" s="4" t="str">
        <f t="shared" si="250"/>
        <v/>
      </c>
      <c r="LT47" s="4" t="str">
        <f t="shared" si="251"/>
        <v/>
      </c>
      <c r="LU47" s="4" t="str">
        <f t="shared" si="252"/>
        <v/>
      </c>
      <c r="LV47" s="4" t="str">
        <f t="shared" si="253"/>
        <v/>
      </c>
      <c r="LW47" s="4" t="str">
        <f t="shared" si="254"/>
        <v/>
      </c>
      <c r="LX47" s="4" t="str">
        <f t="shared" si="255"/>
        <v/>
      </c>
      <c r="LY47" s="4" t="str">
        <f t="shared" si="256"/>
        <v/>
      </c>
      <c r="LZ47" s="4" t="str">
        <f t="shared" si="257"/>
        <v/>
      </c>
      <c r="MA47" s="4" t="str">
        <f t="shared" si="258"/>
        <v/>
      </c>
      <c r="MB47" s="4" t="str">
        <f t="shared" si="259"/>
        <v/>
      </c>
      <c r="MC47" s="4" t="str">
        <f t="shared" si="260"/>
        <v/>
      </c>
      <c r="MD47" s="4" t="str">
        <f t="shared" si="261"/>
        <v/>
      </c>
      <c r="ME47" s="4">
        <f t="shared" si="262"/>
        <v>0</v>
      </c>
    </row>
    <row r="48" spans="1:343" ht="26.25" customHeight="1" thickBot="1" x14ac:dyDescent="0.25">
      <c r="A48" s="35">
        <v>41192</v>
      </c>
      <c r="B48" s="36" t="s">
        <v>149</v>
      </c>
      <c r="C48" s="36" t="s">
        <v>86</v>
      </c>
      <c r="D48" s="31" t="s">
        <v>111</v>
      </c>
      <c r="E48" s="4">
        <v>59</v>
      </c>
      <c r="F48" s="35">
        <v>19557</v>
      </c>
      <c r="G48" s="36" t="s">
        <v>87</v>
      </c>
      <c r="H48" s="36" t="s">
        <v>112</v>
      </c>
      <c r="I48" s="36">
        <v>1831459</v>
      </c>
      <c r="J48" s="4" t="s">
        <v>310</v>
      </c>
      <c r="K48" s="80"/>
      <c r="L48" s="81"/>
      <c r="M48" s="81"/>
      <c r="N48" s="81"/>
      <c r="O48" s="81"/>
      <c r="P48" s="33">
        <v>-0.5</v>
      </c>
      <c r="Q48" s="4">
        <v>-0.53</v>
      </c>
      <c r="R48" s="4" t="s">
        <v>249</v>
      </c>
      <c r="S48" s="67">
        <v>14</v>
      </c>
      <c r="T48" s="136">
        <v>41117</v>
      </c>
      <c r="U48" s="67">
        <v>-5.25</v>
      </c>
      <c r="V48" s="67">
        <v>1.75</v>
      </c>
      <c r="W48" s="4">
        <v>91</v>
      </c>
      <c r="X48" s="4">
        <v>25</v>
      </c>
      <c r="Y48" s="4">
        <v>15</v>
      </c>
      <c r="Z48" s="4">
        <v>586</v>
      </c>
      <c r="AA48" s="4">
        <v>25.84</v>
      </c>
      <c r="AD48" s="4">
        <v>3.62</v>
      </c>
      <c r="AE48" s="4">
        <v>43.49</v>
      </c>
      <c r="AF48" s="4">
        <v>170</v>
      </c>
      <c r="AG48" s="4">
        <v>44.47</v>
      </c>
      <c r="AH48" s="4">
        <v>80</v>
      </c>
      <c r="AI48" s="4">
        <v>0</v>
      </c>
      <c r="AJ48" s="4" t="b">
        <f t="shared" si="133"/>
        <v>0</v>
      </c>
      <c r="AL48" s="32">
        <v>41366</v>
      </c>
      <c r="AM48" s="60"/>
      <c r="AN48" s="67">
        <v>0</v>
      </c>
      <c r="AO48" s="67">
        <v>0.75</v>
      </c>
      <c r="AP48" s="4">
        <v>55</v>
      </c>
      <c r="AQ48" s="4">
        <v>25</v>
      </c>
      <c r="AR48" s="4">
        <v>14</v>
      </c>
      <c r="AS48" s="4">
        <v>537</v>
      </c>
      <c r="AT48" s="4">
        <v>2674</v>
      </c>
      <c r="BA48" s="4">
        <f t="shared" si="134"/>
        <v>0.375</v>
      </c>
      <c r="BB48" s="4">
        <f t="shared" si="135"/>
        <v>0.90500000000000003</v>
      </c>
      <c r="BC48" s="4">
        <f t="shared" si="136"/>
        <v>-49</v>
      </c>
      <c r="BD48" s="3">
        <v>41551</v>
      </c>
      <c r="BE48" s="56">
        <v>40</v>
      </c>
      <c r="BF48" s="67">
        <v>0</v>
      </c>
      <c r="BG48" s="67">
        <v>1</v>
      </c>
      <c r="BH48" s="4">
        <v>65</v>
      </c>
      <c r="BI48" s="4">
        <v>30</v>
      </c>
      <c r="BJ48" s="4">
        <v>16</v>
      </c>
      <c r="BK48" s="4">
        <v>551</v>
      </c>
      <c r="BL48" s="4">
        <v>2618</v>
      </c>
      <c r="BM48" s="4">
        <v>25.74</v>
      </c>
      <c r="BN48" s="4">
        <v>4.28</v>
      </c>
      <c r="BO48" s="4">
        <v>42.56</v>
      </c>
      <c r="BP48" s="4">
        <v>169</v>
      </c>
      <c r="BQ48" s="4">
        <v>43.83</v>
      </c>
      <c r="BR48" s="4">
        <v>79</v>
      </c>
      <c r="BS48" s="4">
        <f t="shared" si="137"/>
        <v>0.5</v>
      </c>
      <c r="BT48" s="4">
        <f t="shared" si="138"/>
        <v>1.03</v>
      </c>
      <c r="BU48" s="4">
        <f t="shared" si="139"/>
        <v>-35</v>
      </c>
      <c r="BV48" s="4">
        <f>IF(AND(ISBLANK(SPH_6),ISBLANK(SPH_12)),0,1)</f>
        <v>1</v>
      </c>
      <c r="BW48" s="4">
        <f t="shared" si="140"/>
        <v>1</v>
      </c>
      <c r="BX48" s="4">
        <f t="shared" si="141"/>
        <v>-4.375</v>
      </c>
      <c r="BY48" s="4">
        <f t="shared" si="142"/>
        <v>0.375</v>
      </c>
      <c r="BZ48" s="4">
        <f t="shared" si="143"/>
        <v>0.5</v>
      </c>
      <c r="CA48" s="53">
        <f t="shared" si="144"/>
        <v>359</v>
      </c>
      <c r="CB48" s="55">
        <f t="shared" si="145"/>
        <v>11.966666666666667</v>
      </c>
      <c r="CC48" s="4">
        <f t="shared" si="146"/>
        <v>0.125</v>
      </c>
      <c r="CD48" s="4" t="str">
        <f t="shared" si="147"/>
        <v/>
      </c>
      <c r="CE48" s="4">
        <f t="shared" si="148"/>
        <v>-0.78500000000000369</v>
      </c>
      <c r="CF48" s="4">
        <f t="shared" si="149"/>
        <v>-0.78500000000000369</v>
      </c>
      <c r="CG48" s="4">
        <f t="shared" si="263"/>
        <v>-4.375</v>
      </c>
      <c r="CH48" s="4">
        <f t="shared" si="150"/>
        <v>0.5</v>
      </c>
      <c r="CI48" s="104">
        <f t="shared" si="151"/>
        <v>1.03</v>
      </c>
      <c r="CJ48" s="94">
        <f t="shared" si="152"/>
        <v>-35</v>
      </c>
      <c r="CK48" s="4">
        <f t="shared" si="153"/>
        <v>-0.10000000000000142</v>
      </c>
      <c r="CL48" s="107">
        <f t="shared" si="154"/>
        <v>-0.53</v>
      </c>
      <c r="CM48" s="107">
        <f t="shared" si="264"/>
        <v>-7.9181246047624873E-2</v>
      </c>
      <c r="CN48" s="139">
        <f t="shared" si="155"/>
        <v>1</v>
      </c>
      <c r="CO48" s="139">
        <f t="shared" si="156"/>
        <v>-0.75</v>
      </c>
      <c r="CP48" s="149">
        <f t="shared" si="157"/>
        <v>30</v>
      </c>
      <c r="CQ48" s="149">
        <f t="shared" si="158"/>
        <v>25</v>
      </c>
      <c r="CR48" s="148">
        <f t="shared" si="159"/>
        <v>40</v>
      </c>
      <c r="CS48" s="152">
        <f t="shared" si="160"/>
        <v>1</v>
      </c>
      <c r="CT48" s="107">
        <f t="shared" si="161"/>
        <v>0</v>
      </c>
      <c r="CU48" s="155" t="b">
        <f t="shared" si="162"/>
        <v>0</v>
      </c>
      <c r="CV48">
        <v>7.91</v>
      </c>
      <c r="CW48" s="4">
        <v>7.75</v>
      </c>
      <c r="CX48" s="4">
        <v>165.5</v>
      </c>
      <c r="CY48" s="4">
        <v>-0.9</v>
      </c>
      <c r="CZ48" s="4">
        <v>0.15</v>
      </c>
      <c r="DA48" s="4">
        <v>0.51</v>
      </c>
      <c r="DB48" s="4">
        <v>3.09</v>
      </c>
      <c r="DC48" s="4">
        <v>3.73</v>
      </c>
      <c r="DD48" s="4">
        <v>645</v>
      </c>
      <c r="DE48" s="4">
        <v>647</v>
      </c>
      <c r="DF48" s="4">
        <v>630</v>
      </c>
      <c r="DG48" s="4">
        <v>667</v>
      </c>
      <c r="DH48" s="4">
        <v>629</v>
      </c>
      <c r="DI48" s="4">
        <v>653</v>
      </c>
      <c r="DJ48" s="4">
        <v>559</v>
      </c>
      <c r="DK48" s="4">
        <v>-3.14</v>
      </c>
      <c r="DL48" s="4">
        <v>-3.14</v>
      </c>
      <c r="DM48" s="4">
        <v>7.83</v>
      </c>
      <c r="DN48" s="4">
        <v>7.8</v>
      </c>
      <c r="DO48" s="4">
        <v>7.82</v>
      </c>
      <c r="DP48" s="4">
        <v>7.98</v>
      </c>
      <c r="DQ48" s="4">
        <v>8.34</v>
      </c>
      <c r="DR48" s="4">
        <v>8.84</v>
      </c>
      <c r="DS48" s="4">
        <v>0</v>
      </c>
      <c r="DT48" s="4">
        <v>0.5</v>
      </c>
      <c r="DU48" s="4">
        <v>7.69</v>
      </c>
      <c r="DV48" s="4">
        <v>7.32</v>
      </c>
      <c r="DW48" s="4">
        <v>7.13</v>
      </c>
      <c r="DX48" s="4">
        <v>7.14</v>
      </c>
      <c r="DY48" s="4">
        <v>7.47</v>
      </c>
      <c r="DZ48" s="4">
        <v>7.64</v>
      </c>
      <c r="EA48" s="4">
        <v>0</v>
      </c>
      <c r="EB48" s="100">
        <v>0.5</v>
      </c>
      <c r="EC48" s="122">
        <v>42.7</v>
      </c>
      <c r="ED48" s="122">
        <v>43.5</v>
      </c>
      <c r="EE48" s="122">
        <v>43.1</v>
      </c>
      <c r="EF48" s="122">
        <v>165.5</v>
      </c>
      <c r="EG48" s="122">
        <v>0.9</v>
      </c>
      <c r="EH48" s="122">
        <v>-4.9000000000000004</v>
      </c>
      <c r="EI48" s="122">
        <v>-5.6</v>
      </c>
      <c r="EJ48" s="122">
        <v>-5.2</v>
      </c>
      <c r="EK48" s="122">
        <v>140.1</v>
      </c>
      <c r="EL48" s="122">
        <v>0.6</v>
      </c>
      <c r="EM48" s="122">
        <v>4.5</v>
      </c>
      <c r="EN48" s="122">
        <v>12.8</v>
      </c>
      <c r="EO48" s="122">
        <v>26</v>
      </c>
      <c r="EP48" s="122">
        <v>58.4</v>
      </c>
      <c r="EQ48" s="126">
        <v>16</v>
      </c>
      <c r="GN48" s="94">
        <v>7.96</v>
      </c>
      <c r="GO48" s="4">
        <v>7.72</v>
      </c>
      <c r="GP48" s="4">
        <v>171.4</v>
      </c>
      <c r="GQ48" s="4">
        <v>-1.3</v>
      </c>
      <c r="GR48" s="4">
        <v>0.47</v>
      </c>
      <c r="GS48" s="4">
        <v>0.5</v>
      </c>
      <c r="GT48" s="4">
        <v>3.98</v>
      </c>
      <c r="GU48" s="4">
        <v>4.51</v>
      </c>
      <c r="GV48" s="4">
        <v>528</v>
      </c>
      <c r="GW48" s="4">
        <v>528</v>
      </c>
      <c r="GX48" s="4">
        <v>636</v>
      </c>
      <c r="GY48" s="4">
        <v>579</v>
      </c>
      <c r="GZ48" s="4">
        <v>594</v>
      </c>
      <c r="HA48" s="4">
        <v>609</v>
      </c>
      <c r="HB48" s="4">
        <v>520</v>
      </c>
      <c r="HC48" s="4">
        <v>-0.69</v>
      </c>
      <c r="HD48" s="4">
        <v>-0.9</v>
      </c>
      <c r="HE48" s="4">
        <v>7.85</v>
      </c>
      <c r="HF48" s="4">
        <v>7.81</v>
      </c>
      <c r="HG48" s="4">
        <v>7.85</v>
      </c>
      <c r="HH48" s="4">
        <v>7.99</v>
      </c>
      <c r="HI48" s="4">
        <v>8.3000000000000007</v>
      </c>
      <c r="HJ48" s="4">
        <v>8.65</v>
      </c>
      <c r="HK48" s="4">
        <v>0</v>
      </c>
      <c r="HL48" s="4">
        <v>1.1000000000000001</v>
      </c>
      <c r="HM48" s="4">
        <v>6.58</v>
      </c>
      <c r="HN48" s="4">
        <v>6.48</v>
      </c>
      <c r="HO48" s="4">
        <v>6.6</v>
      </c>
      <c r="HP48" s="4">
        <v>6.99</v>
      </c>
      <c r="HQ48" s="4">
        <v>7.41</v>
      </c>
      <c r="HR48" s="4">
        <v>7.63</v>
      </c>
      <c r="HS48" s="4">
        <v>0</v>
      </c>
      <c r="HT48" s="104">
        <v>1.1000000000000001</v>
      </c>
      <c r="HU48" s="122">
        <v>42.4</v>
      </c>
      <c r="HV48" s="122">
        <v>43.7</v>
      </c>
      <c r="HW48" s="122">
        <v>43.1</v>
      </c>
      <c r="HX48" s="122">
        <v>171.4</v>
      </c>
      <c r="HY48" s="122">
        <v>1.3</v>
      </c>
      <c r="HZ48" s="122">
        <v>-6</v>
      </c>
      <c r="IA48" s="122">
        <v>-6.3</v>
      </c>
      <c r="IB48" s="122">
        <v>-6.2</v>
      </c>
      <c r="IC48" s="122">
        <v>17.3</v>
      </c>
      <c r="ID48" s="122">
        <v>0.3</v>
      </c>
      <c r="IE48" s="122">
        <v>3.8</v>
      </c>
      <c r="IF48" s="122">
        <v>11.1</v>
      </c>
      <c r="IG48" s="122">
        <v>23.7</v>
      </c>
      <c r="IH48" s="122">
        <v>56.1</v>
      </c>
      <c r="II48" s="133">
        <v>19</v>
      </c>
      <c r="IJ48" s="94">
        <f t="shared" si="163"/>
        <v>7.96</v>
      </c>
      <c r="IK48" s="4">
        <f t="shared" si="164"/>
        <v>7.72</v>
      </c>
      <c r="IL48" s="4">
        <f t="shared" si="165"/>
        <v>171.4</v>
      </c>
      <c r="IM48" s="4">
        <f t="shared" si="166"/>
        <v>-1.3</v>
      </c>
      <c r="IN48" s="4">
        <f t="shared" si="167"/>
        <v>0.47</v>
      </c>
      <c r="IO48" s="4">
        <f t="shared" si="168"/>
        <v>0.5</v>
      </c>
      <c r="IP48" s="4">
        <f t="shared" si="169"/>
        <v>3.98</v>
      </c>
      <c r="IQ48" s="4">
        <f t="shared" si="170"/>
        <v>4.51</v>
      </c>
      <c r="IR48" s="4">
        <f t="shared" si="171"/>
        <v>528</v>
      </c>
      <c r="IS48" s="4">
        <f t="shared" si="172"/>
        <v>528</v>
      </c>
      <c r="IT48" s="4">
        <f t="shared" si="173"/>
        <v>636</v>
      </c>
      <c r="IU48" s="4">
        <f t="shared" si="174"/>
        <v>579</v>
      </c>
      <c r="IV48" s="4">
        <f t="shared" si="175"/>
        <v>594</v>
      </c>
      <c r="IW48" s="4">
        <f t="shared" si="176"/>
        <v>609</v>
      </c>
      <c r="IX48" s="4">
        <f t="shared" si="177"/>
        <v>520</v>
      </c>
      <c r="IY48" s="4">
        <f t="shared" si="178"/>
        <v>-0.69</v>
      </c>
      <c r="IZ48" s="4">
        <f t="shared" si="179"/>
        <v>-0.9</v>
      </c>
      <c r="JA48" s="4">
        <f t="shared" si="180"/>
        <v>7.85</v>
      </c>
      <c r="JB48" s="4">
        <f t="shared" si="181"/>
        <v>7.81</v>
      </c>
      <c r="JC48" s="4">
        <f t="shared" si="182"/>
        <v>7.85</v>
      </c>
      <c r="JD48" s="4">
        <f t="shared" si="183"/>
        <v>7.99</v>
      </c>
      <c r="JE48" s="4">
        <f t="shared" si="184"/>
        <v>8.3000000000000007</v>
      </c>
      <c r="JF48" s="4">
        <f t="shared" si="185"/>
        <v>8.65</v>
      </c>
      <c r="JG48" s="4">
        <f t="shared" si="186"/>
        <v>0</v>
      </c>
      <c r="JH48" s="4">
        <f t="shared" si="187"/>
        <v>1.1000000000000001</v>
      </c>
      <c r="JI48" s="4">
        <f t="shared" si="188"/>
        <v>6.58</v>
      </c>
      <c r="JJ48" s="4">
        <f t="shared" si="189"/>
        <v>6.48</v>
      </c>
      <c r="JK48" s="4">
        <f t="shared" si="190"/>
        <v>6.6</v>
      </c>
      <c r="JL48" s="4">
        <f t="shared" si="191"/>
        <v>6.99</v>
      </c>
      <c r="JM48" s="4">
        <f t="shared" si="192"/>
        <v>7.41</v>
      </c>
      <c r="JN48" s="4">
        <f t="shared" si="193"/>
        <v>7.63</v>
      </c>
      <c r="JO48" s="129">
        <f t="shared" si="194"/>
        <v>0</v>
      </c>
      <c r="JP48" s="122">
        <f t="shared" si="195"/>
        <v>1.1000000000000001</v>
      </c>
      <c r="JQ48" s="122">
        <f t="shared" si="196"/>
        <v>42.4</v>
      </c>
      <c r="JR48" s="122">
        <f t="shared" si="197"/>
        <v>43.7</v>
      </c>
      <c r="JS48" s="122">
        <f t="shared" si="198"/>
        <v>43.1</v>
      </c>
      <c r="JT48" s="122">
        <f t="shared" si="199"/>
        <v>171.4</v>
      </c>
      <c r="JU48" s="122">
        <f t="shared" si="200"/>
        <v>1.3</v>
      </c>
      <c r="JV48" s="122">
        <f t="shared" si="201"/>
        <v>-6</v>
      </c>
      <c r="JW48" s="122">
        <f t="shared" si="202"/>
        <v>-6.3</v>
      </c>
      <c r="JX48" s="122">
        <f t="shared" si="203"/>
        <v>-6.2</v>
      </c>
      <c r="JY48" s="122">
        <f t="shared" si="204"/>
        <v>17.3</v>
      </c>
      <c r="JZ48" s="122">
        <f t="shared" si="205"/>
        <v>0.3</v>
      </c>
      <c r="KA48" s="122">
        <f t="shared" si="206"/>
        <v>3.8</v>
      </c>
      <c r="KB48" s="122">
        <f t="shared" si="207"/>
        <v>11.1</v>
      </c>
      <c r="KC48" s="122">
        <f t="shared" si="208"/>
        <v>23.7</v>
      </c>
      <c r="KD48" s="122">
        <f t="shared" si="209"/>
        <v>56.1</v>
      </c>
      <c r="KE48" s="133">
        <f t="shared" si="210"/>
        <v>19</v>
      </c>
      <c r="KF48" s="94">
        <f t="shared" si="211"/>
        <v>4.9999999999999822E-2</v>
      </c>
      <c r="KG48" s="4">
        <f t="shared" si="212"/>
        <v>-3.0000000000000249E-2</v>
      </c>
      <c r="KH48" s="4">
        <f t="shared" si="213"/>
        <v>5.9000000000000057</v>
      </c>
      <c r="KI48" s="4">
        <f t="shared" si="214"/>
        <v>-0.4</v>
      </c>
      <c r="KJ48" s="4">
        <f t="shared" si="215"/>
        <v>0.31999999999999995</v>
      </c>
      <c r="KK48" s="4">
        <f t="shared" si="216"/>
        <v>-1.0000000000000009E-2</v>
      </c>
      <c r="KL48" s="4">
        <f t="shared" si="217"/>
        <v>0.89000000000000012</v>
      </c>
      <c r="KM48" s="4">
        <f t="shared" si="218"/>
        <v>0.7799999999999998</v>
      </c>
      <c r="KN48" s="4">
        <f t="shared" si="219"/>
        <v>-117</v>
      </c>
      <c r="KO48" s="4">
        <f t="shared" si="220"/>
        <v>-119</v>
      </c>
      <c r="KP48" s="4">
        <f t="shared" si="221"/>
        <v>6</v>
      </c>
      <c r="KQ48" s="4">
        <f t="shared" si="222"/>
        <v>-88</v>
      </c>
      <c r="KR48" s="4">
        <f t="shared" si="223"/>
        <v>-35</v>
      </c>
      <c r="KS48" s="4">
        <f t="shared" si="224"/>
        <v>-44</v>
      </c>
      <c r="KT48" s="4">
        <f t="shared" si="225"/>
        <v>-39</v>
      </c>
      <c r="KU48" s="4">
        <f t="shared" si="226"/>
        <v>2.4500000000000002</v>
      </c>
      <c r="KV48" s="4">
        <f t="shared" si="227"/>
        <v>2.2400000000000002</v>
      </c>
      <c r="KW48" s="4">
        <f t="shared" si="228"/>
        <v>1.9999999999999574E-2</v>
      </c>
      <c r="KX48" s="4">
        <f t="shared" si="229"/>
        <v>9.9999999999997868E-3</v>
      </c>
      <c r="KY48" s="4">
        <f t="shared" si="230"/>
        <v>2.9999999999999361E-2</v>
      </c>
      <c r="KZ48" s="4">
        <f t="shared" si="231"/>
        <v>9.9999999999997868E-3</v>
      </c>
      <c r="LA48" s="4">
        <f t="shared" si="232"/>
        <v>-3.9999999999999147E-2</v>
      </c>
      <c r="LB48" s="4">
        <f t="shared" si="233"/>
        <v>-0.1899999999999995</v>
      </c>
      <c r="LC48" s="4">
        <f t="shared" si="234"/>
        <v>0</v>
      </c>
      <c r="LD48" s="4">
        <f t="shared" si="235"/>
        <v>0.60000000000000009</v>
      </c>
      <c r="LE48" s="4">
        <f t="shared" si="236"/>
        <v>-1.1100000000000003</v>
      </c>
      <c r="LF48" s="4">
        <f t="shared" si="237"/>
        <v>-0.83999999999999986</v>
      </c>
      <c r="LG48" s="4">
        <f t="shared" si="238"/>
        <v>-0.53000000000000025</v>
      </c>
      <c r="LH48" s="4">
        <f t="shared" si="239"/>
        <v>-0.14999999999999947</v>
      </c>
      <c r="LI48" s="4">
        <f t="shared" si="240"/>
        <v>-5.9999999999999609E-2</v>
      </c>
      <c r="LJ48" s="4">
        <f t="shared" si="241"/>
        <v>-9.9999999999997868E-3</v>
      </c>
      <c r="LK48" s="4">
        <f t="shared" si="242"/>
        <v>0</v>
      </c>
      <c r="LL48" s="4">
        <f t="shared" si="243"/>
        <v>0.60000000000000009</v>
      </c>
      <c r="LM48" s="4">
        <f t="shared" si="244"/>
        <v>-0.30000000000000426</v>
      </c>
      <c r="LN48" s="4">
        <f t="shared" si="245"/>
        <v>0.20000000000000284</v>
      </c>
      <c r="LO48" s="4">
        <f t="shared" si="246"/>
        <v>0</v>
      </c>
      <c r="LP48" s="4">
        <f t="shared" si="247"/>
        <v>5.9000000000000057</v>
      </c>
      <c r="LQ48" s="4">
        <f t="shared" si="248"/>
        <v>0.4</v>
      </c>
      <c r="LR48" s="4">
        <f t="shared" si="249"/>
        <v>-1.0999999999999996</v>
      </c>
      <c r="LS48" s="4">
        <f t="shared" si="250"/>
        <v>-0.70000000000000018</v>
      </c>
      <c r="LT48" s="4">
        <f t="shared" si="251"/>
        <v>-1</v>
      </c>
      <c r="LU48" s="4">
        <f t="shared" si="252"/>
        <v>-122.8</v>
      </c>
      <c r="LV48" s="4">
        <f t="shared" si="253"/>
        <v>-0.3</v>
      </c>
      <c r="LW48" s="4">
        <f t="shared" si="254"/>
        <v>-0.70000000000000018</v>
      </c>
      <c r="LX48" s="4">
        <f t="shared" si="255"/>
        <v>-1.7000000000000011</v>
      </c>
      <c r="LY48" s="4">
        <f t="shared" si="256"/>
        <v>-2.3000000000000007</v>
      </c>
      <c r="LZ48" s="4">
        <f t="shared" si="257"/>
        <v>-2.2999999999999972</v>
      </c>
      <c r="MA48" s="4">
        <f t="shared" si="258"/>
        <v>3</v>
      </c>
      <c r="MB48" s="4" t="str">
        <f t="shared" si="259"/>
        <v/>
      </c>
      <c r="MC48" s="4" t="str">
        <f t="shared" si="260"/>
        <v/>
      </c>
      <c r="MD48" s="4" t="str">
        <f t="shared" si="261"/>
        <v/>
      </c>
      <c r="ME48" s="4">
        <f t="shared" si="262"/>
        <v>-6.3</v>
      </c>
    </row>
    <row r="49" spans="1:343" ht="26.25" customHeight="1" thickBot="1" x14ac:dyDescent="0.25">
      <c r="A49" s="35">
        <v>41199</v>
      </c>
      <c r="B49" s="36" t="s">
        <v>239</v>
      </c>
      <c r="C49" s="36" t="s">
        <v>240</v>
      </c>
      <c r="D49" s="31" t="s">
        <v>111</v>
      </c>
      <c r="E49" s="4">
        <v>72</v>
      </c>
      <c r="F49" s="3">
        <v>14857</v>
      </c>
      <c r="G49" s="4" t="s">
        <v>87</v>
      </c>
      <c r="H49" s="4" t="s">
        <v>108</v>
      </c>
      <c r="I49" s="4">
        <v>1831717</v>
      </c>
      <c r="J49" s="4" t="s">
        <v>310</v>
      </c>
      <c r="P49" s="33">
        <v>-0.5</v>
      </c>
      <c r="Q49" s="33">
        <v>-0.55000000000000004</v>
      </c>
      <c r="R49" s="4" t="s">
        <v>249</v>
      </c>
      <c r="S49" s="67">
        <v>17.75</v>
      </c>
      <c r="T49" s="136">
        <v>41149</v>
      </c>
      <c r="U49" s="67">
        <v>-3.5</v>
      </c>
      <c r="V49" s="67">
        <v>0.25</v>
      </c>
      <c r="W49" s="4">
        <v>75</v>
      </c>
      <c r="X49" s="4">
        <v>25</v>
      </c>
      <c r="Y49" s="4">
        <v>16</v>
      </c>
      <c r="Z49" s="4">
        <v>613</v>
      </c>
      <c r="AA49" s="4">
        <v>24.03</v>
      </c>
      <c r="AD49" s="4">
        <v>3.06</v>
      </c>
      <c r="AE49" s="4">
        <v>44.82</v>
      </c>
      <c r="AF49" s="4">
        <v>170</v>
      </c>
      <c r="AG49" s="4">
        <v>45.42</v>
      </c>
      <c r="AH49" s="4">
        <v>80</v>
      </c>
      <c r="AI49" s="4">
        <v>1</v>
      </c>
      <c r="AJ49" s="4" t="b">
        <f t="shared" si="133"/>
        <v>1</v>
      </c>
      <c r="AK49" s="54"/>
      <c r="AL49" s="37">
        <v>41373</v>
      </c>
      <c r="AM49" s="59"/>
      <c r="AN49" s="67">
        <v>-1.25</v>
      </c>
      <c r="AO49" s="67">
        <v>0.5</v>
      </c>
      <c r="AP49" s="4">
        <v>165</v>
      </c>
      <c r="AQ49" s="4">
        <v>25</v>
      </c>
      <c r="AR49" s="4">
        <v>9</v>
      </c>
      <c r="AS49" s="4">
        <v>562</v>
      </c>
      <c r="AT49" s="4">
        <v>2591</v>
      </c>
      <c r="BA49" s="4">
        <f t="shared" si="134"/>
        <v>-1</v>
      </c>
      <c r="BB49" s="4">
        <f t="shared" si="135"/>
        <v>-0.44999999999999996</v>
      </c>
      <c r="BC49" s="4">
        <f t="shared" si="136"/>
        <v>-51</v>
      </c>
      <c r="BD49" s="3">
        <v>41562</v>
      </c>
      <c r="BF49" s="67">
        <v>-0.5</v>
      </c>
      <c r="BG49" s="67">
        <v>0</v>
      </c>
      <c r="BH49" s="4">
        <v>0</v>
      </c>
      <c r="BI49" s="4">
        <v>20</v>
      </c>
      <c r="BJ49" s="4">
        <v>11</v>
      </c>
      <c r="BK49" s="4">
        <v>538</v>
      </c>
      <c r="BL49" s="4">
        <v>2227</v>
      </c>
      <c r="BM49" s="4">
        <v>24.09</v>
      </c>
      <c r="BN49" s="4">
        <v>4.22</v>
      </c>
      <c r="BO49" s="4">
        <v>44.47</v>
      </c>
      <c r="BP49" s="4">
        <v>152</v>
      </c>
      <c r="BQ49" s="4">
        <v>45.06</v>
      </c>
      <c r="BR49" s="4">
        <v>62</v>
      </c>
      <c r="BS49" s="4">
        <f t="shared" si="137"/>
        <v>-0.5</v>
      </c>
      <c r="BT49" s="4">
        <f t="shared" si="138"/>
        <v>5.0000000000000044E-2</v>
      </c>
      <c r="BU49" s="4">
        <f t="shared" si="139"/>
        <v>-75</v>
      </c>
      <c r="BV49" s="4">
        <f>IF(AND(ISBLANK(SPH_6),ISBLANK(SPH_12)),0,1)</f>
        <v>1</v>
      </c>
      <c r="BW49" s="4">
        <f t="shared" si="140"/>
        <v>1</v>
      </c>
      <c r="BX49" s="4">
        <f t="shared" si="141"/>
        <v>-3.375</v>
      </c>
      <c r="BY49" s="4">
        <f t="shared" si="142"/>
        <v>-1</v>
      </c>
      <c r="BZ49" s="4">
        <f t="shared" si="143"/>
        <v>-0.5</v>
      </c>
      <c r="CA49" s="53">
        <f t="shared" si="144"/>
        <v>363</v>
      </c>
      <c r="CB49" s="55">
        <f t="shared" si="145"/>
        <v>12.1</v>
      </c>
      <c r="CC49" s="4">
        <f t="shared" si="146"/>
        <v>0.5</v>
      </c>
      <c r="CD49" s="4" t="str">
        <f t="shared" si="147"/>
        <v/>
      </c>
      <c r="CE49" s="4">
        <f t="shared" si="148"/>
        <v>-0.35500000000000398</v>
      </c>
      <c r="CF49" s="4">
        <f t="shared" si="149"/>
        <v>-0.35500000000000398</v>
      </c>
      <c r="CG49" s="4">
        <f t="shared" si="263"/>
        <v>-3.375</v>
      </c>
      <c r="CH49" s="4">
        <f t="shared" si="150"/>
        <v>-0.5</v>
      </c>
      <c r="CI49" s="104">
        <f t="shared" si="151"/>
        <v>5.0000000000000044E-2</v>
      </c>
      <c r="CJ49" s="94">
        <f t="shared" si="152"/>
        <v>-75</v>
      </c>
      <c r="CK49" s="4">
        <f t="shared" si="153"/>
        <v>5.9999999999998721E-2</v>
      </c>
      <c r="CL49" s="107">
        <f t="shared" si="154"/>
        <v>-0.55000000000000004</v>
      </c>
      <c r="CM49" s="107">
        <f t="shared" si="264"/>
        <v>9.6910013008056392E-2</v>
      </c>
      <c r="CN49" s="139">
        <f t="shared" si="155"/>
        <v>0</v>
      </c>
      <c r="CO49" s="139">
        <f t="shared" si="156"/>
        <v>-0.25</v>
      </c>
      <c r="CP49" s="149">
        <f t="shared" si="157"/>
        <v>20</v>
      </c>
      <c r="CQ49" s="149">
        <f t="shared" si="158"/>
        <v>25</v>
      </c>
      <c r="CR49" s="148" t="str">
        <f t="shared" si="159"/>
        <v/>
      </c>
      <c r="CS49" s="152">
        <f t="shared" si="160"/>
        <v>1</v>
      </c>
      <c r="CT49" s="107">
        <f t="shared" si="161"/>
        <v>0</v>
      </c>
      <c r="CU49" s="155" t="b">
        <f t="shared" si="162"/>
        <v>0</v>
      </c>
      <c r="CV49">
        <v>7.71</v>
      </c>
      <c r="CW49" s="4">
        <v>7.61</v>
      </c>
      <c r="CX49" s="4">
        <v>176</v>
      </c>
      <c r="CY49" s="4">
        <v>-0.6</v>
      </c>
      <c r="CZ49" s="4">
        <v>0.54</v>
      </c>
      <c r="DA49" s="4">
        <v>0.68</v>
      </c>
      <c r="DB49" s="4">
        <v>2.4300000000000002</v>
      </c>
      <c r="DC49" s="4">
        <v>3.02</v>
      </c>
      <c r="DD49" s="4">
        <v>596</v>
      </c>
      <c r="DE49" s="4">
        <v>598</v>
      </c>
      <c r="DF49" s="4">
        <v>669</v>
      </c>
      <c r="DG49" s="4">
        <v>662</v>
      </c>
      <c r="DH49" s="4">
        <v>658</v>
      </c>
      <c r="DI49" s="4">
        <v>656</v>
      </c>
      <c r="DJ49" s="4">
        <v>588</v>
      </c>
      <c r="DK49" s="4">
        <v>-0.68</v>
      </c>
      <c r="DL49" s="4">
        <v>0.61</v>
      </c>
      <c r="DM49" s="4">
        <v>7.66</v>
      </c>
      <c r="DN49" s="4">
        <v>7.64</v>
      </c>
      <c r="DO49" s="4">
        <v>7.72</v>
      </c>
      <c r="DP49" s="4">
        <v>7.95</v>
      </c>
      <c r="DQ49" s="4">
        <v>8.2799999999999994</v>
      </c>
      <c r="DR49" s="4">
        <v>8.61</v>
      </c>
      <c r="DS49" s="4">
        <v>0</v>
      </c>
      <c r="DT49" s="4">
        <v>1.2</v>
      </c>
      <c r="DU49" s="4">
        <v>6.43</v>
      </c>
      <c r="DV49" s="4">
        <v>6.43</v>
      </c>
      <c r="DW49" s="4">
        <v>6.63</v>
      </c>
      <c r="DX49" s="4">
        <v>6.89</v>
      </c>
      <c r="DY49" s="4">
        <v>7.05</v>
      </c>
      <c r="DZ49" s="4">
        <v>0</v>
      </c>
      <c r="EA49" s="4">
        <v>0</v>
      </c>
      <c r="EB49" s="100">
        <v>1.2</v>
      </c>
      <c r="EC49" s="122">
        <v>43.8</v>
      </c>
      <c r="ED49" s="122">
        <v>44.4</v>
      </c>
      <c r="EE49" s="122">
        <v>44.1</v>
      </c>
      <c r="EF49" s="122">
        <v>176</v>
      </c>
      <c r="EG49" s="122">
        <v>0.6</v>
      </c>
      <c r="EH49" s="122">
        <v>-6.1</v>
      </c>
      <c r="EI49" s="122">
        <v>-6.4</v>
      </c>
      <c r="EJ49" s="122">
        <v>-6.2</v>
      </c>
      <c r="EK49" s="122">
        <v>168.7</v>
      </c>
      <c r="EL49" s="122">
        <v>0.3</v>
      </c>
      <c r="EM49" s="122">
        <v>4.3</v>
      </c>
      <c r="EN49" s="122">
        <v>12.5</v>
      </c>
      <c r="EO49" s="122">
        <v>26.3</v>
      </c>
      <c r="EP49" s="122">
        <v>61.6</v>
      </c>
      <c r="EQ49" s="126">
        <v>19</v>
      </c>
      <c r="GN49" s="94">
        <v>7.61</v>
      </c>
      <c r="GO49" s="4">
        <v>7.53</v>
      </c>
      <c r="GP49" s="4">
        <v>161.5</v>
      </c>
      <c r="GQ49" s="4">
        <v>-0.5</v>
      </c>
      <c r="GR49" s="4">
        <v>0.67</v>
      </c>
      <c r="GS49" s="4">
        <v>0.71</v>
      </c>
      <c r="GT49" s="4">
        <v>4.58</v>
      </c>
      <c r="GU49" s="4">
        <v>5.13</v>
      </c>
      <c r="GV49" s="4">
        <v>547</v>
      </c>
      <c r="GW49" s="4">
        <v>544</v>
      </c>
      <c r="GX49" s="4">
        <v>672</v>
      </c>
      <c r="GY49" s="4">
        <v>614</v>
      </c>
      <c r="GZ49" s="4">
        <v>646</v>
      </c>
      <c r="HA49" s="4">
        <v>618</v>
      </c>
      <c r="HB49" s="4">
        <v>530</v>
      </c>
      <c r="HC49" s="4">
        <v>-0.87</v>
      </c>
      <c r="HD49" s="4">
        <v>-1.07</v>
      </c>
      <c r="HE49" s="4">
        <v>7.56</v>
      </c>
      <c r="HF49" s="4">
        <v>7.63</v>
      </c>
      <c r="HG49" s="4">
        <v>7.71</v>
      </c>
      <c r="HH49" s="4">
        <v>7.96</v>
      </c>
      <c r="HI49" s="4">
        <v>8.2899999999999991</v>
      </c>
      <c r="HJ49" s="4">
        <v>8.42</v>
      </c>
      <c r="HK49" s="4">
        <v>0</v>
      </c>
      <c r="HL49" s="4">
        <v>1.2</v>
      </c>
      <c r="HM49" s="4">
        <v>6.24</v>
      </c>
      <c r="HN49" s="4">
        <v>6.13</v>
      </c>
      <c r="HO49" s="4">
        <v>6.31</v>
      </c>
      <c r="HP49" s="4">
        <v>6.61</v>
      </c>
      <c r="HQ49" s="4">
        <v>6.82</v>
      </c>
      <c r="HR49" s="4">
        <v>0</v>
      </c>
      <c r="HS49" s="4">
        <v>0</v>
      </c>
      <c r="HT49" s="104">
        <v>1.2</v>
      </c>
      <c r="HU49" s="122">
        <v>44.3</v>
      </c>
      <c r="HV49" s="122">
        <v>44.8</v>
      </c>
      <c r="HW49" s="122">
        <v>44.6</v>
      </c>
      <c r="HX49" s="122">
        <v>161.5</v>
      </c>
      <c r="HY49" s="122">
        <v>0.5</v>
      </c>
      <c r="HZ49" s="122">
        <v>-6.4</v>
      </c>
      <c r="IA49" s="122">
        <v>-6.6</v>
      </c>
      <c r="IB49" s="122">
        <v>-6.5</v>
      </c>
      <c r="IC49" s="122">
        <v>16.600000000000001</v>
      </c>
      <c r="ID49" s="122">
        <v>0.2</v>
      </c>
      <c r="IE49" s="122">
        <v>4</v>
      </c>
      <c r="IF49" s="122">
        <v>11.6</v>
      </c>
      <c r="IG49" s="122">
        <v>25.2</v>
      </c>
      <c r="IH49" s="122">
        <v>61.7</v>
      </c>
      <c r="II49" s="133">
        <v>21</v>
      </c>
      <c r="IJ49" s="94">
        <f t="shared" si="163"/>
        <v>7.61</v>
      </c>
      <c r="IK49" s="4">
        <f t="shared" si="164"/>
        <v>7.53</v>
      </c>
      <c r="IL49" s="4">
        <f t="shared" si="165"/>
        <v>161.5</v>
      </c>
      <c r="IM49" s="4">
        <f t="shared" si="166"/>
        <v>-0.5</v>
      </c>
      <c r="IN49" s="4">
        <f t="shared" si="167"/>
        <v>0.67</v>
      </c>
      <c r="IO49" s="4">
        <f t="shared" si="168"/>
        <v>0.71</v>
      </c>
      <c r="IP49" s="4">
        <f t="shared" si="169"/>
        <v>4.58</v>
      </c>
      <c r="IQ49" s="4">
        <f t="shared" si="170"/>
        <v>5.13</v>
      </c>
      <c r="IR49" s="4">
        <f t="shared" si="171"/>
        <v>547</v>
      </c>
      <c r="IS49" s="4">
        <f t="shared" si="172"/>
        <v>544</v>
      </c>
      <c r="IT49" s="4">
        <f t="shared" si="173"/>
        <v>672</v>
      </c>
      <c r="IU49" s="4">
        <f t="shared" si="174"/>
        <v>614</v>
      </c>
      <c r="IV49" s="4">
        <f t="shared" si="175"/>
        <v>646</v>
      </c>
      <c r="IW49" s="4">
        <f t="shared" si="176"/>
        <v>618</v>
      </c>
      <c r="IX49" s="4">
        <f t="shared" si="177"/>
        <v>530</v>
      </c>
      <c r="IY49" s="4">
        <f t="shared" si="178"/>
        <v>-0.87</v>
      </c>
      <c r="IZ49" s="4">
        <f t="shared" si="179"/>
        <v>-1.07</v>
      </c>
      <c r="JA49" s="4">
        <f t="shared" si="180"/>
        <v>7.56</v>
      </c>
      <c r="JB49" s="4">
        <f t="shared" si="181"/>
        <v>7.63</v>
      </c>
      <c r="JC49" s="4">
        <f t="shared" si="182"/>
        <v>7.71</v>
      </c>
      <c r="JD49" s="4">
        <f t="shared" si="183"/>
        <v>7.96</v>
      </c>
      <c r="JE49" s="4">
        <f t="shared" si="184"/>
        <v>8.2899999999999991</v>
      </c>
      <c r="JF49" s="4">
        <f t="shared" si="185"/>
        <v>8.42</v>
      </c>
      <c r="JG49" s="4">
        <f t="shared" si="186"/>
        <v>0</v>
      </c>
      <c r="JH49" s="4">
        <f t="shared" si="187"/>
        <v>1.2</v>
      </c>
      <c r="JI49" s="4">
        <f t="shared" si="188"/>
        <v>6.24</v>
      </c>
      <c r="JJ49" s="4">
        <f t="shared" si="189"/>
        <v>6.13</v>
      </c>
      <c r="JK49" s="4">
        <f t="shared" si="190"/>
        <v>6.31</v>
      </c>
      <c r="JL49" s="4">
        <f t="shared" si="191"/>
        <v>6.61</v>
      </c>
      <c r="JM49" s="4">
        <f t="shared" si="192"/>
        <v>6.82</v>
      </c>
      <c r="JN49" s="4">
        <f t="shared" si="193"/>
        <v>0</v>
      </c>
      <c r="JO49" s="129">
        <f t="shared" si="194"/>
        <v>0</v>
      </c>
      <c r="JP49" s="122">
        <f t="shared" si="195"/>
        <v>1.2</v>
      </c>
      <c r="JQ49" s="122">
        <f t="shared" si="196"/>
        <v>44.3</v>
      </c>
      <c r="JR49" s="122">
        <f t="shared" si="197"/>
        <v>44.8</v>
      </c>
      <c r="JS49" s="122">
        <f t="shared" si="198"/>
        <v>44.6</v>
      </c>
      <c r="JT49" s="122">
        <f t="shared" si="199"/>
        <v>161.5</v>
      </c>
      <c r="JU49" s="122">
        <f t="shared" si="200"/>
        <v>0.5</v>
      </c>
      <c r="JV49" s="122">
        <f t="shared" si="201"/>
        <v>-6.4</v>
      </c>
      <c r="JW49" s="122">
        <f t="shared" si="202"/>
        <v>-6.6</v>
      </c>
      <c r="JX49" s="122">
        <f t="shared" si="203"/>
        <v>-6.5</v>
      </c>
      <c r="JY49" s="122">
        <f t="shared" si="204"/>
        <v>16.600000000000001</v>
      </c>
      <c r="JZ49" s="122">
        <f t="shared" si="205"/>
        <v>0.2</v>
      </c>
      <c r="KA49" s="122">
        <f t="shared" si="206"/>
        <v>4</v>
      </c>
      <c r="KB49" s="122">
        <f t="shared" si="207"/>
        <v>11.6</v>
      </c>
      <c r="KC49" s="122">
        <f t="shared" si="208"/>
        <v>25.2</v>
      </c>
      <c r="KD49" s="122">
        <f t="shared" si="209"/>
        <v>61.7</v>
      </c>
      <c r="KE49" s="133">
        <f t="shared" si="210"/>
        <v>21</v>
      </c>
      <c r="KF49" s="94">
        <f t="shared" si="211"/>
        <v>-9.9999999999999645E-2</v>
      </c>
      <c r="KG49" s="4">
        <f t="shared" si="212"/>
        <v>-8.0000000000000071E-2</v>
      </c>
      <c r="KH49" s="4">
        <f t="shared" si="213"/>
        <v>-14.5</v>
      </c>
      <c r="KI49" s="4">
        <f t="shared" si="214"/>
        <v>9.9999999999999978E-2</v>
      </c>
      <c r="KJ49" s="4">
        <f t="shared" si="215"/>
        <v>0.13</v>
      </c>
      <c r="KK49" s="4">
        <f t="shared" si="216"/>
        <v>2.9999999999999916E-2</v>
      </c>
      <c r="KL49" s="4">
        <f t="shared" si="217"/>
        <v>2.15</v>
      </c>
      <c r="KM49" s="4">
        <f t="shared" si="218"/>
        <v>2.11</v>
      </c>
      <c r="KN49" s="4">
        <f t="shared" si="219"/>
        <v>-49</v>
      </c>
      <c r="KO49" s="4">
        <f t="shared" si="220"/>
        <v>-54</v>
      </c>
      <c r="KP49" s="4">
        <f t="shared" si="221"/>
        <v>3</v>
      </c>
      <c r="KQ49" s="4">
        <f t="shared" si="222"/>
        <v>-48</v>
      </c>
      <c r="KR49" s="4">
        <f t="shared" si="223"/>
        <v>-12</v>
      </c>
      <c r="KS49" s="4">
        <f t="shared" si="224"/>
        <v>-38</v>
      </c>
      <c r="KT49" s="4">
        <f t="shared" si="225"/>
        <v>-58</v>
      </c>
      <c r="KU49" s="4">
        <f t="shared" si="226"/>
        <v>-0.18999999999999995</v>
      </c>
      <c r="KV49" s="4">
        <f t="shared" si="227"/>
        <v>-1.6800000000000002</v>
      </c>
      <c r="KW49" s="4">
        <f t="shared" si="228"/>
        <v>-0.10000000000000053</v>
      </c>
      <c r="KX49" s="4">
        <f t="shared" si="229"/>
        <v>-9.9999999999997868E-3</v>
      </c>
      <c r="KY49" s="4">
        <f t="shared" si="230"/>
        <v>-9.9999999999997868E-3</v>
      </c>
      <c r="KZ49" s="4">
        <f t="shared" si="231"/>
        <v>9.9999999999997868E-3</v>
      </c>
      <c r="LA49" s="4">
        <f t="shared" si="232"/>
        <v>9.9999999999997868E-3</v>
      </c>
      <c r="LB49" s="4">
        <f t="shared" si="233"/>
        <v>-0.1899999999999995</v>
      </c>
      <c r="LC49" s="4">
        <f t="shared" si="234"/>
        <v>0</v>
      </c>
      <c r="LD49" s="4">
        <f t="shared" si="235"/>
        <v>0</v>
      </c>
      <c r="LE49" s="4">
        <f t="shared" si="236"/>
        <v>-0.1899999999999995</v>
      </c>
      <c r="LF49" s="4">
        <f t="shared" si="237"/>
        <v>-0.29999999999999982</v>
      </c>
      <c r="LG49" s="4">
        <f t="shared" si="238"/>
        <v>-0.32000000000000028</v>
      </c>
      <c r="LH49" s="4">
        <f t="shared" si="239"/>
        <v>-0.27999999999999936</v>
      </c>
      <c r="LI49" s="4">
        <f t="shared" si="240"/>
        <v>-0.22999999999999954</v>
      </c>
      <c r="LJ49" s="4">
        <f t="shared" si="241"/>
        <v>0</v>
      </c>
      <c r="LK49" s="4">
        <f t="shared" si="242"/>
        <v>0</v>
      </c>
      <c r="LL49" s="4">
        <f t="shared" si="243"/>
        <v>0</v>
      </c>
      <c r="LM49" s="4">
        <f t="shared" si="244"/>
        <v>0.5</v>
      </c>
      <c r="LN49" s="4">
        <f t="shared" si="245"/>
        <v>0.39999999999999858</v>
      </c>
      <c r="LO49" s="4">
        <f t="shared" si="246"/>
        <v>0.5</v>
      </c>
      <c r="LP49" s="4">
        <f t="shared" si="247"/>
        <v>-14.5</v>
      </c>
      <c r="LQ49" s="4">
        <f t="shared" si="248"/>
        <v>-9.9999999999999978E-2</v>
      </c>
      <c r="LR49" s="4">
        <f t="shared" si="249"/>
        <v>-0.30000000000000071</v>
      </c>
      <c r="LS49" s="4">
        <f t="shared" si="250"/>
        <v>-0.19999999999999929</v>
      </c>
      <c r="LT49" s="4">
        <f t="shared" si="251"/>
        <v>-0.29999999999999982</v>
      </c>
      <c r="LU49" s="4">
        <f t="shared" si="252"/>
        <v>-152.1</v>
      </c>
      <c r="LV49" s="4">
        <f t="shared" si="253"/>
        <v>-9.9999999999999978E-2</v>
      </c>
      <c r="LW49" s="4">
        <f t="shared" si="254"/>
        <v>-0.29999999999999982</v>
      </c>
      <c r="LX49" s="4">
        <f t="shared" si="255"/>
        <v>-0.90000000000000036</v>
      </c>
      <c r="LY49" s="4">
        <f t="shared" si="256"/>
        <v>-1.1000000000000014</v>
      </c>
      <c r="LZ49" s="4">
        <f t="shared" si="257"/>
        <v>0.10000000000000142</v>
      </c>
      <c r="MA49" s="4">
        <f t="shared" si="258"/>
        <v>2</v>
      </c>
      <c r="MB49" s="4" t="str">
        <f t="shared" si="259"/>
        <v/>
      </c>
      <c r="MC49" s="4" t="str">
        <f t="shared" si="260"/>
        <v/>
      </c>
      <c r="MD49" s="4" t="str">
        <f t="shared" si="261"/>
        <v/>
      </c>
      <c r="ME49" s="4">
        <f t="shared" si="262"/>
        <v>-6.6</v>
      </c>
    </row>
    <row r="50" spans="1:343" ht="26.25" customHeight="1" thickBot="1" x14ac:dyDescent="0.25">
      <c r="A50" s="35">
        <v>41367</v>
      </c>
      <c r="B50" s="36" t="s">
        <v>184</v>
      </c>
      <c r="C50" s="36" t="s">
        <v>46</v>
      </c>
      <c r="D50" s="31" t="s">
        <v>110</v>
      </c>
      <c r="E50" s="4">
        <v>76</v>
      </c>
      <c r="F50" s="3">
        <v>13459</v>
      </c>
      <c r="G50" s="4" t="s">
        <v>87</v>
      </c>
      <c r="H50" s="4" t="s">
        <v>112</v>
      </c>
      <c r="I50" s="4">
        <v>1832258</v>
      </c>
      <c r="J50" s="4" t="s">
        <v>310</v>
      </c>
      <c r="K50" s="80"/>
      <c r="L50" s="81"/>
      <c r="M50" s="81"/>
      <c r="N50" s="81"/>
      <c r="O50" s="81"/>
      <c r="P50" s="33">
        <v>-0.5</v>
      </c>
      <c r="Q50" s="4">
        <v>-0.56000000000000005</v>
      </c>
      <c r="R50" s="4" t="s">
        <v>249</v>
      </c>
      <c r="S50" s="67">
        <v>23.75</v>
      </c>
      <c r="T50" s="136">
        <v>41353</v>
      </c>
      <c r="U50" s="67">
        <v>0.5</v>
      </c>
      <c r="V50" s="67">
        <v>3.5</v>
      </c>
      <c r="W50" s="4">
        <v>171</v>
      </c>
      <c r="X50" s="4">
        <v>30</v>
      </c>
      <c r="Y50" s="4">
        <v>15</v>
      </c>
      <c r="Z50" s="4">
        <v>593</v>
      </c>
      <c r="AA50" s="4">
        <v>23.41</v>
      </c>
      <c r="AD50" s="4">
        <v>2.63</v>
      </c>
      <c r="AE50" s="4">
        <v>41.16</v>
      </c>
      <c r="AF50" s="4">
        <v>98</v>
      </c>
      <c r="AG50" s="4">
        <v>42.99</v>
      </c>
      <c r="AH50" s="4">
        <v>8</v>
      </c>
      <c r="AI50" s="4">
        <v>0</v>
      </c>
      <c r="AJ50" s="4" t="b">
        <f t="shared" si="133"/>
        <v>0</v>
      </c>
      <c r="AL50" s="3">
        <v>41541</v>
      </c>
      <c r="AM50" s="56">
        <v>25</v>
      </c>
      <c r="AN50" s="67">
        <v>-1</v>
      </c>
      <c r="AO50" s="67">
        <v>0.75</v>
      </c>
      <c r="AP50" s="4">
        <v>10</v>
      </c>
      <c r="AQ50" s="4">
        <v>20</v>
      </c>
      <c r="AR50" s="4">
        <v>27</v>
      </c>
      <c r="AS50" s="4">
        <v>565</v>
      </c>
      <c r="AT50" s="4">
        <v>1976</v>
      </c>
      <c r="AU50" s="4">
        <v>23.37</v>
      </c>
      <c r="AV50" s="4" t="s">
        <v>82</v>
      </c>
      <c r="AW50" s="4">
        <v>41.11</v>
      </c>
      <c r="AX50" s="4">
        <v>96</v>
      </c>
      <c r="AY50" s="4">
        <v>41.93</v>
      </c>
      <c r="AZ50" s="4">
        <v>6</v>
      </c>
      <c r="BA50" s="4">
        <f t="shared" si="134"/>
        <v>-0.625</v>
      </c>
      <c r="BB50" s="4">
        <f t="shared" si="135"/>
        <v>-6.4999999999999947E-2</v>
      </c>
      <c r="BC50" s="4">
        <f t="shared" si="136"/>
        <v>-28</v>
      </c>
      <c r="BD50" s="3">
        <v>41773</v>
      </c>
      <c r="BS50" s="4" t="str">
        <f t="shared" si="137"/>
        <v/>
      </c>
      <c r="BT50" s="4" t="str">
        <f t="shared" si="138"/>
        <v/>
      </c>
      <c r="BU50" s="4" t="str">
        <f t="shared" si="139"/>
        <v/>
      </c>
      <c r="BV50" s="4">
        <f>IF(AND(ISBLANK(SPH_6),ISBLANK(SPH_12)),0,1)</f>
        <v>1</v>
      </c>
      <c r="BW50" s="4">
        <f t="shared" si="140"/>
        <v>0</v>
      </c>
      <c r="BX50" s="4" t="str">
        <f t="shared" si="141"/>
        <v/>
      </c>
      <c r="BY50" s="4" t="str">
        <f t="shared" si="142"/>
        <v/>
      </c>
      <c r="BZ50" s="4" t="str">
        <f t="shared" si="143"/>
        <v/>
      </c>
      <c r="CA50" s="53">
        <f t="shared" si="144"/>
        <v>174</v>
      </c>
      <c r="CB50" s="55">
        <f t="shared" si="145"/>
        <v>5.8</v>
      </c>
      <c r="CC50" s="4" t="str">
        <f t="shared" si="146"/>
        <v/>
      </c>
      <c r="CD50" s="4">
        <f t="shared" si="147"/>
        <v>-0.55500000000000682</v>
      </c>
      <c r="CE50" s="4" t="str">
        <f t="shared" si="148"/>
        <v/>
      </c>
      <c r="CF50" s="4">
        <f t="shared" si="149"/>
        <v>-0.55500000000000682</v>
      </c>
      <c r="CG50" s="4">
        <f t="shared" si="263"/>
        <v>2.25</v>
      </c>
      <c r="CH50" s="4">
        <f t="shared" si="150"/>
        <v>-0.625</v>
      </c>
      <c r="CI50" s="104">
        <f t="shared" si="151"/>
        <v>-6.4999999999999947E-2</v>
      </c>
      <c r="CJ50" s="94">
        <f t="shared" si="152"/>
        <v>-28</v>
      </c>
      <c r="CK50" s="4">
        <f t="shared" si="153"/>
        <v>-3.9999999999999147E-2</v>
      </c>
      <c r="CL50" s="107">
        <f t="shared" si="154"/>
        <v>-0.56000000000000005</v>
      </c>
      <c r="CM50" s="107">
        <f t="shared" si="264"/>
        <v>0.17609125905568127</v>
      </c>
      <c r="CN50" s="139">
        <f t="shared" si="155"/>
        <v>0.75</v>
      </c>
      <c r="CO50" s="139">
        <f t="shared" si="156"/>
        <v>-2.75</v>
      </c>
      <c r="CP50" s="149">
        <f t="shared" si="157"/>
        <v>20</v>
      </c>
      <c r="CQ50" s="149">
        <f t="shared" si="158"/>
        <v>30</v>
      </c>
      <c r="CR50" s="148">
        <f t="shared" si="159"/>
        <v>25</v>
      </c>
      <c r="CS50" s="152">
        <f t="shared" si="160"/>
        <v>0</v>
      </c>
      <c r="CT50" s="107" t="str">
        <f t="shared" si="161"/>
        <v/>
      </c>
      <c r="CU50" s="155" t="b">
        <f t="shared" si="162"/>
        <v>0</v>
      </c>
      <c r="CV50">
        <v>7.9</v>
      </c>
      <c r="CW50" s="4">
        <v>8.2899999999999991</v>
      </c>
      <c r="CX50" s="4">
        <v>97.3</v>
      </c>
      <c r="CY50" s="4">
        <v>2</v>
      </c>
      <c r="CZ50" s="4">
        <v>0.11</v>
      </c>
      <c r="DA50" s="4">
        <v>0.35</v>
      </c>
      <c r="DB50" s="4">
        <v>2.1</v>
      </c>
      <c r="DC50" s="4">
        <v>2.7</v>
      </c>
      <c r="DD50" s="4">
        <v>598</v>
      </c>
      <c r="DE50" s="4">
        <v>596</v>
      </c>
      <c r="DF50" s="4">
        <v>673</v>
      </c>
      <c r="DG50" s="4">
        <v>635</v>
      </c>
      <c r="DH50" s="4">
        <v>655</v>
      </c>
      <c r="DI50" s="4">
        <v>624</v>
      </c>
      <c r="DJ50" s="4">
        <v>582</v>
      </c>
      <c r="DK50" s="4">
        <v>0.88</v>
      </c>
      <c r="DL50" s="4">
        <v>-0.88</v>
      </c>
      <c r="DM50" s="4">
        <v>8.1300000000000008</v>
      </c>
      <c r="DN50" s="4">
        <v>8.01</v>
      </c>
      <c r="DO50" s="4">
        <v>7.98</v>
      </c>
      <c r="DP50" s="4">
        <v>8.0500000000000007</v>
      </c>
      <c r="DQ50" s="4">
        <v>8.23</v>
      </c>
      <c r="DR50" s="4">
        <v>8.2799999999999994</v>
      </c>
      <c r="DS50" s="4">
        <v>0</v>
      </c>
      <c r="DT50" s="4">
        <v>1.1000000000000001</v>
      </c>
      <c r="DU50" s="4">
        <v>6.95</v>
      </c>
      <c r="DV50" s="4">
        <v>6.86</v>
      </c>
      <c r="DW50" s="4">
        <v>6.77</v>
      </c>
      <c r="DX50" s="4">
        <v>6.68</v>
      </c>
      <c r="DY50" s="4">
        <v>6.8</v>
      </c>
      <c r="DZ50" s="4">
        <v>0</v>
      </c>
      <c r="EA50" s="4">
        <v>0</v>
      </c>
      <c r="EB50" s="100">
        <v>1.1000000000000001</v>
      </c>
      <c r="EC50" s="122">
        <v>40.700000000000003</v>
      </c>
      <c r="ED50" s="122">
        <v>42.7</v>
      </c>
      <c r="EE50" s="122">
        <v>41.7</v>
      </c>
      <c r="EF50" s="122">
        <v>97.3</v>
      </c>
      <c r="EG50" s="122">
        <v>2</v>
      </c>
      <c r="EH50" s="122">
        <v>-5.7</v>
      </c>
      <c r="EI50" s="122">
        <v>-5.9</v>
      </c>
      <c r="EJ50" s="122">
        <v>-5.8</v>
      </c>
      <c r="EK50" s="122">
        <v>128.19999999999999</v>
      </c>
      <c r="EL50" s="122">
        <v>0.2</v>
      </c>
      <c r="EM50" s="122">
        <v>4.3</v>
      </c>
      <c r="EN50" s="122">
        <v>12.4</v>
      </c>
      <c r="EO50" s="122">
        <v>25.9</v>
      </c>
      <c r="EP50" s="122">
        <v>60.6</v>
      </c>
      <c r="EQ50" s="126">
        <v>22</v>
      </c>
      <c r="ER50" s="94">
        <v>8</v>
      </c>
      <c r="ES50" s="4">
        <v>8.14</v>
      </c>
      <c r="ET50" s="4">
        <v>48.9</v>
      </c>
      <c r="EU50" s="4">
        <v>0.7</v>
      </c>
      <c r="EV50" s="4">
        <v>0.36</v>
      </c>
      <c r="EW50" s="4">
        <v>0.5</v>
      </c>
      <c r="EX50" s="4">
        <v>4.4800000000000004</v>
      </c>
      <c r="EY50" s="4">
        <v>5.0599999999999996</v>
      </c>
      <c r="EZ50" s="4">
        <v>572</v>
      </c>
      <c r="FA50" s="4">
        <v>570</v>
      </c>
      <c r="FB50" s="4">
        <v>688</v>
      </c>
      <c r="FC50" s="4">
        <v>644</v>
      </c>
      <c r="FD50" s="4">
        <v>667</v>
      </c>
      <c r="FE50" s="4">
        <v>658</v>
      </c>
      <c r="FF50" s="4">
        <v>553</v>
      </c>
      <c r="FG50" s="4">
        <v>0.77</v>
      </c>
      <c r="FH50" s="4">
        <v>-0.77</v>
      </c>
      <c r="FI50" s="4">
        <v>8.11</v>
      </c>
      <c r="FJ50" s="4">
        <v>8.09</v>
      </c>
      <c r="FK50" s="4">
        <v>8.0500000000000007</v>
      </c>
      <c r="FL50" s="4">
        <v>8.2100000000000009</v>
      </c>
      <c r="FM50" s="4">
        <v>8.44</v>
      </c>
      <c r="FN50" s="4">
        <v>8.48</v>
      </c>
      <c r="FO50" s="4">
        <v>0</v>
      </c>
      <c r="FP50" s="4">
        <v>1.7</v>
      </c>
      <c r="FQ50" s="4">
        <v>6.29</v>
      </c>
      <c r="FR50" s="4">
        <v>6.52</v>
      </c>
      <c r="FS50" s="4">
        <v>6.66</v>
      </c>
      <c r="FT50" s="4">
        <v>6.67</v>
      </c>
      <c r="FU50" s="4">
        <v>6.74</v>
      </c>
      <c r="FV50" s="4">
        <v>0</v>
      </c>
      <c r="FW50" s="4">
        <v>0</v>
      </c>
      <c r="FX50" s="97">
        <v>1.7</v>
      </c>
      <c r="FY50" s="122">
        <v>41.5</v>
      </c>
      <c r="FZ50" s="122">
        <v>42.2</v>
      </c>
      <c r="GA50" s="122">
        <v>41.8</v>
      </c>
      <c r="GB50" s="122">
        <v>48.9</v>
      </c>
      <c r="GC50" s="122">
        <v>0.7</v>
      </c>
      <c r="GD50" s="122">
        <v>-6.1</v>
      </c>
      <c r="GE50" s="122">
        <v>-6.5</v>
      </c>
      <c r="GF50" s="122">
        <v>-6.3</v>
      </c>
      <c r="GG50" s="122">
        <v>142.69999999999999</v>
      </c>
      <c r="GH50" s="122">
        <v>0.4</v>
      </c>
      <c r="GI50" s="122">
        <v>4.2</v>
      </c>
      <c r="GJ50" s="122">
        <v>12.3</v>
      </c>
      <c r="GK50" s="122">
        <v>26.3</v>
      </c>
      <c r="GL50" s="122">
        <v>63.1</v>
      </c>
      <c r="GM50" s="131">
        <v>22</v>
      </c>
      <c r="IJ50" s="94">
        <f t="shared" si="163"/>
        <v>8</v>
      </c>
      <c r="IK50" s="4">
        <f t="shared" si="164"/>
        <v>8.14</v>
      </c>
      <c r="IL50" s="4">
        <f t="shared" si="165"/>
        <v>48.9</v>
      </c>
      <c r="IM50" s="4">
        <f t="shared" si="166"/>
        <v>0.7</v>
      </c>
      <c r="IN50" s="4">
        <f t="shared" si="167"/>
        <v>0.36</v>
      </c>
      <c r="IO50" s="4">
        <f t="shared" si="168"/>
        <v>0.5</v>
      </c>
      <c r="IP50" s="4">
        <f t="shared" si="169"/>
        <v>4.4800000000000004</v>
      </c>
      <c r="IQ50" s="4">
        <f t="shared" si="170"/>
        <v>5.0599999999999996</v>
      </c>
      <c r="IR50" s="4">
        <f t="shared" si="171"/>
        <v>572</v>
      </c>
      <c r="IS50" s="4">
        <f t="shared" si="172"/>
        <v>570</v>
      </c>
      <c r="IT50" s="4">
        <f t="shared" si="173"/>
        <v>688</v>
      </c>
      <c r="IU50" s="4">
        <f t="shared" si="174"/>
        <v>644</v>
      </c>
      <c r="IV50" s="4">
        <f t="shared" si="175"/>
        <v>667</v>
      </c>
      <c r="IW50" s="4">
        <f t="shared" si="176"/>
        <v>658</v>
      </c>
      <c r="IX50" s="4">
        <f t="shared" si="177"/>
        <v>553</v>
      </c>
      <c r="IY50" s="4">
        <f t="shared" si="178"/>
        <v>0.77</v>
      </c>
      <c r="IZ50" s="4">
        <f t="shared" si="179"/>
        <v>-0.77</v>
      </c>
      <c r="JA50" s="4">
        <f t="shared" si="180"/>
        <v>8.11</v>
      </c>
      <c r="JB50" s="4">
        <f t="shared" si="181"/>
        <v>8.09</v>
      </c>
      <c r="JC50" s="4">
        <f t="shared" si="182"/>
        <v>8.0500000000000007</v>
      </c>
      <c r="JD50" s="4">
        <f t="shared" si="183"/>
        <v>8.2100000000000009</v>
      </c>
      <c r="JE50" s="4">
        <f t="shared" si="184"/>
        <v>8.44</v>
      </c>
      <c r="JF50" s="4">
        <f t="shared" si="185"/>
        <v>8.48</v>
      </c>
      <c r="JG50" s="4">
        <f t="shared" si="186"/>
        <v>0</v>
      </c>
      <c r="JH50" s="4">
        <f t="shared" si="187"/>
        <v>1.7</v>
      </c>
      <c r="JI50" s="4">
        <f t="shared" si="188"/>
        <v>6.29</v>
      </c>
      <c r="JJ50" s="4">
        <f t="shared" si="189"/>
        <v>6.52</v>
      </c>
      <c r="JK50" s="4">
        <f t="shared" si="190"/>
        <v>6.66</v>
      </c>
      <c r="JL50" s="4">
        <f t="shared" si="191"/>
        <v>6.67</v>
      </c>
      <c r="JM50" s="4">
        <f t="shared" si="192"/>
        <v>6.74</v>
      </c>
      <c r="JN50" s="4">
        <f t="shared" si="193"/>
        <v>0</v>
      </c>
      <c r="JO50" s="129">
        <f t="shared" si="194"/>
        <v>0</v>
      </c>
      <c r="JP50" s="122">
        <f t="shared" si="195"/>
        <v>1.7</v>
      </c>
      <c r="JQ50" s="122">
        <f t="shared" si="196"/>
        <v>41.5</v>
      </c>
      <c r="JR50" s="122">
        <f t="shared" si="197"/>
        <v>42.2</v>
      </c>
      <c r="JS50" s="122">
        <f t="shared" si="198"/>
        <v>41.8</v>
      </c>
      <c r="JT50" s="122">
        <f t="shared" si="199"/>
        <v>48.9</v>
      </c>
      <c r="JU50" s="122">
        <f t="shared" si="200"/>
        <v>0.7</v>
      </c>
      <c r="JV50" s="122">
        <f t="shared" si="201"/>
        <v>-6.1</v>
      </c>
      <c r="JW50" s="122">
        <f t="shared" si="202"/>
        <v>-6.5</v>
      </c>
      <c r="JX50" s="122">
        <f t="shared" si="203"/>
        <v>-6.3</v>
      </c>
      <c r="JY50" s="122">
        <f t="shared" si="204"/>
        <v>142.69999999999999</v>
      </c>
      <c r="JZ50" s="122">
        <f t="shared" si="205"/>
        <v>0.4</v>
      </c>
      <c r="KA50" s="122">
        <f t="shared" si="206"/>
        <v>4.2</v>
      </c>
      <c r="KB50" s="122">
        <f t="shared" si="207"/>
        <v>12.3</v>
      </c>
      <c r="KC50" s="122">
        <f t="shared" si="208"/>
        <v>26.3</v>
      </c>
      <c r="KD50" s="122">
        <f t="shared" si="209"/>
        <v>63.1</v>
      </c>
      <c r="KE50" s="133">
        <f t="shared" si="210"/>
        <v>22</v>
      </c>
      <c r="KF50" s="94">
        <f t="shared" si="211"/>
        <v>9.9999999999999645E-2</v>
      </c>
      <c r="KG50" s="4">
        <f t="shared" si="212"/>
        <v>-0.14999999999999858</v>
      </c>
      <c r="KH50" s="4">
        <f t="shared" si="213"/>
        <v>-48.4</v>
      </c>
      <c r="KI50" s="4">
        <f t="shared" si="214"/>
        <v>-1.3</v>
      </c>
      <c r="KJ50" s="4">
        <f t="shared" si="215"/>
        <v>0.25</v>
      </c>
      <c r="KK50" s="4">
        <f t="shared" si="216"/>
        <v>0.15000000000000002</v>
      </c>
      <c r="KL50" s="4">
        <f t="shared" si="217"/>
        <v>2.3800000000000003</v>
      </c>
      <c r="KM50" s="4">
        <f t="shared" si="218"/>
        <v>2.3599999999999994</v>
      </c>
      <c r="KN50" s="4">
        <f t="shared" si="219"/>
        <v>-26</v>
      </c>
      <c r="KO50" s="4">
        <f t="shared" si="220"/>
        <v>-26</v>
      </c>
      <c r="KP50" s="4">
        <f t="shared" si="221"/>
        <v>15</v>
      </c>
      <c r="KQ50" s="4">
        <f t="shared" si="222"/>
        <v>9</v>
      </c>
      <c r="KR50" s="4">
        <f t="shared" si="223"/>
        <v>12</v>
      </c>
      <c r="KS50" s="4">
        <f t="shared" si="224"/>
        <v>34</v>
      </c>
      <c r="KT50" s="4">
        <f t="shared" si="225"/>
        <v>-29</v>
      </c>
      <c r="KU50" s="4">
        <f t="shared" si="226"/>
        <v>-0.10999999999999999</v>
      </c>
      <c r="KV50" s="4">
        <f t="shared" si="227"/>
        <v>0.10999999999999999</v>
      </c>
      <c r="KW50" s="4">
        <f t="shared" si="228"/>
        <v>-2.000000000000135E-2</v>
      </c>
      <c r="KX50" s="4">
        <f t="shared" si="229"/>
        <v>8.0000000000000071E-2</v>
      </c>
      <c r="KY50" s="4">
        <f t="shared" si="230"/>
        <v>7.0000000000000284E-2</v>
      </c>
      <c r="KZ50" s="4">
        <f t="shared" si="231"/>
        <v>0.16000000000000014</v>
      </c>
      <c r="LA50" s="4">
        <f t="shared" si="232"/>
        <v>0.20999999999999908</v>
      </c>
      <c r="LB50" s="4">
        <f t="shared" si="233"/>
        <v>0.20000000000000107</v>
      </c>
      <c r="LC50" s="4">
        <f t="shared" si="234"/>
        <v>0</v>
      </c>
      <c r="LD50" s="4">
        <f t="shared" si="235"/>
        <v>0.59999999999999987</v>
      </c>
      <c r="LE50" s="4">
        <f t="shared" si="236"/>
        <v>-0.66000000000000014</v>
      </c>
      <c r="LF50" s="4">
        <f t="shared" si="237"/>
        <v>-0.34000000000000075</v>
      </c>
      <c r="LG50" s="4">
        <f t="shared" si="238"/>
        <v>-0.10999999999999943</v>
      </c>
      <c r="LH50" s="4">
        <f t="shared" si="239"/>
        <v>-9.9999999999997868E-3</v>
      </c>
      <c r="LI50" s="4">
        <f t="shared" si="240"/>
        <v>-5.9999999999999609E-2</v>
      </c>
      <c r="LJ50" s="4">
        <f t="shared" si="241"/>
        <v>0</v>
      </c>
      <c r="LK50" s="4">
        <f t="shared" si="242"/>
        <v>0</v>
      </c>
      <c r="LL50" s="4">
        <f t="shared" si="243"/>
        <v>0.59999999999999987</v>
      </c>
      <c r="LM50" s="4">
        <f t="shared" si="244"/>
        <v>0.79999999999999716</v>
      </c>
      <c r="LN50" s="4">
        <f t="shared" si="245"/>
        <v>-0.5</v>
      </c>
      <c r="LO50" s="4">
        <f t="shared" si="246"/>
        <v>9.9999999999994316E-2</v>
      </c>
      <c r="LP50" s="4">
        <f t="shared" si="247"/>
        <v>-48.4</v>
      </c>
      <c r="LQ50" s="4">
        <f t="shared" si="248"/>
        <v>-1.3</v>
      </c>
      <c r="LR50" s="4">
        <f t="shared" si="249"/>
        <v>-0.39999999999999947</v>
      </c>
      <c r="LS50" s="4">
        <f t="shared" si="250"/>
        <v>-0.59999999999999964</v>
      </c>
      <c r="LT50" s="4">
        <f t="shared" si="251"/>
        <v>-0.5</v>
      </c>
      <c r="LU50" s="4">
        <f t="shared" si="252"/>
        <v>14.5</v>
      </c>
      <c r="LV50" s="4">
        <f t="shared" si="253"/>
        <v>0.2</v>
      </c>
      <c r="LW50" s="4">
        <f t="shared" si="254"/>
        <v>-9.9999999999999645E-2</v>
      </c>
      <c r="LX50" s="4">
        <f t="shared" si="255"/>
        <v>-9.9999999999999645E-2</v>
      </c>
      <c r="LY50" s="4">
        <f t="shared" si="256"/>
        <v>0.40000000000000213</v>
      </c>
      <c r="LZ50" s="4">
        <f t="shared" si="257"/>
        <v>2.5</v>
      </c>
      <c r="MA50" s="4">
        <f t="shared" si="258"/>
        <v>0</v>
      </c>
      <c r="MB50" s="4" t="str">
        <f t="shared" si="259"/>
        <v/>
      </c>
      <c r="MC50" s="4" t="str">
        <f t="shared" si="260"/>
        <v/>
      </c>
      <c r="MD50" s="4" t="str">
        <f t="shared" si="261"/>
        <v/>
      </c>
      <c r="ME50" s="4">
        <f t="shared" si="262"/>
        <v>6.5</v>
      </c>
    </row>
    <row r="51" spans="1:343" ht="26.25" customHeight="1" thickBot="1" x14ac:dyDescent="0.25">
      <c r="A51" s="35">
        <v>41332</v>
      </c>
      <c r="B51" s="36" t="s">
        <v>233</v>
      </c>
      <c r="C51" s="36" t="s">
        <v>37</v>
      </c>
      <c r="D51" s="31" t="s">
        <v>111</v>
      </c>
      <c r="E51" s="4">
        <v>63</v>
      </c>
      <c r="F51" s="3">
        <v>18072</v>
      </c>
      <c r="G51" s="4" t="s">
        <v>87</v>
      </c>
      <c r="H51" s="4" t="s">
        <v>108</v>
      </c>
      <c r="I51" s="4">
        <v>1832606</v>
      </c>
      <c r="J51" s="4" t="s">
        <v>310</v>
      </c>
      <c r="K51" s="80"/>
      <c r="L51" s="81"/>
      <c r="M51" s="81"/>
      <c r="N51" s="81"/>
      <c r="O51" s="81"/>
      <c r="P51" s="33">
        <v>-0.5</v>
      </c>
      <c r="Q51" s="4">
        <v>-0.55000000000000004</v>
      </c>
      <c r="R51" s="4" t="s">
        <v>249</v>
      </c>
      <c r="S51" s="67">
        <v>15.5</v>
      </c>
      <c r="T51" s="136">
        <v>41330</v>
      </c>
      <c r="U51" s="67">
        <v>-2.75</v>
      </c>
      <c r="V51" s="67">
        <v>0.5</v>
      </c>
      <c r="W51" s="4">
        <v>65</v>
      </c>
      <c r="X51" s="4">
        <v>40</v>
      </c>
      <c r="Y51" s="4">
        <v>13</v>
      </c>
      <c r="Z51" s="4">
        <v>679</v>
      </c>
      <c r="AA51" s="4">
        <v>25.58</v>
      </c>
      <c r="AB51" s="4">
        <v>12.3</v>
      </c>
      <c r="AC51" s="4">
        <v>4.54</v>
      </c>
      <c r="AD51" s="4">
        <v>3.59</v>
      </c>
      <c r="AE51" s="4">
        <v>42.78</v>
      </c>
      <c r="AF51" s="4">
        <v>160</v>
      </c>
      <c r="AG51" s="4">
        <v>43.32</v>
      </c>
      <c r="AH51" s="4">
        <v>70</v>
      </c>
      <c r="AI51" s="4">
        <v>0</v>
      </c>
      <c r="AJ51" s="4" t="b">
        <f t="shared" si="133"/>
        <v>0</v>
      </c>
      <c r="AL51" s="32">
        <v>41534</v>
      </c>
      <c r="AM51" s="60"/>
      <c r="AN51" s="67">
        <v>1</v>
      </c>
      <c r="AO51" s="67">
        <v>0.5</v>
      </c>
      <c r="AP51" s="4">
        <v>58</v>
      </c>
      <c r="AQ51" s="4">
        <v>25</v>
      </c>
      <c r="AR51" s="4">
        <v>17</v>
      </c>
      <c r="AT51" s="4">
        <v>2525</v>
      </c>
      <c r="BA51" s="4">
        <f t="shared" si="134"/>
        <v>1.25</v>
      </c>
      <c r="BB51" s="4">
        <f t="shared" si="135"/>
        <v>1.8</v>
      </c>
      <c r="BC51" s="4" t="str">
        <f t="shared" si="136"/>
        <v/>
      </c>
      <c r="BD51" s="150">
        <v>41704</v>
      </c>
      <c r="BS51" s="4" t="str">
        <f t="shared" si="137"/>
        <v/>
      </c>
      <c r="BT51" s="4" t="str">
        <f t="shared" si="138"/>
        <v/>
      </c>
      <c r="BU51" s="4" t="str">
        <f t="shared" si="139"/>
        <v/>
      </c>
      <c r="BV51" s="4">
        <f>IF(AND(ISBLANK(SPH_6),ISBLANK(SPH_12)),0,1)</f>
        <v>1</v>
      </c>
      <c r="BW51" s="4">
        <f t="shared" si="140"/>
        <v>0</v>
      </c>
      <c r="BX51" s="4" t="str">
        <f t="shared" si="141"/>
        <v/>
      </c>
      <c r="BY51" s="4" t="str">
        <f t="shared" si="142"/>
        <v/>
      </c>
      <c r="BZ51" s="4" t="str">
        <f t="shared" si="143"/>
        <v/>
      </c>
      <c r="CA51" s="53">
        <f t="shared" si="144"/>
        <v>202</v>
      </c>
      <c r="CB51" s="55">
        <f t="shared" si="145"/>
        <v>6.7333333333333334</v>
      </c>
      <c r="CC51" s="4" t="str">
        <f t="shared" si="146"/>
        <v/>
      </c>
      <c r="CD51" s="4" t="str">
        <f t="shared" si="147"/>
        <v/>
      </c>
      <c r="CE51" s="4" t="str">
        <f t="shared" si="148"/>
        <v/>
      </c>
      <c r="CF51" s="4" t="str">
        <f t="shared" si="149"/>
        <v/>
      </c>
      <c r="CG51" s="4">
        <f t="shared" si="263"/>
        <v>-2.5</v>
      </c>
      <c r="CH51" s="4">
        <f t="shared" si="150"/>
        <v>1.25</v>
      </c>
      <c r="CI51" s="104">
        <f t="shared" si="151"/>
        <v>1.8</v>
      </c>
      <c r="CJ51" s="94" t="str">
        <f t="shared" si="152"/>
        <v/>
      </c>
      <c r="CK51" s="4" t="str">
        <f t="shared" si="153"/>
        <v/>
      </c>
      <c r="CL51" s="107">
        <f t="shared" si="154"/>
        <v>-0.55000000000000004</v>
      </c>
      <c r="CM51" s="107">
        <f t="shared" si="264"/>
        <v>0.20411998265592479</v>
      </c>
      <c r="CN51" s="139">
        <f t="shared" si="155"/>
        <v>0.5</v>
      </c>
      <c r="CO51" s="139">
        <f t="shared" si="156"/>
        <v>0</v>
      </c>
      <c r="CP51" s="149">
        <f t="shared" si="157"/>
        <v>25</v>
      </c>
      <c r="CQ51" s="149">
        <f t="shared" si="158"/>
        <v>40</v>
      </c>
      <c r="CR51" s="148" t="str">
        <f t="shared" si="159"/>
        <v/>
      </c>
      <c r="CS51" s="152">
        <f t="shared" si="160"/>
        <v>1</v>
      </c>
      <c r="CT51" s="107" t="str">
        <f t="shared" si="161"/>
        <v/>
      </c>
      <c r="CU51" s="155" t="b">
        <f t="shared" si="162"/>
        <v>1</v>
      </c>
      <c r="CV51" s="120">
        <v>8.0399999999999991</v>
      </c>
      <c r="CW51" s="4">
        <v>7.89</v>
      </c>
      <c r="CX51" s="4">
        <v>175.8</v>
      </c>
      <c r="CY51" s="4">
        <v>-0.8</v>
      </c>
      <c r="CZ51" s="4">
        <v>-0.4</v>
      </c>
      <c r="DA51" s="4">
        <v>7.0000000000000007E-2</v>
      </c>
      <c r="DB51" s="4">
        <v>2.71</v>
      </c>
      <c r="DC51" s="4">
        <v>3.4</v>
      </c>
      <c r="DD51" s="4">
        <v>693</v>
      </c>
      <c r="DE51" s="4">
        <v>692</v>
      </c>
      <c r="DF51" s="4">
        <v>673</v>
      </c>
      <c r="DG51" s="4">
        <v>719</v>
      </c>
      <c r="DH51" s="4">
        <v>661</v>
      </c>
      <c r="DI51" s="4">
        <v>727</v>
      </c>
      <c r="DJ51" s="4">
        <v>657</v>
      </c>
      <c r="DK51" s="4">
        <v>2.64</v>
      </c>
      <c r="DL51" s="4">
        <v>-0.5</v>
      </c>
      <c r="DM51" s="4">
        <v>8.01</v>
      </c>
      <c r="DN51" s="4">
        <v>7.9</v>
      </c>
      <c r="DO51" s="4">
        <v>7.81</v>
      </c>
      <c r="DP51" s="4">
        <v>7.87</v>
      </c>
      <c r="DQ51" s="4">
        <v>8.1999999999999993</v>
      </c>
      <c r="DR51" s="4">
        <v>8.68</v>
      </c>
      <c r="DS51" s="4">
        <v>0</v>
      </c>
      <c r="DT51" s="4">
        <v>0.5</v>
      </c>
      <c r="DU51" s="4">
        <v>7.5</v>
      </c>
      <c r="DV51" s="4">
        <v>7.22</v>
      </c>
      <c r="DW51" s="4">
        <v>7.03</v>
      </c>
      <c r="DX51" s="4">
        <v>7.03</v>
      </c>
      <c r="DY51" s="4">
        <v>7.24</v>
      </c>
      <c r="DZ51" s="4">
        <v>7.49</v>
      </c>
      <c r="EA51" s="4">
        <v>0</v>
      </c>
      <c r="EB51" s="100">
        <v>0.5</v>
      </c>
      <c r="EC51" s="122">
        <v>42</v>
      </c>
      <c r="ED51" s="122">
        <v>42.8</v>
      </c>
      <c r="EE51" s="122">
        <v>42.4</v>
      </c>
      <c r="EF51" s="122">
        <v>175.8</v>
      </c>
      <c r="EG51" s="122">
        <v>0.8</v>
      </c>
      <c r="EH51" s="122">
        <v>-5.4</v>
      </c>
      <c r="EI51" s="122">
        <v>-5.6</v>
      </c>
      <c r="EJ51" s="122">
        <v>-5.5</v>
      </c>
      <c r="EK51" s="122">
        <v>3</v>
      </c>
      <c r="EL51" s="122">
        <v>0.2</v>
      </c>
      <c r="EM51" s="122">
        <v>4.9000000000000004</v>
      </c>
      <c r="EN51" s="122">
        <v>13.8</v>
      </c>
      <c r="EO51" s="122">
        <v>28.2</v>
      </c>
      <c r="EP51" s="122">
        <v>62.9</v>
      </c>
      <c r="EQ51" s="126">
        <v>18</v>
      </c>
      <c r="IJ51" s="94" t="str">
        <f t="shared" si="163"/>
        <v/>
      </c>
      <c r="IK51" s="4" t="str">
        <f t="shared" si="164"/>
        <v/>
      </c>
      <c r="IL51" s="4" t="str">
        <f t="shared" si="165"/>
        <v/>
      </c>
      <c r="IM51" s="4" t="str">
        <f t="shared" si="166"/>
        <v/>
      </c>
      <c r="IN51" s="4" t="str">
        <f t="shared" si="167"/>
        <v/>
      </c>
      <c r="IO51" s="4" t="str">
        <f t="shared" si="168"/>
        <v/>
      </c>
      <c r="IP51" s="4" t="str">
        <f t="shared" si="169"/>
        <v/>
      </c>
      <c r="IQ51" s="4" t="str">
        <f t="shared" si="170"/>
        <v/>
      </c>
      <c r="IR51" s="4" t="str">
        <f t="shared" si="171"/>
        <v/>
      </c>
      <c r="IS51" s="4" t="str">
        <f t="shared" si="172"/>
        <v/>
      </c>
      <c r="IT51" s="4" t="str">
        <f t="shared" si="173"/>
        <v/>
      </c>
      <c r="IU51" s="4" t="str">
        <f t="shared" si="174"/>
        <v/>
      </c>
      <c r="IV51" s="4" t="str">
        <f t="shared" si="175"/>
        <v/>
      </c>
      <c r="IW51" s="4" t="str">
        <f t="shared" si="176"/>
        <v/>
      </c>
      <c r="IX51" s="4" t="str">
        <f t="shared" si="177"/>
        <v/>
      </c>
      <c r="IY51" s="4" t="str">
        <f t="shared" si="178"/>
        <v/>
      </c>
      <c r="IZ51" s="4" t="str">
        <f t="shared" si="179"/>
        <v/>
      </c>
      <c r="JA51" s="4" t="str">
        <f t="shared" si="180"/>
        <v/>
      </c>
      <c r="JB51" s="4" t="str">
        <f t="shared" si="181"/>
        <v/>
      </c>
      <c r="JC51" s="4" t="str">
        <f t="shared" si="182"/>
        <v/>
      </c>
      <c r="JD51" s="4" t="str">
        <f t="shared" si="183"/>
        <v/>
      </c>
      <c r="JE51" s="4" t="str">
        <f t="shared" si="184"/>
        <v/>
      </c>
      <c r="JF51" s="4" t="str">
        <f t="shared" si="185"/>
        <v/>
      </c>
      <c r="JG51" s="4" t="str">
        <f t="shared" si="186"/>
        <v/>
      </c>
      <c r="JH51" s="4" t="str">
        <f t="shared" si="187"/>
        <v/>
      </c>
      <c r="JI51" s="4" t="str">
        <f t="shared" si="188"/>
        <v/>
      </c>
      <c r="JJ51" s="4" t="str">
        <f t="shared" si="189"/>
        <v/>
      </c>
      <c r="JK51" s="4" t="str">
        <f t="shared" si="190"/>
        <v/>
      </c>
      <c r="JL51" s="4" t="str">
        <f t="shared" si="191"/>
        <v/>
      </c>
      <c r="JM51" s="4" t="str">
        <f t="shared" si="192"/>
        <v/>
      </c>
      <c r="JN51" s="4" t="str">
        <f t="shared" si="193"/>
        <v/>
      </c>
      <c r="JO51" s="129" t="str">
        <f t="shared" si="194"/>
        <v/>
      </c>
      <c r="JP51" s="122" t="str">
        <f t="shared" si="195"/>
        <v/>
      </c>
      <c r="JQ51" s="122" t="str">
        <f t="shared" si="196"/>
        <v/>
      </c>
      <c r="JR51" s="122" t="str">
        <f t="shared" si="197"/>
        <v/>
      </c>
      <c r="JS51" s="122" t="str">
        <f t="shared" si="198"/>
        <v/>
      </c>
      <c r="JT51" s="122" t="str">
        <f t="shared" si="199"/>
        <v/>
      </c>
      <c r="JU51" s="122" t="str">
        <f t="shared" si="200"/>
        <v/>
      </c>
      <c r="JV51" s="122" t="str">
        <f t="shared" si="201"/>
        <v/>
      </c>
      <c r="JW51" s="122" t="str">
        <f t="shared" si="202"/>
        <v/>
      </c>
      <c r="JX51" s="122" t="str">
        <f t="shared" si="203"/>
        <v/>
      </c>
      <c r="JY51" s="122" t="str">
        <f t="shared" si="204"/>
        <v/>
      </c>
      <c r="JZ51" s="122" t="str">
        <f t="shared" si="205"/>
        <v/>
      </c>
      <c r="KA51" s="122" t="str">
        <f t="shared" si="206"/>
        <v/>
      </c>
      <c r="KB51" s="122" t="str">
        <f t="shared" si="207"/>
        <v/>
      </c>
      <c r="KC51" s="122" t="str">
        <f t="shared" si="208"/>
        <v/>
      </c>
      <c r="KD51" s="122" t="str">
        <f t="shared" si="209"/>
        <v/>
      </c>
      <c r="KE51" s="133" t="str">
        <f t="shared" si="210"/>
        <v/>
      </c>
      <c r="KF51" s="94" t="str">
        <f t="shared" si="211"/>
        <v/>
      </c>
      <c r="KG51" s="4" t="str">
        <f t="shared" si="212"/>
        <v/>
      </c>
      <c r="KH51" s="4" t="str">
        <f t="shared" si="213"/>
        <v/>
      </c>
      <c r="KI51" s="4" t="str">
        <f t="shared" si="214"/>
        <v/>
      </c>
      <c r="KJ51" s="4" t="str">
        <f t="shared" si="215"/>
        <v/>
      </c>
      <c r="KK51" s="4" t="str">
        <f t="shared" si="216"/>
        <v/>
      </c>
      <c r="KL51" s="4" t="str">
        <f t="shared" si="217"/>
        <v/>
      </c>
      <c r="KM51" s="4" t="str">
        <f t="shared" si="218"/>
        <v/>
      </c>
      <c r="KN51" s="4" t="str">
        <f t="shared" si="219"/>
        <v/>
      </c>
      <c r="KO51" s="4" t="str">
        <f t="shared" si="220"/>
        <v/>
      </c>
      <c r="KP51" s="4" t="str">
        <f t="shared" si="221"/>
        <v/>
      </c>
      <c r="KQ51" s="4" t="str">
        <f t="shared" si="222"/>
        <v/>
      </c>
      <c r="KR51" s="4" t="str">
        <f t="shared" si="223"/>
        <v/>
      </c>
      <c r="KS51" s="4" t="str">
        <f t="shared" si="224"/>
        <v/>
      </c>
      <c r="KT51" s="4" t="str">
        <f t="shared" si="225"/>
        <v/>
      </c>
      <c r="KU51" s="4" t="str">
        <f t="shared" si="226"/>
        <v/>
      </c>
      <c r="KV51" s="4" t="str">
        <f t="shared" si="227"/>
        <v/>
      </c>
      <c r="KW51" s="4" t="str">
        <f t="shared" si="228"/>
        <v/>
      </c>
      <c r="KX51" s="4" t="str">
        <f t="shared" si="229"/>
        <v/>
      </c>
      <c r="KY51" s="4" t="str">
        <f t="shared" si="230"/>
        <v/>
      </c>
      <c r="KZ51" s="4" t="str">
        <f t="shared" si="231"/>
        <v/>
      </c>
      <c r="LA51" s="4" t="str">
        <f t="shared" si="232"/>
        <v/>
      </c>
      <c r="LB51" s="4" t="str">
        <f t="shared" si="233"/>
        <v/>
      </c>
      <c r="LC51" s="4" t="str">
        <f t="shared" si="234"/>
        <v/>
      </c>
      <c r="LD51" s="4" t="str">
        <f t="shared" si="235"/>
        <v/>
      </c>
      <c r="LE51" s="4" t="str">
        <f t="shared" si="236"/>
        <v/>
      </c>
      <c r="LF51" s="4" t="str">
        <f t="shared" si="237"/>
        <v/>
      </c>
      <c r="LG51" s="4" t="str">
        <f t="shared" si="238"/>
        <v/>
      </c>
      <c r="LH51" s="4" t="str">
        <f t="shared" si="239"/>
        <v/>
      </c>
      <c r="LI51" s="4" t="str">
        <f t="shared" si="240"/>
        <v/>
      </c>
      <c r="LJ51" s="4" t="str">
        <f t="shared" si="241"/>
        <v/>
      </c>
      <c r="LK51" s="4" t="str">
        <f t="shared" si="242"/>
        <v/>
      </c>
      <c r="LL51" s="4" t="str">
        <f t="shared" si="243"/>
        <v/>
      </c>
      <c r="LM51" s="4" t="str">
        <f t="shared" si="244"/>
        <v/>
      </c>
      <c r="LN51" s="4" t="str">
        <f t="shared" si="245"/>
        <v/>
      </c>
      <c r="LO51" s="4" t="str">
        <f t="shared" si="246"/>
        <v/>
      </c>
      <c r="LP51" s="4" t="str">
        <f t="shared" si="247"/>
        <v/>
      </c>
      <c r="LQ51" s="4" t="str">
        <f t="shared" si="248"/>
        <v/>
      </c>
      <c r="LR51" s="4" t="str">
        <f t="shared" si="249"/>
        <v/>
      </c>
      <c r="LS51" s="4" t="str">
        <f t="shared" si="250"/>
        <v/>
      </c>
      <c r="LT51" s="4" t="str">
        <f t="shared" si="251"/>
        <v/>
      </c>
      <c r="LU51" s="4" t="str">
        <f t="shared" si="252"/>
        <v/>
      </c>
      <c r="LV51" s="4" t="str">
        <f t="shared" si="253"/>
        <v/>
      </c>
      <c r="LW51" s="4" t="str">
        <f t="shared" si="254"/>
        <v/>
      </c>
      <c r="LX51" s="4" t="str">
        <f t="shared" si="255"/>
        <v/>
      </c>
      <c r="LY51" s="4" t="str">
        <f t="shared" si="256"/>
        <v/>
      </c>
      <c r="LZ51" s="4" t="str">
        <f t="shared" si="257"/>
        <v/>
      </c>
      <c r="MA51" s="4" t="str">
        <f t="shared" si="258"/>
        <v/>
      </c>
      <c r="MB51" s="4" t="str">
        <f t="shared" si="259"/>
        <v/>
      </c>
      <c r="MC51" s="4" t="str">
        <f t="shared" si="260"/>
        <v/>
      </c>
      <c r="MD51" s="4" t="str">
        <f t="shared" si="261"/>
        <v/>
      </c>
      <c r="ME51" s="4">
        <f t="shared" si="262"/>
        <v>0</v>
      </c>
    </row>
    <row r="52" spans="1:343" ht="26.25" customHeight="1" x14ac:dyDescent="0.2">
      <c r="A52" s="35">
        <v>41206</v>
      </c>
      <c r="B52" s="36" t="s">
        <v>198</v>
      </c>
      <c r="C52" s="36" t="s">
        <v>95</v>
      </c>
      <c r="D52" s="31" t="s">
        <v>111</v>
      </c>
      <c r="E52" s="4">
        <v>66</v>
      </c>
      <c r="F52" s="3">
        <v>17020</v>
      </c>
      <c r="G52" s="4" t="s">
        <v>87</v>
      </c>
      <c r="H52" s="4" t="s">
        <v>112</v>
      </c>
      <c r="I52" s="4">
        <v>1832657</v>
      </c>
      <c r="J52" s="4" t="s">
        <v>310</v>
      </c>
      <c r="P52" s="33">
        <v>-0.5</v>
      </c>
      <c r="Q52" s="4">
        <v>-0.54</v>
      </c>
      <c r="R52" s="4" t="s">
        <v>249</v>
      </c>
      <c r="S52" s="67">
        <v>21.25</v>
      </c>
      <c r="T52" s="136">
        <v>41151</v>
      </c>
      <c r="U52" s="67">
        <v>-2.5</v>
      </c>
      <c r="V52" s="67">
        <v>2.75</v>
      </c>
      <c r="W52" s="4">
        <v>61</v>
      </c>
      <c r="X52" s="4">
        <v>40</v>
      </c>
      <c r="Y52" s="4">
        <v>12</v>
      </c>
      <c r="Z52" s="4">
        <v>564</v>
      </c>
      <c r="AA52" s="4">
        <v>22.56</v>
      </c>
      <c r="AD52" s="4">
        <v>2.85</v>
      </c>
      <c r="AE52" s="4">
        <v>45.55</v>
      </c>
      <c r="AF52" s="4">
        <v>152</v>
      </c>
      <c r="AG52" s="4">
        <v>47.72</v>
      </c>
      <c r="AH52" s="4">
        <v>62</v>
      </c>
      <c r="AI52" s="4">
        <v>0</v>
      </c>
      <c r="AJ52" s="4" t="b">
        <f t="shared" si="133"/>
        <v>0</v>
      </c>
      <c r="AK52" s="54" t="s">
        <v>501</v>
      </c>
      <c r="AL52" s="3">
        <v>41477</v>
      </c>
      <c r="AM52" s="56">
        <v>25</v>
      </c>
      <c r="AN52" s="67">
        <v>0</v>
      </c>
      <c r="AO52" s="67">
        <v>0.5</v>
      </c>
      <c r="AP52" s="4">
        <v>45</v>
      </c>
      <c r="AQ52" s="4">
        <v>20</v>
      </c>
      <c r="AR52" s="4">
        <v>14</v>
      </c>
      <c r="AS52" s="4">
        <v>490</v>
      </c>
      <c r="AT52" s="4">
        <v>2326</v>
      </c>
      <c r="BA52" s="4">
        <f t="shared" si="134"/>
        <v>0.25</v>
      </c>
      <c r="BB52" s="4">
        <f t="shared" si="135"/>
        <v>0.79</v>
      </c>
      <c r="BC52" s="4">
        <f t="shared" si="136"/>
        <v>-74</v>
      </c>
      <c r="BD52" s="3">
        <v>41598</v>
      </c>
      <c r="BE52" s="56">
        <v>20</v>
      </c>
      <c r="BF52" s="67">
        <v>0</v>
      </c>
      <c r="BG52" s="67">
        <v>0.5</v>
      </c>
      <c r="BH52" s="4">
        <v>45</v>
      </c>
      <c r="BI52" s="4">
        <v>20</v>
      </c>
      <c r="BJ52" s="4">
        <v>18</v>
      </c>
      <c r="BK52" s="4">
        <v>499</v>
      </c>
      <c r="BL52" s="4">
        <v>2242</v>
      </c>
      <c r="BM52" s="4">
        <v>22.65</v>
      </c>
      <c r="BN52" s="4">
        <v>3.11</v>
      </c>
      <c r="BO52" s="4">
        <v>45.55</v>
      </c>
      <c r="BP52" s="4">
        <v>154</v>
      </c>
      <c r="BQ52" s="4">
        <v>46.36</v>
      </c>
      <c r="BR52" s="4">
        <v>64</v>
      </c>
      <c r="BS52" s="4">
        <f t="shared" si="137"/>
        <v>0.25</v>
      </c>
      <c r="BT52" s="4">
        <f t="shared" si="138"/>
        <v>0.79</v>
      </c>
      <c r="BU52" s="4">
        <f t="shared" si="139"/>
        <v>-65</v>
      </c>
      <c r="BV52" s="4">
        <f>IF(AND(ISBLANK(SPH_6),ISBLANK(SPH_12)),0,1)</f>
        <v>1</v>
      </c>
      <c r="BW52" s="4">
        <f t="shared" si="140"/>
        <v>1</v>
      </c>
      <c r="BX52" s="4">
        <f t="shared" si="141"/>
        <v>-1.125</v>
      </c>
      <c r="BY52" s="4">
        <f t="shared" si="142"/>
        <v>0.25</v>
      </c>
      <c r="BZ52" s="4">
        <f t="shared" si="143"/>
        <v>0.25</v>
      </c>
      <c r="CA52" s="53">
        <f t="shared" si="144"/>
        <v>392</v>
      </c>
      <c r="CB52" s="55">
        <f t="shared" si="145"/>
        <v>13.066666666666666</v>
      </c>
      <c r="CC52" s="4">
        <f t="shared" si="146"/>
        <v>0</v>
      </c>
      <c r="CD52" s="4" t="str">
        <f t="shared" si="147"/>
        <v/>
      </c>
      <c r="CE52" s="4">
        <f t="shared" si="148"/>
        <v>-0.67999999999999972</v>
      </c>
      <c r="CF52" s="4">
        <f t="shared" si="149"/>
        <v>-0.67999999999999972</v>
      </c>
      <c r="CG52" s="4">
        <f t="shared" si="263"/>
        <v>-1.125</v>
      </c>
      <c r="CH52" s="4">
        <f t="shared" si="150"/>
        <v>0.25</v>
      </c>
      <c r="CI52" s="104">
        <f t="shared" si="151"/>
        <v>0.79</v>
      </c>
      <c r="CJ52" s="94">
        <f t="shared" si="152"/>
        <v>-65</v>
      </c>
      <c r="CK52" s="4">
        <f t="shared" si="153"/>
        <v>8.9999999999999858E-2</v>
      </c>
      <c r="CL52" s="107">
        <f t="shared" si="154"/>
        <v>-0.54</v>
      </c>
      <c r="CM52" s="107">
        <f t="shared" si="264"/>
        <v>0.3010299956639812</v>
      </c>
      <c r="CN52" s="139">
        <f t="shared" si="155"/>
        <v>0.5</v>
      </c>
      <c r="CO52" s="139">
        <f t="shared" si="156"/>
        <v>-2.25</v>
      </c>
      <c r="CP52" s="149">
        <f t="shared" si="157"/>
        <v>20</v>
      </c>
      <c r="CQ52" s="149">
        <f t="shared" si="158"/>
        <v>40</v>
      </c>
      <c r="CR52" s="148">
        <f t="shared" si="159"/>
        <v>20</v>
      </c>
      <c r="CS52" s="152">
        <f t="shared" si="160"/>
        <v>1</v>
      </c>
      <c r="CT52" s="107">
        <f t="shared" si="161"/>
        <v>0</v>
      </c>
      <c r="CU52" s="155" t="b">
        <f t="shared" si="162"/>
        <v>0</v>
      </c>
      <c r="CV52">
        <v>7.48</v>
      </c>
      <c r="CW52" s="4">
        <v>7.29</v>
      </c>
      <c r="CX52" s="4">
        <v>143.6</v>
      </c>
      <c r="CY52" s="4">
        <v>-1.2</v>
      </c>
      <c r="CZ52" s="4">
        <v>0.04</v>
      </c>
      <c r="DA52" s="4">
        <v>0.62</v>
      </c>
      <c r="DB52" s="4">
        <v>2.66</v>
      </c>
      <c r="DC52" s="4">
        <v>3.26</v>
      </c>
      <c r="DD52" s="4">
        <v>597</v>
      </c>
      <c r="DE52" s="4">
        <v>597</v>
      </c>
      <c r="DF52" s="4">
        <v>670</v>
      </c>
      <c r="DG52" s="4">
        <v>608</v>
      </c>
      <c r="DH52" s="4">
        <v>607</v>
      </c>
      <c r="DI52" s="4">
        <v>625</v>
      </c>
      <c r="DJ52" s="4">
        <v>593</v>
      </c>
      <c r="DK52" s="4">
        <v>-1.01</v>
      </c>
      <c r="DL52" s="4">
        <v>1.21</v>
      </c>
      <c r="DM52" s="4">
        <v>7.42</v>
      </c>
      <c r="DN52" s="4">
        <v>7.34</v>
      </c>
      <c r="DO52" s="4">
        <v>7.37</v>
      </c>
      <c r="DP52" s="4">
        <v>7.58</v>
      </c>
      <c r="DQ52" s="4">
        <v>7.92</v>
      </c>
      <c r="DR52" s="4">
        <v>8.2899999999999991</v>
      </c>
      <c r="DS52" s="4">
        <v>0</v>
      </c>
      <c r="DT52" s="4">
        <v>0.6</v>
      </c>
      <c r="DU52" s="4">
        <v>6.83</v>
      </c>
      <c r="DV52" s="4">
        <v>6.48</v>
      </c>
      <c r="DW52" s="4">
        <v>6.24</v>
      </c>
      <c r="DX52" s="4">
        <v>6.44</v>
      </c>
      <c r="DY52" s="4">
        <v>6.8</v>
      </c>
      <c r="DZ52" s="4">
        <v>0</v>
      </c>
      <c r="EA52" s="4">
        <v>0</v>
      </c>
      <c r="EB52" s="100">
        <v>0.6</v>
      </c>
      <c r="EC52" s="122">
        <v>45.1</v>
      </c>
      <c r="ED52" s="122">
        <v>46.3</v>
      </c>
      <c r="EE52" s="122">
        <v>45.7</v>
      </c>
      <c r="EF52" s="122">
        <v>143.6</v>
      </c>
      <c r="EG52" s="122">
        <v>1.2</v>
      </c>
      <c r="EH52" s="122">
        <v>-5.8</v>
      </c>
      <c r="EI52" s="122">
        <v>-6.1</v>
      </c>
      <c r="EJ52" s="122">
        <v>-6</v>
      </c>
      <c r="EK52" s="122">
        <v>134</v>
      </c>
      <c r="EL52" s="122">
        <v>0.3</v>
      </c>
      <c r="EM52" s="122">
        <v>4.2</v>
      </c>
      <c r="EN52" s="122">
        <v>12.1</v>
      </c>
      <c r="EO52" s="122">
        <v>25.4</v>
      </c>
      <c r="EP52" s="122">
        <v>60.3</v>
      </c>
      <c r="EQ52" s="126">
        <v>28</v>
      </c>
      <c r="GN52" s="94">
        <v>7.42</v>
      </c>
      <c r="GO52" s="4">
        <v>7.35</v>
      </c>
      <c r="GP52" s="4">
        <v>140.4</v>
      </c>
      <c r="GQ52" s="4">
        <v>-0.4</v>
      </c>
      <c r="GR52" s="4">
        <v>0.41</v>
      </c>
      <c r="GS52" s="4">
        <v>0.57999999999999996</v>
      </c>
      <c r="GT52" s="4">
        <v>5.07</v>
      </c>
      <c r="GU52" s="4">
        <v>5.58</v>
      </c>
      <c r="GV52" s="4">
        <v>501</v>
      </c>
      <c r="GW52" s="4">
        <v>493</v>
      </c>
      <c r="GX52" s="4">
        <v>607</v>
      </c>
      <c r="GY52" s="4">
        <v>567</v>
      </c>
      <c r="GZ52" s="4">
        <v>602</v>
      </c>
      <c r="HA52" s="4">
        <v>546</v>
      </c>
      <c r="HB52" s="4">
        <v>488</v>
      </c>
      <c r="HC52" s="4">
        <v>-0.97</v>
      </c>
      <c r="HD52" s="4">
        <v>-0.57999999999999996</v>
      </c>
      <c r="HE52" s="4">
        <v>7.4</v>
      </c>
      <c r="HF52" s="4">
        <v>7.33</v>
      </c>
      <c r="HG52" s="4">
        <v>7.37</v>
      </c>
      <c r="HH52" s="4">
        <v>7.55</v>
      </c>
      <c r="HI52" s="4">
        <v>7.82</v>
      </c>
      <c r="HJ52" s="4">
        <v>8.0299999999999994</v>
      </c>
      <c r="HK52" s="4">
        <v>0</v>
      </c>
      <c r="HL52" s="4">
        <v>1.5</v>
      </c>
      <c r="HM52" s="4">
        <v>5.99</v>
      </c>
      <c r="HN52" s="4">
        <v>6.02</v>
      </c>
      <c r="HO52" s="4">
        <v>6.07</v>
      </c>
      <c r="HP52" s="4">
        <v>6.19</v>
      </c>
      <c r="HQ52" s="4">
        <v>6.49</v>
      </c>
      <c r="HR52" s="4">
        <v>0</v>
      </c>
      <c r="HS52" s="4">
        <v>0</v>
      </c>
      <c r="HT52" s="104">
        <v>1.5</v>
      </c>
      <c r="HU52" s="122">
        <v>45.5</v>
      </c>
      <c r="HV52" s="122">
        <v>45.9</v>
      </c>
      <c r="HW52" s="122">
        <v>45.7</v>
      </c>
      <c r="HX52" s="122">
        <v>140.4</v>
      </c>
      <c r="HY52" s="122">
        <v>0.4</v>
      </c>
      <c r="HZ52" s="122">
        <v>-6.6</v>
      </c>
      <c r="IA52" s="122">
        <v>-6.7</v>
      </c>
      <c r="IB52" s="122">
        <v>-6.6</v>
      </c>
      <c r="IC52" s="122">
        <v>7.7</v>
      </c>
      <c r="ID52" s="122">
        <v>0.2</v>
      </c>
      <c r="IE52" s="122">
        <v>3.7</v>
      </c>
      <c r="IF52" s="122">
        <v>10.8</v>
      </c>
      <c r="IG52" s="122">
        <v>23.5</v>
      </c>
      <c r="IH52" s="122">
        <v>58.8</v>
      </c>
      <c r="II52" s="133">
        <v>21</v>
      </c>
      <c r="IJ52" s="94">
        <f t="shared" si="163"/>
        <v>7.42</v>
      </c>
      <c r="IK52" s="4">
        <f t="shared" si="164"/>
        <v>7.35</v>
      </c>
      <c r="IL52" s="4">
        <f t="shared" si="165"/>
        <v>140.4</v>
      </c>
      <c r="IM52" s="4">
        <f t="shared" si="166"/>
        <v>-0.4</v>
      </c>
      <c r="IN52" s="4">
        <f t="shared" si="167"/>
        <v>0.41</v>
      </c>
      <c r="IO52" s="4">
        <f t="shared" si="168"/>
        <v>0.57999999999999996</v>
      </c>
      <c r="IP52" s="4">
        <f t="shared" si="169"/>
        <v>5.07</v>
      </c>
      <c r="IQ52" s="4">
        <f t="shared" si="170"/>
        <v>5.58</v>
      </c>
      <c r="IR52" s="4">
        <f t="shared" si="171"/>
        <v>501</v>
      </c>
      <c r="IS52" s="4">
        <f t="shared" si="172"/>
        <v>493</v>
      </c>
      <c r="IT52" s="4">
        <f t="shared" si="173"/>
        <v>607</v>
      </c>
      <c r="IU52" s="4">
        <f t="shared" si="174"/>
        <v>567</v>
      </c>
      <c r="IV52" s="4">
        <f t="shared" si="175"/>
        <v>602</v>
      </c>
      <c r="IW52" s="4">
        <f t="shared" si="176"/>
        <v>546</v>
      </c>
      <c r="IX52" s="4">
        <f t="shared" si="177"/>
        <v>488</v>
      </c>
      <c r="IY52" s="4">
        <f t="shared" si="178"/>
        <v>-0.97</v>
      </c>
      <c r="IZ52" s="4">
        <f t="shared" si="179"/>
        <v>-0.57999999999999996</v>
      </c>
      <c r="JA52" s="4">
        <f t="shared" si="180"/>
        <v>7.4</v>
      </c>
      <c r="JB52" s="4">
        <f t="shared" si="181"/>
        <v>7.33</v>
      </c>
      <c r="JC52" s="4">
        <f t="shared" si="182"/>
        <v>7.37</v>
      </c>
      <c r="JD52" s="4">
        <f t="shared" si="183"/>
        <v>7.55</v>
      </c>
      <c r="JE52" s="4">
        <f t="shared" si="184"/>
        <v>7.82</v>
      </c>
      <c r="JF52" s="4">
        <f t="shared" si="185"/>
        <v>8.0299999999999994</v>
      </c>
      <c r="JG52" s="4">
        <f t="shared" si="186"/>
        <v>0</v>
      </c>
      <c r="JH52" s="4">
        <f t="shared" si="187"/>
        <v>1.5</v>
      </c>
      <c r="JI52" s="4">
        <f t="shared" si="188"/>
        <v>5.99</v>
      </c>
      <c r="JJ52" s="4">
        <f t="shared" si="189"/>
        <v>6.02</v>
      </c>
      <c r="JK52" s="4">
        <f t="shared" si="190"/>
        <v>6.07</v>
      </c>
      <c r="JL52" s="4">
        <f t="shared" si="191"/>
        <v>6.19</v>
      </c>
      <c r="JM52" s="4">
        <f t="shared" si="192"/>
        <v>6.49</v>
      </c>
      <c r="JN52" s="4">
        <f t="shared" si="193"/>
        <v>0</v>
      </c>
      <c r="JO52" s="129">
        <f t="shared" si="194"/>
        <v>0</v>
      </c>
      <c r="JP52" s="122">
        <f t="shared" si="195"/>
        <v>1.5</v>
      </c>
      <c r="JQ52" s="122">
        <f t="shared" si="196"/>
        <v>45.5</v>
      </c>
      <c r="JR52" s="122">
        <f t="shared" si="197"/>
        <v>45.9</v>
      </c>
      <c r="JS52" s="122">
        <f t="shared" si="198"/>
        <v>45.7</v>
      </c>
      <c r="JT52" s="122">
        <f t="shared" si="199"/>
        <v>140.4</v>
      </c>
      <c r="JU52" s="122">
        <f t="shared" si="200"/>
        <v>0.4</v>
      </c>
      <c r="JV52" s="122">
        <f t="shared" si="201"/>
        <v>-6.6</v>
      </c>
      <c r="JW52" s="122">
        <f t="shared" si="202"/>
        <v>-6.7</v>
      </c>
      <c r="JX52" s="122">
        <f t="shared" si="203"/>
        <v>-6.6</v>
      </c>
      <c r="JY52" s="122">
        <f t="shared" si="204"/>
        <v>7.7</v>
      </c>
      <c r="JZ52" s="122">
        <f t="shared" si="205"/>
        <v>0.2</v>
      </c>
      <c r="KA52" s="122">
        <f t="shared" si="206"/>
        <v>3.7</v>
      </c>
      <c r="KB52" s="122">
        <f t="shared" si="207"/>
        <v>10.8</v>
      </c>
      <c r="KC52" s="122">
        <f t="shared" si="208"/>
        <v>23.5</v>
      </c>
      <c r="KD52" s="122">
        <f t="shared" si="209"/>
        <v>58.8</v>
      </c>
      <c r="KE52" s="133">
        <f t="shared" si="210"/>
        <v>21</v>
      </c>
      <c r="KF52" s="94">
        <f t="shared" si="211"/>
        <v>-6.0000000000000497E-2</v>
      </c>
      <c r="KG52" s="4">
        <f t="shared" si="212"/>
        <v>5.9999999999999609E-2</v>
      </c>
      <c r="KH52" s="4">
        <f t="shared" si="213"/>
        <v>-3.1999999999999886</v>
      </c>
      <c r="KI52" s="4">
        <f t="shared" si="214"/>
        <v>0.79999999999999993</v>
      </c>
      <c r="KJ52" s="4">
        <f t="shared" si="215"/>
        <v>0.37</v>
      </c>
      <c r="KK52" s="4">
        <f t="shared" si="216"/>
        <v>-4.0000000000000036E-2</v>
      </c>
      <c r="KL52" s="4">
        <f t="shared" si="217"/>
        <v>2.41</v>
      </c>
      <c r="KM52" s="4">
        <f t="shared" si="218"/>
        <v>2.3200000000000003</v>
      </c>
      <c r="KN52" s="4">
        <f t="shared" si="219"/>
        <v>-96</v>
      </c>
      <c r="KO52" s="4">
        <f t="shared" si="220"/>
        <v>-104</v>
      </c>
      <c r="KP52" s="4">
        <f t="shared" si="221"/>
        <v>-63</v>
      </c>
      <c r="KQ52" s="4">
        <f t="shared" si="222"/>
        <v>-41</v>
      </c>
      <c r="KR52" s="4">
        <f t="shared" si="223"/>
        <v>-5</v>
      </c>
      <c r="KS52" s="4">
        <f t="shared" si="224"/>
        <v>-79</v>
      </c>
      <c r="KT52" s="4">
        <f t="shared" si="225"/>
        <v>-105</v>
      </c>
      <c r="KU52" s="4">
        <f t="shared" si="226"/>
        <v>4.0000000000000036E-2</v>
      </c>
      <c r="KV52" s="4">
        <f t="shared" si="227"/>
        <v>-1.79</v>
      </c>
      <c r="KW52" s="4">
        <f t="shared" si="228"/>
        <v>-1.9999999999999574E-2</v>
      </c>
      <c r="KX52" s="4">
        <f t="shared" si="229"/>
        <v>-9.9999999999997868E-3</v>
      </c>
      <c r="KY52" s="4">
        <f t="shared" si="230"/>
        <v>0</v>
      </c>
      <c r="KZ52" s="4">
        <f t="shared" si="231"/>
        <v>-3.0000000000000249E-2</v>
      </c>
      <c r="LA52" s="4">
        <f t="shared" si="232"/>
        <v>-9.9999999999999645E-2</v>
      </c>
      <c r="LB52" s="4">
        <f t="shared" si="233"/>
        <v>-0.25999999999999979</v>
      </c>
      <c r="LC52" s="4">
        <f t="shared" si="234"/>
        <v>0</v>
      </c>
      <c r="LD52" s="4">
        <f t="shared" si="235"/>
        <v>0.9</v>
      </c>
      <c r="LE52" s="4">
        <f t="shared" si="236"/>
        <v>-0.83999999999999986</v>
      </c>
      <c r="LF52" s="4">
        <f t="shared" si="237"/>
        <v>-0.46000000000000085</v>
      </c>
      <c r="LG52" s="4">
        <f t="shared" si="238"/>
        <v>-0.16999999999999993</v>
      </c>
      <c r="LH52" s="4">
        <f t="shared" si="239"/>
        <v>-0.25</v>
      </c>
      <c r="LI52" s="4">
        <f t="shared" si="240"/>
        <v>-0.30999999999999961</v>
      </c>
      <c r="LJ52" s="4">
        <f t="shared" si="241"/>
        <v>0</v>
      </c>
      <c r="LK52" s="4">
        <f t="shared" si="242"/>
        <v>0</v>
      </c>
      <c r="LL52" s="4">
        <f t="shared" si="243"/>
        <v>0.9</v>
      </c>
      <c r="LM52" s="4">
        <f t="shared" si="244"/>
        <v>0.39999999999999858</v>
      </c>
      <c r="LN52" s="4">
        <f t="shared" si="245"/>
        <v>-0.39999999999999858</v>
      </c>
      <c r="LO52" s="4">
        <f t="shared" si="246"/>
        <v>0</v>
      </c>
      <c r="LP52" s="4">
        <f t="shared" si="247"/>
        <v>-3.1999999999999886</v>
      </c>
      <c r="LQ52" s="4">
        <f t="shared" si="248"/>
        <v>-0.79999999999999993</v>
      </c>
      <c r="LR52" s="4">
        <f t="shared" si="249"/>
        <v>-0.79999999999999982</v>
      </c>
      <c r="LS52" s="4">
        <f t="shared" si="250"/>
        <v>-0.60000000000000053</v>
      </c>
      <c r="LT52" s="4">
        <f t="shared" si="251"/>
        <v>-0.59999999999999964</v>
      </c>
      <c r="LU52" s="4">
        <f t="shared" si="252"/>
        <v>-126.3</v>
      </c>
      <c r="LV52" s="4">
        <f t="shared" si="253"/>
        <v>-9.9999999999999978E-2</v>
      </c>
      <c r="LW52" s="4">
        <f t="shared" si="254"/>
        <v>-0.5</v>
      </c>
      <c r="LX52" s="4">
        <f t="shared" si="255"/>
        <v>-1.2999999999999989</v>
      </c>
      <c r="LY52" s="4">
        <f t="shared" si="256"/>
        <v>-1.8999999999999986</v>
      </c>
      <c r="LZ52" s="4">
        <f t="shared" si="257"/>
        <v>-1.5</v>
      </c>
      <c r="MA52" s="4">
        <f t="shared" si="258"/>
        <v>-7</v>
      </c>
      <c r="MB52" s="4" t="str">
        <f t="shared" si="259"/>
        <v/>
      </c>
      <c r="MC52" s="4" t="str">
        <f t="shared" si="260"/>
        <v/>
      </c>
      <c r="MD52" s="4" t="str">
        <f t="shared" si="261"/>
        <v/>
      </c>
      <c r="ME52" s="4">
        <f t="shared" si="262"/>
        <v>-6.7</v>
      </c>
    </row>
    <row r="53" spans="1:343" ht="26.25" customHeight="1" x14ac:dyDescent="0.2">
      <c r="A53" s="35">
        <v>41276</v>
      </c>
      <c r="B53" s="36" t="s">
        <v>198</v>
      </c>
      <c r="C53" s="36" t="s">
        <v>22</v>
      </c>
      <c r="D53" s="31" t="s">
        <v>110</v>
      </c>
      <c r="E53" s="4">
        <v>66</v>
      </c>
      <c r="F53" s="3">
        <v>17020</v>
      </c>
      <c r="G53" s="4" t="s">
        <v>87</v>
      </c>
      <c r="H53" s="4" t="s">
        <v>112</v>
      </c>
      <c r="I53" s="4">
        <v>1832657</v>
      </c>
      <c r="J53" s="4" t="s">
        <v>310</v>
      </c>
      <c r="P53" s="4">
        <v>-0.5</v>
      </c>
      <c r="Q53" s="4">
        <v>-0.45</v>
      </c>
      <c r="R53" s="4" t="s">
        <v>249</v>
      </c>
      <c r="S53" s="67">
        <v>21.5</v>
      </c>
      <c r="T53" s="136">
        <v>41239</v>
      </c>
      <c r="U53" s="67">
        <v>-0.5</v>
      </c>
      <c r="V53" s="67">
        <v>1</v>
      </c>
      <c r="W53" s="4">
        <v>78</v>
      </c>
      <c r="X53" s="4">
        <v>30</v>
      </c>
      <c r="Y53" s="4">
        <v>10</v>
      </c>
      <c r="Z53" s="4">
        <v>565</v>
      </c>
      <c r="AA53" s="4">
        <v>22.53</v>
      </c>
      <c r="AD53" s="4">
        <v>2.59</v>
      </c>
      <c r="AE53" s="4">
        <v>45.92</v>
      </c>
      <c r="AF53" s="4">
        <v>19</v>
      </c>
      <c r="AG53" s="4">
        <v>47.7</v>
      </c>
      <c r="AH53" s="4">
        <v>109</v>
      </c>
      <c r="AI53" s="4">
        <v>1</v>
      </c>
      <c r="AJ53" s="4" t="b">
        <f t="shared" si="133"/>
        <v>1</v>
      </c>
      <c r="AK53" s="54"/>
      <c r="AL53" s="37">
        <v>41477</v>
      </c>
      <c r="AM53" s="59">
        <v>25</v>
      </c>
      <c r="AN53" s="67">
        <v>0.5</v>
      </c>
      <c r="AO53" s="67">
        <v>0.5</v>
      </c>
      <c r="AP53" s="4">
        <v>150</v>
      </c>
      <c r="AQ53" s="4">
        <v>25</v>
      </c>
      <c r="AR53" s="4">
        <v>16</v>
      </c>
      <c r="AS53" s="4">
        <v>520</v>
      </c>
      <c r="AT53" s="4">
        <v>2041</v>
      </c>
      <c r="BA53" s="4">
        <f t="shared" si="134"/>
        <v>0.75</v>
      </c>
      <c r="BB53" s="4">
        <f t="shared" si="135"/>
        <v>1.2</v>
      </c>
      <c r="BC53" s="4">
        <f t="shared" si="136"/>
        <v>-45</v>
      </c>
      <c r="BD53" s="3">
        <v>41598</v>
      </c>
      <c r="BE53" s="56">
        <v>25</v>
      </c>
      <c r="BF53" s="67">
        <v>0.25</v>
      </c>
      <c r="BG53" s="67">
        <v>0.75</v>
      </c>
      <c r="BH53" s="4">
        <v>150</v>
      </c>
      <c r="BI53" s="4">
        <v>25</v>
      </c>
      <c r="BJ53" s="4">
        <v>17</v>
      </c>
      <c r="BK53" s="4">
        <v>501</v>
      </c>
      <c r="BL53" s="4">
        <v>2336</v>
      </c>
      <c r="BM53" s="4">
        <v>22.55</v>
      </c>
      <c r="BN53" s="4">
        <v>4.6100000000000003</v>
      </c>
      <c r="BO53" s="4">
        <v>45.98</v>
      </c>
      <c r="BP53" s="4">
        <v>4</v>
      </c>
      <c r="BQ53" s="4">
        <v>46.64</v>
      </c>
      <c r="BR53" s="4">
        <v>94</v>
      </c>
      <c r="BS53" s="4">
        <f t="shared" si="137"/>
        <v>0.625</v>
      </c>
      <c r="BT53" s="4">
        <f t="shared" si="138"/>
        <v>1.075</v>
      </c>
      <c r="BU53" s="4">
        <f t="shared" si="139"/>
        <v>-64</v>
      </c>
      <c r="BV53" s="4">
        <f>IF(AND(ISBLANK(SPH_6),ISBLANK(SPH_12)),0,1)</f>
        <v>1</v>
      </c>
      <c r="BW53" s="4">
        <f t="shared" si="140"/>
        <v>1</v>
      </c>
      <c r="BX53" s="4">
        <f t="shared" si="141"/>
        <v>0</v>
      </c>
      <c r="BY53" s="4">
        <f t="shared" si="142"/>
        <v>0.75</v>
      </c>
      <c r="BZ53" s="4">
        <f t="shared" si="143"/>
        <v>0.625</v>
      </c>
      <c r="CA53" s="53">
        <f t="shared" si="144"/>
        <v>322</v>
      </c>
      <c r="CB53" s="55">
        <f t="shared" si="145"/>
        <v>10.733333333333333</v>
      </c>
      <c r="CC53" s="4">
        <f t="shared" si="146"/>
        <v>-0.125</v>
      </c>
      <c r="CD53" s="4" t="str">
        <f t="shared" si="147"/>
        <v/>
      </c>
      <c r="CE53" s="4">
        <f t="shared" si="148"/>
        <v>-0.5</v>
      </c>
      <c r="CF53" s="4">
        <f t="shared" si="149"/>
        <v>-0.5</v>
      </c>
      <c r="CG53" s="4">
        <f t="shared" si="263"/>
        <v>0</v>
      </c>
      <c r="CH53" s="4">
        <f t="shared" si="150"/>
        <v>0.625</v>
      </c>
      <c r="CI53" s="104">
        <f t="shared" si="151"/>
        <v>1.075</v>
      </c>
      <c r="CJ53" s="94">
        <f t="shared" si="152"/>
        <v>-64</v>
      </c>
      <c r="CK53" s="4">
        <f t="shared" si="153"/>
        <v>1.9999999999999574E-2</v>
      </c>
      <c r="CL53" s="107">
        <f t="shared" si="154"/>
        <v>-0.45</v>
      </c>
      <c r="CM53" s="107">
        <f t="shared" si="264"/>
        <v>7.9181246047624873E-2</v>
      </c>
      <c r="CN53" s="139">
        <f t="shared" si="155"/>
        <v>0.75</v>
      </c>
      <c r="CO53" s="139">
        <f t="shared" si="156"/>
        <v>-0.25</v>
      </c>
      <c r="CP53" s="149">
        <f t="shared" si="157"/>
        <v>25</v>
      </c>
      <c r="CQ53" s="149">
        <f t="shared" si="158"/>
        <v>30</v>
      </c>
      <c r="CR53" s="148">
        <f t="shared" si="159"/>
        <v>25</v>
      </c>
      <c r="CS53" s="152">
        <f t="shared" si="160"/>
        <v>1</v>
      </c>
      <c r="CT53" s="107">
        <f t="shared" si="161"/>
        <v>0</v>
      </c>
      <c r="CU53" s="155" t="b">
        <f t="shared" si="162"/>
        <v>0</v>
      </c>
      <c r="CV53" s="120">
        <v>7.44</v>
      </c>
      <c r="CW53" s="4">
        <v>7.31</v>
      </c>
      <c r="CX53" s="4">
        <v>0.5</v>
      </c>
      <c r="CY53" s="4">
        <v>-0.8</v>
      </c>
      <c r="CZ53" s="4">
        <v>0.11</v>
      </c>
      <c r="DA53" s="4">
        <v>0.64</v>
      </c>
      <c r="DB53" s="4">
        <v>2.37</v>
      </c>
      <c r="DC53" s="4">
        <v>2.94</v>
      </c>
      <c r="DD53" s="4">
        <v>576</v>
      </c>
      <c r="DE53" s="4">
        <v>579</v>
      </c>
      <c r="DF53" s="4">
        <v>674</v>
      </c>
      <c r="DG53" s="4">
        <v>607</v>
      </c>
      <c r="DH53" s="4">
        <v>596</v>
      </c>
      <c r="DI53" s="4">
        <v>609</v>
      </c>
      <c r="DJ53" s="4">
        <v>567</v>
      </c>
      <c r="DK53" s="4">
        <v>0.06</v>
      </c>
      <c r="DL53" s="4">
        <v>1.02</v>
      </c>
      <c r="DM53" s="4">
        <v>7.4</v>
      </c>
      <c r="DN53" s="4">
        <v>7.3</v>
      </c>
      <c r="DO53" s="4">
        <v>7.38</v>
      </c>
      <c r="DP53" s="4">
        <v>7.59</v>
      </c>
      <c r="DQ53" s="4">
        <v>7.9</v>
      </c>
      <c r="DR53" s="4">
        <v>8</v>
      </c>
      <c r="DS53" s="4">
        <v>0</v>
      </c>
      <c r="DT53" s="4">
        <v>0.8</v>
      </c>
      <c r="DU53" s="4">
        <v>6.62</v>
      </c>
      <c r="DV53" s="4">
        <v>6.34</v>
      </c>
      <c r="DW53" s="4">
        <v>6.2</v>
      </c>
      <c r="DX53" s="4">
        <v>6.42</v>
      </c>
      <c r="DY53" s="4">
        <v>6.68</v>
      </c>
      <c r="DZ53" s="4">
        <v>0</v>
      </c>
      <c r="EA53" s="4">
        <v>0</v>
      </c>
      <c r="EB53" s="100">
        <v>0.8</v>
      </c>
      <c r="EC53" s="122">
        <v>45.4</v>
      </c>
      <c r="ED53" s="122">
        <v>46.2</v>
      </c>
      <c r="EE53" s="122">
        <v>45.8</v>
      </c>
      <c r="EF53" s="122">
        <v>0.5</v>
      </c>
      <c r="EG53" s="122">
        <v>0.8</v>
      </c>
      <c r="EH53" s="122">
        <v>-6.1</v>
      </c>
      <c r="EI53" s="122">
        <v>-6.2</v>
      </c>
      <c r="EJ53" s="122">
        <v>-6.1</v>
      </c>
      <c r="EK53" s="122">
        <v>24.4</v>
      </c>
      <c r="EL53" s="122">
        <v>0.1</v>
      </c>
      <c r="EM53" s="122">
        <v>4.0999999999999996</v>
      </c>
      <c r="EN53" s="122">
        <v>11.8</v>
      </c>
      <c r="EO53" s="122">
        <v>25.1</v>
      </c>
      <c r="EP53" s="122">
        <v>60.6</v>
      </c>
      <c r="EQ53" s="126">
        <v>29</v>
      </c>
      <c r="GN53" s="94">
        <v>7.38</v>
      </c>
      <c r="GO53" s="4">
        <v>7.26</v>
      </c>
      <c r="GP53" s="4">
        <v>16.3</v>
      </c>
      <c r="GQ53" s="4">
        <v>-0.7</v>
      </c>
      <c r="GR53" s="4">
        <v>0.39</v>
      </c>
      <c r="GS53" s="4">
        <v>0.57999999999999996</v>
      </c>
      <c r="GT53" s="4">
        <v>5.32</v>
      </c>
      <c r="GU53" s="4">
        <v>5.83</v>
      </c>
      <c r="GV53" s="4">
        <v>510</v>
      </c>
      <c r="GW53" s="4">
        <v>506</v>
      </c>
      <c r="GX53" s="4">
        <v>629</v>
      </c>
      <c r="GY53" s="4">
        <v>567</v>
      </c>
      <c r="GZ53" s="4">
        <v>612</v>
      </c>
      <c r="HA53" s="4">
        <v>550</v>
      </c>
      <c r="HB53" s="4">
        <v>495</v>
      </c>
      <c r="HC53" s="4">
        <v>0.63</v>
      </c>
      <c r="HD53" s="4">
        <v>-0.88</v>
      </c>
      <c r="HE53" s="4">
        <v>7.33</v>
      </c>
      <c r="HF53" s="4">
        <v>7.3</v>
      </c>
      <c r="HG53" s="4">
        <v>7.37</v>
      </c>
      <c r="HH53" s="4">
        <v>7.54</v>
      </c>
      <c r="HI53" s="4">
        <v>7.78</v>
      </c>
      <c r="HJ53" s="4">
        <v>7.98</v>
      </c>
      <c r="HK53" s="4">
        <v>0</v>
      </c>
      <c r="HL53" s="4">
        <v>1.3</v>
      </c>
      <c r="HM53" s="4">
        <v>6.07</v>
      </c>
      <c r="HN53" s="4">
        <v>6.02</v>
      </c>
      <c r="HO53" s="4">
        <v>6.12</v>
      </c>
      <c r="HP53" s="4">
        <v>6.23</v>
      </c>
      <c r="HQ53" s="4">
        <v>6.47</v>
      </c>
      <c r="HR53" s="4">
        <v>0</v>
      </c>
      <c r="HS53" s="4">
        <v>0</v>
      </c>
      <c r="HT53" s="104">
        <v>1.3</v>
      </c>
      <c r="HU53" s="122">
        <v>45.7</v>
      </c>
      <c r="HV53" s="122">
        <v>46.5</v>
      </c>
      <c r="HW53" s="122">
        <v>46.1</v>
      </c>
      <c r="HX53" s="122">
        <v>16.3</v>
      </c>
      <c r="HY53" s="122">
        <v>0.7</v>
      </c>
      <c r="HZ53" s="122">
        <v>-6.5</v>
      </c>
      <c r="IA53" s="122">
        <v>-6.8</v>
      </c>
      <c r="IB53" s="122">
        <v>-6.6</v>
      </c>
      <c r="IC53" s="122">
        <v>1.1000000000000001</v>
      </c>
      <c r="ID53" s="122">
        <v>0.2</v>
      </c>
      <c r="IE53" s="122">
        <v>3.7</v>
      </c>
      <c r="IF53" s="122">
        <v>10.9</v>
      </c>
      <c r="IG53" s="122">
        <v>23.5</v>
      </c>
      <c r="IH53" s="122">
        <v>58.4</v>
      </c>
      <c r="II53" s="133">
        <v>25</v>
      </c>
      <c r="IJ53" s="94">
        <f t="shared" si="163"/>
        <v>7.38</v>
      </c>
      <c r="IK53" s="4">
        <f t="shared" si="164"/>
        <v>7.26</v>
      </c>
      <c r="IL53" s="4">
        <f t="shared" si="165"/>
        <v>16.3</v>
      </c>
      <c r="IM53" s="4">
        <f t="shared" si="166"/>
        <v>-0.7</v>
      </c>
      <c r="IN53" s="4">
        <f t="shared" si="167"/>
        <v>0.39</v>
      </c>
      <c r="IO53" s="4">
        <f t="shared" si="168"/>
        <v>0.57999999999999996</v>
      </c>
      <c r="IP53" s="4">
        <f t="shared" si="169"/>
        <v>5.32</v>
      </c>
      <c r="IQ53" s="4">
        <f t="shared" si="170"/>
        <v>5.83</v>
      </c>
      <c r="IR53" s="4">
        <f t="shared" si="171"/>
        <v>510</v>
      </c>
      <c r="IS53" s="4">
        <f t="shared" si="172"/>
        <v>506</v>
      </c>
      <c r="IT53" s="4">
        <f t="shared" si="173"/>
        <v>629</v>
      </c>
      <c r="IU53" s="4">
        <f t="shared" si="174"/>
        <v>567</v>
      </c>
      <c r="IV53" s="4">
        <f t="shared" si="175"/>
        <v>612</v>
      </c>
      <c r="IW53" s="4">
        <f t="shared" si="176"/>
        <v>550</v>
      </c>
      <c r="IX53" s="4">
        <f t="shared" si="177"/>
        <v>495</v>
      </c>
      <c r="IY53" s="4">
        <f t="shared" si="178"/>
        <v>0.63</v>
      </c>
      <c r="IZ53" s="4">
        <f t="shared" si="179"/>
        <v>-0.88</v>
      </c>
      <c r="JA53" s="4">
        <f t="shared" si="180"/>
        <v>7.33</v>
      </c>
      <c r="JB53" s="4">
        <f t="shared" si="181"/>
        <v>7.3</v>
      </c>
      <c r="JC53" s="4">
        <f t="shared" si="182"/>
        <v>7.37</v>
      </c>
      <c r="JD53" s="4">
        <f t="shared" si="183"/>
        <v>7.54</v>
      </c>
      <c r="JE53" s="4">
        <f t="shared" si="184"/>
        <v>7.78</v>
      </c>
      <c r="JF53" s="4">
        <f t="shared" si="185"/>
        <v>7.98</v>
      </c>
      <c r="JG53" s="4">
        <f t="shared" si="186"/>
        <v>0</v>
      </c>
      <c r="JH53" s="4">
        <f t="shared" si="187"/>
        <v>1.3</v>
      </c>
      <c r="JI53" s="4">
        <f t="shared" si="188"/>
        <v>6.07</v>
      </c>
      <c r="JJ53" s="4">
        <f t="shared" si="189"/>
        <v>6.02</v>
      </c>
      <c r="JK53" s="4">
        <f t="shared" si="190"/>
        <v>6.12</v>
      </c>
      <c r="JL53" s="4">
        <f t="shared" si="191"/>
        <v>6.23</v>
      </c>
      <c r="JM53" s="4">
        <f t="shared" si="192"/>
        <v>6.47</v>
      </c>
      <c r="JN53" s="4">
        <f t="shared" si="193"/>
        <v>0</v>
      </c>
      <c r="JO53" s="129">
        <f t="shared" si="194"/>
        <v>0</v>
      </c>
      <c r="JP53" s="122">
        <f t="shared" si="195"/>
        <v>1.3</v>
      </c>
      <c r="JQ53" s="122">
        <f t="shared" si="196"/>
        <v>45.7</v>
      </c>
      <c r="JR53" s="122">
        <f t="shared" si="197"/>
        <v>46.5</v>
      </c>
      <c r="JS53" s="122">
        <f t="shared" si="198"/>
        <v>46.1</v>
      </c>
      <c r="JT53" s="122">
        <f t="shared" si="199"/>
        <v>16.3</v>
      </c>
      <c r="JU53" s="122">
        <f t="shared" si="200"/>
        <v>0.7</v>
      </c>
      <c r="JV53" s="122">
        <f t="shared" si="201"/>
        <v>-6.5</v>
      </c>
      <c r="JW53" s="122">
        <f t="shared" si="202"/>
        <v>-6.8</v>
      </c>
      <c r="JX53" s="122">
        <f t="shared" si="203"/>
        <v>-6.6</v>
      </c>
      <c r="JY53" s="122">
        <f t="shared" si="204"/>
        <v>1.1000000000000001</v>
      </c>
      <c r="JZ53" s="122">
        <f t="shared" si="205"/>
        <v>0.2</v>
      </c>
      <c r="KA53" s="122">
        <f t="shared" si="206"/>
        <v>3.7</v>
      </c>
      <c r="KB53" s="122">
        <f t="shared" si="207"/>
        <v>10.9</v>
      </c>
      <c r="KC53" s="122">
        <f t="shared" si="208"/>
        <v>23.5</v>
      </c>
      <c r="KD53" s="122">
        <f t="shared" si="209"/>
        <v>58.4</v>
      </c>
      <c r="KE53" s="133">
        <f t="shared" si="210"/>
        <v>25</v>
      </c>
      <c r="KF53" s="94">
        <f t="shared" si="211"/>
        <v>-6.0000000000000497E-2</v>
      </c>
      <c r="KG53" s="4">
        <f t="shared" si="212"/>
        <v>-4.9999999999999822E-2</v>
      </c>
      <c r="KH53" s="4">
        <f t="shared" si="213"/>
        <v>15.8</v>
      </c>
      <c r="KI53" s="4">
        <f t="shared" si="214"/>
        <v>0.10000000000000009</v>
      </c>
      <c r="KJ53" s="4">
        <f t="shared" si="215"/>
        <v>0.28000000000000003</v>
      </c>
      <c r="KK53" s="4">
        <f t="shared" si="216"/>
        <v>-6.0000000000000053E-2</v>
      </c>
      <c r="KL53" s="4">
        <f t="shared" si="217"/>
        <v>2.95</v>
      </c>
      <c r="KM53" s="4">
        <f t="shared" si="218"/>
        <v>2.89</v>
      </c>
      <c r="KN53" s="4">
        <f t="shared" si="219"/>
        <v>-66</v>
      </c>
      <c r="KO53" s="4">
        <f t="shared" si="220"/>
        <v>-73</v>
      </c>
      <c r="KP53" s="4">
        <f t="shared" si="221"/>
        <v>-45</v>
      </c>
      <c r="KQ53" s="4">
        <f t="shared" si="222"/>
        <v>-40</v>
      </c>
      <c r="KR53" s="4">
        <f t="shared" si="223"/>
        <v>16</v>
      </c>
      <c r="KS53" s="4">
        <f t="shared" si="224"/>
        <v>-59</v>
      </c>
      <c r="KT53" s="4">
        <f t="shared" si="225"/>
        <v>-72</v>
      </c>
      <c r="KU53" s="4">
        <f t="shared" si="226"/>
        <v>0.57000000000000006</v>
      </c>
      <c r="KV53" s="4">
        <f t="shared" si="227"/>
        <v>-1.9</v>
      </c>
      <c r="KW53" s="4">
        <f t="shared" si="228"/>
        <v>-7.0000000000000284E-2</v>
      </c>
      <c r="KX53" s="4">
        <f t="shared" si="229"/>
        <v>0</v>
      </c>
      <c r="KY53" s="4">
        <f t="shared" si="230"/>
        <v>-9.9999999999997868E-3</v>
      </c>
      <c r="KZ53" s="4">
        <f t="shared" si="231"/>
        <v>-4.9999999999999822E-2</v>
      </c>
      <c r="LA53" s="4">
        <f t="shared" si="232"/>
        <v>-0.12000000000000011</v>
      </c>
      <c r="LB53" s="4">
        <f t="shared" si="233"/>
        <v>-1.9999999999999574E-2</v>
      </c>
      <c r="LC53" s="4">
        <f t="shared" si="234"/>
        <v>0</v>
      </c>
      <c r="LD53" s="4">
        <f t="shared" si="235"/>
        <v>0.5</v>
      </c>
      <c r="LE53" s="4">
        <f t="shared" si="236"/>
        <v>-0.54999999999999982</v>
      </c>
      <c r="LF53" s="4">
        <f t="shared" si="237"/>
        <v>-0.32000000000000028</v>
      </c>
      <c r="LG53" s="4">
        <f t="shared" si="238"/>
        <v>-8.0000000000000071E-2</v>
      </c>
      <c r="LH53" s="4">
        <f t="shared" si="239"/>
        <v>-0.1899999999999995</v>
      </c>
      <c r="LI53" s="4">
        <f t="shared" si="240"/>
        <v>-0.20999999999999996</v>
      </c>
      <c r="LJ53" s="4">
        <f t="shared" si="241"/>
        <v>0</v>
      </c>
      <c r="LK53" s="4">
        <f t="shared" si="242"/>
        <v>0</v>
      </c>
      <c r="LL53" s="4">
        <f t="shared" si="243"/>
        <v>0.5</v>
      </c>
      <c r="LM53" s="4">
        <f t="shared" si="244"/>
        <v>0.30000000000000426</v>
      </c>
      <c r="LN53" s="4">
        <f t="shared" si="245"/>
        <v>0.29999999999999716</v>
      </c>
      <c r="LO53" s="4">
        <f t="shared" si="246"/>
        <v>0.30000000000000426</v>
      </c>
      <c r="LP53" s="4">
        <f t="shared" si="247"/>
        <v>15.8</v>
      </c>
      <c r="LQ53" s="4">
        <f t="shared" si="248"/>
        <v>-0.10000000000000009</v>
      </c>
      <c r="LR53" s="4">
        <f t="shared" si="249"/>
        <v>-0.40000000000000036</v>
      </c>
      <c r="LS53" s="4">
        <f t="shared" si="250"/>
        <v>-0.59999999999999964</v>
      </c>
      <c r="LT53" s="4">
        <f t="shared" si="251"/>
        <v>-0.5</v>
      </c>
      <c r="LU53" s="4">
        <f t="shared" si="252"/>
        <v>-23.299999999999997</v>
      </c>
      <c r="LV53" s="4">
        <f t="shared" si="253"/>
        <v>0.1</v>
      </c>
      <c r="LW53" s="4">
        <f t="shared" si="254"/>
        <v>-0.39999999999999947</v>
      </c>
      <c r="LX53" s="4">
        <f t="shared" si="255"/>
        <v>-0.90000000000000036</v>
      </c>
      <c r="LY53" s="4">
        <f t="shared" si="256"/>
        <v>-1.6000000000000014</v>
      </c>
      <c r="LZ53" s="4">
        <f t="shared" si="257"/>
        <v>-2.2000000000000028</v>
      </c>
      <c r="MA53" s="4">
        <f t="shared" si="258"/>
        <v>-4</v>
      </c>
      <c r="MB53" s="4" t="str">
        <f t="shared" si="259"/>
        <v/>
      </c>
      <c r="MC53" s="4" t="str">
        <f t="shared" si="260"/>
        <v/>
      </c>
      <c r="MD53" s="4" t="str">
        <f t="shared" si="261"/>
        <v/>
      </c>
      <c r="ME53" s="4">
        <f t="shared" si="262"/>
        <v>-6.8</v>
      </c>
    </row>
    <row r="54" spans="1:343" ht="26.25" customHeight="1" x14ac:dyDescent="0.2">
      <c r="A54" s="35">
        <v>41409</v>
      </c>
      <c r="B54" s="36" t="s">
        <v>185</v>
      </c>
      <c r="C54" s="36" t="s">
        <v>53</v>
      </c>
      <c r="D54" s="31" t="s">
        <v>111</v>
      </c>
      <c r="E54" s="4">
        <v>74</v>
      </c>
      <c r="F54" s="3">
        <v>14230</v>
      </c>
      <c r="G54" s="4" t="s">
        <v>87</v>
      </c>
      <c r="H54" s="4" t="s">
        <v>108</v>
      </c>
      <c r="I54" s="4">
        <v>1833733</v>
      </c>
      <c r="J54" s="4" t="s">
        <v>310</v>
      </c>
      <c r="P54" s="4">
        <v>-0.5</v>
      </c>
      <c r="Q54" s="4">
        <v>-0.42</v>
      </c>
      <c r="R54" s="4" t="s">
        <v>249</v>
      </c>
      <c r="S54" s="67">
        <v>20.5</v>
      </c>
      <c r="T54" s="136">
        <v>41408</v>
      </c>
      <c r="U54" s="67">
        <v>0.25</v>
      </c>
      <c r="V54" s="67">
        <v>0.75</v>
      </c>
      <c r="W54" s="4">
        <v>30</v>
      </c>
      <c r="X54" s="4">
        <v>60</v>
      </c>
      <c r="Y54" s="4">
        <v>15</v>
      </c>
      <c r="Z54" s="4">
        <v>631</v>
      </c>
      <c r="AA54" s="4">
        <v>23.51</v>
      </c>
      <c r="AB54" s="4">
        <v>12.1</v>
      </c>
      <c r="AC54" s="4">
        <v>5.31</v>
      </c>
      <c r="AD54" s="4">
        <v>2.91</v>
      </c>
      <c r="AE54" s="4">
        <v>44.12</v>
      </c>
      <c r="AF54" s="4">
        <v>164</v>
      </c>
      <c r="AG54" s="4">
        <v>47</v>
      </c>
      <c r="AH54" s="4">
        <v>74</v>
      </c>
      <c r="AI54" s="4">
        <v>2</v>
      </c>
      <c r="AJ54" s="4" t="b">
        <f t="shared" si="133"/>
        <v>1</v>
      </c>
      <c r="AK54" s="54"/>
      <c r="AL54" s="3">
        <v>41550</v>
      </c>
      <c r="AN54" s="67">
        <v>-2.75</v>
      </c>
      <c r="AO54" s="67">
        <v>4</v>
      </c>
      <c r="AP54" s="4">
        <v>50</v>
      </c>
      <c r="AQ54" s="4">
        <v>40</v>
      </c>
      <c r="AR54" s="4">
        <v>16</v>
      </c>
      <c r="AS54" s="4">
        <v>501</v>
      </c>
      <c r="AU54" s="4">
        <v>23.3</v>
      </c>
      <c r="AV54" s="4">
        <v>4.2300000000000004</v>
      </c>
      <c r="AW54" s="4">
        <v>41.16</v>
      </c>
      <c r="AX54" s="4">
        <v>163</v>
      </c>
      <c r="AY54" s="4">
        <v>45.12</v>
      </c>
      <c r="AZ54" s="4">
        <v>73</v>
      </c>
      <c r="BA54" s="4">
        <f t="shared" si="134"/>
        <v>-0.75</v>
      </c>
      <c r="BB54" s="4">
        <f t="shared" si="135"/>
        <v>-0.33</v>
      </c>
      <c r="BC54" s="4">
        <f t="shared" si="136"/>
        <v>-130</v>
      </c>
      <c r="BD54" s="3">
        <v>41773</v>
      </c>
      <c r="BE54" s="59"/>
      <c r="BS54" s="4" t="str">
        <f t="shared" si="137"/>
        <v/>
      </c>
      <c r="BT54" s="4" t="str">
        <f t="shared" si="138"/>
        <v/>
      </c>
      <c r="BU54" s="4" t="str">
        <f t="shared" si="139"/>
        <v/>
      </c>
      <c r="BV54" s="4">
        <f>IF(AND(ISBLANK(SPH_6),ISBLANK(SPH_12)),0,1)</f>
        <v>1</v>
      </c>
      <c r="BW54" s="4">
        <f t="shared" si="140"/>
        <v>0</v>
      </c>
      <c r="BX54" s="4" t="str">
        <f t="shared" si="141"/>
        <v/>
      </c>
      <c r="BY54" s="4" t="str">
        <f t="shared" si="142"/>
        <v/>
      </c>
      <c r="BZ54" s="4" t="str">
        <f t="shared" si="143"/>
        <v/>
      </c>
      <c r="CA54" s="53">
        <f t="shared" si="144"/>
        <v>141</v>
      </c>
      <c r="CB54" s="55">
        <f t="shared" si="145"/>
        <v>4.7</v>
      </c>
      <c r="CC54" s="4" t="str">
        <f t="shared" si="146"/>
        <v/>
      </c>
      <c r="CD54" s="4">
        <f t="shared" si="147"/>
        <v>-2.4200000000000017</v>
      </c>
      <c r="CE54" s="4" t="str">
        <f t="shared" si="148"/>
        <v/>
      </c>
      <c r="CF54" s="4">
        <f t="shared" si="149"/>
        <v>-2.4200000000000017</v>
      </c>
      <c r="CG54" s="4">
        <f t="shared" si="263"/>
        <v>0.625</v>
      </c>
      <c r="CH54" s="4">
        <f t="shared" si="150"/>
        <v>-0.75</v>
      </c>
      <c r="CI54" s="104">
        <f t="shared" si="151"/>
        <v>-0.33</v>
      </c>
      <c r="CJ54" s="94">
        <f t="shared" si="152"/>
        <v>-130</v>
      </c>
      <c r="CK54" s="4">
        <f t="shared" si="153"/>
        <v>-0.21000000000000085</v>
      </c>
      <c r="CL54" s="107">
        <f t="shared" si="154"/>
        <v>-0.42</v>
      </c>
      <c r="CM54" s="107">
        <f t="shared" si="264"/>
        <v>0.17609125905568124</v>
      </c>
      <c r="CN54" s="139">
        <f t="shared" si="155"/>
        <v>4</v>
      </c>
      <c r="CO54" s="139">
        <f t="shared" si="156"/>
        <v>3.25</v>
      </c>
      <c r="CP54" s="149">
        <f t="shared" si="157"/>
        <v>40</v>
      </c>
      <c r="CQ54" s="149">
        <f t="shared" si="158"/>
        <v>60</v>
      </c>
      <c r="CR54" s="148" t="str">
        <f t="shared" si="159"/>
        <v/>
      </c>
      <c r="CS54" s="152" t="str">
        <f t="shared" si="160"/>
        <v/>
      </c>
      <c r="CT54" s="107" t="str">
        <f t="shared" si="161"/>
        <v/>
      </c>
      <c r="CU54" s="155" t="str">
        <f t="shared" si="162"/>
        <v/>
      </c>
      <c r="ER54" s="94">
        <v>8.1199999999999992</v>
      </c>
      <c r="ES54" s="4">
        <v>7.41</v>
      </c>
      <c r="ET54" s="4">
        <v>165.9</v>
      </c>
      <c r="EU54" s="4">
        <v>-4</v>
      </c>
      <c r="EV54" s="4">
        <v>7.0000000000000007E-2</v>
      </c>
      <c r="EW54" s="4">
        <v>0.54</v>
      </c>
      <c r="EX54" s="4">
        <v>3.87</v>
      </c>
      <c r="EY54" s="4">
        <v>4.37</v>
      </c>
      <c r="EZ54" s="4">
        <v>504</v>
      </c>
      <c r="FA54" s="4">
        <v>476</v>
      </c>
      <c r="FB54" s="4">
        <v>604</v>
      </c>
      <c r="FC54" s="4">
        <v>573</v>
      </c>
      <c r="FD54" s="4">
        <v>589</v>
      </c>
      <c r="FE54" s="4">
        <v>578</v>
      </c>
      <c r="FF54" s="4">
        <v>450</v>
      </c>
      <c r="FG54" s="4">
        <v>-0.41</v>
      </c>
      <c r="FH54" s="4">
        <v>-1.5</v>
      </c>
      <c r="FI54" s="4">
        <v>7.73</v>
      </c>
      <c r="FJ54" s="4">
        <v>7.97</v>
      </c>
      <c r="FK54" s="4">
        <v>8.06</v>
      </c>
      <c r="FL54" s="4">
        <v>8.09</v>
      </c>
      <c r="FM54" s="4">
        <v>8.18</v>
      </c>
      <c r="FN54" s="4">
        <v>8.35</v>
      </c>
      <c r="FO54" s="4">
        <v>0</v>
      </c>
      <c r="FP54" s="4">
        <v>1.1000000000000001</v>
      </c>
      <c r="FQ54" s="4">
        <v>6.44</v>
      </c>
      <c r="FR54" s="4">
        <v>6.23</v>
      </c>
      <c r="FS54" s="4">
        <v>6.37</v>
      </c>
      <c r="FT54" s="4">
        <v>6.54</v>
      </c>
      <c r="FU54" s="4">
        <v>6.84</v>
      </c>
      <c r="FV54" s="4">
        <v>7.32</v>
      </c>
      <c r="FW54" s="4">
        <v>0</v>
      </c>
      <c r="FX54" s="97">
        <v>1.1000000000000001</v>
      </c>
      <c r="IJ54" s="94">
        <f t="shared" si="163"/>
        <v>8.1199999999999992</v>
      </c>
      <c r="IK54" s="4">
        <f t="shared" si="164"/>
        <v>7.41</v>
      </c>
      <c r="IL54" s="4">
        <f t="shared" si="165"/>
        <v>165.9</v>
      </c>
      <c r="IM54" s="4">
        <f t="shared" si="166"/>
        <v>-4</v>
      </c>
      <c r="IN54" s="4">
        <f t="shared" si="167"/>
        <v>7.0000000000000007E-2</v>
      </c>
      <c r="IO54" s="4">
        <f t="shared" si="168"/>
        <v>0.54</v>
      </c>
      <c r="IP54" s="4">
        <f t="shared" si="169"/>
        <v>3.87</v>
      </c>
      <c r="IQ54" s="4">
        <f t="shared" si="170"/>
        <v>4.37</v>
      </c>
      <c r="IR54" s="4">
        <f t="shared" si="171"/>
        <v>504</v>
      </c>
      <c r="IS54" s="4">
        <f t="shared" si="172"/>
        <v>476</v>
      </c>
      <c r="IT54" s="4">
        <f t="shared" si="173"/>
        <v>604</v>
      </c>
      <c r="IU54" s="4">
        <f t="shared" si="174"/>
        <v>573</v>
      </c>
      <c r="IV54" s="4">
        <f t="shared" si="175"/>
        <v>589</v>
      </c>
      <c r="IW54" s="4">
        <f t="shared" si="176"/>
        <v>578</v>
      </c>
      <c r="IX54" s="4">
        <f t="shared" si="177"/>
        <v>450</v>
      </c>
      <c r="IY54" s="4">
        <f t="shared" si="178"/>
        <v>-0.41</v>
      </c>
      <c r="IZ54" s="4">
        <f t="shared" si="179"/>
        <v>-1.5</v>
      </c>
      <c r="JA54" s="4">
        <f t="shared" si="180"/>
        <v>7.73</v>
      </c>
      <c r="JB54" s="4">
        <f t="shared" si="181"/>
        <v>7.97</v>
      </c>
      <c r="JC54" s="4">
        <f t="shared" si="182"/>
        <v>8.06</v>
      </c>
      <c r="JD54" s="4">
        <f t="shared" si="183"/>
        <v>8.09</v>
      </c>
      <c r="JE54" s="4">
        <f t="shared" si="184"/>
        <v>8.18</v>
      </c>
      <c r="JF54" s="4">
        <f t="shared" si="185"/>
        <v>8.35</v>
      </c>
      <c r="JG54" s="4">
        <f t="shared" si="186"/>
        <v>0</v>
      </c>
      <c r="JH54" s="4">
        <f t="shared" si="187"/>
        <v>1.1000000000000001</v>
      </c>
      <c r="JI54" s="4">
        <f t="shared" si="188"/>
        <v>6.44</v>
      </c>
      <c r="JJ54" s="4">
        <f t="shared" si="189"/>
        <v>6.23</v>
      </c>
      <c r="JK54" s="4">
        <f t="shared" si="190"/>
        <v>6.37</v>
      </c>
      <c r="JL54" s="4">
        <f t="shared" si="191"/>
        <v>6.54</v>
      </c>
      <c r="JM54" s="4">
        <f t="shared" si="192"/>
        <v>6.84</v>
      </c>
      <c r="JN54" s="4">
        <f t="shared" si="193"/>
        <v>7.32</v>
      </c>
      <c r="JO54" s="129">
        <f t="shared" si="194"/>
        <v>0</v>
      </c>
      <c r="JP54" s="122">
        <f t="shared" si="195"/>
        <v>1.1000000000000001</v>
      </c>
      <c r="JQ54" s="122" t="str">
        <f t="shared" si="196"/>
        <v/>
      </c>
      <c r="JR54" s="122" t="str">
        <f t="shared" si="197"/>
        <v/>
      </c>
      <c r="JS54" s="122" t="str">
        <f t="shared" si="198"/>
        <v/>
      </c>
      <c r="JT54" s="122" t="str">
        <f t="shared" si="199"/>
        <v/>
      </c>
      <c r="JU54" s="122" t="str">
        <f t="shared" si="200"/>
        <v/>
      </c>
      <c r="JV54" s="122" t="str">
        <f t="shared" si="201"/>
        <v/>
      </c>
      <c r="JW54" s="122" t="str">
        <f t="shared" si="202"/>
        <v/>
      </c>
      <c r="JX54" s="122" t="str">
        <f t="shared" si="203"/>
        <v/>
      </c>
      <c r="JY54" s="122" t="str">
        <f t="shared" si="204"/>
        <v/>
      </c>
      <c r="JZ54" s="122" t="str">
        <f t="shared" si="205"/>
        <v/>
      </c>
      <c r="KA54" s="122" t="str">
        <f t="shared" si="206"/>
        <v/>
      </c>
      <c r="KB54" s="122" t="str">
        <f t="shared" si="207"/>
        <v/>
      </c>
      <c r="KC54" s="122" t="str">
        <f t="shared" si="208"/>
        <v/>
      </c>
      <c r="KD54" s="122" t="str">
        <f t="shared" si="209"/>
        <v/>
      </c>
      <c r="KE54" s="133" t="str">
        <f t="shared" si="210"/>
        <v/>
      </c>
      <c r="KF54" s="94" t="str">
        <f t="shared" si="211"/>
        <v/>
      </c>
      <c r="KG54" s="4" t="str">
        <f t="shared" si="212"/>
        <v/>
      </c>
      <c r="KH54" s="4" t="str">
        <f t="shared" si="213"/>
        <v/>
      </c>
      <c r="KI54" s="4" t="str">
        <f t="shared" si="214"/>
        <v/>
      </c>
      <c r="KJ54" s="4" t="str">
        <f t="shared" si="215"/>
        <v/>
      </c>
      <c r="KK54" s="4" t="str">
        <f t="shared" si="216"/>
        <v/>
      </c>
      <c r="KL54" s="4" t="str">
        <f t="shared" si="217"/>
        <v/>
      </c>
      <c r="KM54" s="4" t="str">
        <f t="shared" si="218"/>
        <v/>
      </c>
      <c r="KN54" s="4" t="str">
        <f t="shared" si="219"/>
        <v/>
      </c>
      <c r="KO54" s="4" t="str">
        <f t="shared" si="220"/>
        <v/>
      </c>
      <c r="KP54" s="4" t="str">
        <f t="shared" si="221"/>
        <v/>
      </c>
      <c r="KQ54" s="4" t="str">
        <f t="shared" si="222"/>
        <v/>
      </c>
      <c r="KR54" s="4" t="str">
        <f t="shared" si="223"/>
        <v/>
      </c>
      <c r="KS54" s="4" t="str">
        <f t="shared" si="224"/>
        <v/>
      </c>
      <c r="KT54" s="4" t="str">
        <f t="shared" si="225"/>
        <v/>
      </c>
      <c r="KU54" s="4" t="str">
        <f t="shared" si="226"/>
        <v/>
      </c>
      <c r="KV54" s="4" t="str">
        <f t="shared" si="227"/>
        <v/>
      </c>
      <c r="KW54" s="4" t="str">
        <f t="shared" si="228"/>
        <v/>
      </c>
      <c r="KX54" s="4" t="str">
        <f t="shared" si="229"/>
        <v/>
      </c>
      <c r="KY54" s="4" t="str">
        <f t="shared" si="230"/>
        <v/>
      </c>
      <c r="KZ54" s="4" t="str">
        <f t="shared" si="231"/>
        <v/>
      </c>
      <c r="LA54" s="4" t="str">
        <f t="shared" si="232"/>
        <v/>
      </c>
      <c r="LB54" s="4" t="str">
        <f t="shared" si="233"/>
        <v/>
      </c>
      <c r="LC54" s="4" t="str">
        <f t="shared" si="234"/>
        <v/>
      </c>
      <c r="LD54" s="4" t="str">
        <f t="shared" si="235"/>
        <v/>
      </c>
      <c r="LE54" s="4" t="str">
        <f t="shared" si="236"/>
        <v/>
      </c>
      <c r="LF54" s="4" t="str">
        <f t="shared" si="237"/>
        <v/>
      </c>
      <c r="LG54" s="4" t="str">
        <f t="shared" si="238"/>
        <v/>
      </c>
      <c r="LH54" s="4" t="str">
        <f t="shared" si="239"/>
        <v/>
      </c>
      <c r="LI54" s="4" t="str">
        <f t="shared" si="240"/>
        <v/>
      </c>
      <c r="LJ54" s="4" t="str">
        <f t="shared" si="241"/>
        <v/>
      </c>
      <c r="LK54" s="4" t="str">
        <f t="shared" si="242"/>
        <v/>
      </c>
      <c r="LL54" s="4" t="str">
        <f t="shared" si="243"/>
        <v/>
      </c>
      <c r="LM54" s="4" t="str">
        <f t="shared" si="244"/>
        <v/>
      </c>
      <c r="LN54" s="4" t="str">
        <f t="shared" si="245"/>
        <v/>
      </c>
      <c r="LO54" s="4" t="str">
        <f t="shared" si="246"/>
        <v/>
      </c>
      <c r="LP54" s="4" t="str">
        <f t="shared" si="247"/>
        <v/>
      </c>
      <c r="LQ54" s="4" t="str">
        <f t="shared" si="248"/>
        <v/>
      </c>
      <c r="LR54" s="4" t="str">
        <f t="shared" si="249"/>
        <v/>
      </c>
      <c r="LS54" s="4" t="str">
        <f t="shared" si="250"/>
        <v/>
      </c>
      <c r="LT54" s="4" t="str">
        <f t="shared" si="251"/>
        <v/>
      </c>
      <c r="LU54" s="4" t="str">
        <f t="shared" si="252"/>
        <v/>
      </c>
      <c r="LV54" s="4" t="str">
        <f t="shared" si="253"/>
        <v/>
      </c>
      <c r="LW54" s="4" t="str">
        <f t="shared" si="254"/>
        <v/>
      </c>
      <c r="LX54" s="4" t="str">
        <f t="shared" si="255"/>
        <v/>
      </c>
      <c r="LY54" s="4" t="str">
        <f t="shared" si="256"/>
        <v/>
      </c>
      <c r="LZ54" s="4" t="str">
        <f t="shared" si="257"/>
        <v/>
      </c>
      <c r="MA54" s="4" t="str">
        <f t="shared" si="258"/>
        <v/>
      </c>
      <c r="MB54" s="4" t="str">
        <f t="shared" si="259"/>
        <v/>
      </c>
      <c r="MC54" s="4" t="str">
        <f t="shared" si="260"/>
        <v/>
      </c>
      <c r="MD54" s="4" t="str">
        <f t="shared" si="261"/>
        <v/>
      </c>
      <c r="ME54" s="4">
        <f t="shared" si="262"/>
        <v>0</v>
      </c>
    </row>
    <row r="55" spans="1:343" ht="26.25" customHeight="1" x14ac:dyDescent="0.2">
      <c r="A55" s="35">
        <v>41255</v>
      </c>
      <c r="B55" s="36" t="s">
        <v>187</v>
      </c>
      <c r="C55" s="36" t="s">
        <v>20</v>
      </c>
      <c r="D55" s="31" t="s">
        <v>110</v>
      </c>
      <c r="E55" s="4">
        <v>43</v>
      </c>
      <c r="F55" s="3">
        <v>25243</v>
      </c>
      <c r="G55" s="4" t="s">
        <v>87</v>
      </c>
      <c r="H55" s="4" t="s">
        <v>108</v>
      </c>
      <c r="I55" s="4">
        <v>1833803</v>
      </c>
      <c r="J55" s="43" t="s">
        <v>312</v>
      </c>
      <c r="P55" s="4">
        <v>-0.5</v>
      </c>
      <c r="Q55" s="4">
        <v>-0.65</v>
      </c>
      <c r="R55" s="4" t="s">
        <v>249</v>
      </c>
      <c r="S55" s="67">
        <v>24</v>
      </c>
      <c r="T55" s="136">
        <v>41253</v>
      </c>
      <c r="U55" s="67">
        <v>0</v>
      </c>
      <c r="V55" s="67">
        <v>0</v>
      </c>
      <c r="X55" s="4">
        <v>40</v>
      </c>
      <c r="Y55" s="4">
        <v>13</v>
      </c>
      <c r="Z55" s="4">
        <v>659</v>
      </c>
      <c r="AA55" s="4">
        <v>22.07</v>
      </c>
      <c r="AB55" s="4">
        <v>12</v>
      </c>
      <c r="AC55" s="4">
        <v>4.62</v>
      </c>
      <c r="AD55" s="4">
        <v>2.56</v>
      </c>
      <c r="AE55" s="4">
        <v>44.82</v>
      </c>
      <c r="AF55" s="4">
        <v>6</v>
      </c>
      <c r="AG55" s="4">
        <v>45.49</v>
      </c>
      <c r="AH55" s="4">
        <v>96</v>
      </c>
      <c r="AI55" s="4">
        <v>0</v>
      </c>
      <c r="AJ55" s="4" t="b">
        <f t="shared" si="133"/>
        <v>0</v>
      </c>
      <c r="AL55" s="32">
        <v>41415</v>
      </c>
      <c r="AM55" s="60"/>
      <c r="AN55" s="67">
        <v>0.25</v>
      </c>
      <c r="AO55" s="67">
        <v>1.25</v>
      </c>
      <c r="AP55" s="4">
        <v>153</v>
      </c>
      <c r="AQ55" s="4">
        <v>20</v>
      </c>
      <c r="AR55" s="4">
        <v>13</v>
      </c>
      <c r="AS55" s="4">
        <v>582</v>
      </c>
      <c r="AT55" s="4">
        <v>1377</v>
      </c>
      <c r="BA55" s="4">
        <f t="shared" si="134"/>
        <v>0.875</v>
      </c>
      <c r="BB55" s="4">
        <f t="shared" si="135"/>
        <v>1.5249999999999999</v>
      </c>
      <c r="BC55" s="4">
        <f t="shared" si="136"/>
        <v>-77</v>
      </c>
      <c r="BD55" s="51" t="s">
        <v>505</v>
      </c>
      <c r="BE55" s="59" t="s">
        <v>282</v>
      </c>
      <c r="BS55" s="4" t="str">
        <f t="shared" si="137"/>
        <v/>
      </c>
      <c r="BT55" s="4" t="str">
        <f t="shared" si="138"/>
        <v/>
      </c>
      <c r="BU55" s="4" t="str">
        <f t="shared" si="139"/>
        <v/>
      </c>
      <c r="BV55" s="4">
        <f>IF(AND(ISBLANK(SPH_6),ISBLANK(SPH_12)),0,1)</f>
        <v>1</v>
      </c>
      <c r="BW55" s="4">
        <f t="shared" si="140"/>
        <v>0</v>
      </c>
      <c r="BX55" s="4" t="str">
        <f t="shared" si="141"/>
        <v/>
      </c>
      <c r="BY55" s="4" t="str">
        <f t="shared" si="142"/>
        <v/>
      </c>
      <c r="BZ55" s="4" t="str">
        <f t="shared" si="143"/>
        <v/>
      </c>
      <c r="CA55" s="53">
        <f t="shared" si="144"/>
        <v>160</v>
      </c>
      <c r="CB55" s="55">
        <f t="shared" si="145"/>
        <v>5.333333333333333</v>
      </c>
      <c r="CC55" s="4" t="str">
        <f t="shared" si="146"/>
        <v/>
      </c>
      <c r="CD55" s="4" t="str">
        <f t="shared" si="147"/>
        <v/>
      </c>
      <c r="CE55" s="4" t="str">
        <f t="shared" si="148"/>
        <v/>
      </c>
      <c r="CF55" s="4" t="str">
        <f t="shared" si="149"/>
        <v/>
      </c>
      <c r="CG55" s="4">
        <f t="shared" si="263"/>
        <v>0</v>
      </c>
      <c r="CH55" s="4">
        <f t="shared" si="150"/>
        <v>0.875</v>
      </c>
      <c r="CI55" s="104">
        <f t="shared" si="151"/>
        <v>1.5249999999999999</v>
      </c>
      <c r="CJ55" s="94">
        <f t="shared" si="152"/>
        <v>-77</v>
      </c>
      <c r="CK55" s="4" t="str">
        <f t="shared" si="153"/>
        <v/>
      </c>
      <c r="CL55" s="107">
        <f t="shared" si="154"/>
        <v>-0.65</v>
      </c>
      <c r="CM55" s="107">
        <f t="shared" si="264"/>
        <v>0.3010299956639812</v>
      </c>
      <c r="CN55" s="139">
        <f t="shared" si="155"/>
        <v>1.25</v>
      </c>
      <c r="CO55" s="139">
        <f t="shared" si="156"/>
        <v>1.25</v>
      </c>
      <c r="CP55" s="149">
        <f t="shared" si="157"/>
        <v>20</v>
      </c>
      <c r="CQ55" s="149">
        <f t="shared" si="158"/>
        <v>40</v>
      </c>
      <c r="CR55" s="148" t="str">
        <f t="shared" si="159"/>
        <v/>
      </c>
      <c r="CS55" s="152">
        <f t="shared" si="160"/>
        <v>1</v>
      </c>
      <c r="CT55" s="107" t="str">
        <f t="shared" si="161"/>
        <v/>
      </c>
      <c r="CU55" s="155" t="b">
        <f t="shared" si="162"/>
        <v>1</v>
      </c>
      <c r="CV55">
        <v>7.62</v>
      </c>
      <c r="CW55" s="4">
        <v>7.75</v>
      </c>
      <c r="CX55" s="4">
        <v>61</v>
      </c>
      <c r="CY55" s="4">
        <v>0.8</v>
      </c>
      <c r="CZ55" s="4">
        <v>0.28000000000000003</v>
      </c>
      <c r="DA55" s="4">
        <v>0.59</v>
      </c>
      <c r="DB55" s="4">
        <v>2.1800000000000002</v>
      </c>
      <c r="DC55" s="4">
        <v>2.92</v>
      </c>
      <c r="DD55" s="4">
        <v>737</v>
      </c>
      <c r="DE55" s="4">
        <v>746</v>
      </c>
      <c r="DF55" s="4">
        <v>785</v>
      </c>
      <c r="DG55" s="4">
        <v>740</v>
      </c>
      <c r="DH55" s="4">
        <v>717</v>
      </c>
      <c r="DI55" s="4">
        <v>739</v>
      </c>
      <c r="DJ55" s="4">
        <v>693</v>
      </c>
      <c r="DK55" s="4">
        <v>-1.69</v>
      </c>
      <c r="DL55" s="4">
        <v>0.15</v>
      </c>
      <c r="DM55" s="4">
        <v>7.69</v>
      </c>
      <c r="DN55" s="4">
        <v>7.63</v>
      </c>
      <c r="DO55" s="4">
        <v>7.71</v>
      </c>
      <c r="DP55" s="4">
        <v>7.93</v>
      </c>
      <c r="DQ55" s="4">
        <v>8.2100000000000009</v>
      </c>
      <c r="DR55" s="4">
        <v>8.51</v>
      </c>
      <c r="DS55" s="4">
        <v>8.65</v>
      </c>
      <c r="DT55" s="4">
        <v>0.5</v>
      </c>
      <c r="DU55" s="4">
        <v>7.51</v>
      </c>
      <c r="DV55" s="4">
        <v>6.86</v>
      </c>
      <c r="DW55" s="4">
        <v>6.52</v>
      </c>
      <c r="DX55" s="4">
        <v>6.71</v>
      </c>
      <c r="DY55" s="4">
        <v>7.01</v>
      </c>
      <c r="DZ55" s="4">
        <v>0</v>
      </c>
      <c r="EA55" s="4">
        <v>0</v>
      </c>
      <c r="EB55" s="100">
        <v>0.5</v>
      </c>
      <c r="EC55" s="122">
        <v>43.5</v>
      </c>
      <c r="ED55" s="122">
        <v>44.3</v>
      </c>
      <c r="EE55" s="122">
        <v>43.9</v>
      </c>
      <c r="EF55" s="122">
        <v>61</v>
      </c>
      <c r="EG55" s="122">
        <v>0.8</v>
      </c>
      <c r="EH55" s="122">
        <v>-5.3</v>
      </c>
      <c r="EI55" s="122">
        <v>-5.8</v>
      </c>
      <c r="EJ55" s="122">
        <v>-5.5</v>
      </c>
      <c r="EK55" s="122">
        <v>40.200000000000003</v>
      </c>
      <c r="EL55" s="122">
        <v>0.5</v>
      </c>
      <c r="EM55" s="122">
        <v>5.2</v>
      </c>
      <c r="EN55" s="122">
        <v>14.7</v>
      </c>
      <c r="EO55" s="122">
        <v>30.7</v>
      </c>
      <c r="EP55" s="122">
        <v>72</v>
      </c>
      <c r="EQ55" s="126">
        <v>25</v>
      </c>
      <c r="IJ55" s="94" t="str">
        <f t="shared" si="163"/>
        <v/>
      </c>
      <c r="IK55" s="4" t="str">
        <f t="shared" si="164"/>
        <v/>
      </c>
      <c r="IL55" s="4" t="str">
        <f t="shared" si="165"/>
        <v/>
      </c>
      <c r="IM55" s="4" t="str">
        <f t="shared" si="166"/>
        <v/>
      </c>
      <c r="IN55" s="4" t="str">
        <f t="shared" si="167"/>
        <v/>
      </c>
      <c r="IO55" s="4" t="str">
        <f t="shared" si="168"/>
        <v/>
      </c>
      <c r="IP55" s="4" t="str">
        <f t="shared" si="169"/>
        <v/>
      </c>
      <c r="IQ55" s="4" t="str">
        <f t="shared" si="170"/>
        <v/>
      </c>
      <c r="IR55" s="4" t="str">
        <f t="shared" si="171"/>
        <v/>
      </c>
      <c r="IS55" s="4" t="str">
        <f t="shared" si="172"/>
        <v/>
      </c>
      <c r="IT55" s="4" t="str">
        <f t="shared" si="173"/>
        <v/>
      </c>
      <c r="IU55" s="4" t="str">
        <f t="shared" si="174"/>
        <v/>
      </c>
      <c r="IV55" s="4" t="str">
        <f t="shared" si="175"/>
        <v/>
      </c>
      <c r="IW55" s="4" t="str">
        <f t="shared" si="176"/>
        <v/>
      </c>
      <c r="IX55" s="4" t="str">
        <f t="shared" si="177"/>
        <v/>
      </c>
      <c r="IY55" s="4" t="str">
        <f t="shared" si="178"/>
        <v/>
      </c>
      <c r="IZ55" s="4" t="str">
        <f t="shared" si="179"/>
        <v/>
      </c>
      <c r="JA55" s="4" t="str">
        <f t="shared" si="180"/>
        <v/>
      </c>
      <c r="JB55" s="4" t="str">
        <f t="shared" si="181"/>
        <v/>
      </c>
      <c r="JC55" s="4" t="str">
        <f t="shared" si="182"/>
        <v/>
      </c>
      <c r="JD55" s="4" t="str">
        <f t="shared" si="183"/>
        <v/>
      </c>
      <c r="JE55" s="4" t="str">
        <f t="shared" si="184"/>
        <v/>
      </c>
      <c r="JF55" s="4" t="str">
        <f t="shared" si="185"/>
        <v/>
      </c>
      <c r="JG55" s="4" t="str">
        <f t="shared" si="186"/>
        <v/>
      </c>
      <c r="JH55" s="4" t="str">
        <f t="shared" si="187"/>
        <v/>
      </c>
      <c r="JI55" s="4" t="str">
        <f t="shared" si="188"/>
        <v/>
      </c>
      <c r="JJ55" s="4" t="str">
        <f t="shared" si="189"/>
        <v/>
      </c>
      <c r="JK55" s="4" t="str">
        <f t="shared" si="190"/>
        <v/>
      </c>
      <c r="JL55" s="4" t="str">
        <f t="shared" si="191"/>
        <v/>
      </c>
      <c r="JM55" s="4" t="str">
        <f t="shared" si="192"/>
        <v/>
      </c>
      <c r="JN55" s="4" t="str">
        <f t="shared" si="193"/>
        <v/>
      </c>
      <c r="JO55" s="129" t="str">
        <f t="shared" si="194"/>
        <v/>
      </c>
      <c r="JP55" s="122" t="str">
        <f t="shared" si="195"/>
        <v/>
      </c>
      <c r="JQ55" s="122" t="str">
        <f t="shared" si="196"/>
        <v/>
      </c>
      <c r="JR55" s="122" t="str">
        <f t="shared" si="197"/>
        <v/>
      </c>
      <c r="JS55" s="122" t="str">
        <f t="shared" si="198"/>
        <v/>
      </c>
      <c r="JT55" s="122" t="str">
        <f t="shared" si="199"/>
        <v/>
      </c>
      <c r="JU55" s="122" t="str">
        <f t="shared" si="200"/>
        <v/>
      </c>
      <c r="JV55" s="122" t="str">
        <f t="shared" si="201"/>
        <v/>
      </c>
      <c r="JW55" s="122" t="str">
        <f t="shared" si="202"/>
        <v/>
      </c>
      <c r="JX55" s="122" t="str">
        <f t="shared" si="203"/>
        <v/>
      </c>
      <c r="JY55" s="122" t="str">
        <f t="shared" si="204"/>
        <v/>
      </c>
      <c r="JZ55" s="122" t="str">
        <f t="shared" si="205"/>
        <v/>
      </c>
      <c r="KA55" s="122" t="str">
        <f t="shared" si="206"/>
        <v/>
      </c>
      <c r="KB55" s="122" t="str">
        <f t="shared" si="207"/>
        <v/>
      </c>
      <c r="KC55" s="122" t="str">
        <f t="shared" si="208"/>
        <v/>
      </c>
      <c r="KD55" s="122" t="str">
        <f t="shared" si="209"/>
        <v/>
      </c>
      <c r="KE55" s="133" t="str">
        <f t="shared" si="210"/>
        <v/>
      </c>
      <c r="KF55" s="94" t="str">
        <f t="shared" si="211"/>
        <v/>
      </c>
      <c r="KG55" s="4" t="str">
        <f t="shared" si="212"/>
        <v/>
      </c>
      <c r="KH55" s="4" t="str">
        <f t="shared" si="213"/>
        <v/>
      </c>
      <c r="KI55" s="4" t="str">
        <f t="shared" si="214"/>
        <v/>
      </c>
      <c r="KJ55" s="4" t="str">
        <f t="shared" si="215"/>
        <v/>
      </c>
      <c r="KK55" s="4" t="str">
        <f t="shared" si="216"/>
        <v/>
      </c>
      <c r="KL55" s="4" t="str">
        <f t="shared" si="217"/>
        <v/>
      </c>
      <c r="KM55" s="4" t="str">
        <f t="shared" si="218"/>
        <v/>
      </c>
      <c r="KN55" s="4" t="str">
        <f t="shared" si="219"/>
        <v/>
      </c>
      <c r="KO55" s="4" t="str">
        <f t="shared" si="220"/>
        <v/>
      </c>
      <c r="KP55" s="4" t="str">
        <f t="shared" si="221"/>
        <v/>
      </c>
      <c r="KQ55" s="4" t="str">
        <f t="shared" si="222"/>
        <v/>
      </c>
      <c r="KR55" s="4" t="str">
        <f t="shared" si="223"/>
        <v/>
      </c>
      <c r="KS55" s="4" t="str">
        <f t="shared" si="224"/>
        <v/>
      </c>
      <c r="KT55" s="4" t="str">
        <f t="shared" si="225"/>
        <v/>
      </c>
      <c r="KU55" s="4" t="str">
        <f t="shared" si="226"/>
        <v/>
      </c>
      <c r="KV55" s="4" t="str">
        <f t="shared" si="227"/>
        <v/>
      </c>
      <c r="KW55" s="4" t="str">
        <f t="shared" si="228"/>
        <v/>
      </c>
      <c r="KX55" s="4" t="str">
        <f t="shared" si="229"/>
        <v/>
      </c>
      <c r="KY55" s="4" t="str">
        <f t="shared" si="230"/>
        <v/>
      </c>
      <c r="KZ55" s="4" t="str">
        <f t="shared" si="231"/>
        <v/>
      </c>
      <c r="LA55" s="4" t="str">
        <f t="shared" si="232"/>
        <v/>
      </c>
      <c r="LB55" s="4" t="str">
        <f t="shared" si="233"/>
        <v/>
      </c>
      <c r="LC55" s="4" t="str">
        <f t="shared" si="234"/>
        <v/>
      </c>
      <c r="LD55" s="4" t="str">
        <f t="shared" si="235"/>
        <v/>
      </c>
      <c r="LE55" s="4" t="str">
        <f t="shared" si="236"/>
        <v/>
      </c>
      <c r="LF55" s="4" t="str">
        <f t="shared" si="237"/>
        <v/>
      </c>
      <c r="LG55" s="4" t="str">
        <f t="shared" si="238"/>
        <v/>
      </c>
      <c r="LH55" s="4" t="str">
        <f t="shared" si="239"/>
        <v/>
      </c>
      <c r="LI55" s="4" t="str">
        <f t="shared" si="240"/>
        <v/>
      </c>
      <c r="LJ55" s="4" t="str">
        <f t="shared" si="241"/>
        <v/>
      </c>
      <c r="LK55" s="4" t="str">
        <f t="shared" si="242"/>
        <v/>
      </c>
      <c r="LL55" s="4" t="str">
        <f t="shared" si="243"/>
        <v/>
      </c>
      <c r="LM55" s="4" t="str">
        <f t="shared" si="244"/>
        <v/>
      </c>
      <c r="LN55" s="4" t="str">
        <f t="shared" si="245"/>
        <v/>
      </c>
      <c r="LO55" s="4" t="str">
        <f t="shared" si="246"/>
        <v/>
      </c>
      <c r="LP55" s="4" t="str">
        <f t="shared" si="247"/>
        <v/>
      </c>
      <c r="LQ55" s="4" t="str">
        <f t="shared" si="248"/>
        <v/>
      </c>
      <c r="LR55" s="4" t="str">
        <f t="shared" si="249"/>
        <v/>
      </c>
      <c r="LS55" s="4" t="str">
        <f t="shared" si="250"/>
        <v/>
      </c>
      <c r="LT55" s="4" t="str">
        <f t="shared" si="251"/>
        <v/>
      </c>
      <c r="LU55" s="4" t="str">
        <f t="shared" si="252"/>
        <v/>
      </c>
      <c r="LV55" s="4" t="str">
        <f t="shared" si="253"/>
        <v/>
      </c>
      <c r="LW55" s="4" t="str">
        <f t="shared" si="254"/>
        <v/>
      </c>
      <c r="LX55" s="4" t="str">
        <f t="shared" si="255"/>
        <v/>
      </c>
      <c r="LY55" s="4" t="str">
        <f t="shared" si="256"/>
        <v/>
      </c>
      <c r="LZ55" s="4" t="str">
        <f t="shared" si="257"/>
        <v/>
      </c>
      <c r="MA55" s="4" t="str">
        <f t="shared" si="258"/>
        <v/>
      </c>
      <c r="MB55" s="4" t="str">
        <f t="shared" si="259"/>
        <v/>
      </c>
      <c r="MC55" s="4" t="str">
        <f t="shared" si="260"/>
        <v/>
      </c>
      <c r="MD55" s="4" t="str">
        <f t="shared" si="261"/>
        <v/>
      </c>
      <c r="ME55" s="4">
        <f t="shared" si="262"/>
        <v>0</v>
      </c>
    </row>
    <row r="56" spans="1:343" ht="26.25" customHeight="1" x14ac:dyDescent="0.2">
      <c r="A56" s="35">
        <v>41332</v>
      </c>
      <c r="B56" s="36" t="s">
        <v>170</v>
      </c>
      <c r="C56" s="36" t="s">
        <v>66</v>
      </c>
      <c r="D56" s="31" t="s">
        <v>111</v>
      </c>
      <c r="E56" s="4">
        <v>60</v>
      </c>
      <c r="F56" s="3">
        <v>19086</v>
      </c>
      <c r="G56" s="4" t="s">
        <v>87</v>
      </c>
      <c r="H56" s="4" t="s">
        <v>108</v>
      </c>
      <c r="I56" s="4">
        <v>1834076</v>
      </c>
      <c r="J56" s="4" t="s">
        <v>310</v>
      </c>
      <c r="P56" s="4">
        <v>-2.5</v>
      </c>
      <c r="Q56" s="4">
        <v>-2.5099999999999998</v>
      </c>
      <c r="R56" s="4" t="s">
        <v>306</v>
      </c>
      <c r="S56" s="67">
        <v>19</v>
      </c>
      <c r="T56" s="136">
        <v>41249</v>
      </c>
      <c r="U56" s="67">
        <v>-2.5</v>
      </c>
      <c r="V56" s="67">
        <v>1.75</v>
      </c>
      <c r="W56" s="4">
        <v>60</v>
      </c>
      <c r="X56" s="4">
        <v>25</v>
      </c>
      <c r="Y56" s="4">
        <v>8</v>
      </c>
      <c r="Z56" s="4">
        <v>528</v>
      </c>
      <c r="AA56" s="4">
        <v>23.65</v>
      </c>
      <c r="AB56" s="4">
        <v>12.2</v>
      </c>
      <c r="AC56" s="4">
        <v>4.97</v>
      </c>
      <c r="AD56" s="4">
        <v>3.33</v>
      </c>
      <c r="AE56" s="4">
        <v>44.76</v>
      </c>
      <c r="AF56" s="4">
        <v>158</v>
      </c>
      <c r="AG56" s="4">
        <v>47.27</v>
      </c>
      <c r="AH56" s="4">
        <v>68</v>
      </c>
      <c r="AI56" s="4">
        <v>1</v>
      </c>
      <c r="AJ56" s="4" t="b">
        <f t="shared" si="133"/>
        <v>1</v>
      </c>
      <c r="AL56" s="32">
        <v>41514</v>
      </c>
      <c r="AM56" s="60"/>
      <c r="AN56" s="67">
        <v>0</v>
      </c>
      <c r="AO56" s="67">
        <v>0.25</v>
      </c>
      <c r="AP56" s="4">
        <v>142</v>
      </c>
      <c r="AQ56" s="4">
        <v>20</v>
      </c>
      <c r="AR56" s="4">
        <v>11</v>
      </c>
      <c r="AS56" s="4">
        <v>482</v>
      </c>
      <c r="AT56" s="4">
        <v>2165</v>
      </c>
      <c r="BA56" s="4">
        <f t="shared" si="134"/>
        <v>0.125</v>
      </c>
      <c r="BB56" s="4">
        <f t="shared" si="135"/>
        <v>2.6349999999999998</v>
      </c>
      <c r="BC56" s="4">
        <f t="shared" si="136"/>
        <v>-46</v>
      </c>
      <c r="BD56" s="3">
        <v>41654</v>
      </c>
      <c r="BE56" s="56">
        <v>20</v>
      </c>
      <c r="BF56" s="67">
        <v>0</v>
      </c>
      <c r="BG56" s="67">
        <v>0.25</v>
      </c>
      <c r="BH56" s="4">
        <v>62</v>
      </c>
      <c r="BI56" s="4">
        <v>15</v>
      </c>
      <c r="BJ56" s="4">
        <v>11</v>
      </c>
      <c r="BK56" s="4">
        <v>483</v>
      </c>
      <c r="BL56" s="4">
        <v>2525</v>
      </c>
      <c r="BM56" s="4">
        <v>23.68</v>
      </c>
      <c r="BN56" s="4">
        <v>2.92</v>
      </c>
      <c r="BO56" s="4">
        <v>44.23</v>
      </c>
      <c r="BP56" s="4">
        <v>162</v>
      </c>
      <c r="BQ56" s="4">
        <v>46.11</v>
      </c>
      <c r="BR56" s="4">
        <v>72</v>
      </c>
      <c r="BS56" s="4">
        <f t="shared" si="137"/>
        <v>0.125</v>
      </c>
      <c r="BT56" s="4">
        <f t="shared" si="138"/>
        <v>2.6349999999999998</v>
      </c>
      <c r="BU56" s="4">
        <f t="shared" si="139"/>
        <v>-45</v>
      </c>
      <c r="BV56" s="4">
        <f>IF(AND(ISBLANK(SPH_6),ISBLANK(SPH_12)),0,1)</f>
        <v>1</v>
      </c>
      <c r="BW56" s="4">
        <f t="shared" si="140"/>
        <v>1</v>
      </c>
      <c r="BX56" s="4">
        <f t="shared" si="141"/>
        <v>-1.625</v>
      </c>
      <c r="BY56" s="4">
        <f t="shared" si="142"/>
        <v>0.125</v>
      </c>
      <c r="BZ56" s="4">
        <f t="shared" si="143"/>
        <v>0.125</v>
      </c>
      <c r="CA56" s="53">
        <f t="shared" si="144"/>
        <v>322</v>
      </c>
      <c r="CB56" s="55">
        <f t="shared" si="145"/>
        <v>10.733333333333333</v>
      </c>
      <c r="CC56" s="4">
        <f t="shared" si="146"/>
        <v>0</v>
      </c>
      <c r="CD56" s="4" t="str">
        <f t="shared" si="147"/>
        <v/>
      </c>
      <c r="CE56" s="4">
        <f t="shared" si="148"/>
        <v>-0.84499999999999886</v>
      </c>
      <c r="CF56" s="4">
        <f t="shared" si="149"/>
        <v>-0.84499999999999886</v>
      </c>
      <c r="CG56" s="4">
        <f t="shared" si="263"/>
        <v>-1.625</v>
      </c>
      <c r="CH56" s="4">
        <f t="shared" si="150"/>
        <v>0.125</v>
      </c>
      <c r="CI56" s="104">
        <f t="shared" si="151"/>
        <v>2.6349999999999998</v>
      </c>
      <c r="CJ56" s="94">
        <f t="shared" si="152"/>
        <v>-45</v>
      </c>
      <c r="CK56" s="4">
        <f t="shared" si="153"/>
        <v>3.0000000000001137E-2</v>
      </c>
      <c r="CL56" s="107">
        <f t="shared" si="154"/>
        <v>-2.5099999999999998</v>
      </c>
      <c r="CM56" s="107">
        <f t="shared" si="264"/>
        <v>0.22184874961635631</v>
      </c>
      <c r="CN56" s="139">
        <f t="shared" si="155"/>
        <v>0.25</v>
      </c>
      <c r="CO56" s="139">
        <f t="shared" si="156"/>
        <v>-1.5</v>
      </c>
      <c r="CP56" s="149">
        <f t="shared" si="157"/>
        <v>15</v>
      </c>
      <c r="CQ56" s="149">
        <f t="shared" si="158"/>
        <v>25</v>
      </c>
      <c r="CR56" s="148" t="str">
        <f t="shared" si="159"/>
        <v/>
      </c>
      <c r="CS56" s="152">
        <f t="shared" si="160"/>
        <v>1</v>
      </c>
      <c r="CT56" s="107">
        <f t="shared" si="161"/>
        <v>1</v>
      </c>
      <c r="CU56" s="155" t="b">
        <f t="shared" si="162"/>
        <v>0</v>
      </c>
      <c r="CV56">
        <v>7.73</v>
      </c>
      <c r="CW56" s="4">
        <v>7.4</v>
      </c>
      <c r="CX56" s="4">
        <v>165.6</v>
      </c>
      <c r="CY56" s="4">
        <v>-2</v>
      </c>
      <c r="CZ56" s="4">
        <v>-0.16</v>
      </c>
      <c r="DA56" s="4">
        <v>0.65</v>
      </c>
      <c r="DB56" s="4">
        <v>2.6</v>
      </c>
      <c r="DC56" s="4">
        <v>3.13</v>
      </c>
      <c r="DD56" s="4">
        <v>522</v>
      </c>
      <c r="DE56" s="4">
        <v>523</v>
      </c>
      <c r="DF56" s="4">
        <v>616</v>
      </c>
      <c r="DG56" s="4">
        <v>553</v>
      </c>
      <c r="DH56" s="4">
        <v>576</v>
      </c>
      <c r="DI56" s="4">
        <v>556</v>
      </c>
      <c r="DJ56" s="4">
        <v>517</v>
      </c>
      <c r="DK56" s="4">
        <v>-2.4300000000000002</v>
      </c>
      <c r="DL56" s="4">
        <v>1.94</v>
      </c>
      <c r="DM56" s="4">
        <v>7.62</v>
      </c>
      <c r="DN56" s="4">
        <v>7.43</v>
      </c>
      <c r="DO56" s="4">
        <v>7.4</v>
      </c>
      <c r="DP56" s="4">
        <v>7.72</v>
      </c>
      <c r="DQ56" s="4">
        <v>8.3699999999999992</v>
      </c>
      <c r="DR56" s="4">
        <v>8.7899999999999991</v>
      </c>
      <c r="DS56" s="4">
        <v>0</v>
      </c>
      <c r="DT56" s="4">
        <v>1.1000000000000001</v>
      </c>
      <c r="DU56" s="4">
        <v>6.51</v>
      </c>
      <c r="DV56" s="4">
        <v>6.4</v>
      </c>
      <c r="DW56" s="4">
        <v>6.39</v>
      </c>
      <c r="DX56" s="4">
        <v>6.59</v>
      </c>
      <c r="DY56" s="4">
        <v>6.94</v>
      </c>
      <c r="DZ56" s="4">
        <v>7.36</v>
      </c>
      <c r="EA56" s="4">
        <v>0</v>
      </c>
      <c r="EB56" s="100">
        <v>1.1000000000000001</v>
      </c>
      <c r="EC56" s="122">
        <v>43.7</v>
      </c>
      <c r="ED56" s="122">
        <v>45.6</v>
      </c>
      <c r="EE56" s="122">
        <v>44.6</v>
      </c>
      <c r="EF56" s="122">
        <v>165.6</v>
      </c>
      <c r="EG56" s="122">
        <v>2</v>
      </c>
      <c r="EH56" s="122">
        <v>-6</v>
      </c>
      <c r="EI56" s="122">
        <v>-6.4</v>
      </c>
      <c r="EJ56" s="122">
        <v>-6.2</v>
      </c>
      <c r="EK56" s="122">
        <v>176.2</v>
      </c>
      <c r="EL56" s="122">
        <v>0.4</v>
      </c>
      <c r="EM56" s="122">
        <v>3.8</v>
      </c>
      <c r="EN56" s="122">
        <v>10.9</v>
      </c>
      <c r="EO56" s="122">
        <v>23.1</v>
      </c>
      <c r="EP56" s="122">
        <v>55.8</v>
      </c>
      <c r="EQ56" s="126">
        <v>23</v>
      </c>
      <c r="IJ56" s="94" t="str">
        <f t="shared" si="163"/>
        <v/>
      </c>
      <c r="IK56" s="4" t="str">
        <f t="shared" si="164"/>
        <v/>
      </c>
      <c r="IL56" s="4" t="str">
        <f t="shared" si="165"/>
        <v/>
      </c>
      <c r="IM56" s="4" t="str">
        <f t="shared" si="166"/>
        <v/>
      </c>
      <c r="IN56" s="4" t="str">
        <f t="shared" si="167"/>
        <v/>
      </c>
      <c r="IO56" s="4" t="str">
        <f t="shared" si="168"/>
        <v/>
      </c>
      <c r="IP56" s="4" t="str">
        <f t="shared" si="169"/>
        <v/>
      </c>
      <c r="IQ56" s="4" t="str">
        <f t="shared" si="170"/>
        <v/>
      </c>
      <c r="IR56" s="4" t="str">
        <f t="shared" si="171"/>
        <v/>
      </c>
      <c r="IS56" s="4" t="str">
        <f t="shared" si="172"/>
        <v/>
      </c>
      <c r="IT56" s="4" t="str">
        <f t="shared" si="173"/>
        <v/>
      </c>
      <c r="IU56" s="4" t="str">
        <f t="shared" si="174"/>
        <v/>
      </c>
      <c r="IV56" s="4" t="str">
        <f t="shared" si="175"/>
        <v/>
      </c>
      <c r="IW56" s="4" t="str">
        <f t="shared" si="176"/>
        <v/>
      </c>
      <c r="IX56" s="4" t="str">
        <f t="shared" si="177"/>
        <v/>
      </c>
      <c r="IY56" s="4" t="str">
        <f t="shared" si="178"/>
        <v/>
      </c>
      <c r="IZ56" s="4" t="str">
        <f t="shared" si="179"/>
        <v/>
      </c>
      <c r="JA56" s="4" t="str">
        <f t="shared" si="180"/>
        <v/>
      </c>
      <c r="JB56" s="4" t="str">
        <f t="shared" si="181"/>
        <v/>
      </c>
      <c r="JC56" s="4" t="str">
        <f t="shared" si="182"/>
        <v/>
      </c>
      <c r="JD56" s="4" t="str">
        <f t="shared" si="183"/>
        <v/>
      </c>
      <c r="JE56" s="4" t="str">
        <f t="shared" si="184"/>
        <v/>
      </c>
      <c r="JF56" s="4" t="str">
        <f t="shared" si="185"/>
        <v/>
      </c>
      <c r="JG56" s="4" t="str">
        <f t="shared" si="186"/>
        <v/>
      </c>
      <c r="JH56" s="4" t="str">
        <f t="shared" si="187"/>
        <v/>
      </c>
      <c r="JI56" s="4" t="str">
        <f t="shared" si="188"/>
        <v/>
      </c>
      <c r="JJ56" s="4" t="str">
        <f t="shared" si="189"/>
        <v/>
      </c>
      <c r="JK56" s="4" t="str">
        <f t="shared" si="190"/>
        <v/>
      </c>
      <c r="JL56" s="4" t="str">
        <f t="shared" si="191"/>
        <v/>
      </c>
      <c r="JM56" s="4" t="str">
        <f t="shared" si="192"/>
        <v/>
      </c>
      <c r="JN56" s="4" t="str">
        <f t="shared" si="193"/>
        <v/>
      </c>
      <c r="JO56" s="129" t="str">
        <f t="shared" si="194"/>
        <v/>
      </c>
      <c r="JP56" s="122" t="str">
        <f t="shared" si="195"/>
        <v/>
      </c>
      <c r="JQ56" s="122" t="str">
        <f t="shared" si="196"/>
        <v/>
      </c>
      <c r="JR56" s="122" t="str">
        <f t="shared" si="197"/>
        <v/>
      </c>
      <c r="JS56" s="122" t="str">
        <f t="shared" si="198"/>
        <v/>
      </c>
      <c r="JT56" s="122" t="str">
        <f t="shared" si="199"/>
        <v/>
      </c>
      <c r="JU56" s="122" t="str">
        <f t="shared" si="200"/>
        <v/>
      </c>
      <c r="JV56" s="122" t="str">
        <f t="shared" si="201"/>
        <v/>
      </c>
      <c r="JW56" s="122" t="str">
        <f t="shared" si="202"/>
        <v/>
      </c>
      <c r="JX56" s="122" t="str">
        <f t="shared" si="203"/>
        <v/>
      </c>
      <c r="JY56" s="122" t="str">
        <f t="shared" si="204"/>
        <v/>
      </c>
      <c r="JZ56" s="122" t="str">
        <f t="shared" si="205"/>
        <v/>
      </c>
      <c r="KA56" s="122" t="str">
        <f t="shared" si="206"/>
        <v/>
      </c>
      <c r="KB56" s="122" t="str">
        <f t="shared" si="207"/>
        <v/>
      </c>
      <c r="KC56" s="122" t="str">
        <f t="shared" si="208"/>
        <v/>
      </c>
      <c r="KD56" s="122" t="str">
        <f t="shared" si="209"/>
        <v/>
      </c>
      <c r="KE56" s="133" t="str">
        <f t="shared" si="210"/>
        <v/>
      </c>
      <c r="KF56" s="94" t="str">
        <f t="shared" si="211"/>
        <v/>
      </c>
      <c r="KG56" s="4" t="str">
        <f t="shared" si="212"/>
        <v/>
      </c>
      <c r="KH56" s="4" t="str">
        <f t="shared" si="213"/>
        <v/>
      </c>
      <c r="KI56" s="4" t="str">
        <f t="shared" si="214"/>
        <v/>
      </c>
      <c r="KJ56" s="4" t="str">
        <f t="shared" si="215"/>
        <v/>
      </c>
      <c r="KK56" s="4" t="str">
        <f t="shared" si="216"/>
        <v/>
      </c>
      <c r="KL56" s="4" t="str">
        <f t="shared" si="217"/>
        <v/>
      </c>
      <c r="KM56" s="4" t="str">
        <f t="shared" si="218"/>
        <v/>
      </c>
      <c r="KN56" s="4" t="str">
        <f t="shared" si="219"/>
        <v/>
      </c>
      <c r="KO56" s="4" t="str">
        <f t="shared" si="220"/>
        <v/>
      </c>
      <c r="KP56" s="4" t="str">
        <f t="shared" si="221"/>
        <v/>
      </c>
      <c r="KQ56" s="4" t="str">
        <f t="shared" si="222"/>
        <v/>
      </c>
      <c r="KR56" s="4" t="str">
        <f t="shared" si="223"/>
        <v/>
      </c>
      <c r="KS56" s="4" t="str">
        <f t="shared" si="224"/>
        <v/>
      </c>
      <c r="KT56" s="4" t="str">
        <f t="shared" si="225"/>
        <v/>
      </c>
      <c r="KU56" s="4" t="str">
        <f t="shared" si="226"/>
        <v/>
      </c>
      <c r="KV56" s="4" t="str">
        <f t="shared" si="227"/>
        <v/>
      </c>
      <c r="KW56" s="4" t="str">
        <f t="shared" si="228"/>
        <v/>
      </c>
      <c r="KX56" s="4" t="str">
        <f t="shared" si="229"/>
        <v/>
      </c>
      <c r="KY56" s="4" t="str">
        <f t="shared" si="230"/>
        <v/>
      </c>
      <c r="KZ56" s="4" t="str">
        <f t="shared" si="231"/>
        <v/>
      </c>
      <c r="LA56" s="4" t="str">
        <f t="shared" si="232"/>
        <v/>
      </c>
      <c r="LB56" s="4" t="str">
        <f t="shared" si="233"/>
        <v/>
      </c>
      <c r="LC56" s="4" t="str">
        <f t="shared" si="234"/>
        <v/>
      </c>
      <c r="LD56" s="4" t="str">
        <f t="shared" si="235"/>
        <v/>
      </c>
      <c r="LE56" s="4" t="str">
        <f t="shared" si="236"/>
        <v/>
      </c>
      <c r="LF56" s="4" t="str">
        <f t="shared" si="237"/>
        <v/>
      </c>
      <c r="LG56" s="4" t="str">
        <f t="shared" si="238"/>
        <v/>
      </c>
      <c r="LH56" s="4" t="str">
        <f t="shared" si="239"/>
        <v/>
      </c>
      <c r="LI56" s="4" t="str">
        <f t="shared" si="240"/>
        <v/>
      </c>
      <c r="LJ56" s="4" t="str">
        <f t="shared" si="241"/>
        <v/>
      </c>
      <c r="LK56" s="4" t="str">
        <f t="shared" si="242"/>
        <v/>
      </c>
      <c r="LL56" s="4" t="str">
        <f t="shared" si="243"/>
        <v/>
      </c>
      <c r="LM56" s="4" t="str">
        <f t="shared" si="244"/>
        <v/>
      </c>
      <c r="LN56" s="4" t="str">
        <f t="shared" si="245"/>
        <v/>
      </c>
      <c r="LO56" s="4" t="str">
        <f t="shared" si="246"/>
        <v/>
      </c>
      <c r="LP56" s="4" t="str">
        <f t="shared" si="247"/>
        <v/>
      </c>
      <c r="LQ56" s="4" t="str">
        <f t="shared" si="248"/>
        <v/>
      </c>
      <c r="LR56" s="4" t="str">
        <f t="shared" si="249"/>
        <v/>
      </c>
      <c r="LS56" s="4" t="str">
        <f t="shared" si="250"/>
        <v/>
      </c>
      <c r="LT56" s="4" t="str">
        <f t="shared" si="251"/>
        <v/>
      </c>
      <c r="LU56" s="4" t="str">
        <f t="shared" si="252"/>
        <v/>
      </c>
      <c r="LV56" s="4" t="str">
        <f t="shared" si="253"/>
        <v/>
      </c>
      <c r="LW56" s="4" t="str">
        <f t="shared" si="254"/>
        <v/>
      </c>
      <c r="LX56" s="4" t="str">
        <f t="shared" si="255"/>
        <v/>
      </c>
      <c r="LY56" s="4" t="str">
        <f t="shared" si="256"/>
        <v/>
      </c>
      <c r="LZ56" s="4" t="str">
        <f t="shared" si="257"/>
        <v/>
      </c>
      <c r="MA56" s="4" t="str">
        <f t="shared" si="258"/>
        <v/>
      </c>
      <c r="MB56" s="4" t="str">
        <f t="shared" si="259"/>
        <v/>
      </c>
      <c r="MC56" s="4" t="str">
        <f t="shared" si="260"/>
        <v/>
      </c>
      <c r="MD56" s="4" t="str">
        <f t="shared" si="261"/>
        <v/>
      </c>
      <c r="ME56" s="4">
        <f t="shared" si="262"/>
        <v>0</v>
      </c>
    </row>
    <row r="57" spans="1:343" ht="26.25" customHeight="1" x14ac:dyDescent="0.2">
      <c r="A57" s="35">
        <v>41395</v>
      </c>
      <c r="B57" s="36" t="s">
        <v>204</v>
      </c>
      <c r="C57" s="36" t="s">
        <v>51</v>
      </c>
      <c r="D57" s="31" t="s">
        <v>110</v>
      </c>
      <c r="E57" s="4">
        <v>76</v>
      </c>
      <c r="F57" s="3">
        <v>13526</v>
      </c>
      <c r="G57" s="4" t="s">
        <v>87</v>
      </c>
      <c r="H57" s="4" t="s">
        <v>112</v>
      </c>
      <c r="I57" s="4">
        <v>1834099</v>
      </c>
      <c r="J57" s="4" t="s">
        <v>310</v>
      </c>
      <c r="K57" s="76"/>
      <c r="L57" s="76"/>
      <c r="M57" s="76"/>
      <c r="N57" s="76"/>
      <c r="O57" s="76"/>
      <c r="P57" s="4">
        <v>-0.5</v>
      </c>
      <c r="Q57" s="4">
        <v>-0.48</v>
      </c>
      <c r="R57" s="33" t="s">
        <v>251</v>
      </c>
      <c r="S57" s="67">
        <v>20</v>
      </c>
      <c r="T57" s="136">
        <v>41382</v>
      </c>
      <c r="U57" s="67">
        <v>-0.5</v>
      </c>
      <c r="V57" s="67">
        <v>3.5</v>
      </c>
      <c r="W57" s="4">
        <v>180</v>
      </c>
      <c r="X57" s="4">
        <v>40</v>
      </c>
      <c r="Y57" s="4">
        <v>13</v>
      </c>
      <c r="Z57" s="4">
        <v>552</v>
      </c>
      <c r="AA57" s="4">
        <v>23.62</v>
      </c>
      <c r="AD57" s="4">
        <v>3.52</v>
      </c>
      <c r="AE57" s="4">
        <v>44.29</v>
      </c>
      <c r="AF57" s="4">
        <v>83</v>
      </c>
      <c r="AG57" s="4">
        <v>47.2</v>
      </c>
      <c r="AH57" s="4">
        <v>173</v>
      </c>
      <c r="AI57" s="4">
        <v>1</v>
      </c>
      <c r="AJ57" s="4" t="b">
        <f t="shared" si="133"/>
        <v>1</v>
      </c>
      <c r="AK57" s="54"/>
      <c r="AL57" s="32">
        <v>41576</v>
      </c>
      <c r="AM57" s="60"/>
      <c r="AN57" s="67">
        <v>-1</v>
      </c>
      <c r="AO57" s="67">
        <v>2.5</v>
      </c>
      <c r="AP57" s="4">
        <v>2</v>
      </c>
      <c r="AQ57" s="4">
        <v>20</v>
      </c>
      <c r="AS57" s="4">
        <v>434</v>
      </c>
      <c r="AT57" s="4">
        <v>1686</v>
      </c>
      <c r="AW57" s="4">
        <v>43.49</v>
      </c>
      <c r="AX57" s="4">
        <v>89</v>
      </c>
      <c r="AY57" s="4">
        <v>46.36</v>
      </c>
      <c r="AZ57" s="4">
        <v>179</v>
      </c>
      <c r="BA57" s="4">
        <f t="shared" si="134"/>
        <v>0.25</v>
      </c>
      <c r="BB57" s="4">
        <f t="shared" si="135"/>
        <v>0.73</v>
      </c>
      <c r="BC57" s="4">
        <f t="shared" si="136"/>
        <v>-118</v>
      </c>
      <c r="BD57" s="150">
        <v>41773</v>
      </c>
      <c r="BE57" s="59"/>
      <c r="BS57" s="4" t="str">
        <f t="shared" si="137"/>
        <v/>
      </c>
      <c r="BT57" s="4" t="str">
        <f t="shared" si="138"/>
        <v/>
      </c>
      <c r="BU57" s="4" t="str">
        <f t="shared" si="139"/>
        <v/>
      </c>
      <c r="BV57" s="4">
        <f>IF(AND(ISBLANK(SPH_6),ISBLANK(SPH_12)),0,1)</f>
        <v>1</v>
      </c>
      <c r="BW57" s="4">
        <f t="shared" si="140"/>
        <v>0</v>
      </c>
      <c r="BX57" s="4" t="str">
        <f t="shared" si="141"/>
        <v/>
      </c>
      <c r="BY57" s="4" t="str">
        <f t="shared" si="142"/>
        <v/>
      </c>
      <c r="BZ57" s="4" t="str">
        <f t="shared" si="143"/>
        <v/>
      </c>
      <c r="CA57" s="53">
        <f t="shared" si="144"/>
        <v>181</v>
      </c>
      <c r="CB57" s="55">
        <f t="shared" si="145"/>
        <v>6.0333333333333332</v>
      </c>
      <c r="CC57" s="4" t="str">
        <f t="shared" si="146"/>
        <v/>
      </c>
      <c r="CD57" s="4">
        <f t="shared" si="147"/>
        <v>-0.82000000000000739</v>
      </c>
      <c r="CE57" s="4" t="str">
        <f t="shared" si="148"/>
        <v/>
      </c>
      <c r="CF57" s="4">
        <f t="shared" si="149"/>
        <v>-0.82000000000000739</v>
      </c>
      <c r="CG57" s="4">
        <f t="shared" si="263"/>
        <v>1.25</v>
      </c>
      <c r="CH57" s="4">
        <f t="shared" si="150"/>
        <v>0.25</v>
      </c>
      <c r="CI57" s="104">
        <f t="shared" si="151"/>
        <v>0.73</v>
      </c>
      <c r="CJ57" s="94">
        <f t="shared" si="152"/>
        <v>-118</v>
      </c>
      <c r="CK57" s="4" t="str">
        <f t="shared" si="153"/>
        <v/>
      </c>
      <c r="CL57" s="107">
        <f t="shared" si="154"/>
        <v>-0.48</v>
      </c>
      <c r="CM57" s="107">
        <f t="shared" si="264"/>
        <v>0.3010299956639812</v>
      </c>
      <c r="CN57" s="139">
        <f t="shared" si="155"/>
        <v>2.5</v>
      </c>
      <c r="CO57" s="139">
        <f t="shared" si="156"/>
        <v>-1</v>
      </c>
      <c r="CP57" s="149">
        <f t="shared" si="157"/>
        <v>20</v>
      </c>
      <c r="CQ57" s="149">
        <f t="shared" si="158"/>
        <v>40</v>
      </c>
      <c r="CR57" s="148" t="str">
        <f t="shared" si="159"/>
        <v/>
      </c>
      <c r="CS57" s="152">
        <f t="shared" si="160"/>
        <v>0</v>
      </c>
      <c r="CT57" s="107" t="str">
        <f t="shared" si="161"/>
        <v/>
      </c>
      <c r="CU57" s="155" t="b">
        <f t="shared" si="162"/>
        <v>0</v>
      </c>
      <c r="CV57">
        <v>7.28</v>
      </c>
      <c r="CW57" s="4">
        <v>7.6</v>
      </c>
      <c r="CX57" s="4">
        <v>83.6</v>
      </c>
      <c r="CY57" s="4">
        <v>1.9</v>
      </c>
      <c r="CZ57" s="4">
        <v>-0.16</v>
      </c>
      <c r="DA57" s="4">
        <v>0.13</v>
      </c>
      <c r="DB57" s="4">
        <v>3.02</v>
      </c>
      <c r="DC57" s="4">
        <v>3.6</v>
      </c>
      <c r="DD57" s="4">
        <v>584</v>
      </c>
      <c r="DE57" s="4">
        <v>585</v>
      </c>
      <c r="DF57" s="4">
        <v>629</v>
      </c>
      <c r="DG57" s="4">
        <v>599</v>
      </c>
      <c r="DH57" s="4">
        <v>639</v>
      </c>
      <c r="DI57" s="4">
        <v>623</v>
      </c>
      <c r="DJ57" s="4">
        <v>563</v>
      </c>
      <c r="DK57" s="4">
        <v>1.51</v>
      </c>
      <c r="DL57" s="4">
        <v>-1.18</v>
      </c>
      <c r="DM57" s="4">
        <v>7.44</v>
      </c>
      <c r="DN57" s="4">
        <v>7.46</v>
      </c>
      <c r="DO57" s="4">
        <v>7.4</v>
      </c>
      <c r="DP57" s="4">
        <v>7.41</v>
      </c>
      <c r="DQ57" s="4">
        <v>7.65</v>
      </c>
      <c r="DR57" s="4">
        <v>8</v>
      </c>
      <c r="DS57" s="4">
        <v>0</v>
      </c>
      <c r="DT57" s="4">
        <v>1</v>
      </c>
      <c r="DU57" s="4">
        <v>6.48</v>
      </c>
      <c r="DV57" s="4">
        <v>6.48</v>
      </c>
      <c r="DW57" s="4">
        <v>6.39</v>
      </c>
      <c r="DX57" s="4">
        <v>6.22</v>
      </c>
      <c r="DY57" s="4">
        <v>6.34</v>
      </c>
      <c r="DZ57" s="4">
        <v>0</v>
      </c>
      <c r="EA57" s="4">
        <v>0</v>
      </c>
      <c r="EB57" s="100">
        <v>1</v>
      </c>
      <c r="EC57" s="122">
        <v>44.4</v>
      </c>
      <c r="ED57" s="122">
        <v>46.4</v>
      </c>
      <c r="EE57" s="122">
        <v>45.4</v>
      </c>
      <c r="EF57" s="122">
        <v>83.6</v>
      </c>
      <c r="EG57" s="122">
        <v>1.9</v>
      </c>
      <c r="EH57" s="122">
        <v>-6</v>
      </c>
      <c r="EI57" s="122">
        <v>-6.3</v>
      </c>
      <c r="EJ57" s="122">
        <v>-6.2</v>
      </c>
      <c r="EK57" s="122">
        <v>130</v>
      </c>
      <c r="EL57" s="122">
        <v>0.3</v>
      </c>
      <c r="EM57" s="122">
        <v>4.2</v>
      </c>
      <c r="EN57" s="122">
        <v>12.1</v>
      </c>
      <c r="EO57" s="122">
        <v>25.2</v>
      </c>
      <c r="EP57" s="122">
        <v>61.4</v>
      </c>
      <c r="EQ57" s="126">
        <v>22</v>
      </c>
      <c r="ER57" s="94">
        <v>7.38</v>
      </c>
      <c r="ES57" s="4">
        <v>7.82</v>
      </c>
      <c r="ET57" s="4">
        <v>84</v>
      </c>
      <c r="EU57" s="4">
        <v>2.6</v>
      </c>
      <c r="EV57" s="4">
        <v>-0.12</v>
      </c>
      <c r="EW57" s="4">
        <v>-0.03</v>
      </c>
      <c r="EX57" s="4">
        <v>4.09</v>
      </c>
      <c r="EY57" s="4">
        <v>4.51</v>
      </c>
      <c r="EZ57" s="4">
        <v>422</v>
      </c>
      <c r="FA57" s="4">
        <v>423</v>
      </c>
      <c r="FB57" s="4">
        <v>613</v>
      </c>
      <c r="FC57" s="4">
        <v>499</v>
      </c>
      <c r="FD57" s="4">
        <v>507</v>
      </c>
      <c r="FE57" s="4">
        <v>507</v>
      </c>
      <c r="FF57" s="4">
        <v>414</v>
      </c>
      <c r="FG57" s="4">
        <v>0.98</v>
      </c>
      <c r="FH57" s="4">
        <v>-0.2</v>
      </c>
      <c r="FI57" s="4">
        <v>7.59</v>
      </c>
      <c r="FJ57" s="4">
        <v>7.58</v>
      </c>
      <c r="FK57" s="4">
        <v>7.47</v>
      </c>
      <c r="FL57" s="4">
        <v>7.5</v>
      </c>
      <c r="FM57" s="4">
        <v>7.85</v>
      </c>
      <c r="FN57" s="4">
        <v>8.1199999999999992</v>
      </c>
      <c r="FO57" s="4">
        <v>0</v>
      </c>
      <c r="FP57" s="4">
        <v>1.1000000000000001</v>
      </c>
      <c r="FQ57" s="4">
        <v>6.38</v>
      </c>
      <c r="FR57" s="4">
        <v>6.14</v>
      </c>
      <c r="FS57" s="4">
        <v>6.07</v>
      </c>
      <c r="FT57" s="4">
        <v>6.11</v>
      </c>
      <c r="FU57" s="4">
        <v>6.31</v>
      </c>
      <c r="FV57" s="4">
        <v>0</v>
      </c>
      <c r="FW57" s="4">
        <v>0</v>
      </c>
      <c r="FX57" s="97">
        <v>1.1000000000000001</v>
      </c>
      <c r="FY57" s="122">
        <v>43.2</v>
      </c>
      <c r="FZ57" s="122">
        <v>45.7</v>
      </c>
      <c r="GA57" s="122">
        <v>44.4</v>
      </c>
      <c r="GB57" s="122">
        <v>84</v>
      </c>
      <c r="GC57" s="122">
        <v>2.6</v>
      </c>
      <c r="GD57" s="122">
        <v>-6.2</v>
      </c>
      <c r="GE57" s="122">
        <v>-6.5</v>
      </c>
      <c r="GF57" s="122">
        <v>-6.4</v>
      </c>
      <c r="GG57" s="122">
        <v>153.6</v>
      </c>
      <c r="GH57" s="122">
        <v>0.3</v>
      </c>
      <c r="GI57" s="122">
        <v>3.1</v>
      </c>
      <c r="GJ57" s="122">
        <v>9.1</v>
      </c>
      <c r="GK57" s="122">
        <v>20.2</v>
      </c>
      <c r="GL57" s="122">
        <v>53.9</v>
      </c>
      <c r="GM57" s="131">
        <v>26</v>
      </c>
      <c r="IJ57" s="94">
        <f t="shared" si="163"/>
        <v>7.38</v>
      </c>
      <c r="IK57" s="4">
        <f t="shared" si="164"/>
        <v>7.82</v>
      </c>
      <c r="IL57" s="4">
        <f t="shared" si="165"/>
        <v>84</v>
      </c>
      <c r="IM57" s="4">
        <f t="shared" si="166"/>
        <v>2.6</v>
      </c>
      <c r="IN57" s="4">
        <f t="shared" si="167"/>
        <v>-0.12</v>
      </c>
      <c r="IO57" s="4">
        <f t="shared" si="168"/>
        <v>-0.03</v>
      </c>
      <c r="IP57" s="4">
        <f t="shared" si="169"/>
        <v>4.09</v>
      </c>
      <c r="IQ57" s="4">
        <f t="shared" si="170"/>
        <v>4.51</v>
      </c>
      <c r="IR57" s="4">
        <f t="shared" si="171"/>
        <v>422</v>
      </c>
      <c r="IS57" s="4">
        <f t="shared" si="172"/>
        <v>423</v>
      </c>
      <c r="IT57" s="4">
        <f t="shared" si="173"/>
        <v>613</v>
      </c>
      <c r="IU57" s="4">
        <f t="shared" si="174"/>
        <v>499</v>
      </c>
      <c r="IV57" s="4">
        <f t="shared" si="175"/>
        <v>507</v>
      </c>
      <c r="IW57" s="4">
        <f t="shared" si="176"/>
        <v>507</v>
      </c>
      <c r="IX57" s="4">
        <f t="shared" si="177"/>
        <v>414</v>
      </c>
      <c r="IY57" s="4">
        <f t="shared" si="178"/>
        <v>0.98</v>
      </c>
      <c r="IZ57" s="4">
        <f t="shared" si="179"/>
        <v>-0.2</v>
      </c>
      <c r="JA57" s="4">
        <f t="shared" si="180"/>
        <v>7.59</v>
      </c>
      <c r="JB57" s="4">
        <f t="shared" si="181"/>
        <v>7.58</v>
      </c>
      <c r="JC57" s="4">
        <f t="shared" si="182"/>
        <v>7.47</v>
      </c>
      <c r="JD57" s="4">
        <f t="shared" si="183"/>
        <v>7.5</v>
      </c>
      <c r="JE57" s="4">
        <f t="shared" si="184"/>
        <v>7.85</v>
      </c>
      <c r="JF57" s="4">
        <f t="shared" si="185"/>
        <v>8.1199999999999992</v>
      </c>
      <c r="JG57" s="4">
        <f t="shared" si="186"/>
        <v>0</v>
      </c>
      <c r="JH57" s="4">
        <f t="shared" si="187"/>
        <v>1.1000000000000001</v>
      </c>
      <c r="JI57" s="4">
        <f t="shared" si="188"/>
        <v>6.38</v>
      </c>
      <c r="JJ57" s="4">
        <f t="shared" si="189"/>
        <v>6.14</v>
      </c>
      <c r="JK57" s="4">
        <f t="shared" si="190"/>
        <v>6.07</v>
      </c>
      <c r="JL57" s="4">
        <f t="shared" si="191"/>
        <v>6.11</v>
      </c>
      <c r="JM57" s="4">
        <f t="shared" si="192"/>
        <v>6.31</v>
      </c>
      <c r="JN57" s="4">
        <f t="shared" si="193"/>
        <v>0</v>
      </c>
      <c r="JO57" s="129">
        <f t="shared" si="194"/>
        <v>0</v>
      </c>
      <c r="JP57" s="122">
        <f t="shared" si="195"/>
        <v>1.1000000000000001</v>
      </c>
      <c r="JQ57" s="122">
        <f t="shared" si="196"/>
        <v>43.2</v>
      </c>
      <c r="JR57" s="122">
        <f t="shared" si="197"/>
        <v>45.7</v>
      </c>
      <c r="JS57" s="122">
        <f t="shared" si="198"/>
        <v>44.4</v>
      </c>
      <c r="JT57" s="122">
        <f t="shared" si="199"/>
        <v>84</v>
      </c>
      <c r="JU57" s="122">
        <f t="shared" si="200"/>
        <v>2.6</v>
      </c>
      <c r="JV57" s="122">
        <f t="shared" si="201"/>
        <v>-6.2</v>
      </c>
      <c r="JW57" s="122">
        <f t="shared" si="202"/>
        <v>-6.5</v>
      </c>
      <c r="JX57" s="122">
        <f t="shared" si="203"/>
        <v>-6.4</v>
      </c>
      <c r="JY57" s="122">
        <f t="shared" si="204"/>
        <v>153.6</v>
      </c>
      <c r="JZ57" s="122">
        <f t="shared" si="205"/>
        <v>0.3</v>
      </c>
      <c r="KA57" s="122">
        <f t="shared" si="206"/>
        <v>3.1</v>
      </c>
      <c r="KB57" s="122">
        <f t="shared" si="207"/>
        <v>9.1</v>
      </c>
      <c r="KC57" s="122">
        <f t="shared" si="208"/>
        <v>20.2</v>
      </c>
      <c r="KD57" s="122">
        <f t="shared" si="209"/>
        <v>53.9</v>
      </c>
      <c r="KE57" s="133">
        <f t="shared" si="210"/>
        <v>26</v>
      </c>
      <c r="KF57" s="94">
        <f t="shared" si="211"/>
        <v>9.9999999999999645E-2</v>
      </c>
      <c r="KG57" s="4">
        <f t="shared" si="212"/>
        <v>0.22000000000000064</v>
      </c>
      <c r="KH57" s="4">
        <f t="shared" si="213"/>
        <v>0.40000000000000568</v>
      </c>
      <c r="KI57" s="4">
        <f t="shared" si="214"/>
        <v>0.70000000000000018</v>
      </c>
      <c r="KJ57" s="4">
        <f t="shared" si="215"/>
        <v>4.0000000000000008E-2</v>
      </c>
      <c r="KK57" s="4">
        <f t="shared" si="216"/>
        <v>-0.16</v>
      </c>
      <c r="KL57" s="4">
        <f t="shared" si="217"/>
        <v>1.0699999999999998</v>
      </c>
      <c r="KM57" s="4">
        <f t="shared" si="218"/>
        <v>0.9099999999999997</v>
      </c>
      <c r="KN57" s="4">
        <f t="shared" si="219"/>
        <v>-162</v>
      </c>
      <c r="KO57" s="4">
        <f t="shared" si="220"/>
        <v>-162</v>
      </c>
      <c r="KP57" s="4">
        <f t="shared" si="221"/>
        <v>-16</v>
      </c>
      <c r="KQ57" s="4">
        <f t="shared" si="222"/>
        <v>-100</v>
      </c>
      <c r="KR57" s="4">
        <f t="shared" si="223"/>
        <v>-132</v>
      </c>
      <c r="KS57" s="4">
        <f t="shared" si="224"/>
        <v>-116</v>
      </c>
      <c r="KT57" s="4">
        <f t="shared" si="225"/>
        <v>-149</v>
      </c>
      <c r="KU57" s="4">
        <f t="shared" si="226"/>
        <v>-0.53</v>
      </c>
      <c r="KV57" s="4">
        <f t="shared" si="227"/>
        <v>0.98</v>
      </c>
      <c r="KW57" s="4">
        <f t="shared" si="228"/>
        <v>0.14999999999999947</v>
      </c>
      <c r="KX57" s="4">
        <f t="shared" si="229"/>
        <v>0.12000000000000011</v>
      </c>
      <c r="KY57" s="4">
        <f t="shared" si="230"/>
        <v>6.9999999999999396E-2</v>
      </c>
      <c r="KZ57" s="4">
        <f t="shared" si="231"/>
        <v>8.9999999999999858E-2</v>
      </c>
      <c r="LA57" s="4">
        <f t="shared" si="232"/>
        <v>0.19999999999999929</v>
      </c>
      <c r="LB57" s="4">
        <f t="shared" si="233"/>
        <v>0.11999999999999922</v>
      </c>
      <c r="LC57" s="4">
        <f t="shared" si="234"/>
        <v>0</v>
      </c>
      <c r="LD57" s="4">
        <f t="shared" si="235"/>
        <v>0.10000000000000009</v>
      </c>
      <c r="LE57" s="4">
        <f t="shared" si="236"/>
        <v>-0.10000000000000053</v>
      </c>
      <c r="LF57" s="4">
        <f t="shared" si="237"/>
        <v>-0.34000000000000075</v>
      </c>
      <c r="LG57" s="4">
        <f t="shared" si="238"/>
        <v>-0.3199999999999994</v>
      </c>
      <c r="LH57" s="4">
        <f t="shared" si="239"/>
        <v>-0.10999999999999943</v>
      </c>
      <c r="LI57" s="4">
        <f t="shared" si="240"/>
        <v>-3.0000000000000249E-2</v>
      </c>
      <c r="LJ57" s="4">
        <f t="shared" si="241"/>
        <v>0</v>
      </c>
      <c r="LK57" s="4">
        <f t="shared" si="242"/>
        <v>0</v>
      </c>
      <c r="LL57" s="4">
        <f t="shared" si="243"/>
        <v>0.10000000000000009</v>
      </c>
      <c r="LM57" s="4">
        <f t="shared" si="244"/>
        <v>-1.1999999999999957</v>
      </c>
      <c r="LN57" s="4">
        <f t="shared" si="245"/>
        <v>-0.69999999999999574</v>
      </c>
      <c r="LO57" s="4">
        <f t="shared" si="246"/>
        <v>-1</v>
      </c>
      <c r="LP57" s="4">
        <f t="shared" si="247"/>
        <v>0.40000000000000568</v>
      </c>
      <c r="LQ57" s="4">
        <f t="shared" si="248"/>
        <v>0.70000000000000018</v>
      </c>
      <c r="LR57" s="4">
        <f t="shared" si="249"/>
        <v>-0.20000000000000018</v>
      </c>
      <c r="LS57" s="4">
        <f t="shared" si="250"/>
        <v>-0.20000000000000018</v>
      </c>
      <c r="LT57" s="4">
        <f t="shared" si="251"/>
        <v>-0.20000000000000018</v>
      </c>
      <c r="LU57" s="4">
        <f t="shared" si="252"/>
        <v>23.599999999999994</v>
      </c>
      <c r="LV57" s="4">
        <f t="shared" si="253"/>
        <v>0</v>
      </c>
      <c r="LW57" s="4">
        <f t="shared" si="254"/>
        <v>-1.1000000000000001</v>
      </c>
      <c r="LX57" s="4">
        <f t="shared" si="255"/>
        <v>-3</v>
      </c>
      <c r="LY57" s="4">
        <f t="shared" si="256"/>
        <v>-5</v>
      </c>
      <c r="LZ57" s="4">
        <f t="shared" si="257"/>
        <v>-7.5</v>
      </c>
      <c r="MA57" s="4">
        <f t="shared" si="258"/>
        <v>4</v>
      </c>
      <c r="MB57" s="4" t="str">
        <f t="shared" si="259"/>
        <v/>
      </c>
      <c r="MC57" s="4" t="str">
        <f t="shared" si="260"/>
        <v/>
      </c>
      <c r="MD57" s="4" t="str">
        <f t="shared" si="261"/>
        <v/>
      </c>
      <c r="ME57" s="4">
        <f t="shared" si="262"/>
        <v>6.5</v>
      </c>
    </row>
    <row r="58" spans="1:343" ht="26.25" customHeight="1" x14ac:dyDescent="0.2">
      <c r="A58" s="35">
        <v>41227</v>
      </c>
      <c r="B58" s="36" t="s">
        <v>161</v>
      </c>
      <c r="C58" s="36" t="s">
        <v>19</v>
      </c>
      <c r="D58" s="31" t="s">
        <v>110</v>
      </c>
      <c r="E58" s="4">
        <v>68</v>
      </c>
      <c r="F58" s="3">
        <v>16315</v>
      </c>
      <c r="G58" s="4" t="s">
        <v>87</v>
      </c>
      <c r="H58" s="4" t="s">
        <v>108</v>
      </c>
      <c r="I58" s="4">
        <v>1834124</v>
      </c>
      <c r="K58" s="76"/>
      <c r="L58" s="76"/>
      <c r="M58" s="76"/>
      <c r="N58" s="76"/>
      <c r="O58" s="76"/>
      <c r="P58" s="33">
        <v>-0.5</v>
      </c>
      <c r="Q58" s="4">
        <v>-0.56999999999999995</v>
      </c>
      <c r="R58" s="4" t="s">
        <v>276</v>
      </c>
      <c r="S58" s="67">
        <v>18.25</v>
      </c>
      <c r="T58" s="136">
        <v>41138</v>
      </c>
      <c r="U58" s="67">
        <v>-7</v>
      </c>
      <c r="V58" s="67">
        <v>2.25</v>
      </c>
      <c r="W58" s="4">
        <v>82</v>
      </c>
      <c r="X58" s="4">
        <v>200</v>
      </c>
      <c r="Y58" s="4">
        <v>15</v>
      </c>
      <c r="Z58" s="4">
        <v>601</v>
      </c>
      <c r="AD58" s="4">
        <v>3.15</v>
      </c>
      <c r="AE58" s="4">
        <v>47.54</v>
      </c>
      <c r="AF58" s="4">
        <v>171</v>
      </c>
      <c r="AG58" s="4">
        <v>49.63</v>
      </c>
      <c r="AH58" s="4">
        <v>81</v>
      </c>
      <c r="AI58" s="4">
        <v>2</v>
      </c>
      <c r="AJ58" s="4" t="b">
        <f t="shared" si="133"/>
        <v>1</v>
      </c>
      <c r="AK58" s="54"/>
      <c r="AL58" s="3">
        <v>41425</v>
      </c>
      <c r="AM58" s="56">
        <v>30</v>
      </c>
      <c r="AN58" s="67">
        <v>-1.75</v>
      </c>
      <c r="AO58" s="67">
        <v>1.25</v>
      </c>
      <c r="AP58" s="4">
        <v>104</v>
      </c>
      <c r="AQ58" s="4">
        <v>25</v>
      </c>
      <c r="AR58" s="4">
        <v>14</v>
      </c>
      <c r="AS58" s="4">
        <v>485</v>
      </c>
      <c r="AT58" s="4">
        <v>903</v>
      </c>
      <c r="BA58" s="4">
        <f t="shared" si="134"/>
        <v>-1.125</v>
      </c>
      <c r="BB58" s="4">
        <f t="shared" si="135"/>
        <v>-0.55500000000000005</v>
      </c>
      <c r="BC58" s="4">
        <f t="shared" si="136"/>
        <v>-116</v>
      </c>
      <c r="BD58" s="3">
        <v>41565</v>
      </c>
      <c r="BE58" s="56">
        <v>30</v>
      </c>
      <c r="BF58" s="67">
        <v>-1.25</v>
      </c>
      <c r="BG58" s="67">
        <v>1.25</v>
      </c>
      <c r="BH58" s="4">
        <v>105</v>
      </c>
      <c r="BI58" s="4">
        <v>25</v>
      </c>
      <c r="BJ58" s="4">
        <v>12</v>
      </c>
      <c r="BK58" s="4">
        <v>486</v>
      </c>
      <c r="BL58" s="4">
        <v>806</v>
      </c>
      <c r="BM58" s="4">
        <v>24.11</v>
      </c>
      <c r="BN58" s="4">
        <v>4.51</v>
      </c>
      <c r="BO58" s="4">
        <v>43.1</v>
      </c>
      <c r="BP58" s="4">
        <v>10</v>
      </c>
      <c r="BQ58" s="4">
        <v>45.06</v>
      </c>
      <c r="BR58" s="4">
        <v>100</v>
      </c>
      <c r="BS58" s="4">
        <f t="shared" si="137"/>
        <v>-0.625</v>
      </c>
      <c r="BT58" s="4">
        <f t="shared" si="138"/>
        <v>-5.5000000000000049E-2</v>
      </c>
      <c r="BU58" s="4">
        <f t="shared" si="139"/>
        <v>-115</v>
      </c>
      <c r="BV58" s="4">
        <f>IF(AND(ISBLANK(SPH_6),ISBLANK(SPH_12)),0,1)</f>
        <v>1</v>
      </c>
      <c r="BW58" s="4">
        <f t="shared" si="140"/>
        <v>1</v>
      </c>
      <c r="BX58" s="4">
        <f t="shared" si="141"/>
        <v>-5.875</v>
      </c>
      <c r="BY58" s="4">
        <f t="shared" si="142"/>
        <v>-1.125</v>
      </c>
      <c r="BZ58" s="4">
        <f t="shared" si="143"/>
        <v>-0.625</v>
      </c>
      <c r="CA58" s="53">
        <f t="shared" si="144"/>
        <v>338</v>
      </c>
      <c r="CB58" s="55">
        <f t="shared" si="145"/>
        <v>11.266666666666667</v>
      </c>
      <c r="CC58" s="4">
        <f t="shared" si="146"/>
        <v>0.5</v>
      </c>
      <c r="CD58" s="4" t="str">
        <f t="shared" si="147"/>
        <v/>
      </c>
      <c r="CE58" s="4">
        <f t="shared" si="148"/>
        <v>-4.5050000000000026</v>
      </c>
      <c r="CF58" s="4">
        <f t="shared" si="149"/>
        <v>-4.5050000000000026</v>
      </c>
      <c r="CG58" s="4">
        <f t="shared" si="263"/>
        <v>-5.875</v>
      </c>
      <c r="CH58" s="4">
        <f t="shared" si="150"/>
        <v>-0.625</v>
      </c>
      <c r="CI58" s="104">
        <f t="shared" si="151"/>
        <v>-5.5000000000000049E-2</v>
      </c>
      <c r="CJ58" s="94">
        <f t="shared" si="152"/>
        <v>-115</v>
      </c>
      <c r="CK58" s="4" t="str">
        <f t="shared" si="153"/>
        <v/>
      </c>
      <c r="CL58" s="107">
        <f t="shared" si="154"/>
        <v>-0.56999999999999995</v>
      </c>
      <c r="CM58" s="107">
        <f t="shared" si="264"/>
        <v>0.90308998699194365</v>
      </c>
      <c r="CN58" s="139">
        <f t="shared" si="155"/>
        <v>1.25</v>
      </c>
      <c r="CO58" s="139">
        <f t="shared" si="156"/>
        <v>-1</v>
      </c>
      <c r="CP58" s="149">
        <f t="shared" si="157"/>
        <v>25</v>
      </c>
      <c r="CQ58" s="149">
        <f t="shared" si="158"/>
        <v>200</v>
      </c>
      <c r="CR58" s="148">
        <f t="shared" si="159"/>
        <v>30</v>
      </c>
      <c r="CS58" s="152">
        <f t="shared" si="160"/>
        <v>1</v>
      </c>
      <c r="CT58" s="107">
        <f t="shared" si="161"/>
        <v>0</v>
      </c>
      <c r="CU58" s="155" t="b">
        <f t="shared" si="162"/>
        <v>0</v>
      </c>
      <c r="CV58">
        <v>7.64</v>
      </c>
      <c r="CW58" s="4">
        <v>7.18</v>
      </c>
      <c r="CX58" s="4">
        <v>176.4</v>
      </c>
      <c r="CY58" s="4">
        <v>-2.8</v>
      </c>
      <c r="CZ58" s="4">
        <v>0.56999999999999995</v>
      </c>
      <c r="DA58" s="4">
        <v>0.75</v>
      </c>
      <c r="DB58" s="4">
        <v>2.64</v>
      </c>
      <c r="DC58" s="4">
        <v>3.24</v>
      </c>
      <c r="DD58" s="4">
        <v>608</v>
      </c>
      <c r="DE58" s="4">
        <v>610</v>
      </c>
      <c r="DF58" s="4">
        <v>638</v>
      </c>
      <c r="DG58" s="4">
        <v>641</v>
      </c>
      <c r="DH58" s="4">
        <v>602</v>
      </c>
      <c r="DI58" s="4">
        <v>637</v>
      </c>
      <c r="DJ58" s="4">
        <v>589</v>
      </c>
      <c r="DK58" s="4">
        <v>0.6</v>
      </c>
      <c r="DL58" s="4">
        <v>1.33</v>
      </c>
      <c r="DM58" s="4">
        <v>7.43</v>
      </c>
      <c r="DN58" s="4">
        <v>7.48</v>
      </c>
      <c r="DO58" s="4">
        <v>7.59</v>
      </c>
      <c r="DP58" s="4">
        <v>7.89</v>
      </c>
      <c r="DQ58" s="4">
        <v>8.32</v>
      </c>
      <c r="DR58" s="4">
        <v>8.6300000000000008</v>
      </c>
      <c r="DS58" s="4">
        <v>0</v>
      </c>
      <c r="DT58" s="4">
        <v>0.7</v>
      </c>
      <c r="DU58" s="4">
        <v>6.81</v>
      </c>
      <c r="DV58" s="4">
        <v>6.72</v>
      </c>
      <c r="DW58" s="4">
        <v>6.66</v>
      </c>
      <c r="DX58" s="4">
        <v>6.77</v>
      </c>
      <c r="DY58" s="4">
        <v>6.97</v>
      </c>
      <c r="DZ58" s="4">
        <v>0</v>
      </c>
      <c r="EA58" s="4">
        <v>0</v>
      </c>
      <c r="EB58" s="100">
        <v>0.7</v>
      </c>
      <c r="EC58" s="122">
        <v>44.1</v>
      </c>
      <c r="ED58" s="122">
        <v>47</v>
      </c>
      <c r="EE58" s="122">
        <v>45.5</v>
      </c>
      <c r="EF58" s="122">
        <v>176.4</v>
      </c>
      <c r="EG58" s="122">
        <v>2.8</v>
      </c>
      <c r="EH58" s="122">
        <v>-5.7</v>
      </c>
      <c r="EI58" s="122">
        <v>-6.1</v>
      </c>
      <c r="EJ58" s="122">
        <v>-5.9</v>
      </c>
      <c r="EK58" s="122">
        <v>23.8</v>
      </c>
      <c r="EL58" s="122">
        <v>0.4</v>
      </c>
      <c r="EM58" s="122">
        <v>4.3</v>
      </c>
      <c r="EN58" s="122">
        <v>12.3</v>
      </c>
      <c r="EO58" s="122">
        <v>25.5</v>
      </c>
      <c r="EP58" s="122">
        <v>59.5</v>
      </c>
      <c r="EQ58" s="126">
        <v>46</v>
      </c>
      <c r="GN58" s="94">
        <v>7.84</v>
      </c>
      <c r="GO58" s="4">
        <v>7.51</v>
      </c>
      <c r="GP58" s="4">
        <v>9.9</v>
      </c>
      <c r="GQ58" s="4">
        <v>-1.9</v>
      </c>
      <c r="GR58" s="4">
        <v>0.57999999999999996</v>
      </c>
      <c r="GS58" s="4">
        <v>0.64</v>
      </c>
      <c r="GT58" s="4">
        <v>3.98</v>
      </c>
      <c r="GU58" s="4">
        <v>4.5</v>
      </c>
      <c r="GV58" s="4">
        <v>518</v>
      </c>
      <c r="GW58" s="4">
        <v>513</v>
      </c>
      <c r="GX58" s="4">
        <v>678</v>
      </c>
      <c r="GY58" s="4">
        <v>586</v>
      </c>
      <c r="GZ58" s="4">
        <v>640</v>
      </c>
      <c r="HA58" s="4">
        <v>572</v>
      </c>
      <c r="HB58" s="4">
        <v>497</v>
      </c>
      <c r="HC58" s="4">
        <v>0.77</v>
      </c>
      <c r="HD58" s="4">
        <v>-1.02</v>
      </c>
      <c r="HE58" s="4">
        <v>7.63</v>
      </c>
      <c r="HF58" s="4">
        <v>7.72</v>
      </c>
      <c r="HG58" s="4">
        <v>7.75</v>
      </c>
      <c r="HH58" s="4">
        <v>7.91</v>
      </c>
      <c r="HI58" s="4">
        <v>8.41</v>
      </c>
      <c r="HJ58" s="4">
        <v>8.34</v>
      </c>
      <c r="HK58" s="4">
        <v>0</v>
      </c>
      <c r="HL58" s="4">
        <v>1.3</v>
      </c>
      <c r="HM58" s="4">
        <v>6.2</v>
      </c>
      <c r="HN58" s="4">
        <v>6.1</v>
      </c>
      <c r="HO58" s="4">
        <v>6.29</v>
      </c>
      <c r="HP58" s="4">
        <v>6.6</v>
      </c>
      <c r="HQ58" s="4">
        <v>6.52</v>
      </c>
      <c r="HR58" s="4">
        <v>0</v>
      </c>
      <c r="HS58" s="4">
        <v>0</v>
      </c>
      <c r="HT58" s="104">
        <v>1.3</v>
      </c>
      <c r="HU58" s="122">
        <v>43.1</v>
      </c>
      <c r="HV58" s="122">
        <v>44.9</v>
      </c>
      <c r="HW58" s="122">
        <v>44</v>
      </c>
      <c r="HX58" s="122">
        <v>9.9</v>
      </c>
      <c r="HY58" s="122">
        <v>1.9</v>
      </c>
      <c r="HZ58" s="122">
        <v>-6.3</v>
      </c>
      <c r="IA58" s="122">
        <v>-6.8</v>
      </c>
      <c r="IB58" s="122">
        <v>-6.5</v>
      </c>
      <c r="IC58" s="122">
        <v>1.5</v>
      </c>
      <c r="ID58" s="122">
        <v>0.5</v>
      </c>
      <c r="IE58" s="122">
        <v>3.8</v>
      </c>
      <c r="IF58" s="122">
        <v>11.1</v>
      </c>
      <c r="IG58" s="122">
        <v>24.3</v>
      </c>
      <c r="IH58" s="122">
        <v>60.3</v>
      </c>
      <c r="II58" s="133">
        <v>32</v>
      </c>
      <c r="IJ58" s="94">
        <f t="shared" si="163"/>
        <v>7.84</v>
      </c>
      <c r="IK58" s="4">
        <f t="shared" si="164"/>
        <v>7.51</v>
      </c>
      <c r="IL58" s="4">
        <f t="shared" si="165"/>
        <v>9.9</v>
      </c>
      <c r="IM58" s="4">
        <f t="shared" si="166"/>
        <v>-1.9</v>
      </c>
      <c r="IN58" s="4">
        <f t="shared" si="167"/>
        <v>0.57999999999999996</v>
      </c>
      <c r="IO58" s="4">
        <f t="shared" si="168"/>
        <v>0.64</v>
      </c>
      <c r="IP58" s="4">
        <f t="shared" si="169"/>
        <v>3.98</v>
      </c>
      <c r="IQ58" s="4">
        <f t="shared" si="170"/>
        <v>4.5</v>
      </c>
      <c r="IR58" s="4">
        <f t="shared" si="171"/>
        <v>518</v>
      </c>
      <c r="IS58" s="4">
        <f t="shared" si="172"/>
        <v>513</v>
      </c>
      <c r="IT58" s="4">
        <f t="shared" si="173"/>
        <v>678</v>
      </c>
      <c r="IU58" s="4">
        <f t="shared" si="174"/>
        <v>586</v>
      </c>
      <c r="IV58" s="4">
        <f t="shared" si="175"/>
        <v>640</v>
      </c>
      <c r="IW58" s="4">
        <f t="shared" si="176"/>
        <v>572</v>
      </c>
      <c r="IX58" s="4">
        <f t="shared" si="177"/>
        <v>497</v>
      </c>
      <c r="IY58" s="4">
        <f t="shared" si="178"/>
        <v>0.77</v>
      </c>
      <c r="IZ58" s="4">
        <f t="shared" si="179"/>
        <v>-1.02</v>
      </c>
      <c r="JA58" s="4">
        <f t="shared" si="180"/>
        <v>7.63</v>
      </c>
      <c r="JB58" s="4">
        <f t="shared" si="181"/>
        <v>7.72</v>
      </c>
      <c r="JC58" s="4">
        <f t="shared" si="182"/>
        <v>7.75</v>
      </c>
      <c r="JD58" s="4">
        <f t="shared" si="183"/>
        <v>7.91</v>
      </c>
      <c r="JE58" s="4">
        <f t="shared" si="184"/>
        <v>8.41</v>
      </c>
      <c r="JF58" s="4">
        <f t="shared" si="185"/>
        <v>8.34</v>
      </c>
      <c r="JG58" s="4">
        <f t="shared" si="186"/>
        <v>0</v>
      </c>
      <c r="JH58" s="4">
        <f t="shared" si="187"/>
        <v>1.3</v>
      </c>
      <c r="JI58" s="4">
        <f t="shared" si="188"/>
        <v>6.2</v>
      </c>
      <c r="JJ58" s="4">
        <f t="shared" si="189"/>
        <v>6.1</v>
      </c>
      <c r="JK58" s="4">
        <f t="shared" si="190"/>
        <v>6.29</v>
      </c>
      <c r="JL58" s="4">
        <f t="shared" si="191"/>
        <v>6.6</v>
      </c>
      <c r="JM58" s="4">
        <f t="shared" si="192"/>
        <v>6.52</v>
      </c>
      <c r="JN58" s="4">
        <f t="shared" si="193"/>
        <v>0</v>
      </c>
      <c r="JO58" s="129">
        <f t="shared" si="194"/>
        <v>0</v>
      </c>
      <c r="JP58" s="122">
        <f t="shared" si="195"/>
        <v>1.3</v>
      </c>
      <c r="JQ58" s="122">
        <f t="shared" si="196"/>
        <v>43.1</v>
      </c>
      <c r="JR58" s="122">
        <f t="shared" si="197"/>
        <v>44.9</v>
      </c>
      <c r="JS58" s="122">
        <f t="shared" si="198"/>
        <v>44</v>
      </c>
      <c r="JT58" s="122">
        <f t="shared" si="199"/>
        <v>9.9</v>
      </c>
      <c r="JU58" s="122">
        <f t="shared" si="200"/>
        <v>1.9</v>
      </c>
      <c r="JV58" s="122">
        <f t="shared" si="201"/>
        <v>-6.3</v>
      </c>
      <c r="JW58" s="122">
        <f t="shared" si="202"/>
        <v>-6.8</v>
      </c>
      <c r="JX58" s="122">
        <f t="shared" si="203"/>
        <v>-6.5</v>
      </c>
      <c r="JY58" s="122">
        <f t="shared" si="204"/>
        <v>1.5</v>
      </c>
      <c r="JZ58" s="122">
        <f t="shared" si="205"/>
        <v>0.5</v>
      </c>
      <c r="KA58" s="122">
        <f t="shared" si="206"/>
        <v>3.8</v>
      </c>
      <c r="KB58" s="122">
        <f t="shared" si="207"/>
        <v>11.1</v>
      </c>
      <c r="KC58" s="122">
        <f t="shared" si="208"/>
        <v>24.3</v>
      </c>
      <c r="KD58" s="122">
        <f t="shared" si="209"/>
        <v>60.3</v>
      </c>
      <c r="KE58" s="133">
        <f t="shared" si="210"/>
        <v>32</v>
      </c>
      <c r="KF58" s="94">
        <f t="shared" si="211"/>
        <v>0.20000000000000018</v>
      </c>
      <c r="KG58" s="4">
        <f t="shared" si="212"/>
        <v>0.33000000000000007</v>
      </c>
      <c r="KH58" s="4">
        <f t="shared" si="213"/>
        <v>-166.5</v>
      </c>
      <c r="KI58" s="4">
        <f t="shared" si="214"/>
        <v>0.89999999999999991</v>
      </c>
      <c r="KJ58" s="4">
        <f t="shared" si="215"/>
        <v>1.0000000000000009E-2</v>
      </c>
      <c r="KK58" s="4">
        <f t="shared" si="216"/>
        <v>-0.10999999999999999</v>
      </c>
      <c r="KL58" s="4">
        <f t="shared" si="217"/>
        <v>1.3399999999999999</v>
      </c>
      <c r="KM58" s="4">
        <f t="shared" si="218"/>
        <v>1.2599999999999998</v>
      </c>
      <c r="KN58" s="4">
        <f t="shared" si="219"/>
        <v>-90</v>
      </c>
      <c r="KO58" s="4">
        <f t="shared" si="220"/>
        <v>-97</v>
      </c>
      <c r="KP58" s="4">
        <f t="shared" si="221"/>
        <v>40</v>
      </c>
      <c r="KQ58" s="4">
        <f t="shared" si="222"/>
        <v>-55</v>
      </c>
      <c r="KR58" s="4">
        <f t="shared" si="223"/>
        <v>38</v>
      </c>
      <c r="KS58" s="4">
        <f t="shared" si="224"/>
        <v>-65</v>
      </c>
      <c r="KT58" s="4">
        <f t="shared" si="225"/>
        <v>-92</v>
      </c>
      <c r="KU58" s="4">
        <f t="shared" si="226"/>
        <v>0.17000000000000004</v>
      </c>
      <c r="KV58" s="4">
        <f t="shared" si="227"/>
        <v>-2.35</v>
      </c>
      <c r="KW58" s="4">
        <f t="shared" si="228"/>
        <v>0.20000000000000018</v>
      </c>
      <c r="KX58" s="4">
        <f t="shared" si="229"/>
        <v>0.23999999999999932</v>
      </c>
      <c r="KY58" s="4">
        <f t="shared" si="230"/>
        <v>0.16000000000000014</v>
      </c>
      <c r="KZ58" s="4">
        <f t="shared" si="231"/>
        <v>2.0000000000000462E-2</v>
      </c>
      <c r="LA58" s="4">
        <f t="shared" si="232"/>
        <v>8.9999999999999858E-2</v>
      </c>
      <c r="LB58" s="4">
        <f t="shared" si="233"/>
        <v>-0.29000000000000092</v>
      </c>
      <c r="LC58" s="4">
        <f t="shared" si="234"/>
        <v>0</v>
      </c>
      <c r="LD58" s="4">
        <f t="shared" si="235"/>
        <v>0.60000000000000009</v>
      </c>
      <c r="LE58" s="4">
        <f t="shared" si="236"/>
        <v>-0.60999999999999943</v>
      </c>
      <c r="LF58" s="4">
        <f t="shared" si="237"/>
        <v>-0.62000000000000011</v>
      </c>
      <c r="LG58" s="4">
        <f t="shared" si="238"/>
        <v>-0.37000000000000011</v>
      </c>
      <c r="LH58" s="4">
        <f t="shared" si="239"/>
        <v>-0.16999999999999993</v>
      </c>
      <c r="LI58" s="4">
        <f t="shared" si="240"/>
        <v>-0.45000000000000018</v>
      </c>
      <c r="LJ58" s="4">
        <f t="shared" si="241"/>
        <v>0</v>
      </c>
      <c r="LK58" s="4">
        <f t="shared" si="242"/>
        <v>0</v>
      </c>
      <c r="LL58" s="4">
        <f t="shared" si="243"/>
        <v>0.60000000000000009</v>
      </c>
      <c r="LM58" s="4">
        <f t="shared" si="244"/>
        <v>-1</v>
      </c>
      <c r="LN58" s="4">
        <f t="shared" si="245"/>
        <v>-2.1000000000000014</v>
      </c>
      <c r="LO58" s="4">
        <f t="shared" si="246"/>
        <v>-1.5</v>
      </c>
      <c r="LP58" s="4">
        <f t="shared" si="247"/>
        <v>-166.5</v>
      </c>
      <c r="LQ58" s="4">
        <f t="shared" si="248"/>
        <v>-0.89999999999999991</v>
      </c>
      <c r="LR58" s="4">
        <f t="shared" si="249"/>
        <v>-0.59999999999999964</v>
      </c>
      <c r="LS58" s="4">
        <f t="shared" si="250"/>
        <v>-0.70000000000000018</v>
      </c>
      <c r="LT58" s="4">
        <f t="shared" si="251"/>
        <v>-0.59999999999999964</v>
      </c>
      <c r="LU58" s="4">
        <f t="shared" si="252"/>
        <v>-22.3</v>
      </c>
      <c r="LV58" s="4">
        <f t="shared" si="253"/>
        <v>9.9999999999999978E-2</v>
      </c>
      <c r="LW58" s="4">
        <f t="shared" si="254"/>
        <v>-0.5</v>
      </c>
      <c r="LX58" s="4">
        <f t="shared" si="255"/>
        <v>-1.2000000000000011</v>
      </c>
      <c r="LY58" s="4">
        <f t="shared" si="256"/>
        <v>-1.1999999999999993</v>
      </c>
      <c r="LZ58" s="4">
        <f t="shared" si="257"/>
        <v>0.79999999999999716</v>
      </c>
      <c r="MA58" s="4">
        <f t="shared" si="258"/>
        <v>-14</v>
      </c>
      <c r="MB58" s="4" t="str">
        <f t="shared" si="259"/>
        <v/>
      </c>
      <c r="MC58" s="4" t="str">
        <f t="shared" si="260"/>
        <v/>
      </c>
      <c r="MD58" s="4" t="str">
        <f t="shared" si="261"/>
        <v/>
      </c>
      <c r="ME58" s="4">
        <f t="shared" si="262"/>
        <v>-6.8</v>
      </c>
    </row>
    <row r="59" spans="1:343" ht="26.25" customHeight="1" x14ac:dyDescent="0.2">
      <c r="A59" s="35">
        <v>41150</v>
      </c>
      <c r="B59" s="36" t="s">
        <v>218</v>
      </c>
      <c r="C59" s="36" t="s">
        <v>1</v>
      </c>
      <c r="D59" s="31" t="s">
        <v>111</v>
      </c>
      <c r="E59" s="4">
        <v>63</v>
      </c>
      <c r="F59" s="3">
        <v>17931</v>
      </c>
      <c r="G59" s="4" t="s">
        <v>87</v>
      </c>
      <c r="H59" s="4" t="s">
        <v>108</v>
      </c>
      <c r="I59" s="4">
        <v>1834364</v>
      </c>
      <c r="P59" s="33">
        <v>-0.5</v>
      </c>
      <c r="Q59" s="33">
        <v>-0.48</v>
      </c>
      <c r="R59" s="33" t="s">
        <v>251</v>
      </c>
      <c r="S59" s="67">
        <v>15</v>
      </c>
      <c r="T59" s="136">
        <v>41128</v>
      </c>
      <c r="U59" s="67">
        <v>-5</v>
      </c>
      <c r="V59" s="67">
        <v>1</v>
      </c>
      <c r="W59" s="4">
        <v>19</v>
      </c>
      <c r="X59" s="4">
        <v>30</v>
      </c>
      <c r="Y59" s="4">
        <v>20</v>
      </c>
      <c r="Z59" s="4">
        <v>589</v>
      </c>
      <c r="AA59" s="4">
        <v>25.59</v>
      </c>
      <c r="AB59" s="4">
        <v>12.2</v>
      </c>
      <c r="AC59" s="4">
        <v>4.9000000000000004</v>
      </c>
      <c r="AD59" s="4">
        <v>3.08</v>
      </c>
      <c r="AE59" s="4">
        <v>43.05</v>
      </c>
      <c r="AF59" s="4">
        <v>100</v>
      </c>
      <c r="AG59" s="4">
        <v>43.55</v>
      </c>
      <c r="AH59" s="4">
        <v>10</v>
      </c>
      <c r="AI59" s="4">
        <v>0</v>
      </c>
      <c r="AJ59" s="4" t="b">
        <f t="shared" si="133"/>
        <v>0</v>
      </c>
      <c r="AL59" s="3">
        <v>41383</v>
      </c>
      <c r="AM59" s="56">
        <v>50</v>
      </c>
      <c r="AN59" s="67">
        <v>-0.75</v>
      </c>
      <c r="AO59" s="67">
        <v>0</v>
      </c>
      <c r="AP59" s="4">
        <v>0</v>
      </c>
      <c r="AQ59" s="4">
        <v>50</v>
      </c>
      <c r="AR59" s="4">
        <v>15</v>
      </c>
      <c r="AS59" s="4">
        <v>514</v>
      </c>
      <c r="AT59" s="4">
        <v>1900</v>
      </c>
      <c r="BA59" s="4">
        <f t="shared" si="134"/>
        <v>-0.75</v>
      </c>
      <c r="BB59" s="4">
        <f>IF(ISNUMBER(BA59),IF(ISNUMBER($Q59),BA59-$Q59,"MISSING"),"")</f>
        <v>-0.27</v>
      </c>
      <c r="BC59" s="4">
        <f t="shared" si="136"/>
        <v>-75</v>
      </c>
      <c r="BD59" s="3">
        <v>41544</v>
      </c>
      <c r="BE59" s="59"/>
      <c r="BF59" s="67">
        <v>-0.75</v>
      </c>
      <c r="BG59" s="67">
        <v>0.5</v>
      </c>
      <c r="BH59" s="4">
        <v>180</v>
      </c>
      <c r="BI59" s="4">
        <v>25</v>
      </c>
      <c r="BJ59" s="4">
        <v>12</v>
      </c>
      <c r="BK59" s="4">
        <v>530</v>
      </c>
      <c r="BL59" s="4">
        <v>1908</v>
      </c>
      <c r="BS59" s="4">
        <f t="shared" si="137"/>
        <v>-0.5</v>
      </c>
      <c r="BT59" s="4">
        <f t="shared" si="138"/>
        <v>-2.0000000000000018E-2</v>
      </c>
      <c r="BU59" s="4">
        <f t="shared" si="139"/>
        <v>-59</v>
      </c>
      <c r="BV59" s="4">
        <f>IF(AND(ISBLANK(SPH_6),ISBLANK(SPH_12)),0,1)</f>
        <v>1</v>
      </c>
      <c r="BW59" s="4">
        <f t="shared" si="140"/>
        <v>1</v>
      </c>
      <c r="BX59" s="4">
        <f t="shared" si="141"/>
        <v>-4.5</v>
      </c>
      <c r="BY59" s="4">
        <f t="shared" si="142"/>
        <v>-0.75</v>
      </c>
      <c r="BZ59" s="4">
        <f t="shared" si="143"/>
        <v>-0.5</v>
      </c>
      <c r="CA59" s="53">
        <f t="shared" si="144"/>
        <v>394</v>
      </c>
      <c r="CB59" s="55">
        <f t="shared" si="145"/>
        <v>13.133333333333333</v>
      </c>
      <c r="CC59" s="4">
        <f t="shared" si="146"/>
        <v>0.25</v>
      </c>
      <c r="CD59" s="4" t="str">
        <f t="shared" si="147"/>
        <v/>
      </c>
      <c r="CE59" s="4" t="str">
        <f t="shared" si="148"/>
        <v/>
      </c>
      <c r="CF59" s="4" t="str">
        <f t="shared" si="149"/>
        <v/>
      </c>
      <c r="CG59" s="4">
        <f t="shared" si="263"/>
        <v>-4.5</v>
      </c>
      <c r="CH59" s="4">
        <f t="shared" si="150"/>
        <v>-0.5</v>
      </c>
      <c r="CI59" s="104">
        <f t="shared" si="151"/>
        <v>-2.0000000000000018E-2</v>
      </c>
      <c r="CJ59" s="94">
        <f t="shared" si="152"/>
        <v>-59</v>
      </c>
      <c r="CK59" s="4" t="str">
        <f t="shared" si="153"/>
        <v/>
      </c>
      <c r="CL59" s="107">
        <f t="shared" si="154"/>
        <v>-0.48</v>
      </c>
      <c r="CM59" s="107">
        <f t="shared" si="264"/>
        <v>7.9181246047624873E-2</v>
      </c>
      <c r="CN59" s="139">
        <f t="shared" si="155"/>
        <v>0.5</v>
      </c>
      <c r="CO59" s="139">
        <f t="shared" si="156"/>
        <v>-0.5</v>
      </c>
      <c r="CP59" s="149">
        <f t="shared" si="157"/>
        <v>25</v>
      </c>
      <c r="CQ59" s="149">
        <f t="shared" si="158"/>
        <v>30</v>
      </c>
      <c r="CR59" s="148">
        <f t="shared" si="159"/>
        <v>50</v>
      </c>
      <c r="CS59" s="152" t="str">
        <f t="shared" si="160"/>
        <v/>
      </c>
      <c r="CT59" s="107" t="str">
        <f t="shared" si="161"/>
        <v/>
      </c>
      <c r="CU59" s="155" t="str">
        <f t="shared" si="162"/>
        <v/>
      </c>
      <c r="IJ59" s="94" t="str">
        <f t="shared" si="163"/>
        <v/>
      </c>
      <c r="IK59" s="4" t="str">
        <f t="shared" si="164"/>
        <v/>
      </c>
      <c r="IL59" s="4" t="str">
        <f t="shared" si="165"/>
        <v/>
      </c>
      <c r="IM59" s="4" t="str">
        <f t="shared" si="166"/>
        <v/>
      </c>
      <c r="IN59" s="4" t="str">
        <f t="shared" si="167"/>
        <v/>
      </c>
      <c r="IO59" s="4" t="str">
        <f t="shared" si="168"/>
        <v/>
      </c>
      <c r="IP59" s="4" t="str">
        <f t="shared" si="169"/>
        <v/>
      </c>
      <c r="IQ59" s="4" t="str">
        <f t="shared" si="170"/>
        <v/>
      </c>
      <c r="IR59" s="4" t="str">
        <f t="shared" si="171"/>
        <v/>
      </c>
      <c r="IS59" s="4" t="str">
        <f t="shared" si="172"/>
        <v/>
      </c>
      <c r="IT59" s="4" t="str">
        <f t="shared" si="173"/>
        <v/>
      </c>
      <c r="IU59" s="4" t="str">
        <f t="shared" si="174"/>
        <v/>
      </c>
      <c r="IV59" s="4" t="str">
        <f t="shared" si="175"/>
        <v/>
      </c>
      <c r="IW59" s="4" t="str">
        <f t="shared" si="176"/>
        <v/>
      </c>
      <c r="IX59" s="4" t="str">
        <f t="shared" si="177"/>
        <v/>
      </c>
      <c r="IY59" s="4" t="str">
        <f t="shared" si="178"/>
        <v/>
      </c>
      <c r="IZ59" s="4" t="str">
        <f t="shared" si="179"/>
        <v/>
      </c>
      <c r="JA59" s="4" t="str">
        <f t="shared" si="180"/>
        <v/>
      </c>
      <c r="JB59" s="4" t="str">
        <f t="shared" si="181"/>
        <v/>
      </c>
      <c r="JC59" s="4" t="str">
        <f t="shared" si="182"/>
        <v/>
      </c>
      <c r="JD59" s="4" t="str">
        <f t="shared" si="183"/>
        <v/>
      </c>
      <c r="JE59" s="4" t="str">
        <f t="shared" si="184"/>
        <v/>
      </c>
      <c r="JF59" s="4" t="str">
        <f t="shared" si="185"/>
        <v/>
      </c>
      <c r="JG59" s="4" t="str">
        <f t="shared" si="186"/>
        <v/>
      </c>
      <c r="JH59" s="4" t="str">
        <f t="shared" si="187"/>
        <v/>
      </c>
      <c r="JI59" s="4" t="str">
        <f t="shared" si="188"/>
        <v/>
      </c>
      <c r="JJ59" s="4" t="str">
        <f t="shared" si="189"/>
        <v/>
      </c>
      <c r="JK59" s="4" t="str">
        <f t="shared" si="190"/>
        <v/>
      </c>
      <c r="JL59" s="4" t="str">
        <f t="shared" si="191"/>
        <v/>
      </c>
      <c r="JM59" s="4" t="str">
        <f t="shared" si="192"/>
        <v/>
      </c>
      <c r="JN59" s="4" t="str">
        <f t="shared" si="193"/>
        <v/>
      </c>
      <c r="JO59" s="129" t="str">
        <f t="shared" si="194"/>
        <v/>
      </c>
      <c r="JP59" s="122" t="str">
        <f t="shared" si="195"/>
        <v/>
      </c>
      <c r="JQ59" s="122" t="str">
        <f t="shared" si="196"/>
        <v/>
      </c>
      <c r="JR59" s="122" t="str">
        <f t="shared" si="197"/>
        <v/>
      </c>
      <c r="JS59" s="122" t="str">
        <f t="shared" si="198"/>
        <v/>
      </c>
      <c r="JT59" s="122" t="str">
        <f t="shared" si="199"/>
        <v/>
      </c>
      <c r="JU59" s="122" t="str">
        <f t="shared" si="200"/>
        <v/>
      </c>
      <c r="JV59" s="122" t="str">
        <f t="shared" si="201"/>
        <v/>
      </c>
      <c r="JW59" s="122" t="str">
        <f t="shared" si="202"/>
        <v/>
      </c>
      <c r="JX59" s="122" t="str">
        <f t="shared" si="203"/>
        <v/>
      </c>
      <c r="JY59" s="122" t="str">
        <f t="shared" si="204"/>
        <v/>
      </c>
      <c r="JZ59" s="122" t="str">
        <f t="shared" si="205"/>
        <v/>
      </c>
      <c r="KA59" s="122" t="str">
        <f t="shared" si="206"/>
        <v/>
      </c>
      <c r="KB59" s="122" t="str">
        <f t="shared" si="207"/>
        <v/>
      </c>
      <c r="KC59" s="122" t="str">
        <f t="shared" si="208"/>
        <v/>
      </c>
      <c r="KD59" s="122" t="str">
        <f t="shared" si="209"/>
        <v/>
      </c>
      <c r="KE59" s="133" t="str">
        <f t="shared" si="210"/>
        <v/>
      </c>
      <c r="KF59" s="94" t="str">
        <f t="shared" si="211"/>
        <v/>
      </c>
      <c r="KG59" s="4" t="str">
        <f t="shared" si="212"/>
        <v/>
      </c>
      <c r="KH59" s="4" t="str">
        <f t="shared" si="213"/>
        <v/>
      </c>
      <c r="KI59" s="4" t="str">
        <f t="shared" si="214"/>
        <v/>
      </c>
      <c r="KJ59" s="4" t="str">
        <f t="shared" si="215"/>
        <v/>
      </c>
      <c r="KK59" s="4" t="str">
        <f t="shared" si="216"/>
        <v/>
      </c>
      <c r="KL59" s="4" t="str">
        <f t="shared" si="217"/>
        <v/>
      </c>
      <c r="KM59" s="4" t="str">
        <f t="shared" si="218"/>
        <v/>
      </c>
      <c r="KN59" s="4" t="str">
        <f t="shared" si="219"/>
        <v/>
      </c>
      <c r="KO59" s="4" t="str">
        <f t="shared" si="220"/>
        <v/>
      </c>
      <c r="KP59" s="4" t="str">
        <f t="shared" si="221"/>
        <v/>
      </c>
      <c r="KQ59" s="4" t="str">
        <f t="shared" si="222"/>
        <v/>
      </c>
      <c r="KR59" s="4" t="str">
        <f t="shared" si="223"/>
        <v/>
      </c>
      <c r="KS59" s="4" t="str">
        <f t="shared" si="224"/>
        <v/>
      </c>
      <c r="KT59" s="4" t="str">
        <f t="shared" si="225"/>
        <v/>
      </c>
      <c r="KU59" s="4" t="str">
        <f t="shared" si="226"/>
        <v/>
      </c>
      <c r="KV59" s="4" t="str">
        <f t="shared" si="227"/>
        <v/>
      </c>
      <c r="KW59" s="4" t="str">
        <f t="shared" si="228"/>
        <v/>
      </c>
      <c r="KX59" s="4" t="str">
        <f t="shared" si="229"/>
        <v/>
      </c>
      <c r="KY59" s="4" t="str">
        <f t="shared" si="230"/>
        <v/>
      </c>
      <c r="KZ59" s="4" t="str">
        <f t="shared" si="231"/>
        <v/>
      </c>
      <c r="LA59" s="4" t="str">
        <f t="shared" si="232"/>
        <v/>
      </c>
      <c r="LB59" s="4" t="str">
        <f t="shared" si="233"/>
        <v/>
      </c>
      <c r="LC59" s="4" t="str">
        <f t="shared" si="234"/>
        <v/>
      </c>
      <c r="LD59" s="4" t="str">
        <f t="shared" si="235"/>
        <v/>
      </c>
      <c r="LE59" s="4" t="str">
        <f t="shared" si="236"/>
        <v/>
      </c>
      <c r="LF59" s="4" t="str">
        <f t="shared" si="237"/>
        <v/>
      </c>
      <c r="LG59" s="4" t="str">
        <f t="shared" si="238"/>
        <v/>
      </c>
      <c r="LH59" s="4" t="str">
        <f t="shared" si="239"/>
        <v/>
      </c>
      <c r="LI59" s="4" t="str">
        <f t="shared" si="240"/>
        <v/>
      </c>
      <c r="LJ59" s="4" t="str">
        <f t="shared" si="241"/>
        <v/>
      </c>
      <c r="LK59" s="4" t="str">
        <f t="shared" si="242"/>
        <v/>
      </c>
      <c r="LL59" s="4" t="str">
        <f t="shared" si="243"/>
        <v/>
      </c>
      <c r="LM59" s="4" t="str">
        <f t="shared" si="244"/>
        <v/>
      </c>
      <c r="LN59" s="4" t="str">
        <f t="shared" si="245"/>
        <v/>
      </c>
      <c r="LO59" s="4" t="str">
        <f t="shared" si="246"/>
        <v/>
      </c>
      <c r="LP59" s="4" t="str">
        <f t="shared" si="247"/>
        <v/>
      </c>
      <c r="LQ59" s="4" t="str">
        <f t="shared" si="248"/>
        <v/>
      </c>
      <c r="LR59" s="4" t="str">
        <f t="shared" si="249"/>
        <v/>
      </c>
      <c r="LS59" s="4" t="str">
        <f t="shared" si="250"/>
        <v/>
      </c>
      <c r="LT59" s="4" t="str">
        <f t="shared" si="251"/>
        <v/>
      </c>
      <c r="LU59" s="4" t="str">
        <f t="shared" si="252"/>
        <v/>
      </c>
      <c r="LV59" s="4" t="str">
        <f t="shared" si="253"/>
        <v/>
      </c>
      <c r="LW59" s="4" t="str">
        <f t="shared" si="254"/>
        <v/>
      </c>
      <c r="LX59" s="4" t="str">
        <f t="shared" si="255"/>
        <v/>
      </c>
      <c r="LY59" s="4" t="str">
        <f t="shared" si="256"/>
        <v/>
      </c>
      <c r="LZ59" s="4" t="str">
        <f t="shared" si="257"/>
        <v/>
      </c>
      <c r="MA59" s="4" t="str">
        <f t="shared" si="258"/>
        <v/>
      </c>
      <c r="MB59" s="4" t="str">
        <f t="shared" si="259"/>
        <v/>
      </c>
      <c r="MC59" s="4" t="str">
        <f t="shared" si="260"/>
        <v/>
      </c>
      <c r="MD59" s="4" t="str">
        <f t="shared" si="261"/>
        <v/>
      </c>
      <c r="ME59" s="4">
        <f t="shared" si="262"/>
        <v>0</v>
      </c>
    </row>
    <row r="60" spans="1:343" ht="26.25" customHeight="1" x14ac:dyDescent="0.2">
      <c r="A60" s="35">
        <v>41283</v>
      </c>
      <c r="B60" s="36" t="s">
        <v>151</v>
      </c>
      <c r="C60" s="36" t="s">
        <v>25</v>
      </c>
      <c r="D60" s="31" t="s">
        <v>111</v>
      </c>
      <c r="E60" s="4">
        <v>65</v>
      </c>
      <c r="F60" s="35">
        <v>17392</v>
      </c>
      <c r="G60" s="36" t="s">
        <v>87</v>
      </c>
      <c r="H60" s="36" t="s">
        <v>108</v>
      </c>
      <c r="I60" s="36">
        <v>1834386</v>
      </c>
      <c r="P60" s="33">
        <v>-0.5</v>
      </c>
      <c r="Q60" s="33">
        <v>-0.53</v>
      </c>
      <c r="R60" s="33" t="s">
        <v>251</v>
      </c>
      <c r="S60" s="67">
        <v>18.25</v>
      </c>
      <c r="T60" s="136">
        <v>41218</v>
      </c>
      <c r="U60" s="67">
        <v>-1</v>
      </c>
      <c r="V60" s="67">
        <v>1</v>
      </c>
      <c r="W60" s="4">
        <v>11</v>
      </c>
      <c r="X60" s="4">
        <v>30</v>
      </c>
      <c r="Y60" s="4">
        <v>15</v>
      </c>
      <c r="Z60" s="4">
        <v>569</v>
      </c>
      <c r="AA60" s="4">
        <v>24.64</v>
      </c>
      <c r="AD60" s="4">
        <v>3.72</v>
      </c>
      <c r="AE60" s="4">
        <v>42.88</v>
      </c>
      <c r="AF60" s="4">
        <v>118</v>
      </c>
      <c r="AG60" s="4">
        <v>44</v>
      </c>
      <c r="AH60" s="4">
        <v>28</v>
      </c>
      <c r="AI60" s="4">
        <v>0</v>
      </c>
      <c r="AJ60" s="4" t="b">
        <f t="shared" si="133"/>
        <v>0</v>
      </c>
      <c r="AL60" s="32">
        <v>41415</v>
      </c>
      <c r="AM60" s="60">
        <v>50</v>
      </c>
      <c r="AN60" s="67">
        <v>-1</v>
      </c>
      <c r="AO60" s="67">
        <v>1</v>
      </c>
      <c r="AP60" s="4">
        <v>32</v>
      </c>
      <c r="AQ60" s="4">
        <v>20</v>
      </c>
      <c r="AR60" s="4">
        <v>12</v>
      </c>
      <c r="AS60" s="4">
        <v>540</v>
      </c>
      <c r="AT60" s="4">
        <v>2123</v>
      </c>
      <c r="BA60" s="4">
        <f t="shared" si="134"/>
        <v>-0.5</v>
      </c>
      <c r="BB60" s="4">
        <f t="shared" ref="BB60:BB91" si="265">IF(ISNUMBER(BA60),IF(ISNUMBER(Q60),BA60-Q60,"MISSING"),"")</f>
        <v>3.0000000000000027E-2</v>
      </c>
      <c r="BC60" s="4">
        <f t="shared" si="136"/>
        <v>-29</v>
      </c>
      <c r="BD60" s="3">
        <v>41578</v>
      </c>
      <c r="BE60" s="59"/>
      <c r="BF60" s="67">
        <v>-1.25</v>
      </c>
      <c r="BG60" s="67">
        <v>0.75</v>
      </c>
      <c r="BH60" s="4">
        <v>115</v>
      </c>
      <c r="BI60" s="4">
        <v>30</v>
      </c>
      <c r="BJ60" s="4">
        <v>12</v>
      </c>
      <c r="BK60" s="4">
        <v>544</v>
      </c>
      <c r="BL60" s="4">
        <v>2404</v>
      </c>
      <c r="BM60" s="4">
        <v>24.77</v>
      </c>
      <c r="BN60" s="4">
        <v>4.8499999999999996</v>
      </c>
      <c r="BO60" s="4">
        <v>42.67</v>
      </c>
      <c r="BP60" s="4">
        <v>113</v>
      </c>
      <c r="BQ60" s="4">
        <v>43.72</v>
      </c>
      <c r="BR60" s="4">
        <v>23</v>
      </c>
      <c r="BS60" s="4">
        <f t="shared" si="137"/>
        <v>-0.875</v>
      </c>
      <c r="BT60" s="4">
        <f t="shared" si="138"/>
        <v>-0.34499999999999997</v>
      </c>
      <c r="BU60" s="4">
        <f t="shared" si="139"/>
        <v>-25</v>
      </c>
      <c r="BV60" s="4">
        <f>IF(AND(ISBLANK(SPH_6),ISBLANK(SPH_12)),0,1)</f>
        <v>1</v>
      </c>
      <c r="BW60" s="4">
        <f t="shared" si="140"/>
        <v>1</v>
      </c>
      <c r="BX60" s="4">
        <f t="shared" si="141"/>
        <v>-0.5</v>
      </c>
      <c r="BY60" s="4">
        <f t="shared" si="142"/>
        <v>-0.5</v>
      </c>
      <c r="BZ60" s="4">
        <f t="shared" si="143"/>
        <v>-0.875</v>
      </c>
      <c r="CA60" s="53">
        <f t="shared" si="144"/>
        <v>295</v>
      </c>
      <c r="CB60" s="55">
        <f t="shared" si="145"/>
        <v>9.8333333333333339</v>
      </c>
      <c r="CC60" s="4">
        <f t="shared" si="146"/>
        <v>-0.375</v>
      </c>
      <c r="CD60" s="4" t="str">
        <f t="shared" si="147"/>
        <v/>
      </c>
      <c r="CE60" s="4">
        <f t="shared" si="148"/>
        <v>-0.24499999999999744</v>
      </c>
      <c r="CF60" s="4">
        <f t="shared" si="149"/>
        <v>-0.24499999999999744</v>
      </c>
      <c r="CG60" s="4">
        <f t="shared" si="263"/>
        <v>-0.5</v>
      </c>
      <c r="CH60" s="4">
        <f t="shared" si="150"/>
        <v>-0.875</v>
      </c>
      <c r="CI60" s="104">
        <f t="shared" si="151"/>
        <v>-0.34499999999999997</v>
      </c>
      <c r="CJ60" s="94">
        <f t="shared" si="152"/>
        <v>-25</v>
      </c>
      <c r="CK60" s="4">
        <f t="shared" si="153"/>
        <v>0.12999999999999901</v>
      </c>
      <c r="CL60" s="107">
        <f t="shared" si="154"/>
        <v>-0.53</v>
      </c>
      <c r="CM60" s="107">
        <f t="shared" si="264"/>
        <v>0</v>
      </c>
      <c r="CN60" s="139">
        <f t="shared" si="155"/>
        <v>0.75</v>
      </c>
      <c r="CO60" s="139">
        <f t="shared" si="156"/>
        <v>-0.25</v>
      </c>
      <c r="CP60" s="149">
        <f t="shared" si="157"/>
        <v>30</v>
      </c>
      <c r="CQ60" s="149">
        <f t="shared" si="158"/>
        <v>30</v>
      </c>
      <c r="CR60" s="148">
        <f t="shared" si="159"/>
        <v>50</v>
      </c>
      <c r="CS60" s="152">
        <f t="shared" si="160"/>
        <v>1</v>
      </c>
      <c r="CT60" s="107">
        <f t="shared" si="161"/>
        <v>0</v>
      </c>
      <c r="CU60" s="155" t="b">
        <f t="shared" si="162"/>
        <v>0</v>
      </c>
      <c r="CV60">
        <v>7.76</v>
      </c>
      <c r="CW60" s="4">
        <v>7.87</v>
      </c>
      <c r="CX60" s="4">
        <v>124.8</v>
      </c>
      <c r="CY60" s="4">
        <v>0.6</v>
      </c>
      <c r="CZ60" s="4">
        <v>0.24</v>
      </c>
      <c r="DA60" s="4">
        <v>0.7</v>
      </c>
      <c r="DB60" s="4">
        <v>3.13</v>
      </c>
      <c r="DC60" s="4">
        <v>3.7</v>
      </c>
      <c r="DD60" s="4">
        <v>576</v>
      </c>
      <c r="DE60" s="4">
        <v>575</v>
      </c>
      <c r="DF60" s="4">
        <v>708</v>
      </c>
      <c r="DG60" s="4">
        <v>646</v>
      </c>
      <c r="DH60" s="4">
        <v>643</v>
      </c>
      <c r="DI60" s="4">
        <v>647</v>
      </c>
      <c r="DJ60" s="4">
        <v>573</v>
      </c>
      <c r="DK60" s="4">
        <v>-0.41</v>
      </c>
      <c r="DL60" s="4">
        <v>-0.34</v>
      </c>
      <c r="DM60" s="4">
        <v>7.89</v>
      </c>
      <c r="DN60" s="4">
        <v>7.76</v>
      </c>
      <c r="DO60" s="4">
        <v>7.76</v>
      </c>
      <c r="DP60" s="4">
        <v>8.09</v>
      </c>
      <c r="DQ60" s="4">
        <v>8.68</v>
      </c>
      <c r="DR60" s="4">
        <v>8.9700000000000006</v>
      </c>
      <c r="DS60" s="4">
        <v>0</v>
      </c>
      <c r="DT60" s="4">
        <v>1.6</v>
      </c>
      <c r="DU60" s="4">
        <v>6.26</v>
      </c>
      <c r="DV60" s="4">
        <v>6.33</v>
      </c>
      <c r="DW60" s="4">
        <v>6.55</v>
      </c>
      <c r="DX60" s="4">
        <v>6.99</v>
      </c>
      <c r="DY60" s="4">
        <v>7.33</v>
      </c>
      <c r="DZ60" s="4">
        <v>7.33</v>
      </c>
      <c r="EA60" s="4">
        <v>0</v>
      </c>
      <c r="EB60" s="100">
        <v>1.6</v>
      </c>
      <c r="EC60" s="122">
        <v>42.9</v>
      </c>
      <c r="ED60" s="122">
        <v>43.5</v>
      </c>
      <c r="EE60" s="122">
        <v>43.2</v>
      </c>
      <c r="EF60" s="122">
        <v>124.8</v>
      </c>
      <c r="EG60" s="122">
        <v>0.6</v>
      </c>
      <c r="EH60" s="122">
        <v>-6.2</v>
      </c>
      <c r="EI60" s="122">
        <v>-6.6</v>
      </c>
      <c r="EJ60" s="122">
        <v>-6.4</v>
      </c>
      <c r="EK60" s="122">
        <v>175.5</v>
      </c>
      <c r="EL60" s="122">
        <v>0.4</v>
      </c>
      <c r="EM60" s="122">
        <v>4.2</v>
      </c>
      <c r="EN60" s="122">
        <v>12.3</v>
      </c>
      <c r="EO60" s="122">
        <v>26.1</v>
      </c>
      <c r="EP60" s="122">
        <v>61.7</v>
      </c>
      <c r="EQ60" s="126">
        <v>23</v>
      </c>
      <c r="GN60" s="94">
        <v>7.9</v>
      </c>
      <c r="GO60" s="4">
        <v>7.73</v>
      </c>
      <c r="GP60" s="4">
        <v>139</v>
      </c>
      <c r="GQ60" s="4">
        <v>-0.9</v>
      </c>
      <c r="GR60" s="4">
        <v>0.57999999999999996</v>
      </c>
      <c r="GS60" s="4">
        <v>0.64</v>
      </c>
      <c r="GT60" s="4">
        <v>4.25</v>
      </c>
      <c r="GU60" s="4">
        <v>4.8</v>
      </c>
      <c r="GV60" s="4">
        <v>543</v>
      </c>
      <c r="GW60" s="4">
        <v>541</v>
      </c>
      <c r="GX60" s="4">
        <v>672</v>
      </c>
      <c r="GY60" s="4">
        <v>616</v>
      </c>
      <c r="GZ60" s="4">
        <v>624</v>
      </c>
      <c r="HA60" s="4">
        <v>613</v>
      </c>
      <c r="HB60" s="4">
        <v>537</v>
      </c>
      <c r="HC60" s="4">
        <v>-0.72</v>
      </c>
      <c r="HD60" s="4">
        <v>-0.46</v>
      </c>
      <c r="HE60" s="4">
        <v>7.83</v>
      </c>
      <c r="HF60" s="4">
        <v>7.78</v>
      </c>
      <c r="HG60" s="4">
        <v>7.84</v>
      </c>
      <c r="HH60" s="4">
        <v>8.07</v>
      </c>
      <c r="HI60" s="4">
        <v>8.32</v>
      </c>
      <c r="HJ60" s="4">
        <v>8.5399999999999991</v>
      </c>
      <c r="HK60" s="4">
        <v>0</v>
      </c>
      <c r="HL60" s="4">
        <v>1.5</v>
      </c>
      <c r="HM60" s="4">
        <v>6.3</v>
      </c>
      <c r="HN60" s="4">
        <v>6.34</v>
      </c>
      <c r="HO60" s="4">
        <v>6.46</v>
      </c>
      <c r="HP60" s="4">
        <v>6.62</v>
      </c>
      <c r="HQ60" s="4">
        <v>6.81</v>
      </c>
      <c r="HR60" s="4">
        <v>0</v>
      </c>
      <c r="HS60" s="4">
        <v>0</v>
      </c>
      <c r="HT60" s="104">
        <v>1.5</v>
      </c>
      <c r="HU60" s="122">
        <v>42.7</v>
      </c>
      <c r="HV60" s="122">
        <v>43.6</v>
      </c>
      <c r="HW60" s="122">
        <v>43.2</v>
      </c>
      <c r="HX60" s="122">
        <v>139</v>
      </c>
      <c r="HY60" s="122">
        <v>0.9</v>
      </c>
      <c r="HZ60" s="122">
        <v>-6.2</v>
      </c>
      <c r="IA60" s="122">
        <v>-6.5</v>
      </c>
      <c r="IB60" s="122">
        <v>-6.4</v>
      </c>
      <c r="IC60" s="122">
        <v>179.4</v>
      </c>
      <c r="ID60" s="122">
        <v>0.4</v>
      </c>
      <c r="IE60" s="122">
        <v>3.9</v>
      </c>
      <c r="IF60" s="122">
        <v>11.6</v>
      </c>
      <c r="IG60" s="122">
        <v>24.8</v>
      </c>
      <c r="IH60" s="122">
        <v>60.8</v>
      </c>
      <c r="II60" s="133">
        <v>21</v>
      </c>
      <c r="IJ60" s="94">
        <f t="shared" si="163"/>
        <v>7.9</v>
      </c>
      <c r="IK60" s="4">
        <f t="shared" si="164"/>
        <v>7.73</v>
      </c>
      <c r="IL60" s="4">
        <f t="shared" si="165"/>
        <v>139</v>
      </c>
      <c r="IM60" s="4">
        <f t="shared" si="166"/>
        <v>-0.9</v>
      </c>
      <c r="IN60" s="4">
        <f t="shared" si="167"/>
        <v>0.57999999999999996</v>
      </c>
      <c r="IO60" s="4">
        <f t="shared" si="168"/>
        <v>0.64</v>
      </c>
      <c r="IP60" s="4">
        <f t="shared" si="169"/>
        <v>4.25</v>
      </c>
      <c r="IQ60" s="4">
        <f t="shared" si="170"/>
        <v>4.8</v>
      </c>
      <c r="IR60" s="4">
        <f t="shared" si="171"/>
        <v>543</v>
      </c>
      <c r="IS60" s="4">
        <f t="shared" si="172"/>
        <v>541</v>
      </c>
      <c r="IT60" s="4">
        <f t="shared" si="173"/>
        <v>672</v>
      </c>
      <c r="IU60" s="4">
        <f t="shared" si="174"/>
        <v>616</v>
      </c>
      <c r="IV60" s="4">
        <f t="shared" si="175"/>
        <v>624</v>
      </c>
      <c r="IW60" s="4">
        <f t="shared" si="176"/>
        <v>613</v>
      </c>
      <c r="IX60" s="4">
        <f t="shared" si="177"/>
        <v>537</v>
      </c>
      <c r="IY60" s="4">
        <f t="shared" si="178"/>
        <v>-0.72</v>
      </c>
      <c r="IZ60" s="4">
        <f t="shared" si="179"/>
        <v>-0.46</v>
      </c>
      <c r="JA60" s="4">
        <f t="shared" si="180"/>
        <v>7.83</v>
      </c>
      <c r="JB60" s="4">
        <f t="shared" si="181"/>
        <v>7.78</v>
      </c>
      <c r="JC60" s="4">
        <f t="shared" si="182"/>
        <v>7.84</v>
      </c>
      <c r="JD60" s="4">
        <f t="shared" si="183"/>
        <v>8.07</v>
      </c>
      <c r="JE60" s="4">
        <f t="shared" si="184"/>
        <v>8.32</v>
      </c>
      <c r="JF60" s="4">
        <f t="shared" si="185"/>
        <v>8.5399999999999991</v>
      </c>
      <c r="JG60" s="4">
        <f t="shared" si="186"/>
        <v>0</v>
      </c>
      <c r="JH60" s="4">
        <f t="shared" si="187"/>
        <v>1.5</v>
      </c>
      <c r="JI60" s="4">
        <f t="shared" si="188"/>
        <v>6.3</v>
      </c>
      <c r="JJ60" s="4">
        <f t="shared" si="189"/>
        <v>6.34</v>
      </c>
      <c r="JK60" s="4">
        <f t="shared" si="190"/>
        <v>6.46</v>
      </c>
      <c r="JL60" s="4">
        <f t="shared" si="191"/>
        <v>6.62</v>
      </c>
      <c r="JM60" s="4">
        <f t="shared" si="192"/>
        <v>6.81</v>
      </c>
      <c r="JN60" s="4">
        <f t="shared" si="193"/>
        <v>0</v>
      </c>
      <c r="JO60" s="129">
        <f t="shared" si="194"/>
        <v>0</v>
      </c>
      <c r="JP60" s="122">
        <f t="shared" si="195"/>
        <v>1.5</v>
      </c>
      <c r="JQ60" s="122">
        <f t="shared" si="196"/>
        <v>42.7</v>
      </c>
      <c r="JR60" s="122">
        <f t="shared" si="197"/>
        <v>43.6</v>
      </c>
      <c r="JS60" s="122">
        <f t="shared" si="198"/>
        <v>43.2</v>
      </c>
      <c r="JT60" s="122">
        <f t="shared" si="199"/>
        <v>139</v>
      </c>
      <c r="JU60" s="122">
        <f t="shared" si="200"/>
        <v>0.9</v>
      </c>
      <c r="JV60" s="122">
        <f t="shared" si="201"/>
        <v>-6.2</v>
      </c>
      <c r="JW60" s="122">
        <f t="shared" si="202"/>
        <v>-6.5</v>
      </c>
      <c r="JX60" s="122">
        <f t="shared" si="203"/>
        <v>-6.4</v>
      </c>
      <c r="JY60" s="122">
        <f t="shared" si="204"/>
        <v>179.4</v>
      </c>
      <c r="JZ60" s="122">
        <f t="shared" si="205"/>
        <v>0.4</v>
      </c>
      <c r="KA60" s="122">
        <f t="shared" si="206"/>
        <v>3.9</v>
      </c>
      <c r="KB60" s="122">
        <f t="shared" si="207"/>
        <v>11.6</v>
      </c>
      <c r="KC60" s="122">
        <f t="shared" si="208"/>
        <v>24.8</v>
      </c>
      <c r="KD60" s="122">
        <f t="shared" si="209"/>
        <v>60.8</v>
      </c>
      <c r="KE60" s="133">
        <f t="shared" si="210"/>
        <v>21</v>
      </c>
      <c r="KF60" s="94">
        <f t="shared" si="211"/>
        <v>0.14000000000000057</v>
      </c>
      <c r="KG60" s="4">
        <f t="shared" si="212"/>
        <v>-0.13999999999999968</v>
      </c>
      <c r="KH60" s="4">
        <f t="shared" si="213"/>
        <v>14.200000000000003</v>
      </c>
      <c r="KI60" s="4">
        <f t="shared" si="214"/>
        <v>-1.5</v>
      </c>
      <c r="KJ60" s="4">
        <f t="shared" si="215"/>
        <v>0.33999999999999997</v>
      </c>
      <c r="KK60" s="4">
        <f t="shared" si="216"/>
        <v>-5.9999999999999942E-2</v>
      </c>
      <c r="KL60" s="4">
        <f t="shared" si="217"/>
        <v>1.1200000000000001</v>
      </c>
      <c r="KM60" s="4">
        <f t="shared" si="218"/>
        <v>1.0999999999999996</v>
      </c>
      <c r="KN60" s="4">
        <f t="shared" si="219"/>
        <v>-33</v>
      </c>
      <c r="KO60" s="4">
        <f t="shared" si="220"/>
        <v>-34</v>
      </c>
      <c r="KP60" s="4">
        <f t="shared" si="221"/>
        <v>-36</v>
      </c>
      <c r="KQ60" s="4">
        <f t="shared" si="222"/>
        <v>-30</v>
      </c>
      <c r="KR60" s="4">
        <f t="shared" si="223"/>
        <v>-19</v>
      </c>
      <c r="KS60" s="4">
        <f t="shared" si="224"/>
        <v>-34</v>
      </c>
      <c r="KT60" s="4">
        <f t="shared" si="225"/>
        <v>-36</v>
      </c>
      <c r="KU60" s="4">
        <f t="shared" si="226"/>
        <v>-0.31</v>
      </c>
      <c r="KV60" s="4">
        <f t="shared" si="227"/>
        <v>-0.12</v>
      </c>
      <c r="KW60" s="4">
        <f t="shared" si="228"/>
        <v>-5.9999999999999609E-2</v>
      </c>
      <c r="KX60" s="4">
        <f t="shared" si="229"/>
        <v>2.0000000000000462E-2</v>
      </c>
      <c r="KY60" s="4">
        <f t="shared" si="230"/>
        <v>8.0000000000000071E-2</v>
      </c>
      <c r="KZ60" s="4">
        <f t="shared" si="231"/>
        <v>-1.9999999999999574E-2</v>
      </c>
      <c r="LA60" s="4">
        <f t="shared" si="232"/>
        <v>-0.35999999999999943</v>
      </c>
      <c r="LB60" s="4">
        <f t="shared" si="233"/>
        <v>-0.43000000000000149</v>
      </c>
      <c r="LC60" s="4">
        <f t="shared" si="234"/>
        <v>0</v>
      </c>
      <c r="LD60" s="4">
        <f t="shared" si="235"/>
        <v>-0.10000000000000009</v>
      </c>
      <c r="LE60" s="4">
        <f t="shared" si="236"/>
        <v>4.0000000000000036E-2</v>
      </c>
      <c r="LF60" s="4">
        <f t="shared" si="237"/>
        <v>9.9999999999997868E-3</v>
      </c>
      <c r="LG60" s="4">
        <f t="shared" si="238"/>
        <v>-8.9999999999999858E-2</v>
      </c>
      <c r="LH60" s="4">
        <f t="shared" si="239"/>
        <v>-0.37000000000000011</v>
      </c>
      <c r="LI60" s="4">
        <f t="shared" si="240"/>
        <v>-0.52000000000000046</v>
      </c>
      <c r="LJ60" s="4">
        <f t="shared" si="241"/>
        <v>-7.33</v>
      </c>
      <c r="LK60" s="4">
        <f t="shared" si="242"/>
        <v>0</v>
      </c>
      <c r="LL60" s="4">
        <f t="shared" si="243"/>
        <v>-0.10000000000000009</v>
      </c>
      <c r="LM60" s="4">
        <f t="shared" si="244"/>
        <v>-0.19999999999999574</v>
      </c>
      <c r="LN60" s="4">
        <f t="shared" si="245"/>
        <v>0.10000000000000142</v>
      </c>
      <c r="LO60" s="4">
        <f t="shared" si="246"/>
        <v>0</v>
      </c>
      <c r="LP60" s="4">
        <f t="shared" si="247"/>
        <v>14.200000000000003</v>
      </c>
      <c r="LQ60" s="4">
        <f t="shared" si="248"/>
        <v>0.30000000000000004</v>
      </c>
      <c r="LR60" s="4">
        <f t="shared" si="249"/>
        <v>0</v>
      </c>
      <c r="LS60" s="4">
        <f t="shared" si="250"/>
        <v>9.9999999999999645E-2</v>
      </c>
      <c r="LT60" s="4">
        <f t="shared" si="251"/>
        <v>0</v>
      </c>
      <c r="LU60" s="4">
        <f t="shared" si="252"/>
        <v>3.9000000000000057</v>
      </c>
      <c r="LV60" s="4">
        <f t="shared" si="253"/>
        <v>0</v>
      </c>
      <c r="LW60" s="4">
        <f t="shared" si="254"/>
        <v>-0.30000000000000027</v>
      </c>
      <c r="LX60" s="4">
        <f t="shared" si="255"/>
        <v>-0.70000000000000107</v>
      </c>
      <c r="LY60" s="4">
        <f t="shared" si="256"/>
        <v>-1.3000000000000007</v>
      </c>
      <c r="LZ60" s="4">
        <f t="shared" si="257"/>
        <v>-0.90000000000000568</v>
      </c>
      <c r="MA60" s="4">
        <f t="shared" si="258"/>
        <v>-2</v>
      </c>
      <c r="MB60" s="4" t="str">
        <f t="shared" si="259"/>
        <v/>
      </c>
      <c r="MC60" s="4" t="str">
        <f t="shared" si="260"/>
        <v/>
      </c>
      <c r="MD60" s="4" t="str">
        <f t="shared" si="261"/>
        <v/>
      </c>
      <c r="ME60" s="4">
        <f t="shared" si="262"/>
        <v>-6.5</v>
      </c>
    </row>
    <row r="61" spans="1:343" ht="26.25" customHeight="1" x14ac:dyDescent="0.2">
      <c r="A61" s="35">
        <v>41325</v>
      </c>
      <c r="B61" s="36" t="s">
        <v>160</v>
      </c>
      <c r="C61" s="36" t="s">
        <v>34</v>
      </c>
      <c r="D61" s="31" t="s">
        <v>110</v>
      </c>
      <c r="E61" s="4">
        <v>65</v>
      </c>
      <c r="F61" s="3">
        <v>17251</v>
      </c>
      <c r="G61" s="4" t="s">
        <v>87</v>
      </c>
      <c r="H61" s="4" t="s">
        <v>112</v>
      </c>
      <c r="I61" s="4">
        <v>1834566</v>
      </c>
      <c r="J61" s="51" t="s">
        <v>499</v>
      </c>
      <c r="L61" s="76"/>
      <c r="M61" s="76"/>
      <c r="N61" s="76"/>
      <c r="O61" s="76"/>
      <c r="P61" s="33">
        <v>-2</v>
      </c>
      <c r="Q61" s="4">
        <v>-2.02</v>
      </c>
      <c r="R61" s="4" t="s">
        <v>249</v>
      </c>
      <c r="S61" s="67">
        <v>27</v>
      </c>
      <c r="T61" s="136">
        <v>41320</v>
      </c>
      <c r="U61" s="67">
        <v>4.5</v>
      </c>
      <c r="V61" s="67">
        <v>2.5</v>
      </c>
      <c r="W61" s="4">
        <v>110</v>
      </c>
      <c r="X61" s="4">
        <v>300</v>
      </c>
      <c r="Y61" s="4">
        <v>12</v>
      </c>
      <c r="Z61" s="4">
        <v>696</v>
      </c>
      <c r="AA61" s="4">
        <v>23.04</v>
      </c>
      <c r="AB61" s="4">
        <v>12.5</v>
      </c>
      <c r="AC61" s="4">
        <v>4.95</v>
      </c>
      <c r="AD61" s="4">
        <v>3.3</v>
      </c>
      <c r="AE61" s="4">
        <v>39.61</v>
      </c>
      <c r="AF61" s="4">
        <v>16</v>
      </c>
      <c r="AG61" s="4">
        <v>41.98</v>
      </c>
      <c r="AH61" s="4">
        <v>106</v>
      </c>
      <c r="AI61" s="4">
        <v>1</v>
      </c>
      <c r="AJ61" s="4" t="b">
        <f t="shared" si="133"/>
        <v>1</v>
      </c>
      <c r="AK61" s="54"/>
      <c r="AL61" s="32">
        <v>41512</v>
      </c>
      <c r="AM61" s="60"/>
      <c r="AN61" s="67">
        <v>0</v>
      </c>
      <c r="AO61" s="67">
        <v>0</v>
      </c>
      <c r="AP61" s="4">
        <v>0</v>
      </c>
      <c r="AQ61" s="4">
        <v>200</v>
      </c>
      <c r="AR61" s="4">
        <v>13</v>
      </c>
      <c r="AS61" s="4">
        <v>593</v>
      </c>
      <c r="AT61" s="4">
        <v>2639</v>
      </c>
      <c r="BA61" s="4">
        <f t="shared" si="134"/>
        <v>0</v>
      </c>
      <c r="BB61" s="4">
        <f t="shared" si="265"/>
        <v>2.02</v>
      </c>
      <c r="BC61" s="4">
        <f t="shared" si="136"/>
        <v>-103</v>
      </c>
      <c r="BD61" s="150">
        <v>41698</v>
      </c>
      <c r="BE61" s="59"/>
      <c r="BS61" s="4" t="str">
        <f t="shared" si="137"/>
        <v/>
      </c>
      <c r="BT61" s="4" t="str">
        <f t="shared" si="138"/>
        <v/>
      </c>
      <c r="BU61" s="4" t="str">
        <f t="shared" si="139"/>
        <v/>
      </c>
      <c r="BV61" s="4">
        <f>IF(AND(ISBLANK(SPH_6),ISBLANK(SPH_12)),0,1)</f>
        <v>1</v>
      </c>
      <c r="BW61" s="4">
        <f t="shared" si="140"/>
        <v>0</v>
      </c>
      <c r="BX61" s="4" t="str">
        <f t="shared" si="141"/>
        <v/>
      </c>
      <c r="BY61" s="4" t="str">
        <f t="shared" si="142"/>
        <v/>
      </c>
      <c r="BZ61" s="4" t="str">
        <f t="shared" si="143"/>
        <v/>
      </c>
      <c r="CA61" s="53">
        <f t="shared" si="144"/>
        <v>187</v>
      </c>
      <c r="CB61" s="55">
        <f t="shared" si="145"/>
        <v>6.2333333333333334</v>
      </c>
      <c r="CC61" s="4" t="str">
        <f t="shared" si="146"/>
        <v/>
      </c>
      <c r="CD61" s="4" t="str">
        <f t="shared" si="147"/>
        <v/>
      </c>
      <c r="CE61" s="4" t="str">
        <f t="shared" si="148"/>
        <v/>
      </c>
      <c r="CF61" s="4" t="str">
        <f t="shared" si="149"/>
        <v/>
      </c>
      <c r="CG61" s="4">
        <f t="shared" si="263"/>
        <v>5.75</v>
      </c>
      <c r="CH61" s="4">
        <f t="shared" si="150"/>
        <v>0</v>
      </c>
      <c r="CI61" s="104">
        <f t="shared" si="151"/>
        <v>2.02</v>
      </c>
      <c r="CJ61" s="94">
        <f t="shared" si="152"/>
        <v>-103</v>
      </c>
      <c r="CK61" s="4" t="str">
        <f t="shared" si="153"/>
        <v/>
      </c>
      <c r="CL61" s="107">
        <f t="shared" si="154"/>
        <v>-2.02</v>
      </c>
      <c r="CM61" s="107">
        <f t="shared" si="264"/>
        <v>0.17609125905568135</v>
      </c>
      <c r="CN61" s="139">
        <f t="shared" si="155"/>
        <v>0</v>
      </c>
      <c r="CO61" s="139">
        <f t="shared" si="156"/>
        <v>-2.5</v>
      </c>
      <c r="CP61" s="149">
        <f t="shared" si="157"/>
        <v>200</v>
      </c>
      <c r="CQ61" s="149">
        <f t="shared" si="158"/>
        <v>300</v>
      </c>
      <c r="CR61" s="148" t="str">
        <f t="shared" si="159"/>
        <v/>
      </c>
      <c r="CS61" s="152" t="str">
        <f t="shared" si="160"/>
        <v/>
      </c>
      <c r="CT61" s="107" t="str">
        <f t="shared" si="161"/>
        <v/>
      </c>
      <c r="CU61" s="155" t="str">
        <f t="shared" si="162"/>
        <v/>
      </c>
      <c r="IJ61" s="94" t="str">
        <f t="shared" si="163"/>
        <v/>
      </c>
      <c r="IK61" s="4" t="str">
        <f t="shared" si="164"/>
        <v/>
      </c>
      <c r="IL61" s="4" t="str">
        <f t="shared" si="165"/>
        <v/>
      </c>
      <c r="IM61" s="4" t="str">
        <f t="shared" si="166"/>
        <v/>
      </c>
      <c r="IN61" s="4" t="str">
        <f t="shared" si="167"/>
        <v/>
      </c>
      <c r="IO61" s="4" t="str">
        <f t="shared" si="168"/>
        <v/>
      </c>
      <c r="IP61" s="4" t="str">
        <f t="shared" si="169"/>
        <v/>
      </c>
      <c r="IQ61" s="4" t="str">
        <f t="shared" si="170"/>
        <v/>
      </c>
      <c r="IR61" s="4" t="str">
        <f t="shared" si="171"/>
        <v/>
      </c>
      <c r="IS61" s="4" t="str">
        <f t="shared" si="172"/>
        <v/>
      </c>
      <c r="IT61" s="4" t="str">
        <f t="shared" si="173"/>
        <v/>
      </c>
      <c r="IU61" s="4" t="str">
        <f t="shared" si="174"/>
        <v/>
      </c>
      <c r="IV61" s="4" t="str">
        <f t="shared" si="175"/>
        <v/>
      </c>
      <c r="IW61" s="4" t="str">
        <f t="shared" si="176"/>
        <v/>
      </c>
      <c r="IX61" s="4" t="str">
        <f t="shared" si="177"/>
        <v/>
      </c>
      <c r="IY61" s="4" t="str">
        <f t="shared" si="178"/>
        <v/>
      </c>
      <c r="IZ61" s="4" t="str">
        <f t="shared" si="179"/>
        <v/>
      </c>
      <c r="JA61" s="4" t="str">
        <f t="shared" si="180"/>
        <v/>
      </c>
      <c r="JB61" s="4" t="str">
        <f t="shared" si="181"/>
        <v/>
      </c>
      <c r="JC61" s="4" t="str">
        <f t="shared" si="182"/>
        <v/>
      </c>
      <c r="JD61" s="4" t="str">
        <f t="shared" si="183"/>
        <v/>
      </c>
      <c r="JE61" s="4" t="str">
        <f t="shared" si="184"/>
        <v/>
      </c>
      <c r="JF61" s="4" t="str">
        <f t="shared" si="185"/>
        <v/>
      </c>
      <c r="JG61" s="4" t="str">
        <f t="shared" si="186"/>
        <v/>
      </c>
      <c r="JH61" s="4" t="str">
        <f t="shared" si="187"/>
        <v/>
      </c>
      <c r="JI61" s="4" t="str">
        <f t="shared" si="188"/>
        <v/>
      </c>
      <c r="JJ61" s="4" t="str">
        <f t="shared" si="189"/>
        <v/>
      </c>
      <c r="JK61" s="4" t="str">
        <f t="shared" si="190"/>
        <v/>
      </c>
      <c r="JL61" s="4" t="str">
        <f t="shared" si="191"/>
        <v/>
      </c>
      <c r="JM61" s="4" t="str">
        <f t="shared" si="192"/>
        <v/>
      </c>
      <c r="JN61" s="4" t="str">
        <f t="shared" si="193"/>
        <v/>
      </c>
      <c r="JO61" s="129" t="str">
        <f t="shared" si="194"/>
        <v/>
      </c>
      <c r="JP61" s="122" t="str">
        <f t="shared" si="195"/>
        <v/>
      </c>
      <c r="JQ61" s="122" t="str">
        <f t="shared" si="196"/>
        <v/>
      </c>
      <c r="JR61" s="122" t="str">
        <f t="shared" si="197"/>
        <v/>
      </c>
      <c r="JS61" s="122" t="str">
        <f t="shared" si="198"/>
        <v/>
      </c>
      <c r="JT61" s="122" t="str">
        <f t="shared" si="199"/>
        <v/>
      </c>
      <c r="JU61" s="122" t="str">
        <f t="shared" si="200"/>
        <v/>
      </c>
      <c r="JV61" s="122" t="str">
        <f t="shared" si="201"/>
        <v/>
      </c>
      <c r="JW61" s="122" t="str">
        <f t="shared" si="202"/>
        <v/>
      </c>
      <c r="JX61" s="122" t="str">
        <f t="shared" si="203"/>
        <v/>
      </c>
      <c r="JY61" s="122" t="str">
        <f t="shared" si="204"/>
        <v/>
      </c>
      <c r="JZ61" s="122" t="str">
        <f t="shared" si="205"/>
        <v/>
      </c>
      <c r="KA61" s="122" t="str">
        <f t="shared" si="206"/>
        <v/>
      </c>
      <c r="KB61" s="122" t="str">
        <f t="shared" si="207"/>
        <v/>
      </c>
      <c r="KC61" s="122" t="str">
        <f t="shared" si="208"/>
        <v/>
      </c>
      <c r="KD61" s="122" t="str">
        <f t="shared" si="209"/>
        <v/>
      </c>
      <c r="KE61" s="133" t="str">
        <f t="shared" si="210"/>
        <v/>
      </c>
      <c r="KF61" s="94" t="str">
        <f t="shared" si="211"/>
        <v/>
      </c>
      <c r="KG61" s="4" t="str">
        <f t="shared" si="212"/>
        <v/>
      </c>
      <c r="KH61" s="4" t="str">
        <f t="shared" si="213"/>
        <v/>
      </c>
      <c r="KI61" s="4" t="str">
        <f t="shared" si="214"/>
        <v/>
      </c>
      <c r="KJ61" s="4" t="str">
        <f t="shared" si="215"/>
        <v/>
      </c>
      <c r="KK61" s="4" t="str">
        <f t="shared" si="216"/>
        <v/>
      </c>
      <c r="KL61" s="4" t="str">
        <f t="shared" si="217"/>
        <v/>
      </c>
      <c r="KM61" s="4" t="str">
        <f t="shared" si="218"/>
        <v/>
      </c>
      <c r="KN61" s="4" t="str">
        <f t="shared" si="219"/>
        <v/>
      </c>
      <c r="KO61" s="4" t="str">
        <f t="shared" si="220"/>
        <v/>
      </c>
      <c r="KP61" s="4" t="str">
        <f t="shared" si="221"/>
        <v/>
      </c>
      <c r="KQ61" s="4" t="str">
        <f t="shared" si="222"/>
        <v/>
      </c>
      <c r="KR61" s="4" t="str">
        <f t="shared" si="223"/>
        <v/>
      </c>
      <c r="KS61" s="4" t="str">
        <f t="shared" si="224"/>
        <v/>
      </c>
      <c r="KT61" s="4" t="str">
        <f t="shared" si="225"/>
        <v/>
      </c>
      <c r="KU61" s="4" t="str">
        <f t="shared" si="226"/>
        <v/>
      </c>
      <c r="KV61" s="4" t="str">
        <f t="shared" si="227"/>
        <v/>
      </c>
      <c r="KW61" s="4" t="str">
        <f t="shared" si="228"/>
        <v/>
      </c>
      <c r="KX61" s="4" t="str">
        <f t="shared" si="229"/>
        <v/>
      </c>
      <c r="KY61" s="4" t="str">
        <f t="shared" si="230"/>
        <v/>
      </c>
      <c r="KZ61" s="4" t="str">
        <f t="shared" si="231"/>
        <v/>
      </c>
      <c r="LA61" s="4" t="str">
        <f t="shared" si="232"/>
        <v/>
      </c>
      <c r="LB61" s="4" t="str">
        <f t="shared" si="233"/>
        <v/>
      </c>
      <c r="LC61" s="4" t="str">
        <f t="shared" si="234"/>
        <v/>
      </c>
      <c r="LD61" s="4" t="str">
        <f t="shared" si="235"/>
        <v/>
      </c>
      <c r="LE61" s="4" t="str">
        <f t="shared" si="236"/>
        <v/>
      </c>
      <c r="LF61" s="4" t="str">
        <f t="shared" si="237"/>
        <v/>
      </c>
      <c r="LG61" s="4" t="str">
        <f t="shared" si="238"/>
        <v/>
      </c>
      <c r="LH61" s="4" t="str">
        <f t="shared" si="239"/>
        <v/>
      </c>
      <c r="LI61" s="4" t="str">
        <f t="shared" si="240"/>
        <v/>
      </c>
      <c r="LJ61" s="4" t="str">
        <f t="shared" si="241"/>
        <v/>
      </c>
      <c r="LK61" s="4" t="str">
        <f t="shared" si="242"/>
        <v/>
      </c>
      <c r="LL61" s="4" t="str">
        <f t="shared" si="243"/>
        <v/>
      </c>
      <c r="LM61" s="4" t="str">
        <f t="shared" si="244"/>
        <v/>
      </c>
      <c r="LN61" s="4" t="str">
        <f t="shared" si="245"/>
        <v/>
      </c>
      <c r="LO61" s="4" t="str">
        <f t="shared" si="246"/>
        <v/>
      </c>
      <c r="LP61" s="4" t="str">
        <f t="shared" si="247"/>
        <v/>
      </c>
      <c r="LQ61" s="4" t="str">
        <f t="shared" si="248"/>
        <v/>
      </c>
      <c r="LR61" s="4" t="str">
        <f t="shared" si="249"/>
        <v/>
      </c>
      <c r="LS61" s="4" t="str">
        <f t="shared" si="250"/>
        <v/>
      </c>
      <c r="LT61" s="4" t="str">
        <f t="shared" si="251"/>
        <v/>
      </c>
      <c r="LU61" s="4" t="str">
        <f t="shared" si="252"/>
        <v/>
      </c>
      <c r="LV61" s="4" t="str">
        <f t="shared" si="253"/>
        <v/>
      </c>
      <c r="LW61" s="4" t="str">
        <f t="shared" si="254"/>
        <v/>
      </c>
      <c r="LX61" s="4" t="str">
        <f t="shared" si="255"/>
        <v/>
      </c>
      <c r="LY61" s="4" t="str">
        <f t="shared" si="256"/>
        <v/>
      </c>
      <c r="LZ61" s="4" t="str">
        <f t="shared" si="257"/>
        <v/>
      </c>
      <c r="MA61" s="4" t="str">
        <f t="shared" si="258"/>
        <v/>
      </c>
      <c r="MB61" s="4" t="str">
        <f t="shared" si="259"/>
        <v/>
      </c>
      <c r="MC61" s="4" t="str">
        <f t="shared" si="260"/>
        <v/>
      </c>
      <c r="MD61" s="4" t="str">
        <f t="shared" si="261"/>
        <v/>
      </c>
      <c r="ME61" s="4">
        <f t="shared" si="262"/>
        <v>0</v>
      </c>
    </row>
    <row r="62" spans="1:343" ht="26.25" customHeight="1" thickBot="1" x14ac:dyDescent="0.25">
      <c r="A62" s="35">
        <v>41423</v>
      </c>
      <c r="B62" s="36" t="s">
        <v>223</v>
      </c>
      <c r="C62" s="36" t="s">
        <v>56</v>
      </c>
      <c r="D62" s="31" t="s">
        <v>110</v>
      </c>
      <c r="E62" s="4">
        <v>75</v>
      </c>
      <c r="F62" s="3">
        <v>13786</v>
      </c>
      <c r="G62" s="4" t="s">
        <v>87</v>
      </c>
      <c r="H62" s="4" t="s">
        <v>112</v>
      </c>
      <c r="I62" s="4">
        <v>1834654</v>
      </c>
      <c r="K62" s="76"/>
      <c r="L62" s="76"/>
      <c r="M62" s="76"/>
      <c r="N62" s="76"/>
      <c r="O62" s="76"/>
      <c r="P62" s="33">
        <v>-0.5</v>
      </c>
      <c r="Q62" s="4">
        <v>-0.56000000000000005</v>
      </c>
      <c r="R62" s="4" t="s">
        <v>249</v>
      </c>
      <c r="S62" s="67">
        <v>11.5</v>
      </c>
      <c r="T62" s="136">
        <v>41396</v>
      </c>
      <c r="U62" s="67">
        <v>-4.25</v>
      </c>
      <c r="V62" s="67">
        <v>1.5</v>
      </c>
      <c r="W62" s="4">
        <v>3</v>
      </c>
      <c r="X62" s="4">
        <v>50</v>
      </c>
      <c r="Y62" s="4">
        <v>19</v>
      </c>
      <c r="Z62" s="4">
        <v>637</v>
      </c>
      <c r="AA62" s="4">
        <v>26.41</v>
      </c>
      <c r="AD62" s="4">
        <v>4.1500000000000004</v>
      </c>
      <c r="AE62" s="4">
        <v>44.35</v>
      </c>
      <c r="AF62" s="4">
        <v>79</v>
      </c>
      <c r="AG62" s="4">
        <v>46.11</v>
      </c>
      <c r="AH62" s="4">
        <v>169</v>
      </c>
      <c r="AI62" s="4">
        <v>0</v>
      </c>
      <c r="AJ62" s="4" t="b">
        <f t="shared" si="133"/>
        <v>0</v>
      </c>
      <c r="AL62" s="32">
        <v>41593</v>
      </c>
      <c r="AM62" s="60">
        <v>20</v>
      </c>
      <c r="AN62" s="67">
        <v>0</v>
      </c>
      <c r="AO62" s="67">
        <v>0.25</v>
      </c>
      <c r="AP62" s="4">
        <v>164</v>
      </c>
      <c r="AQ62" s="4">
        <v>20</v>
      </c>
      <c r="AR62" s="4">
        <v>17</v>
      </c>
      <c r="AS62" s="4">
        <v>557</v>
      </c>
      <c r="AT62" s="4">
        <v>1805</v>
      </c>
      <c r="AU62" s="4">
        <v>26.41</v>
      </c>
      <c r="AV62" s="4">
        <v>5.2</v>
      </c>
      <c r="AW62" s="4">
        <v>43.6</v>
      </c>
      <c r="AX62" s="4">
        <v>67</v>
      </c>
      <c r="AY62" s="4">
        <v>44.64</v>
      </c>
      <c r="AZ62" s="4">
        <v>157</v>
      </c>
      <c r="BA62" s="4">
        <f t="shared" si="134"/>
        <v>0.125</v>
      </c>
      <c r="BB62" s="4">
        <f t="shared" si="265"/>
        <v>0.68500000000000005</v>
      </c>
      <c r="BC62" s="4">
        <f t="shared" si="136"/>
        <v>-80</v>
      </c>
      <c r="BD62" s="51" t="s">
        <v>505</v>
      </c>
      <c r="BT62" s="4" t="str">
        <f t="shared" si="138"/>
        <v/>
      </c>
      <c r="BU62" s="4" t="str">
        <f t="shared" si="139"/>
        <v/>
      </c>
      <c r="BV62" s="4">
        <f>IF(AND(ISBLANK(SPH_6),ISBLANK(SPH_12)),0,1)</f>
        <v>1</v>
      </c>
      <c r="BW62" s="4">
        <f t="shared" si="140"/>
        <v>0</v>
      </c>
      <c r="BX62" s="4" t="str">
        <f t="shared" si="141"/>
        <v/>
      </c>
      <c r="BY62" s="4" t="str">
        <f t="shared" si="142"/>
        <v/>
      </c>
      <c r="BZ62" s="4" t="str">
        <f t="shared" si="143"/>
        <v/>
      </c>
      <c r="CA62" s="53">
        <f t="shared" si="144"/>
        <v>170</v>
      </c>
      <c r="CB62" s="55">
        <f t="shared" si="145"/>
        <v>5.666666666666667</v>
      </c>
      <c r="CC62" s="4" t="str">
        <f t="shared" si="146"/>
        <v/>
      </c>
      <c r="CD62" s="4">
        <f t="shared" si="147"/>
        <v>-1.1099999999999994</v>
      </c>
      <c r="CE62" s="4" t="str">
        <f t="shared" si="148"/>
        <v/>
      </c>
      <c r="CF62" s="4">
        <f t="shared" si="149"/>
        <v>-1.1099999999999994</v>
      </c>
      <c r="CG62" s="4">
        <f t="shared" si="263"/>
        <v>-3.5</v>
      </c>
      <c r="CH62" s="4">
        <f t="shared" si="150"/>
        <v>0.125</v>
      </c>
      <c r="CI62" s="104">
        <f t="shared" si="151"/>
        <v>0.68500000000000005</v>
      </c>
      <c r="CJ62" s="94">
        <f t="shared" si="152"/>
        <v>-80</v>
      </c>
      <c r="CK62" s="4">
        <f t="shared" si="153"/>
        <v>0</v>
      </c>
      <c r="CL62" s="107">
        <f t="shared" si="154"/>
        <v>-0.56000000000000005</v>
      </c>
      <c r="CM62" s="107">
        <f t="shared" si="264"/>
        <v>0.3979400086720376</v>
      </c>
      <c r="CN62" s="139">
        <f t="shared" si="155"/>
        <v>0.25</v>
      </c>
      <c r="CO62" s="139">
        <f t="shared" si="156"/>
        <v>-1.25</v>
      </c>
      <c r="CP62" s="149">
        <f t="shared" si="157"/>
        <v>20</v>
      </c>
      <c r="CQ62" s="149">
        <f t="shared" si="158"/>
        <v>50</v>
      </c>
      <c r="CR62" s="148">
        <f t="shared" si="159"/>
        <v>20</v>
      </c>
      <c r="CS62" s="152">
        <f t="shared" si="160"/>
        <v>0</v>
      </c>
      <c r="CT62" s="107" t="str">
        <f t="shared" si="161"/>
        <v/>
      </c>
      <c r="CU62" s="155" t="b">
        <f t="shared" si="162"/>
        <v>0</v>
      </c>
      <c r="CV62">
        <v>7.53</v>
      </c>
      <c r="CW62" s="4">
        <v>7.67</v>
      </c>
      <c r="CX62" s="4">
        <v>58.6</v>
      </c>
      <c r="CY62" s="4">
        <v>0.8</v>
      </c>
      <c r="CZ62" s="4">
        <v>7.0000000000000007E-2</v>
      </c>
      <c r="DA62" s="4">
        <v>0.26</v>
      </c>
      <c r="DB62" s="4">
        <v>3.69</v>
      </c>
      <c r="DC62" s="4">
        <v>4.34</v>
      </c>
      <c r="DD62" s="4">
        <v>645</v>
      </c>
      <c r="DE62" s="4">
        <v>644</v>
      </c>
      <c r="DF62" s="4">
        <v>707</v>
      </c>
      <c r="DG62" s="4">
        <v>694</v>
      </c>
      <c r="DH62" s="4">
        <v>695</v>
      </c>
      <c r="DI62" s="4">
        <v>697</v>
      </c>
      <c r="DJ62" s="4">
        <v>641</v>
      </c>
      <c r="DK62" s="4">
        <v>-0.82</v>
      </c>
      <c r="DL62" s="4">
        <v>0</v>
      </c>
      <c r="DM62" s="4">
        <v>7.62</v>
      </c>
      <c r="DN62" s="4">
        <v>7.6</v>
      </c>
      <c r="DO62" s="4">
        <v>7.58</v>
      </c>
      <c r="DP62" s="4">
        <v>7.62</v>
      </c>
      <c r="DQ62" s="4">
        <v>7.82</v>
      </c>
      <c r="DR62" s="4">
        <v>8.0299999999999994</v>
      </c>
      <c r="DS62" s="4">
        <v>0</v>
      </c>
      <c r="DT62" s="4">
        <v>1</v>
      </c>
      <c r="DU62" s="4">
        <v>6.54</v>
      </c>
      <c r="DV62" s="4">
        <v>6.39</v>
      </c>
      <c r="DW62" s="4">
        <v>6.42</v>
      </c>
      <c r="DX62" s="4">
        <v>6.48</v>
      </c>
      <c r="DY62" s="4">
        <v>6.57</v>
      </c>
      <c r="DZ62" s="4">
        <v>0</v>
      </c>
      <c r="EA62" s="4">
        <v>0</v>
      </c>
      <c r="EB62" s="100">
        <v>1</v>
      </c>
      <c r="EC62" s="122">
        <v>44</v>
      </c>
      <c r="ED62" s="122">
        <v>44.8</v>
      </c>
      <c r="EE62" s="122">
        <v>44.4</v>
      </c>
      <c r="EF62" s="122">
        <v>58.6</v>
      </c>
      <c r="EG62" s="122">
        <v>0.8</v>
      </c>
      <c r="EH62" s="122">
        <v>-6.1</v>
      </c>
      <c r="EI62" s="122">
        <v>-6.2</v>
      </c>
      <c r="EJ62" s="122">
        <v>-6.2</v>
      </c>
      <c r="EK62" s="122">
        <v>44.8</v>
      </c>
      <c r="EL62" s="122">
        <v>0.2</v>
      </c>
      <c r="EM62" s="122">
        <v>4.5999999999999996</v>
      </c>
      <c r="EN62" s="122">
        <v>13.3</v>
      </c>
      <c r="EO62" s="122">
        <v>28</v>
      </c>
      <c r="EP62" s="122">
        <v>66.3</v>
      </c>
      <c r="EQ62" s="126">
        <v>9</v>
      </c>
      <c r="ER62" s="94">
        <v>7.62</v>
      </c>
      <c r="ES62" s="4">
        <v>7.77</v>
      </c>
      <c r="ET62" s="4">
        <v>56.2</v>
      </c>
      <c r="EU62" s="4">
        <v>0.9</v>
      </c>
      <c r="EV62" s="4">
        <v>0.27</v>
      </c>
      <c r="EW62" s="4">
        <v>0.38</v>
      </c>
      <c r="EX62" s="4">
        <v>-0.64</v>
      </c>
      <c r="EY62" s="4">
        <v>-0.1</v>
      </c>
      <c r="EZ62" s="4">
        <v>547</v>
      </c>
      <c r="FA62" s="4">
        <v>549</v>
      </c>
      <c r="FB62" s="4">
        <v>701</v>
      </c>
      <c r="FC62" s="4">
        <v>624</v>
      </c>
      <c r="FD62" s="4">
        <v>676</v>
      </c>
      <c r="FE62" s="4">
        <v>624</v>
      </c>
      <c r="FF62" s="4">
        <v>528</v>
      </c>
      <c r="FG62" s="4">
        <v>0.88</v>
      </c>
      <c r="FH62" s="4">
        <v>-0.81</v>
      </c>
      <c r="FI62" s="4">
        <v>7.72</v>
      </c>
      <c r="FJ62" s="4">
        <v>7.69</v>
      </c>
      <c r="FK62" s="4">
        <v>7.7</v>
      </c>
      <c r="FL62" s="4">
        <v>7.78</v>
      </c>
      <c r="FM62" s="4">
        <v>8.0299999999999994</v>
      </c>
      <c r="FN62" s="4">
        <v>8.39</v>
      </c>
      <c r="FO62" s="4">
        <v>0</v>
      </c>
      <c r="FP62" s="4">
        <v>1.4</v>
      </c>
      <c r="FQ62" s="4">
        <v>6.22</v>
      </c>
      <c r="FR62" s="4">
        <v>6.08</v>
      </c>
      <c r="FS62" s="4">
        <v>6.16</v>
      </c>
      <c r="FT62" s="4">
        <v>6.4</v>
      </c>
      <c r="FU62" s="4">
        <v>6.64</v>
      </c>
      <c r="FV62" s="4">
        <v>0</v>
      </c>
      <c r="FW62" s="4">
        <v>0</v>
      </c>
      <c r="FX62" s="97">
        <v>1.4</v>
      </c>
      <c r="FY62" s="122">
        <v>43.4</v>
      </c>
      <c r="FZ62" s="122">
        <v>44.3</v>
      </c>
      <c r="GA62" s="122">
        <v>43.8</v>
      </c>
      <c r="GB62" s="122">
        <v>56.2</v>
      </c>
      <c r="GC62" s="122">
        <v>0.9</v>
      </c>
      <c r="GD62" s="122">
        <v>-6.4</v>
      </c>
      <c r="GE62" s="122">
        <v>-6.7</v>
      </c>
      <c r="GF62" s="122">
        <v>-6.5</v>
      </c>
      <c r="GG62" s="122">
        <v>162.80000000000001</v>
      </c>
      <c r="GH62" s="122">
        <v>0.3</v>
      </c>
      <c r="GI62" s="122">
        <v>4</v>
      </c>
      <c r="GJ62" s="122">
        <v>11.7</v>
      </c>
      <c r="GK62" s="122">
        <v>25.6</v>
      </c>
      <c r="GL62" s="122">
        <v>64</v>
      </c>
      <c r="GM62" s="131">
        <v>15</v>
      </c>
      <c r="IJ62" s="94">
        <f t="shared" si="163"/>
        <v>7.62</v>
      </c>
      <c r="IK62" s="4">
        <f t="shared" si="164"/>
        <v>7.77</v>
      </c>
      <c r="IL62" s="4">
        <f t="shared" si="165"/>
        <v>56.2</v>
      </c>
      <c r="IM62" s="4">
        <f t="shared" si="166"/>
        <v>0.9</v>
      </c>
      <c r="IN62" s="4">
        <f t="shared" si="167"/>
        <v>0.27</v>
      </c>
      <c r="IO62" s="4">
        <f t="shared" si="168"/>
        <v>0.38</v>
      </c>
      <c r="IP62" s="4">
        <f t="shared" si="169"/>
        <v>-0.64</v>
      </c>
      <c r="IQ62" s="4">
        <f t="shared" si="170"/>
        <v>-0.1</v>
      </c>
      <c r="IR62" s="4">
        <f t="shared" si="171"/>
        <v>547</v>
      </c>
      <c r="IS62" s="4">
        <f t="shared" si="172"/>
        <v>549</v>
      </c>
      <c r="IT62" s="4">
        <f t="shared" si="173"/>
        <v>701</v>
      </c>
      <c r="IU62" s="4">
        <f t="shared" si="174"/>
        <v>624</v>
      </c>
      <c r="IV62" s="4">
        <f t="shared" si="175"/>
        <v>676</v>
      </c>
      <c r="IW62" s="4">
        <f t="shared" si="176"/>
        <v>624</v>
      </c>
      <c r="IX62" s="4">
        <f t="shared" si="177"/>
        <v>528</v>
      </c>
      <c r="IY62" s="4">
        <f t="shared" si="178"/>
        <v>0.88</v>
      </c>
      <c r="IZ62" s="4">
        <f t="shared" si="179"/>
        <v>-0.81</v>
      </c>
      <c r="JA62" s="4">
        <f t="shared" si="180"/>
        <v>7.72</v>
      </c>
      <c r="JB62" s="4">
        <f t="shared" si="181"/>
        <v>7.69</v>
      </c>
      <c r="JC62" s="4">
        <f t="shared" si="182"/>
        <v>7.7</v>
      </c>
      <c r="JD62" s="4">
        <f t="shared" si="183"/>
        <v>7.78</v>
      </c>
      <c r="JE62" s="4">
        <f t="shared" si="184"/>
        <v>8.0299999999999994</v>
      </c>
      <c r="JF62" s="4">
        <f t="shared" si="185"/>
        <v>8.39</v>
      </c>
      <c r="JG62" s="4">
        <f t="shared" si="186"/>
        <v>0</v>
      </c>
      <c r="JH62" s="4">
        <f t="shared" si="187"/>
        <v>1.4</v>
      </c>
      <c r="JI62" s="4">
        <f t="shared" si="188"/>
        <v>6.22</v>
      </c>
      <c r="JJ62" s="4">
        <f t="shared" si="189"/>
        <v>6.08</v>
      </c>
      <c r="JK62" s="4">
        <f t="shared" si="190"/>
        <v>6.16</v>
      </c>
      <c r="JL62" s="4">
        <f t="shared" si="191"/>
        <v>6.4</v>
      </c>
      <c r="JM62" s="4">
        <f t="shared" si="192"/>
        <v>6.64</v>
      </c>
      <c r="JN62" s="4">
        <f t="shared" si="193"/>
        <v>0</v>
      </c>
      <c r="JO62" s="129">
        <f t="shared" si="194"/>
        <v>0</v>
      </c>
      <c r="JP62" s="122">
        <f t="shared" si="195"/>
        <v>1.4</v>
      </c>
      <c r="JQ62" s="122">
        <f t="shared" si="196"/>
        <v>43.4</v>
      </c>
      <c r="JR62" s="122">
        <f t="shared" si="197"/>
        <v>44.3</v>
      </c>
      <c r="JS62" s="122">
        <f t="shared" si="198"/>
        <v>43.8</v>
      </c>
      <c r="JT62" s="122">
        <f t="shared" si="199"/>
        <v>56.2</v>
      </c>
      <c r="JU62" s="122">
        <f t="shared" si="200"/>
        <v>0.9</v>
      </c>
      <c r="JV62" s="122">
        <f t="shared" si="201"/>
        <v>-6.4</v>
      </c>
      <c r="JW62" s="122">
        <f t="shared" si="202"/>
        <v>-6.7</v>
      </c>
      <c r="JX62" s="122">
        <f t="shared" si="203"/>
        <v>-6.5</v>
      </c>
      <c r="JY62" s="122">
        <f t="shared" si="204"/>
        <v>162.80000000000001</v>
      </c>
      <c r="JZ62" s="122">
        <f t="shared" si="205"/>
        <v>0.3</v>
      </c>
      <c r="KA62" s="122">
        <f t="shared" si="206"/>
        <v>4</v>
      </c>
      <c r="KB62" s="122">
        <f t="shared" si="207"/>
        <v>11.7</v>
      </c>
      <c r="KC62" s="122">
        <f t="shared" si="208"/>
        <v>25.6</v>
      </c>
      <c r="KD62" s="122">
        <f t="shared" si="209"/>
        <v>64</v>
      </c>
      <c r="KE62" s="133">
        <f t="shared" si="210"/>
        <v>15</v>
      </c>
      <c r="KF62" s="94">
        <f t="shared" si="211"/>
        <v>8.9999999999999858E-2</v>
      </c>
      <c r="KG62" s="4">
        <f t="shared" si="212"/>
        <v>9.9999999999999645E-2</v>
      </c>
      <c r="KH62" s="4">
        <f t="shared" si="213"/>
        <v>-2.3999999999999986</v>
      </c>
      <c r="KI62" s="4">
        <f t="shared" si="214"/>
        <v>9.9999999999999978E-2</v>
      </c>
      <c r="KJ62" s="4">
        <f t="shared" si="215"/>
        <v>0.2</v>
      </c>
      <c r="KK62" s="4">
        <f t="shared" si="216"/>
        <v>0.12</v>
      </c>
      <c r="KL62" s="4">
        <f t="shared" si="217"/>
        <v>-4.33</v>
      </c>
      <c r="KM62" s="4">
        <f t="shared" si="218"/>
        <v>-4.4399999999999995</v>
      </c>
      <c r="KN62" s="4">
        <f t="shared" si="219"/>
        <v>-98</v>
      </c>
      <c r="KO62" s="4">
        <f t="shared" si="220"/>
        <v>-95</v>
      </c>
      <c r="KP62" s="4">
        <f t="shared" si="221"/>
        <v>-6</v>
      </c>
      <c r="KQ62" s="4">
        <f t="shared" si="222"/>
        <v>-70</v>
      </c>
      <c r="KR62" s="4">
        <f t="shared" si="223"/>
        <v>-19</v>
      </c>
      <c r="KS62" s="4">
        <f t="shared" si="224"/>
        <v>-73</v>
      </c>
      <c r="KT62" s="4">
        <f t="shared" si="225"/>
        <v>-113</v>
      </c>
      <c r="KU62" s="4">
        <f t="shared" si="226"/>
        <v>1.7</v>
      </c>
      <c r="KV62" s="4">
        <f t="shared" si="227"/>
        <v>-0.81</v>
      </c>
      <c r="KW62" s="4">
        <f t="shared" si="228"/>
        <v>9.9999999999999645E-2</v>
      </c>
      <c r="KX62" s="4">
        <f t="shared" si="229"/>
        <v>9.0000000000000746E-2</v>
      </c>
      <c r="KY62" s="4">
        <f t="shared" si="230"/>
        <v>0.12000000000000011</v>
      </c>
      <c r="KZ62" s="4">
        <f t="shared" si="231"/>
        <v>0.16000000000000014</v>
      </c>
      <c r="LA62" s="4">
        <f t="shared" si="232"/>
        <v>0.20999999999999908</v>
      </c>
      <c r="LB62" s="4">
        <f t="shared" si="233"/>
        <v>0.36000000000000121</v>
      </c>
      <c r="LC62" s="4">
        <f t="shared" si="234"/>
        <v>0</v>
      </c>
      <c r="LD62" s="4">
        <f t="shared" si="235"/>
        <v>0.39999999999999991</v>
      </c>
      <c r="LE62" s="4">
        <f t="shared" si="236"/>
        <v>-0.32000000000000028</v>
      </c>
      <c r="LF62" s="4">
        <f t="shared" si="237"/>
        <v>-0.30999999999999961</v>
      </c>
      <c r="LG62" s="4">
        <f t="shared" si="238"/>
        <v>-0.25999999999999979</v>
      </c>
      <c r="LH62" s="4">
        <f t="shared" si="239"/>
        <v>-8.0000000000000071E-2</v>
      </c>
      <c r="LI62" s="4">
        <f t="shared" si="240"/>
        <v>6.9999999999999396E-2</v>
      </c>
      <c r="LJ62" s="4">
        <f t="shared" si="241"/>
        <v>0</v>
      </c>
      <c r="LK62" s="4">
        <f t="shared" si="242"/>
        <v>0</v>
      </c>
      <c r="LL62" s="4">
        <f t="shared" si="243"/>
        <v>0.39999999999999991</v>
      </c>
      <c r="LM62" s="4">
        <f t="shared" si="244"/>
        <v>-0.60000000000000142</v>
      </c>
      <c r="LN62" s="4">
        <f t="shared" si="245"/>
        <v>-0.5</v>
      </c>
      <c r="LO62" s="4">
        <f t="shared" si="246"/>
        <v>-0.60000000000000142</v>
      </c>
      <c r="LP62" s="4">
        <f t="shared" si="247"/>
        <v>-2.3999999999999986</v>
      </c>
      <c r="LQ62" s="4">
        <f t="shared" si="248"/>
        <v>9.9999999999999978E-2</v>
      </c>
      <c r="LR62" s="4">
        <f t="shared" si="249"/>
        <v>-0.30000000000000071</v>
      </c>
      <c r="LS62" s="4">
        <f t="shared" si="250"/>
        <v>-0.5</v>
      </c>
      <c r="LT62" s="4">
        <f t="shared" si="251"/>
        <v>-0.29999999999999982</v>
      </c>
      <c r="LU62" s="4">
        <f t="shared" si="252"/>
        <v>118.00000000000001</v>
      </c>
      <c r="LV62" s="4">
        <f t="shared" si="253"/>
        <v>9.9999999999999978E-2</v>
      </c>
      <c r="LW62" s="4">
        <f t="shared" si="254"/>
        <v>-0.59999999999999964</v>
      </c>
      <c r="LX62" s="4">
        <f t="shared" si="255"/>
        <v>-1.6000000000000014</v>
      </c>
      <c r="LY62" s="4">
        <f t="shared" si="256"/>
        <v>-2.3999999999999986</v>
      </c>
      <c r="LZ62" s="4">
        <f t="shared" si="257"/>
        <v>-2.2999999999999972</v>
      </c>
      <c r="MA62" s="4">
        <f t="shared" si="258"/>
        <v>6</v>
      </c>
      <c r="MB62" s="4" t="str">
        <f t="shared" si="259"/>
        <v/>
      </c>
      <c r="MC62" s="4" t="str">
        <f t="shared" si="260"/>
        <v/>
      </c>
      <c r="MD62" s="4" t="str">
        <f t="shared" si="261"/>
        <v/>
      </c>
      <c r="ME62" s="4">
        <f t="shared" si="262"/>
        <v>6.7</v>
      </c>
    </row>
    <row r="63" spans="1:343" ht="26.25" customHeight="1" thickBot="1" x14ac:dyDescent="0.25">
      <c r="A63" s="35">
        <v>41283</v>
      </c>
      <c r="B63" s="36" t="s">
        <v>190</v>
      </c>
      <c r="C63" s="36" t="s">
        <v>81</v>
      </c>
      <c r="D63" s="31" t="s">
        <v>111</v>
      </c>
      <c r="E63" s="4">
        <v>65</v>
      </c>
      <c r="F63" s="3">
        <v>17334</v>
      </c>
      <c r="G63" s="4" t="s">
        <v>87</v>
      </c>
      <c r="H63" s="4" t="s">
        <v>108</v>
      </c>
      <c r="I63" s="4">
        <v>1834776</v>
      </c>
      <c r="K63" s="74"/>
      <c r="L63" s="75"/>
      <c r="M63" s="75"/>
      <c r="N63" s="75"/>
      <c r="O63" s="75"/>
      <c r="P63" s="33">
        <v>-0.5</v>
      </c>
      <c r="Q63" s="33">
        <v>-0.48</v>
      </c>
      <c r="R63" s="33" t="s">
        <v>249</v>
      </c>
      <c r="S63" s="67">
        <v>20.25</v>
      </c>
      <c r="T63" s="136">
        <v>41253</v>
      </c>
      <c r="U63" s="67">
        <v>-0.5</v>
      </c>
      <c r="V63" s="67">
        <v>1</v>
      </c>
      <c r="W63" s="4">
        <v>5</v>
      </c>
      <c r="X63" s="4">
        <v>50</v>
      </c>
      <c r="Y63" s="4">
        <v>16</v>
      </c>
      <c r="Z63" s="4">
        <v>623</v>
      </c>
      <c r="AA63" s="4">
        <v>23.48</v>
      </c>
      <c r="AD63" s="4">
        <v>2.19</v>
      </c>
      <c r="AE63" s="4">
        <v>44.76</v>
      </c>
      <c r="AF63" s="4">
        <v>37</v>
      </c>
      <c r="AG63" s="4">
        <v>45.12</v>
      </c>
      <c r="AH63" s="4">
        <v>127</v>
      </c>
      <c r="AI63" s="4">
        <v>0</v>
      </c>
      <c r="AJ63" s="4" t="b">
        <f t="shared" si="133"/>
        <v>0</v>
      </c>
      <c r="AL63" s="3">
        <v>41554</v>
      </c>
      <c r="AM63" s="56">
        <v>30</v>
      </c>
      <c r="AN63" s="67">
        <v>0.25</v>
      </c>
      <c r="AO63" s="67">
        <v>1</v>
      </c>
      <c r="AP63" s="4">
        <v>180</v>
      </c>
      <c r="AQ63" s="4">
        <v>25</v>
      </c>
      <c r="AR63" s="4">
        <v>15</v>
      </c>
      <c r="AS63" s="4">
        <v>511</v>
      </c>
      <c r="AT63" s="4">
        <v>2513</v>
      </c>
      <c r="AU63" s="4">
        <v>23.53</v>
      </c>
      <c r="AV63" s="4">
        <v>5.15</v>
      </c>
      <c r="AW63" s="4">
        <v>44</v>
      </c>
      <c r="AX63" s="4">
        <v>175</v>
      </c>
      <c r="AY63" s="4">
        <v>44.47</v>
      </c>
      <c r="AZ63" s="4">
        <v>85</v>
      </c>
      <c r="BA63" s="4">
        <f t="shared" si="134"/>
        <v>0.75</v>
      </c>
      <c r="BB63" s="4">
        <f t="shared" si="265"/>
        <v>1.23</v>
      </c>
      <c r="BC63" s="4">
        <f t="shared" si="136"/>
        <v>-112</v>
      </c>
      <c r="BD63" s="150">
        <v>41753</v>
      </c>
      <c r="BS63" s="4" t="str">
        <f t="shared" ref="BS63:BS106" si="266">IF(ISNUMBER(BF63),BF63+0.5*BG63,"")</f>
        <v/>
      </c>
      <c r="BT63" s="4" t="str">
        <f t="shared" si="138"/>
        <v/>
      </c>
      <c r="BU63" s="4" t="str">
        <f t="shared" si="139"/>
        <v/>
      </c>
      <c r="BV63" s="4">
        <f>IF(AND(ISBLANK(SPH_6),ISBLANK(SPH_12)),0,1)</f>
        <v>1</v>
      </c>
      <c r="BW63" s="4">
        <f t="shared" si="140"/>
        <v>0</v>
      </c>
      <c r="BX63" s="4" t="str">
        <f t="shared" si="141"/>
        <v/>
      </c>
      <c r="BY63" s="4" t="str">
        <f t="shared" si="142"/>
        <v/>
      </c>
      <c r="BZ63" s="4" t="str">
        <f t="shared" si="143"/>
        <v/>
      </c>
      <c r="CA63" s="53">
        <f t="shared" si="144"/>
        <v>271</v>
      </c>
      <c r="CB63" s="55">
        <f t="shared" si="145"/>
        <v>9.0333333333333332</v>
      </c>
      <c r="CC63" s="4" t="str">
        <f t="shared" si="146"/>
        <v/>
      </c>
      <c r="CD63" s="4">
        <f t="shared" si="147"/>
        <v>-0.70499999999999829</v>
      </c>
      <c r="CE63" s="4" t="str">
        <f t="shared" si="148"/>
        <v/>
      </c>
      <c r="CF63" s="4">
        <f t="shared" si="149"/>
        <v>-0.70499999999999829</v>
      </c>
      <c r="CG63" s="4">
        <f t="shared" si="263"/>
        <v>0</v>
      </c>
      <c r="CH63" s="4">
        <f t="shared" si="150"/>
        <v>0.75</v>
      </c>
      <c r="CI63" s="104">
        <f t="shared" si="151"/>
        <v>1.23</v>
      </c>
      <c r="CJ63" s="94">
        <f t="shared" si="152"/>
        <v>-112</v>
      </c>
      <c r="CK63" s="4">
        <f t="shared" si="153"/>
        <v>5.0000000000000711E-2</v>
      </c>
      <c r="CL63" s="107">
        <f t="shared" si="154"/>
        <v>-0.48</v>
      </c>
      <c r="CM63" s="107">
        <f t="shared" si="264"/>
        <v>0.3010299956639812</v>
      </c>
      <c r="CN63" s="139">
        <f t="shared" si="155"/>
        <v>1</v>
      </c>
      <c r="CO63" s="139">
        <f t="shared" si="156"/>
        <v>0</v>
      </c>
      <c r="CP63" s="149">
        <f t="shared" si="157"/>
        <v>25</v>
      </c>
      <c r="CQ63" s="149">
        <f t="shared" si="158"/>
        <v>50</v>
      </c>
      <c r="CR63" s="148">
        <f t="shared" si="159"/>
        <v>30</v>
      </c>
      <c r="CS63" s="152">
        <f t="shared" si="160"/>
        <v>0</v>
      </c>
      <c r="CT63" s="107" t="str">
        <f t="shared" si="161"/>
        <v/>
      </c>
      <c r="CU63" s="155" t="b">
        <f t="shared" si="162"/>
        <v>0</v>
      </c>
      <c r="CV63">
        <v>7.64</v>
      </c>
      <c r="CW63" s="4">
        <v>7.69</v>
      </c>
      <c r="CX63" s="4">
        <v>48.6</v>
      </c>
      <c r="CY63" s="4">
        <v>0.3</v>
      </c>
      <c r="CZ63" s="4">
        <v>0.23</v>
      </c>
      <c r="DA63" s="4">
        <v>0.52</v>
      </c>
      <c r="DB63" s="4">
        <v>2.95</v>
      </c>
      <c r="DC63" s="4">
        <v>3.57</v>
      </c>
      <c r="DD63" s="4">
        <v>626</v>
      </c>
      <c r="DE63" s="4">
        <v>625</v>
      </c>
      <c r="DF63" s="4">
        <v>677</v>
      </c>
      <c r="DG63" s="4">
        <v>680</v>
      </c>
      <c r="DH63" s="4">
        <v>687</v>
      </c>
      <c r="DI63" s="4">
        <v>675</v>
      </c>
      <c r="DJ63" s="4">
        <v>624</v>
      </c>
      <c r="DK63" s="4">
        <v>-0.28999999999999998</v>
      </c>
      <c r="DL63" s="4">
        <v>0.36</v>
      </c>
      <c r="DM63" s="4">
        <v>7.69</v>
      </c>
      <c r="DN63" s="4">
        <v>7.65</v>
      </c>
      <c r="DO63" s="4">
        <v>7.66</v>
      </c>
      <c r="DP63" s="4">
        <v>7.83</v>
      </c>
      <c r="DQ63" s="4">
        <v>8.2100000000000009</v>
      </c>
      <c r="DR63" s="4">
        <v>8.5299999999999994</v>
      </c>
      <c r="DS63" s="4">
        <v>0</v>
      </c>
      <c r="DT63" s="4">
        <v>1.3</v>
      </c>
      <c r="DU63" s="4">
        <v>6.4</v>
      </c>
      <c r="DV63" s="4">
        <v>6.5</v>
      </c>
      <c r="DW63" s="4">
        <v>6.64</v>
      </c>
      <c r="DX63" s="4">
        <v>6.79</v>
      </c>
      <c r="DY63" s="4">
        <v>6.93</v>
      </c>
      <c r="DZ63" s="4">
        <v>7</v>
      </c>
      <c r="EA63" s="4">
        <v>0</v>
      </c>
      <c r="EB63" s="100">
        <v>1.3</v>
      </c>
      <c r="EC63" s="122">
        <v>43.9</v>
      </c>
      <c r="ED63" s="122">
        <v>44.2</v>
      </c>
      <c r="EE63" s="122">
        <v>44.1</v>
      </c>
      <c r="EF63" s="122">
        <v>48.6</v>
      </c>
      <c r="EG63" s="122">
        <v>0.3</v>
      </c>
      <c r="EH63" s="122">
        <v>-6.2</v>
      </c>
      <c r="EI63" s="122">
        <v>-6.3</v>
      </c>
      <c r="EJ63" s="122">
        <v>-6.2</v>
      </c>
      <c r="EK63" s="122">
        <v>163.9</v>
      </c>
      <c r="EL63" s="122">
        <v>0.1</v>
      </c>
      <c r="EM63" s="122">
        <v>4.5</v>
      </c>
      <c r="EN63" s="122">
        <v>13</v>
      </c>
      <c r="EO63" s="122">
        <v>27.2</v>
      </c>
      <c r="EP63" s="122">
        <v>63.3</v>
      </c>
      <c r="EQ63" s="126">
        <v>10</v>
      </c>
      <c r="ER63" s="94">
        <v>7.75</v>
      </c>
      <c r="ES63" s="4">
        <v>7.64</v>
      </c>
      <c r="ET63" s="4">
        <v>148</v>
      </c>
      <c r="EU63" s="4">
        <v>-0.6</v>
      </c>
      <c r="EV63" s="4">
        <v>0.27</v>
      </c>
      <c r="EW63" s="4">
        <v>0.5</v>
      </c>
      <c r="EX63" s="4">
        <v>4.97</v>
      </c>
      <c r="EY63" s="4">
        <v>5.48</v>
      </c>
      <c r="EZ63" s="4">
        <v>508</v>
      </c>
      <c r="FA63" s="4">
        <v>503</v>
      </c>
      <c r="FB63" s="4">
        <v>627</v>
      </c>
      <c r="FC63" s="4">
        <v>575</v>
      </c>
      <c r="FD63" s="4">
        <v>596</v>
      </c>
      <c r="FE63" s="4">
        <v>585</v>
      </c>
      <c r="FF63" s="4">
        <v>486</v>
      </c>
      <c r="FG63" s="4">
        <v>-0.75</v>
      </c>
      <c r="FH63" s="4">
        <v>-1.02</v>
      </c>
      <c r="FI63" s="4">
        <v>7.69</v>
      </c>
      <c r="FJ63" s="4">
        <v>7.7</v>
      </c>
      <c r="FK63" s="4">
        <v>7.71</v>
      </c>
      <c r="FL63" s="4">
        <v>7.85</v>
      </c>
      <c r="FM63" s="4">
        <v>8.1</v>
      </c>
      <c r="FN63" s="4">
        <v>8.3000000000000007</v>
      </c>
      <c r="FO63" s="4">
        <v>0</v>
      </c>
      <c r="FP63" s="4">
        <v>1.3</v>
      </c>
      <c r="FQ63" s="4">
        <v>6.3</v>
      </c>
      <c r="FR63" s="4">
        <v>6.27</v>
      </c>
      <c r="FS63" s="4">
        <v>6.41</v>
      </c>
      <c r="FT63" s="4">
        <v>6.59</v>
      </c>
      <c r="FU63" s="4">
        <v>6.65</v>
      </c>
      <c r="FV63" s="4">
        <v>6.88</v>
      </c>
      <c r="FW63" s="4">
        <v>0</v>
      </c>
      <c r="FX63" s="97">
        <v>1.3</v>
      </c>
      <c r="FY63" s="122">
        <v>43.6</v>
      </c>
      <c r="FZ63" s="122">
        <v>44.2</v>
      </c>
      <c r="GA63" s="122">
        <v>43.9</v>
      </c>
      <c r="GB63" s="122">
        <v>148</v>
      </c>
      <c r="GC63" s="122">
        <v>0.6</v>
      </c>
      <c r="GD63" s="122">
        <v>-6.3</v>
      </c>
      <c r="GE63" s="122">
        <v>-6.4</v>
      </c>
      <c r="GF63" s="122">
        <v>-6.3</v>
      </c>
      <c r="GG63" s="122">
        <v>35.700000000000003</v>
      </c>
      <c r="GH63" s="122">
        <v>0.1</v>
      </c>
      <c r="GI63" s="122">
        <v>3.7</v>
      </c>
      <c r="GJ63" s="122">
        <v>10.9</v>
      </c>
      <c r="GK63" s="122">
        <v>23.4</v>
      </c>
      <c r="GL63" s="122">
        <v>57.6</v>
      </c>
      <c r="GM63" s="131">
        <v>16</v>
      </c>
      <c r="IJ63" s="94">
        <f t="shared" si="163"/>
        <v>7.75</v>
      </c>
      <c r="IK63" s="4">
        <f t="shared" si="164"/>
        <v>7.64</v>
      </c>
      <c r="IL63" s="4">
        <f t="shared" si="165"/>
        <v>148</v>
      </c>
      <c r="IM63" s="4">
        <f t="shared" si="166"/>
        <v>-0.6</v>
      </c>
      <c r="IN63" s="4">
        <f t="shared" si="167"/>
        <v>0.27</v>
      </c>
      <c r="IO63" s="4">
        <f t="shared" si="168"/>
        <v>0.5</v>
      </c>
      <c r="IP63" s="4">
        <f t="shared" si="169"/>
        <v>4.97</v>
      </c>
      <c r="IQ63" s="4">
        <f t="shared" si="170"/>
        <v>5.48</v>
      </c>
      <c r="IR63" s="4">
        <f t="shared" si="171"/>
        <v>508</v>
      </c>
      <c r="IS63" s="4">
        <f t="shared" si="172"/>
        <v>503</v>
      </c>
      <c r="IT63" s="4">
        <f t="shared" si="173"/>
        <v>627</v>
      </c>
      <c r="IU63" s="4">
        <f t="shared" si="174"/>
        <v>575</v>
      </c>
      <c r="IV63" s="4">
        <f t="shared" si="175"/>
        <v>596</v>
      </c>
      <c r="IW63" s="4">
        <f t="shared" si="176"/>
        <v>585</v>
      </c>
      <c r="IX63" s="4">
        <f t="shared" si="177"/>
        <v>486</v>
      </c>
      <c r="IY63" s="4">
        <f t="shared" si="178"/>
        <v>-0.75</v>
      </c>
      <c r="IZ63" s="4">
        <f t="shared" si="179"/>
        <v>-1.02</v>
      </c>
      <c r="JA63" s="4">
        <f t="shared" si="180"/>
        <v>7.69</v>
      </c>
      <c r="JB63" s="4">
        <f t="shared" si="181"/>
        <v>7.7</v>
      </c>
      <c r="JC63" s="4">
        <f t="shared" si="182"/>
        <v>7.71</v>
      </c>
      <c r="JD63" s="4">
        <f t="shared" si="183"/>
        <v>7.85</v>
      </c>
      <c r="JE63" s="4">
        <f t="shared" si="184"/>
        <v>8.1</v>
      </c>
      <c r="JF63" s="4">
        <f t="shared" si="185"/>
        <v>8.3000000000000007</v>
      </c>
      <c r="JG63" s="4">
        <f t="shared" si="186"/>
        <v>0</v>
      </c>
      <c r="JH63" s="4">
        <f t="shared" si="187"/>
        <v>1.3</v>
      </c>
      <c r="JI63" s="4">
        <f t="shared" si="188"/>
        <v>6.3</v>
      </c>
      <c r="JJ63" s="4">
        <f t="shared" si="189"/>
        <v>6.27</v>
      </c>
      <c r="JK63" s="4">
        <f t="shared" si="190"/>
        <v>6.41</v>
      </c>
      <c r="JL63" s="4">
        <f t="shared" si="191"/>
        <v>6.59</v>
      </c>
      <c r="JM63" s="4">
        <f t="shared" si="192"/>
        <v>6.65</v>
      </c>
      <c r="JN63" s="4">
        <f t="shared" si="193"/>
        <v>6.88</v>
      </c>
      <c r="JO63" s="129">
        <f t="shared" si="194"/>
        <v>0</v>
      </c>
      <c r="JP63" s="122">
        <f t="shared" si="195"/>
        <v>1.3</v>
      </c>
      <c r="JQ63" s="122">
        <f t="shared" si="196"/>
        <v>43.6</v>
      </c>
      <c r="JR63" s="122">
        <f t="shared" si="197"/>
        <v>44.2</v>
      </c>
      <c r="JS63" s="122">
        <f t="shared" si="198"/>
        <v>43.9</v>
      </c>
      <c r="JT63" s="122">
        <f t="shared" si="199"/>
        <v>148</v>
      </c>
      <c r="JU63" s="122">
        <f t="shared" si="200"/>
        <v>0.6</v>
      </c>
      <c r="JV63" s="122">
        <f t="shared" si="201"/>
        <v>-6.3</v>
      </c>
      <c r="JW63" s="122">
        <f t="shared" si="202"/>
        <v>-6.4</v>
      </c>
      <c r="JX63" s="122">
        <f t="shared" si="203"/>
        <v>-6.3</v>
      </c>
      <c r="JY63" s="122">
        <f t="shared" si="204"/>
        <v>35.700000000000003</v>
      </c>
      <c r="JZ63" s="122">
        <f t="shared" si="205"/>
        <v>0.1</v>
      </c>
      <c r="KA63" s="122">
        <f t="shared" si="206"/>
        <v>3.7</v>
      </c>
      <c r="KB63" s="122">
        <f t="shared" si="207"/>
        <v>10.9</v>
      </c>
      <c r="KC63" s="122">
        <f t="shared" si="208"/>
        <v>23.4</v>
      </c>
      <c r="KD63" s="122">
        <f t="shared" si="209"/>
        <v>57.6</v>
      </c>
      <c r="KE63" s="133">
        <f t="shared" si="210"/>
        <v>16</v>
      </c>
      <c r="KF63" s="94">
        <f t="shared" si="211"/>
        <v>0.11000000000000032</v>
      </c>
      <c r="KG63" s="4">
        <f t="shared" si="212"/>
        <v>-5.0000000000000711E-2</v>
      </c>
      <c r="KH63" s="4">
        <f t="shared" si="213"/>
        <v>99.4</v>
      </c>
      <c r="KI63" s="4">
        <f t="shared" si="214"/>
        <v>-0.89999999999999991</v>
      </c>
      <c r="KJ63" s="4">
        <f t="shared" si="215"/>
        <v>4.0000000000000008E-2</v>
      </c>
      <c r="KK63" s="4">
        <f t="shared" si="216"/>
        <v>-2.0000000000000018E-2</v>
      </c>
      <c r="KL63" s="4">
        <f t="shared" si="217"/>
        <v>2.0199999999999996</v>
      </c>
      <c r="KM63" s="4">
        <f t="shared" si="218"/>
        <v>1.9100000000000006</v>
      </c>
      <c r="KN63" s="4">
        <f t="shared" si="219"/>
        <v>-118</v>
      </c>
      <c r="KO63" s="4">
        <f t="shared" si="220"/>
        <v>-122</v>
      </c>
      <c r="KP63" s="4">
        <f t="shared" si="221"/>
        <v>-50</v>
      </c>
      <c r="KQ63" s="4">
        <f t="shared" si="222"/>
        <v>-105</v>
      </c>
      <c r="KR63" s="4">
        <f t="shared" si="223"/>
        <v>-91</v>
      </c>
      <c r="KS63" s="4">
        <f t="shared" si="224"/>
        <v>-90</v>
      </c>
      <c r="KT63" s="4">
        <f t="shared" si="225"/>
        <v>-138</v>
      </c>
      <c r="KU63" s="4">
        <f t="shared" si="226"/>
        <v>-0.46</v>
      </c>
      <c r="KV63" s="4">
        <f t="shared" si="227"/>
        <v>-1.38</v>
      </c>
      <c r="KW63" s="4">
        <f t="shared" si="228"/>
        <v>0</v>
      </c>
      <c r="KX63" s="4">
        <f t="shared" si="229"/>
        <v>4.9999999999999822E-2</v>
      </c>
      <c r="KY63" s="4">
        <f t="shared" si="230"/>
        <v>4.9999999999999822E-2</v>
      </c>
      <c r="KZ63" s="4">
        <f t="shared" si="231"/>
        <v>1.9999999999999574E-2</v>
      </c>
      <c r="LA63" s="4">
        <f t="shared" si="232"/>
        <v>-0.11000000000000121</v>
      </c>
      <c r="LB63" s="4">
        <f t="shared" si="233"/>
        <v>-0.22999999999999865</v>
      </c>
      <c r="LC63" s="4">
        <f t="shared" si="234"/>
        <v>0</v>
      </c>
      <c r="LD63" s="4">
        <f t="shared" si="235"/>
        <v>0</v>
      </c>
      <c r="LE63" s="4">
        <f t="shared" si="236"/>
        <v>-0.10000000000000053</v>
      </c>
      <c r="LF63" s="4">
        <f t="shared" si="237"/>
        <v>-0.23000000000000043</v>
      </c>
      <c r="LG63" s="4">
        <f t="shared" si="238"/>
        <v>-0.22999999999999954</v>
      </c>
      <c r="LH63" s="4">
        <f t="shared" si="239"/>
        <v>-0.20000000000000018</v>
      </c>
      <c r="LI63" s="4">
        <f t="shared" si="240"/>
        <v>-0.27999999999999936</v>
      </c>
      <c r="LJ63" s="4">
        <f t="shared" si="241"/>
        <v>-0.12000000000000011</v>
      </c>
      <c r="LK63" s="4">
        <f t="shared" si="242"/>
        <v>0</v>
      </c>
      <c r="LL63" s="4">
        <f t="shared" si="243"/>
        <v>0</v>
      </c>
      <c r="LM63" s="4">
        <f t="shared" si="244"/>
        <v>-0.29999999999999716</v>
      </c>
      <c r="LN63" s="4">
        <f t="shared" si="245"/>
        <v>0</v>
      </c>
      <c r="LO63" s="4">
        <f t="shared" si="246"/>
        <v>-0.20000000000000284</v>
      </c>
      <c r="LP63" s="4">
        <f t="shared" si="247"/>
        <v>99.4</v>
      </c>
      <c r="LQ63" s="4">
        <f t="shared" si="248"/>
        <v>0.3</v>
      </c>
      <c r="LR63" s="4">
        <f t="shared" si="249"/>
        <v>-9.9999999999999645E-2</v>
      </c>
      <c r="LS63" s="4">
        <f t="shared" si="250"/>
        <v>-0.10000000000000053</v>
      </c>
      <c r="LT63" s="4">
        <f t="shared" si="251"/>
        <v>-9.9999999999999645E-2</v>
      </c>
      <c r="LU63" s="4">
        <f t="shared" si="252"/>
        <v>-128.19999999999999</v>
      </c>
      <c r="LV63" s="4">
        <f t="shared" si="253"/>
        <v>0</v>
      </c>
      <c r="LW63" s="4">
        <f t="shared" si="254"/>
        <v>-0.79999999999999982</v>
      </c>
      <c r="LX63" s="4">
        <f t="shared" si="255"/>
        <v>-2.0999999999999996</v>
      </c>
      <c r="LY63" s="4">
        <f t="shared" si="256"/>
        <v>-3.8000000000000007</v>
      </c>
      <c r="LZ63" s="4">
        <f t="shared" si="257"/>
        <v>-5.6999999999999957</v>
      </c>
      <c r="MA63" s="4">
        <f t="shared" si="258"/>
        <v>6</v>
      </c>
      <c r="MB63" s="4" t="str">
        <f t="shared" si="259"/>
        <v/>
      </c>
      <c r="MC63" s="4" t="str">
        <f t="shared" si="260"/>
        <v/>
      </c>
      <c r="MD63" s="4" t="str">
        <f t="shared" si="261"/>
        <v/>
      </c>
      <c r="ME63" s="4">
        <f t="shared" si="262"/>
        <v>6.4</v>
      </c>
    </row>
    <row r="64" spans="1:343" ht="26.25" customHeight="1" thickBot="1" x14ac:dyDescent="0.25">
      <c r="A64" s="35">
        <v>41323</v>
      </c>
      <c r="B64" s="36" t="s">
        <v>193</v>
      </c>
      <c r="C64" s="36" t="s">
        <v>33</v>
      </c>
      <c r="D64" s="31" t="s">
        <v>110</v>
      </c>
      <c r="E64" s="4">
        <v>61</v>
      </c>
      <c r="F64" s="3">
        <v>18791</v>
      </c>
      <c r="G64" s="4" t="s">
        <v>87</v>
      </c>
      <c r="H64" s="4" t="s">
        <v>108</v>
      </c>
      <c r="I64" s="4">
        <v>1834781</v>
      </c>
      <c r="K64" s="74"/>
      <c r="L64" s="78"/>
      <c r="M64" s="75"/>
      <c r="N64" s="75"/>
      <c r="O64" s="75"/>
      <c r="P64" s="4">
        <v>-0.25</v>
      </c>
      <c r="Q64" s="4">
        <v>-0.13</v>
      </c>
      <c r="R64" s="4" t="s">
        <v>249</v>
      </c>
      <c r="S64" s="67">
        <v>21.5</v>
      </c>
      <c r="T64" s="136">
        <v>41288</v>
      </c>
      <c r="U64" s="67">
        <v>1</v>
      </c>
      <c r="V64" s="67">
        <v>1</v>
      </c>
      <c r="W64" s="4">
        <v>150</v>
      </c>
      <c r="X64" s="4">
        <v>20</v>
      </c>
      <c r="Y64" s="4">
        <v>15</v>
      </c>
      <c r="Z64" s="4">
        <v>613</v>
      </c>
      <c r="AA64" s="4">
        <v>24.13</v>
      </c>
      <c r="AB64" s="4">
        <v>12</v>
      </c>
      <c r="AC64" s="4">
        <v>4.97</v>
      </c>
      <c r="AD64" s="4">
        <v>2.94</v>
      </c>
      <c r="AE64" s="4">
        <v>41.56</v>
      </c>
      <c r="AF64" s="4">
        <v>61</v>
      </c>
      <c r="AG64" s="4">
        <v>42.08</v>
      </c>
      <c r="AH64" s="4">
        <v>151</v>
      </c>
      <c r="AI64" s="4">
        <v>0</v>
      </c>
      <c r="AJ64" s="4" t="b">
        <f t="shared" si="133"/>
        <v>0</v>
      </c>
      <c r="AL64" s="3">
        <v>41492</v>
      </c>
      <c r="AN64" s="67">
        <v>-2.25</v>
      </c>
      <c r="AO64" s="67">
        <v>1.25</v>
      </c>
      <c r="AP64" s="4">
        <v>140</v>
      </c>
      <c r="AQ64" s="4">
        <v>20</v>
      </c>
      <c r="AR64" s="4">
        <v>18</v>
      </c>
      <c r="AS64" s="4">
        <v>582</v>
      </c>
      <c r="AT64" s="4">
        <v>1996</v>
      </c>
      <c r="BA64" s="4">
        <f t="shared" si="134"/>
        <v>-1.625</v>
      </c>
      <c r="BB64" s="4">
        <f t="shared" si="265"/>
        <v>-1.4950000000000001</v>
      </c>
      <c r="BC64" s="4">
        <f t="shared" si="136"/>
        <v>-31</v>
      </c>
      <c r="BD64" s="3">
        <v>41674</v>
      </c>
      <c r="BE64" s="56">
        <v>80</v>
      </c>
      <c r="BF64" s="67">
        <v>-2</v>
      </c>
      <c r="BG64" s="67">
        <v>1.25</v>
      </c>
      <c r="BH64" s="4">
        <v>135</v>
      </c>
      <c r="BI64" s="4">
        <v>25</v>
      </c>
      <c r="BJ64" s="4">
        <v>12</v>
      </c>
      <c r="BK64" s="4">
        <v>562</v>
      </c>
      <c r="BL64" s="4">
        <v>2088</v>
      </c>
      <c r="BM64" s="4">
        <v>24.14</v>
      </c>
      <c r="BN64" s="4">
        <v>3.03</v>
      </c>
      <c r="BO64" s="4">
        <v>41.62</v>
      </c>
      <c r="BP64" s="4">
        <v>41</v>
      </c>
      <c r="BQ64" s="4">
        <v>42.13</v>
      </c>
      <c r="BR64" s="4">
        <v>131</v>
      </c>
      <c r="BS64" s="4">
        <f t="shared" si="266"/>
        <v>-1.375</v>
      </c>
      <c r="BT64" s="4">
        <f t="shared" si="138"/>
        <v>-1.2450000000000001</v>
      </c>
      <c r="BU64" s="4">
        <f t="shared" si="139"/>
        <v>-51</v>
      </c>
      <c r="BV64" s="4">
        <f>IF(AND(ISBLANK(SPH_6),ISBLANK(SPH_12)),0,1)</f>
        <v>1</v>
      </c>
      <c r="BW64" s="4">
        <f t="shared" si="140"/>
        <v>1</v>
      </c>
      <c r="BX64" s="4">
        <f t="shared" si="141"/>
        <v>1.5</v>
      </c>
      <c r="BY64" s="4">
        <f t="shared" si="142"/>
        <v>-1.625</v>
      </c>
      <c r="BZ64" s="4">
        <f t="shared" si="143"/>
        <v>-1.375</v>
      </c>
      <c r="CA64" s="53">
        <f t="shared" si="144"/>
        <v>351</v>
      </c>
      <c r="CB64" s="55">
        <f t="shared" si="145"/>
        <v>11.7</v>
      </c>
      <c r="CC64" s="4">
        <f t="shared" si="146"/>
        <v>0.25</v>
      </c>
      <c r="CD64" s="4" t="str">
        <f t="shared" si="147"/>
        <v/>
      </c>
      <c r="CE64" s="4">
        <f t="shared" si="148"/>
        <v>5.4999999999999716E-2</v>
      </c>
      <c r="CF64" s="4">
        <f t="shared" si="149"/>
        <v>5.4999999999999716E-2</v>
      </c>
      <c r="CG64" s="4">
        <f t="shared" si="263"/>
        <v>1.5</v>
      </c>
      <c r="CH64" s="4">
        <f t="shared" si="150"/>
        <v>-1.375</v>
      </c>
      <c r="CI64" s="104">
        <f t="shared" si="151"/>
        <v>-1.2450000000000001</v>
      </c>
      <c r="CJ64" s="94">
        <f t="shared" si="152"/>
        <v>-51</v>
      </c>
      <c r="CK64" s="4">
        <f t="shared" si="153"/>
        <v>1.0000000000001563E-2</v>
      </c>
      <c r="CL64" s="107">
        <f t="shared" si="154"/>
        <v>-0.13</v>
      </c>
      <c r="CM64" s="107">
        <f t="shared" si="264"/>
        <v>-9.6910013008056392E-2</v>
      </c>
      <c r="CN64" s="139">
        <f t="shared" si="155"/>
        <v>1.25</v>
      </c>
      <c r="CO64" s="139">
        <f t="shared" si="156"/>
        <v>0.25</v>
      </c>
      <c r="CP64" s="149">
        <f t="shared" si="157"/>
        <v>25</v>
      </c>
      <c r="CQ64" s="149">
        <f t="shared" si="158"/>
        <v>20</v>
      </c>
      <c r="CR64" s="148">
        <f t="shared" si="159"/>
        <v>80</v>
      </c>
      <c r="CS64" s="152" t="str">
        <f t="shared" si="160"/>
        <v/>
      </c>
      <c r="CT64" s="107" t="str">
        <f t="shared" si="161"/>
        <v/>
      </c>
      <c r="CU64" s="155" t="str">
        <f t="shared" si="162"/>
        <v/>
      </c>
      <c r="IJ64" s="94" t="str">
        <f t="shared" si="163"/>
        <v/>
      </c>
      <c r="IK64" s="4" t="str">
        <f t="shared" si="164"/>
        <v/>
      </c>
      <c r="IL64" s="4" t="str">
        <f t="shared" si="165"/>
        <v/>
      </c>
      <c r="IM64" s="4" t="str">
        <f t="shared" si="166"/>
        <v/>
      </c>
      <c r="IN64" s="4" t="str">
        <f t="shared" si="167"/>
        <v/>
      </c>
      <c r="IO64" s="4" t="str">
        <f t="shared" si="168"/>
        <v/>
      </c>
      <c r="IP64" s="4" t="str">
        <f t="shared" si="169"/>
        <v/>
      </c>
      <c r="IQ64" s="4" t="str">
        <f t="shared" si="170"/>
        <v/>
      </c>
      <c r="IR64" s="4" t="str">
        <f t="shared" si="171"/>
        <v/>
      </c>
      <c r="IS64" s="4" t="str">
        <f t="shared" si="172"/>
        <v/>
      </c>
      <c r="IT64" s="4" t="str">
        <f t="shared" si="173"/>
        <v/>
      </c>
      <c r="IU64" s="4" t="str">
        <f t="shared" si="174"/>
        <v/>
      </c>
      <c r="IV64" s="4" t="str">
        <f t="shared" si="175"/>
        <v/>
      </c>
      <c r="IW64" s="4" t="str">
        <f t="shared" si="176"/>
        <v/>
      </c>
      <c r="IX64" s="4" t="str">
        <f t="shared" si="177"/>
        <v/>
      </c>
      <c r="IY64" s="4" t="str">
        <f t="shared" si="178"/>
        <v/>
      </c>
      <c r="IZ64" s="4" t="str">
        <f t="shared" si="179"/>
        <v/>
      </c>
      <c r="JA64" s="4" t="str">
        <f t="shared" si="180"/>
        <v/>
      </c>
      <c r="JB64" s="4" t="str">
        <f t="shared" si="181"/>
        <v/>
      </c>
      <c r="JC64" s="4" t="str">
        <f t="shared" si="182"/>
        <v/>
      </c>
      <c r="JD64" s="4" t="str">
        <f t="shared" si="183"/>
        <v/>
      </c>
      <c r="JE64" s="4" t="str">
        <f t="shared" si="184"/>
        <v/>
      </c>
      <c r="JF64" s="4" t="str">
        <f t="shared" si="185"/>
        <v/>
      </c>
      <c r="JG64" s="4" t="str">
        <f t="shared" si="186"/>
        <v/>
      </c>
      <c r="JH64" s="4" t="str">
        <f t="shared" si="187"/>
        <v/>
      </c>
      <c r="JI64" s="4" t="str">
        <f t="shared" si="188"/>
        <v/>
      </c>
      <c r="JJ64" s="4" t="str">
        <f t="shared" si="189"/>
        <v/>
      </c>
      <c r="JK64" s="4" t="str">
        <f t="shared" si="190"/>
        <v/>
      </c>
      <c r="JL64" s="4" t="str">
        <f t="shared" si="191"/>
        <v/>
      </c>
      <c r="JM64" s="4" t="str">
        <f t="shared" si="192"/>
        <v/>
      </c>
      <c r="JN64" s="4" t="str">
        <f t="shared" si="193"/>
        <v/>
      </c>
      <c r="JO64" s="129" t="str">
        <f t="shared" si="194"/>
        <v/>
      </c>
      <c r="JP64" s="122" t="str">
        <f t="shared" si="195"/>
        <v/>
      </c>
      <c r="JQ64" s="122" t="str">
        <f t="shared" si="196"/>
        <v/>
      </c>
      <c r="JR64" s="122" t="str">
        <f t="shared" si="197"/>
        <v/>
      </c>
      <c r="JS64" s="122" t="str">
        <f t="shared" si="198"/>
        <v/>
      </c>
      <c r="JT64" s="122" t="str">
        <f t="shared" si="199"/>
        <v/>
      </c>
      <c r="JU64" s="122" t="str">
        <f t="shared" si="200"/>
        <v/>
      </c>
      <c r="JV64" s="122" t="str">
        <f t="shared" si="201"/>
        <v/>
      </c>
      <c r="JW64" s="122" t="str">
        <f t="shared" si="202"/>
        <v/>
      </c>
      <c r="JX64" s="122" t="str">
        <f t="shared" si="203"/>
        <v/>
      </c>
      <c r="JY64" s="122" t="str">
        <f t="shared" si="204"/>
        <v/>
      </c>
      <c r="JZ64" s="122" t="str">
        <f t="shared" si="205"/>
        <v/>
      </c>
      <c r="KA64" s="122" t="str">
        <f t="shared" si="206"/>
        <v/>
      </c>
      <c r="KB64" s="122" t="str">
        <f t="shared" si="207"/>
        <v/>
      </c>
      <c r="KC64" s="122" t="str">
        <f t="shared" si="208"/>
        <v/>
      </c>
      <c r="KD64" s="122" t="str">
        <f t="shared" si="209"/>
        <v/>
      </c>
      <c r="KE64" s="133" t="str">
        <f t="shared" si="210"/>
        <v/>
      </c>
      <c r="KF64" s="94" t="str">
        <f t="shared" si="211"/>
        <v/>
      </c>
      <c r="KG64" s="4" t="str">
        <f t="shared" si="212"/>
        <v/>
      </c>
      <c r="KH64" s="4" t="str">
        <f t="shared" si="213"/>
        <v/>
      </c>
      <c r="KI64" s="4" t="str">
        <f t="shared" si="214"/>
        <v/>
      </c>
      <c r="KJ64" s="4" t="str">
        <f t="shared" si="215"/>
        <v/>
      </c>
      <c r="KK64" s="4" t="str">
        <f t="shared" si="216"/>
        <v/>
      </c>
      <c r="KL64" s="4" t="str">
        <f t="shared" si="217"/>
        <v/>
      </c>
      <c r="KM64" s="4" t="str">
        <f t="shared" si="218"/>
        <v/>
      </c>
      <c r="KN64" s="4" t="str">
        <f t="shared" si="219"/>
        <v/>
      </c>
      <c r="KO64" s="4" t="str">
        <f t="shared" si="220"/>
        <v/>
      </c>
      <c r="KP64" s="4" t="str">
        <f t="shared" si="221"/>
        <v/>
      </c>
      <c r="KQ64" s="4" t="str">
        <f t="shared" si="222"/>
        <v/>
      </c>
      <c r="KR64" s="4" t="str">
        <f t="shared" si="223"/>
        <v/>
      </c>
      <c r="KS64" s="4" t="str">
        <f t="shared" si="224"/>
        <v/>
      </c>
      <c r="KT64" s="4" t="str">
        <f t="shared" si="225"/>
        <v/>
      </c>
      <c r="KU64" s="4" t="str">
        <f t="shared" si="226"/>
        <v/>
      </c>
      <c r="KV64" s="4" t="str">
        <f t="shared" si="227"/>
        <v/>
      </c>
      <c r="KW64" s="4" t="str">
        <f t="shared" si="228"/>
        <v/>
      </c>
      <c r="KX64" s="4" t="str">
        <f t="shared" si="229"/>
        <v/>
      </c>
      <c r="KY64" s="4" t="str">
        <f t="shared" si="230"/>
        <v/>
      </c>
      <c r="KZ64" s="4" t="str">
        <f t="shared" si="231"/>
        <v/>
      </c>
      <c r="LA64" s="4" t="str">
        <f t="shared" si="232"/>
        <v/>
      </c>
      <c r="LB64" s="4" t="str">
        <f t="shared" si="233"/>
        <v/>
      </c>
      <c r="LC64" s="4" t="str">
        <f t="shared" si="234"/>
        <v/>
      </c>
      <c r="LD64" s="4" t="str">
        <f t="shared" si="235"/>
        <v/>
      </c>
      <c r="LE64" s="4" t="str">
        <f t="shared" si="236"/>
        <v/>
      </c>
      <c r="LF64" s="4" t="str">
        <f t="shared" si="237"/>
        <v/>
      </c>
      <c r="LG64" s="4" t="str">
        <f t="shared" si="238"/>
        <v/>
      </c>
      <c r="LH64" s="4" t="str">
        <f t="shared" si="239"/>
        <v/>
      </c>
      <c r="LI64" s="4" t="str">
        <f t="shared" si="240"/>
        <v/>
      </c>
      <c r="LJ64" s="4" t="str">
        <f t="shared" si="241"/>
        <v/>
      </c>
      <c r="LK64" s="4" t="str">
        <f t="shared" si="242"/>
        <v/>
      </c>
      <c r="LL64" s="4" t="str">
        <f t="shared" si="243"/>
        <v/>
      </c>
      <c r="LM64" s="4" t="str">
        <f t="shared" si="244"/>
        <v/>
      </c>
      <c r="LN64" s="4" t="str">
        <f t="shared" si="245"/>
        <v/>
      </c>
      <c r="LO64" s="4" t="str">
        <f t="shared" si="246"/>
        <v/>
      </c>
      <c r="LP64" s="4" t="str">
        <f t="shared" si="247"/>
        <v/>
      </c>
      <c r="LQ64" s="4" t="str">
        <f t="shared" si="248"/>
        <v/>
      </c>
      <c r="LR64" s="4" t="str">
        <f t="shared" si="249"/>
        <v/>
      </c>
      <c r="LS64" s="4" t="str">
        <f t="shared" si="250"/>
        <v/>
      </c>
      <c r="LT64" s="4" t="str">
        <f t="shared" si="251"/>
        <v/>
      </c>
      <c r="LU64" s="4" t="str">
        <f t="shared" si="252"/>
        <v/>
      </c>
      <c r="LV64" s="4" t="str">
        <f t="shared" si="253"/>
        <v/>
      </c>
      <c r="LW64" s="4" t="str">
        <f t="shared" si="254"/>
        <v/>
      </c>
      <c r="LX64" s="4" t="str">
        <f t="shared" si="255"/>
        <v/>
      </c>
      <c r="LY64" s="4" t="str">
        <f t="shared" si="256"/>
        <v/>
      </c>
      <c r="LZ64" s="4" t="str">
        <f t="shared" si="257"/>
        <v/>
      </c>
      <c r="MA64" s="4" t="str">
        <f t="shared" si="258"/>
        <v/>
      </c>
      <c r="MB64" s="4" t="str">
        <f t="shared" si="259"/>
        <v/>
      </c>
      <c r="MC64" s="4" t="str">
        <f t="shared" si="260"/>
        <v/>
      </c>
      <c r="MD64" s="4" t="str">
        <f t="shared" si="261"/>
        <v/>
      </c>
      <c r="ME64" s="4">
        <f t="shared" si="262"/>
        <v>0</v>
      </c>
    </row>
    <row r="65" spans="1:343" ht="26.25" customHeight="1" x14ac:dyDescent="0.2">
      <c r="A65" s="35">
        <v>41290</v>
      </c>
      <c r="B65" s="36" t="s">
        <v>193</v>
      </c>
      <c r="C65" s="36" t="s">
        <v>28</v>
      </c>
      <c r="D65" s="31" t="s">
        <v>111</v>
      </c>
      <c r="E65" s="4">
        <v>61</v>
      </c>
      <c r="F65" s="3">
        <v>18791</v>
      </c>
      <c r="G65" s="4" t="s">
        <v>87</v>
      </c>
      <c r="H65" s="4" t="s">
        <v>108</v>
      </c>
      <c r="I65" s="4">
        <v>1834781</v>
      </c>
      <c r="K65" s="76"/>
      <c r="L65" s="76"/>
      <c r="M65" s="76"/>
      <c r="N65" s="79"/>
      <c r="O65" s="76"/>
      <c r="P65" s="33">
        <v>-0.5</v>
      </c>
      <c r="Q65" s="4">
        <v>-0.7</v>
      </c>
      <c r="R65" s="33" t="s">
        <v>249</v>
      </c>
      <c r="S65" s="67">
        <v>20.5</v>
      </c>
      <c r="T65" s="136">
        <v>41288</v>
      </c>
      <c r="U65" s="67">
        <v>1</v>
      </c>
      <c r="V65" s="67">
        <v>0</v>
      </c>
      <c r="W65" s="4">
        <v>0</v>
      </c>
      <c r="X65" s="4">
        <v>30</v>
      </c>
      <c r="Y65" s="4">
        <v>18</v>
      </c>
      <c r="Z65" s="4">
        <v>646</v>
      </c>
      <c r="AA65" s="4">
        <v>24.21</v>
      </c>
      <c r="AB65" s="4">
        <v>12</v>
      </c>
      <c r="AC65" s="4">
        <v>4.8499999999999996</v>
      </c>
      <c r="AD65" s="4">
        <v>3.07</v>
      </c>
      <c r="AE65" s="4">
        <v>42.4</v>
      </c>
      <c r="AF65" s="4">
        <v>67</v>
      </c>
      <c r="AG65" s="4">
        <v>42.72</v>
      </c>
      <c r="AH65" s="4">
        <v>157</v>
      </c>
      <c r="AI65" s="4">
        <v>0</v>
      </c>
      <c r="AJ65" s="4" t="b">
        <f t="shared" si="133"/>
        <v>0</v>
      </c>
      <c r="AL65" s="37">
        <v>41407</v>
      </c>
      <c r="AM65" s="59">
        <v>40</v>
      </c>
      <c r="AN65" s="67">
        <v>-0.25</v>
      </c>
      <c r="AO65" s="67">
        <v>1.75</v>
      </c>
      <c r="AP65" s="4">
        <v>15</v>
      </c>
      <c r="AQ65" s="4">
        <v>25</v>
      </c>
      <c r="AR65" s="4">
        <v>24</v>
      </c>
      <c r="AS65" s="4">
        <v>549</v>
      </c>
      <c r="AT65" s="4">
        <v>2062</v>
      </c>
      <c r="BA65" s="4">
        <f t="shared" si="134"/>
        <v>0.625</v>
      </c>
      <c r="BB65" s="4">
        <f t="shared" si="265"/>
        <v>1.325</v>
      </c>
      <c r="BC65" s="4">
        <f t="shared" si="136"/>
        <v>-97</v>
      </c>
      <c r="BD65" s="3">
        <v>41674</v>
      </c>
      <c r="BE65" s="56">
        <v>70</v>
      </c>
      <c r="BF65" s="67">
        <v>-1.5</v>
      </c>
      <c r="BG65" s="67">
        <v>1</v>
      </c>
      <c r="BH65" s="4">
        <v>167</v>
      </c>
      <c r="BI65" s="4">
        <v>30</v>
      </c>
      <c r="BJ65" s="4">
        <v>12</v>
      </c>
      <c r="BK65" s="4">
        <v>561</v>
      </c>
      <c r="BL65" s="4">
        <v>2088</v>
      </c>
      <c r="BM65" s="4">
        <v>21.24</v>
      </c>
      <c r="BN65" s="4">
        <v>2.8</v>
      </c>
      <c r="BO65" s="4">
        <v>41.98</v>
      </c>
      <c r="BP65" s="4">
        <v>123</v>
      </c>
      <c r="BQ65" s="4">
        <v>42.51</v>
      </c>
      <c r="BR65" s="4">
        <v>33</v>
      </c>
      <c r="BS65" s="4">
        <f t="shared" si="266"/>
        <v>-1</v>
      </c>
      <c r="BT65" s="4">
        <f t="shared" si="138"/>
        <v>-0.30000000000000004</v>
      </c>
      <c r="BU65" s="4">
        <f t="shared" si="139"/>
        <v>-85</v>
      </c>
      <c r="BV65" s="4">
        <f>IF(AND(ISBLANK(SPH_6),ISBLANK(SPH_12)),0,1)</f>
        <v>1</v>
      </c>
      <c r="BW65" s="4">
        <f t="shared" si="140"/>
        <v>1</v>
      </c>
      <c r="BX65" s="4">
        <f t="shared" si="141"/>
        <v>1</v>
      </c>
      <c r="BY65" s="4">
        <f t="shared" si="142"/>
        <v>0.625</v>
      </c>
      <c r="BZ65" s="4">
        <f t="shared" si="143"/>
        <v>-1</v>
      </c>
      <c r="CA65" s="53">
        <f t="shared" si="144"/>
        <v>384</v>
      </c>
      <c r="CB65" s="55">
        <f t="shared" si="145"/>
        <v>12.8</v>
      </c>
      <c r="CC65" s="4">
        <f t="shared" si="146"/>
        <v>-1.625</v>
      </c>
      <c r="CD65" s="4" t="str">
        <f t="shared" si="147"/>
        <v/>
      </c>
      <c r="CE65" s="4">
        <f t="shared" si="148"/>
        <v>-0.31500000000000483</v>
      </c>
      <c r="CF65" s="4">
        <f t="shared" si="149"/>
        <v>-0.31500000000000483</v>
      </c>
      <c r="CG65" s="4">
        <f t="shared" si="263"/>
        <v>1</v>
      </c>
      <c r="CH65" s="4">
        <f t="shared" si="150"/>
        <v>-1</v>
      </c>
      <c r="CI65" s="104">
        <f t="shared" si="151"/>
        <v>-0.30000000000000004</v>
      </c>
      <c r="CJ65" s="94">
        <f t="shared" si="152"/>
        <v>-85</v>
      </c>
      <c r="CK65" s="4">
        <f t="shared" si="153"/>
        <v>-2.9700000000000024</v>
      </c>
      <c r="CL65" s="107">
        <f t="shared" si="154"/>
        <v>-0.7</v>
      </c>
      <c r="CM65" s="107">
        <f t="shared" si="264"/>
        <v>0</v>
      </c>
      <c r="CN65" s="139">
        <f t="shared" si="155"/>
        <v>1</v>
      </c>
      <c r="CO65" s="139">
        <f t="shared" si="156"/>
        <v>1</v>
      </c>
      <c r="CP65" s="149">
        <f t="shared" si="157"/>
        <v>30</v>
      </c>
      <c r="CQ65" s="149">
        <f t="shared" si="158"/>
        <v>30</v>
      </c>
      <c r="CR65" s="148">
        <f t="shared" si="159"/>
        <v>70</v>
      </c>
      <c r="CS65" s="152" t="str">
        <f t="shared" si="160"/>
        <v/>
      </c>
      <c r="CT65" s="107" t="str">
        <f t="shared" si="161"/>
        <v/>
      </c>
      <c r="CU65" s="155" t="str">
        <f t="shared" si="162"/>
        <v/>
      </c>
      <c r="ER65" s="94">
        <v>8.23</v>
      </c>
      <c r="ES65" s="4">
        <v>7.87</v>
      </c>
      <c r="ET65" s="4">
        <v>146.30000000000001</v>
      </c>
      <c r="EU65" s="4">
        <v>-1.9</v>
      </c>
      <c r="EV65" s="4">
        <v>0.31</v>
      </c>
      <c r="EW65" s="4">
        <v>0.52</v>
      </c>
      <c r="EX65" s="4">
        <v>4.72</v>
      </c>
      <c r="EY65" s="4">
        <v>5.3</v>
      </c>
      <c r="EZ65" s="4">
        <v>575</v>
      </c>
      <c r="FA65" s="4">
        <v>573</v>
      </c>
      <c r="FB65" s="4">
        <v>699</v>
      </c>
      <c r="FC65" s="4">
        <v>651</v>
      </c>
      <c r="FD65" s="4">
        <v>680</v>
      </c>
      <c r="FE65" s="4">
        <v>627</v>
      </c>
      <c r="FF65" s="4">
        <v>557</v>
      </c>
      <c r="FG65" s="4">
        <v>-0.93</v>
      </c>
      <c r="FH65" s="4">
        <v>-0.93</v>
      </c>
      <c r="FI65" s="4">
        <v>8.06</v>
      </c>
      <c r="FJ65" s="4">
        <v>8.07</v>
      </c>
      <c r="FK65" s="4">
        <v>8.11</v>
      </c>
      <c r="FL65" s="4">
        <v>8.23</v>
      </c>
      <c r="FM65" s="4">
        <v>8.4</v>
      </c>
      <c r="FN65" s="4">
        <v>8.6</v>
      </c>
      <c r="FO65" s="4">
        <v>0</v>
      </c>
      <c r="FP65" s="4">
        <v>1.3</v>
      </c>
      <c r="FQ65" s="4">
        <v>6.53</v>
      </c>
      <c r="FR65" s="4">
        <v>6.44</v>
      </c>
      <c r="FS65" s="4">
        <v>6.6</v>
      </c>
      <c r="FT65" s="4">
        <v>6.94</v>
      </c>
      <c r="FU65" s="4">
        <v>7.12</v>
      </c>
      <c r="FV65" s="4">
        <v>0</v>
      </c>
      <c r="FW65" s="4">
        <v>0</v>
      </c>
      <c r="FX65" s="97">
        <v>1.3</v>
      </c>
      <c r="IJ65" s="94">
        <f t="shared" si="163"/>
        <v>8.23</v>
      </c>
      <c r="IK65" s="4">
        <f t="shared" si="164"/>
        <v>7.87</v>
      </c>
      <c r="IL65" s="4">
        <f t="shared" si="165"/>
        <v>146.30000000000001</v>
      </c>
      <c r="IM65" s="4">
        <f t="shared" si="166"/>
        <v>-1.9</v>
      </c>
      <c r="IN65" s="4">
        <f t="shared" si="167"/>
        <v>0.31</v>
      </c>
      <c r="IO65" s="4">
        <f t="shared" si="168"/>
        <v>0.52</v>
      </c>
      <c r="IP65" s="4">
        <f t="shared" si="169"/>
        <v>4.72</v>
      </c>
      <c r="IQ65" s="4">
        <f t="shared" si="170"/>
        <v>5.3</v>
      </c>
      <c r="IR65" s="4">
        <f t="shared" si="171"/>
        <v>575</v>
      </c>
      <c r="IS65" s="4">
        <f t="shared" si="172"/>
        <v>573</v>
      </c>
      <c r="IT65" s="4">
        <f t="shared" si="173"/>
        <v>699</v>
      </c>
      <c r="IU65" s="4">
        <f t="shared" si="174"/>
        <v>651</v>
      </c>
      <c r="IV65" s="4">
        <f t="shared" si="175"/>
        <v>680</v>
      </c>
      <c r="IW65" s="4">
        <f t="shared" si="176"/>
        <v>627</v>
      </c>
      <c r="IX65" s="4">
        <f t="shared" si="177"/>
        <v>557</v>
      </c>
      <c r="IY65" s="4">
        <f t="shared" si="178"/>
        <v>-0.93</v>
      </c>
      <c r="IZ65" s="4">
        <f t="shared" si="179"/>
        <v>-0.93</v>
      </c>
      <c r="JA65" s="4">
        <f t="shared" si="180"/>
        <v>8.06</v>
      </c>
      <c r="JB65" s="4">
        <f t="shared" si="181"/>
        <v>8.07</v>
      </c>
      <c r="JC65" s="4">
        <f t="shared" si="182"/>
        <v>8.11</v>
      </c>
      <c r="JD65" s="4">
        <f t="shared" si="183"/>
        <v>8.23</v>
      </c>
      <c r="JE65" s="4">
        <f t="shared" si="184"/>
        <v>8.4</v>
      </c>
      <c r="JF65" s="4">
        <f t="shared" si="185"/>
        <v>8.6</v>
      </c>
      <c r="JG65" s="4">
        <f t="shared" si="186"/>
        <v>0</v>
      </c>
      <c r="JH65" s="4">
        <f t="shared" si="187"/>
        <v>1.3</v>
      </c>
      <c r="JI65" s="4">
        <f t="shared" si="188"/>
        <v>6.53</v>
      </c>
      <c r="JJ65" s="4">
        <f t="shared" si="189"/>
        <v>6.44</v>
      </c>
      <c r="JK65" s="4">
        <f t="shared" si="190"/>
        <v>6.6</v>
      </c>
      <c r="JL65" s="4">
        <f t="shared" si="191"/>
        <v>6.94</v>
      </c>
      <c r="JM65" s="4">
        <f t="shared" si="192"/>
        <v>7.12</v>
      </c>
      <c r="JN65" s="4">
        <f t="shared" si="193"/>
        <v>0</v>
      </c>
      <c r="JO65" s="129">
        <f t="shared" si="194"/>
        <v>0</v>
      </c>
      <c r="JP65" s="122">
        <f t="shared" si="195"/>
        <v>1.3</v>
      </c>
      <c r="JQ65" s="122" t="str">
        <f t="shared" si="196"/>
        <v/>
      </c>
      <c r="JR65" s="122" t="str">
        <f t="shared" si="197"/>
        <v/>
      </c>
      <c r="JS65" s="122" t="str">
        <f t="shared" si="198"/>
        <v/>
      </c>
      <c r="JT65" s="122" t="str">
        <f t="shared" si="199"/>
        <v/>
      </c>
      <c r="JU65" s="122" t="str">
        <f t="shared" si="200"/>
        <v/>
      </c>
      <c r="JV65" s="122" t="str">
        <f t="shared" si="201"/>
        <v/>
      </c>
      <c r="JW65" s="122" t="str">
        <f t="shared" si="202"/>
        <v/>
      </c>
      <c r="JX65" s="122" t="str">
        <f t="shared" si="203"/>
        <v/>
      </c>
      <c r="JY65" s="122" t="str">
        <f t="shared" si="204"/>
        <v/>
      </c>
      <c r="JZ65" s="122" t="str">
        <f t="shared" si="205"/>
        <v/>
      </c>
      <c r="KA65" s="122" t="str">
        <f t="shared" si="206"/>
        <v/>
      </c>
      <c r="KB65" s="122" t="str">
        <f t="shared" si="207"/>
        <v/>
      </c>
      <c r="KC65" s="122" t="str">
        <f t="shared" si="208"/>
        <v/>
      </c>
      <c r="KD65" s="122" t="str">
        <f t="shared" si="209"/>
        <v/>
      </c>
      <c r="KE65" s="133" t="str">
        <f t="shared" si="210"/>
        <v/>
      </c>
      <c r="KF65" s="94" t="str">
        <f t="shared" si="211"/>
        <v/>
      </c>
      <c r="KG65" s="4" t="str">
        <f t="shared" si="212"/>
        <v/>
      </c>
      <c r="KH65" s="4" t="str">
        <f t="shared" si="213"/>
        <v/>
      </c>
      <c r="KI65" s="4" t="str">
        <f t="shared" si="214"/>
        <v/>
      </c>
      <c r="KJ65" s="4" t="str">
        <f t="shared" si="215"/>
        <v/>
      </c>
      <c r="KK65" s="4" t="str">
        <f t="shared" si="216"/>
        <v/>
      </c>
      <c r="KL65" s="4" t="str">
        <f t="shared" si="217"/>
        <v/>
      </c>
      <c r="KM65" s="4" t="str">
        <f t="shared" si="218"/>
        <v/>
      </c>
      <c r="KN65" s="4" t="str">
        <f t="shared" si="219"/>
        <v/>
      </c>
      <c r="KO65" s="4" t="str">
        <f t="shared" si="220"/>
        <v/>
      </c>
      <c r="KP65" s="4" t="str">
        <f t="shared" si="221"/>
        <v/>
      </c>
      <c r="KQ65" s="4" t="str">
        <f t="shared" si="222"/>
        <v/>
      </c>
      <c r="KR65" s="4" t="str">
        <f t="shared" si="223"/>
        <v/>
      </c>
      <c r="KS65" s="4" t="str">
        <f t="shared" si="224"/>
        <v/>
      </c>
      <c r="KT65" s="4" t="str">
        <f t="shared" si="225"/>
        <v/>
      </c>
      <c r="KU65" s="4" t="str">
        <f t="shared" si="226"/>
        <v/>
      </c>
      <c r="KV65" s="4" t="str">
        <f t="shared" si="227"/>
        <v/>
      </c>
      <c r="KW65" s="4" t="str">
        <f t="shared" si="228"/>
        <v/>
      </c>
      <c r="KX65" s="4" t="str">
        <f t="shared" si="229"/>
        <v/>
      </c>
      <c r="KY65" s="4" t="str">
        <f t="shared" si="230"/>
        <v/>
      </c>
      <c r="KZ65" s="4" t="str">
        <f t="shared" si="231"/>
        <v/>
      </c>
      <c r="LA65" s="4" t="str">
        <f t="shared" si="232"/>
        <v/>
      </c>
      <c r="LB65" s="4" t="str">
        <f t="shared" si="233"/>
        <v/>
      </c>
      <c r="LC65" s="4" t="str">
        <f t="shared" si="234"/>
        <v/>
      </c>
      <c r="LD65" s="4" t="str">
        <f t="shared" si="235"/>
        <v/>
      </c>
      <c r="LE65" s="4" t="str">
        <f t="shared" si="236"/>
        <v/>
      </c>
      <c r="LF65" s="4" t="str">
        <f t="shared" si="237"/>
        <v/>
      </c>
      <c r="LG65" s="4" t="str">
        <f t="shared" si="238"/>
        <v/>
      </c>
      <c r="LH65" s="4" t="str">
        <f t="shared" si="239"/>
        <v/>
      </c>
      <c r="LI65" s="4" t="str">
        <f t="shared" si="240"/>
        <v/>
      </c>
      <c r="LJ65" s="4" t="str">
        <f t="shared" si="241"/>
        <v/>
      </c>
      <c r="LK65" s="4" t="str">
        <f t="shared" si="242"/>
        <v/>
      </c>
      <c r="LL65" s="4" t="str">
        <f t="shared" si="243"/>
        <v/>
      </c>
      <c r="LM65" s="4" t="str">
        <f t="shared" si="244"/>
        <v/>
      </c>
      <c r="LN65" s="4" t="str">
        <f t="shared" si="245"/>
        <v/>
      </c>
      <c r="LO65" s="4" t="str">
        <f t="shared" si="246"/>
        <v/>
      </c>
      <c r="LP65" s="4" t="str">
        <f t="shared" si="247"/>
        <v/>
      </c>
      <c r="LQ65" s="4" t="str">
        <f t="shared" si="248"/>
        <v/>
      </c>
      <c r="LR65" s="4" t="str">
        <f t="shared" si="249"/>
        <v/>
      </c>
      <c r="LS65" s="4" t="str">
        <f t="shared" si="250"/>
        <v/>
      </c>
      <c r="LT65" s="4" t="str">
        <f t="shared" si="251"/>
        <v/>
      </c>
      <c r="LU65" s="4" t="str">
        <f t="shared" si="252"/>
        <v/>
      </c>
      <c r="LV65" s="4" t="str">
        <f t="shared" si="253"/>
        <v/>
      </c>
      <c r="LW65" s="4" t="str">
        <f t="shared" si="254"/>
        <v/>
      </c>
      <c r="LX65" s="4" t="str">
        <f t="shared" si="255"/>
        <v/>
      </c>
      <c r="LY65" s="4" t="str">
        <f t="shared" si="256"/>
        <v/>
      </c>
      <c r="LZ65" s="4" t="str">
        <f t="shared" si="257"/>
        <v/>
      </c>
      <c r="MA65" s="4" t="str">
        <f t="shared" si="258"/>
        <v/>
      </c>
      <c r="MB65" s="4" t="str">
        <f t="shared" si="259"/>
        <v/>
      </c>
      <c r="MC65" s="4" t="str">
        <f t="shared" si="260"/>
        <v/>
      </c>
      <c r="MD65" s="4" t="str">
        <f t="shared" si="261"/>
        <v/>
      </c>
      <c r="ME65" s="4">
        <f t="shared" si="262"/>
        <v>0</v>
      </c>
    </row>
    <row r="66" spans="1:343" ht="26.25" customHeight="1" thickBot="1" x14ac:dyDescent="0.25">
      <c r="A66" s="35">
        <v>41199</v>
      </c>
      <c r="B66" s="36" t="s">
        <v>231</v>
      </c>
      <c r="C66" s="36" t="s">
        <v>98</v>
      </c>
      <c r="D66" s="31" t="s">
        <v>111</v>
      </c>
      <c r="E66" s="4">
        <v>62</v>
      </c>
      <c r="F66" s="3">
        <v>18192</v>
      </c>
      <c r="G66" s="4" t="s">
        <v>87</v>
      </c>
      <c r="H66" s="4" t="s">
        <v>108</v>
      </c>
      <c r="I66" s="4">
        <v>1834859</v>
      </c>
      <c r="K66" s="76"/>
      <c r="L66" s="76"/>
      <c r="M66" s="76"/>
      <c r="N66" s="76"/>
      <c r="O66" s="76"/>
      <c r="P66" s="4">
        <v>-0.75</v>
      </c>
      <c r="Q66" s="4">
        <v>-0.8</v>
      </c>
      <c r="R66" s="4" t="s">
        <v>249</v>
      </c>
      <c r="S66" s="67">
        <v>33</v>
      </c>
      <c r="T66" s="136">
        <v>41194</v>
      </c>
      <c r="U66" s="67">
        <v>4.75</v>
      </c>
      <c r="V66" s="67">
        <v>1.25</v>
      </c>
      <c r="W66" s="4">
        <v>70</v>
      </c>
      <c r="X66" s="4">
        <v>30</v>
      </c>
      <c r="Y66" s="4">
        <v>18</v>
      </c>
      <c r="Z66" s="4">
        <v>771</v>
      </c>
      <c r="AA66" s="4">
        <v>20.239999999999998</v>
      </c>
      <c r="AD66" s="4">
        <v>2.5299999999999998</v>
      </c>
      <c r="AE66" s="4">
        <v>44.18</v>
      </c>
      <c r="AF66" s="4">
        <v>161</v>
      </c>
      <c r="AG66" s="4">
        <v>45.49</v>
      </c>
      <c r="AH66" s="4">
        <v>71</v>
      </c>
      <c r="AI66" s="4">
        <v>1</v>
      </c>
      <c r="AJ66" s="4" t="b">
        <f t="shared" ref="AJ66:AJ97" si="267">IF(AND(ISNUMBER(SK),SK&gt;0),TRUE,FALSE)</f>
        <v>1</v>
      </c>
      <c r="AL66" s="32">
        <v>41408</v>
      </c>
      <c r="AM66" s="60">
        <v>40</v>
      </c>
      <c r="AN66" s="67">
        <v>0.5</v>
      </c>
      <c r="AO66" s="67">
        <v>0.75</v>
      </c>
      <c r="AP66" s="4">
        <v>75</v>
      </c>
      <c r="AQ66" s="4">
        <v>30</v>
      </c>
      <c r="AR66" s="4">
        <v>21</v>
      </c>
      <c r="AS66" s="4">
        <v>599</v>
      </c>
      <c r="AT66" s="4">
        <v>1776</v>
      </c>
      <c r="BA66" s="4">
        <f t="shared" ref="BA66:BA97" si="268">IF(ISNUMBER(AN66),AN66+0.5*AO66,"")</f>
        <v>0.875</v>
      </c>
      <c r="BB66" s="4">
        <f t="shared" si="265"/>
        <v>1.675</v>
      </c>
      <c r="BC66" s="4">
        <f t="shared" ref="BC66:BC97" si="269">IF(AND(ISNUMBER(AS66),ISNUMBER(Z66)),AS66-Z66,IF(ISNUMBER(AS66),"MISSING",""))</f>
        <v>-172</v>
      </c>
      <c r="BD66" s="3">
        <v>41577</v>
      </c>
      <c r="BE66" s="56">
        <v>40</v>
      </c>
      <c r="BF66" s="67">
        <v>0.5</v>
      </c>
      <c r="BG66" s="67">
        <v>1.25</v>
      </c>
      <c r="BH66" s="4">
        <v>23</v>
      </c>
      <c r="BI66" s="4">
        <v>40</v>
      </c>
      <c r="BJ66" s="4">
        <v>16</v>
      </c>
      <c r="BK66" s="4">
        <v>566</v>
      </c>
      <c r="BL66" s="4">
        <v>1667</v>
      </c>
      <c r="BM66" s="4">
        <v>20.12</v>
      </c>
      <c r="BN66" s="4" t="s">
        <v>282</v>
      </c>
      <c r="BO66" s="4">
        <v>43.32</v>
      </c>
      <c r="BP66" s="4">
        <v>129</v>
      </c>
      <c r="BQ66" s="4">
        <v>43.83</v>
      </c>
      <c r="BR66" s="4">
        <v>39</v>
      </c>
      <c r="BS66" s="4">
        <f t="shared" si="266"/>
        <v>1.125</v>
      </c>
      <c r="BT66" s="4">
        <f t="shared" ref="BT66:BT97" si="270">IF(ISNUMBER(BS66),IF(ISNUMBER($Q66),BS66-$Q66,"MISSING"),"")</f>
        <v>1.925</v>
      </c>
      <c r="BU66" s="4">
        <f t="shared" ref="BU66:BU97" si="271">IF(AND(ISNUMBER(BK66),ISNUMBER($Z66)),BK66-$Z66,IF(ISNUMBER(BK66),"MISSING",""))</f>
        <v>-205</v>
      </c>
      <c r="BV66" s="4">
        <f>IF(AND(ISBLANK(SPH_6),ISBLANK(SPH_12)),0,1)</f>
        <v>1</v>
      </c>
      <c r="BW66" s="4">
        <f t="shared" ref="BW66:BW97" si="272">IF(AND(ISNUMBER($AN66),ISNUMBER($BF66)),1,0)</f>
        <v>1</v>
      </c>
      <c r="BX66" s="4">
        <f t="shared" ref="BX66:BX97" si="273">IF(BW66,SE_PREOP,"")</f>
        <v>5.375</v>
      </c>
      <c r="BY66" s="4">
        <f t="shared" ref="BY66:BY97" si="274">IF(FU_6_AND_12,SE_6,"")</f>
        <v>0.875</v>
      </c>
      <c r="BZ66" s="4">
        <f t="shared" ref="BZ66:BZ97" si="275">IF(FU_6_AND_12,SE_12,"")</f>
        <v>1.125</v>
      </c>
      <c r="CA66" s="53">
        <f t="shared" ref="CA66:CA97" si="276">IF(AND(ISNUMBER(BD66),ISNUMBER(BF66)),BD66-A66,IF(ISNUMBER(AL66),AL66-A66,0))</f>
        <v>378</v>
      </c>
      <c r="CB66" s="55">
        <f t="shared" ref="CB66:CB97" si="277">IF(CA66&gt;0,CA66/30,"")</f>
        <v>12.6</v>
      </c>
      <c r="CC66" s="4">
        <f t="shared" ref="CC66:CC97" si="278">IF(AND(ISNUMBER(BA66),ISNUMBER(BS66)),(BS66-BA66),"")</f>
        <v>0.25</v>
      </c>
      <c r="CD66" s="4" t="str">
        <f t="shared" ref="CD66:CD97" si="279">IF(AND(ISNUMBER(AY66), ISNUMBER(AE66)), AVERAGE(AY66,AW66)-AVERAGE(AE66,AG66),"")</f>
        <v/>
      </c>
      <c r="CE66" s="4">
        <f t="shared" ref="CE66:CE97" si="280">IF(AND(ISNUMBER(BO66), ISNUMBER(AE66)), AVERAGE(BO66,BQ66)-AVERAGE(AE66,AG66),"")</f>
        <v>-1.259999999999998</v>
      </c>
      <c r="CF66" s="4">
        <f t="shared" ref="CF66:CF97" si="281">IF(ISNUMBER(CE66),CE66,IF(ISNUMBER(CD66),CD66,""))</f>
        <v>-1.259999999999998</v>
      </c>
      <c r="CG66" s="4">
        <f t="shared" si="263"/>
        <v>5.375</v>
      </c>
      <c r="CH66" s="4">
        <f t="shared" ref="CH66:CH97" si="282">IF(ISNUMBER(SE_12),SE_12,IF(ISNUMBER(SE_6),SE_6,""))</f>
        <v>1.125</v>
      </c>
      <c r="CI66" s="104">
        <f t="shared" ref="CI66:CI97" si="283">IF(AND(ISNUMBER(SE_LAST_),ISNUMBER(REF_TARGET)),SE_LAST_-REF_TARGET,"")</f>
        <v>1.925</v>
      </c>
      <c r="CJ66" s="94">
        <f t="shared" ref="CJ66:CJ97" si="284">IF(ISNUMBER(Z66),IF(ISNUMBER(BK66),BK66-Z66,IF(ISNUMBER(AS66),AS66-Z66,"")),"")</f>
        <v>-205</v>
      </c>
      <c r="CK66" s="4">
        <f t="shared" ref="CK66:CK97" si="285">IF(ISNUMBER(AA66),IF(ISNUMBER(AU66),AU66-AA66,IF(ISNUMBER(BM66),BM66-AA66,"")),"")</f>
        <v>-0.11999999999999744</v>
      </c>
      <c r="CL66" s="107">
        <f t="shared" ref="CL66:CL97" si="286">IF(ISNUMBER(LAST_SE_ERROR),REF_TARGET,"")</f>
        <v>-0.8</v>
      </c>
      <c r="CM66" s="107">
        <f>IF(AND(OR(ISNUMBER(BCVA_12),ISNUMBER(BCVA_6)),ISNUMBER(BCVA_PREOP)),-LOG(20/BCVA_PREOP)-(-LOG(20/IF(ISNUMBER(BCVA_12),BCVA_12,BCVA_6))),"")</f>
        <v>-0.12493873660829993</v>
      </c>
      <c r="CN66" s="139">
        <f t="shared" ref="CN66:CN97" si="287">IF(ISNUMBER(BG66),BG66,IF(ISNUMBER(AO66),AO66,""))</f>
        <v>1.25</v>
      </c>
      <c r="CO66" s="139">
        <f t="shared" ref="CO66:CO97" si="288">IF(AND(ISNUMBER(CN66),ISNUMBER(V66)),CN66-V66,"")</f>
        <v>0</v>
      </c>
      <c r="CP66" s="149">
        <f t="shared" ref="CP66:CP97" si="289">IF(ISNUMBER(BCVA_12),BCVA_12,IF(ISNUMBER(BCVA_6),BCVA_6,""))</f>
        <v>40</v>
      </c>
      <c r="CQ66" s="149">
        <f t="shared" ref="CQ66:CQ97" si="290">IF(ISNUMBER(CP66),PREOP_BCVA,"")</f>
        <v>30</v>
      </c>
      <c r="CR66" s="148">
        <f t="shared" ref="CR66:CR97" si="291">IF(AND(REF_TARGET&lt;=0,REF_TARGET&gt;-1),IF(ISNUMBER(UDVA_12),UDVA_12,IF(ISNUMBER(UDVA_6),UDVA_6,"")),"")</f>
        <v>40</v>
      </c>
      <c r="CS66" s="152">
        <f t="shared" ref="CS66:CS97" si="292">IF(ISNUMBER(PREOP_PENTACAM_RV),IF(ISNUMBER(SPH_6),IF(ISNUMBER($ER66),0,1),""),"")</f>
        <v>1</v>
      </c>
      <c r="CT66" s="107">
        <f t="shared" ref="CT66:CT97" si="293">IF(ISNUMBER(PREOP_PENTACAM_RV),IF(ISNUMBER(SPH_12),IF(ISNUMBER($GN66),0,1),""),"")</f>
        <v>0</v>
      </c>
      <c r="CU66" s="155" t="b">
        <f t="shared" ref="CU66:CU97" si="294">IF(OR(ISNUMBER(MISSING_PENT_6),ISNUMBER(MISSING_PENT_12)),IF(AND(ISNUMBER(MISSING_PENT_6),ISNUMBER(MISSING_PENT_12)),AND(MISSING_PENT_6,MISSING_PENT_12),IF(ISNUMBER(MISSING_PENT_6),INT(MISSING_PENT_6)&gt;0,INT(MISSING_PENT_12)&gt;0)),"")</f>
        <v>0</v>
      </c>
      <c r="CV66">
        <v>7.87</v>
      </c>
      <c r="CW66" s="4">
        <v>7.54</v>
      </c>
      <c r="CX66" s="4">
        <v>168.6</v>
      </c>
      <c r="CY66" s="4">
        <v>-1.9</v>
      </c>
      <c r="CZ66" s="4">
        <v>0.55000000000000004</v>
      </c>
      <c r="DA66" s="4">
        <v>0.68</v>
      </c>
      <c r="DB66" s="4">
        <v>1.88</v>
      </c>
      <c r="DC66" s="4">
        <v>2.62</v>
      </c>
      <c r="DD66" s="4">
        <v>745</v>
      </c>
      <c r="DE66" s="4">
        <v>749</v>
      </c>
      <c r="DF66" s="4">
        <v>784</v>
      </c>
      <c r="DG66" s="4">
        <v>750</v>
      </c>
      <c r="DH66" s="4">
        <v>731</v>
      </c>
      <c r="DI66" s="4">
        <v>716</v>
      </c>
      <c r="DJ66" s="4">
        <v>700</v>
      </c>
      <c r="DK66" s="4">
        <v>-1.23</v>
      </c>
      <c r="DL66" s="4">
        <v>1.05</v>
      </c>
      <c r="DM66" s="4">
        <v>7.7</v>
      </c>
      <c r="DN66" s="4">
        <v>7.71</v>
      </c>
      <c r="DO66" s="4">
        <v>7.72</v>
      </c>
      <c r="DP66" s="4">
        <v>7.92</v>
      </c>
      <c r="DQ66" s="4">
        <v>8.18</v>
      </c>
      <c r="DR66" s="4">
        <v>0</v>
      </c>
      <c r="DS66" s="4">
        <v>0</v>
      </c>
      <c r="DT66" s="4">
        <v>0.9</v>
      </c>
      <c r="DU66" s="4">
        <v>7.82</v>
      </c>
      <c r="DV66" s="4">
        <v>7.18</v>
      </c>
      <c r="DW66" s="4">
        <v>6.65</v>
      </c>
      <c r="DX66" s="4">
        <v>6.82</v>
      </c>
      <c r="DY66" s="4">
        <v>6.81</v>
      </c>
      <c r="DZ66" s="4">
        <v>0</v>
      </c>
      <c r="EA66" s="4">
        <v>0</v>
      </c>
      <c r="EB66" s="100">
        <v>0.9</v>
      </c>
      <c r="EC66" s="122">
        <v>42.7</v>
      </c>
      <c r="ED66" s="122">
        <v>44.5</v>
      </c>
      <c r="EE66" s="122">
        <v>43.6</v>
      </c>
      <c r="EF66" s="122">
        <v>171.8</v>
      </c>
      <c r="EG66" s="122">
        <v>1.9</v>
      </c>
      <c r="EH66" s="122">
        <v>-5.2</v>
      </c>
      <c r="EI66" s="122">
        <v>-5.6</v>
      </c>
      <c r="EJ66" s="122">
        <v>-5.4</v>
      </c>
      <c r="EK66" s="122">
        <v>177.3</v>
      </c>
      <c r="EL66" s="122">
        <v>0.4</v>
      </c>
      <c r="EM66" s="122">
        <v>5.0999999999999996</v>
      </c>
      <c r="EN66" s="122">
        <v>14.3</v>
      </c>
      <c r="EO66" s="122">
        <v>29.6</v>
      </c>
      <c r="EP66" s="122">
        <v>68.2</v>
      </c>
      <c r="EQ66" s="126">
        <v>15</v>
      </c>
      <c r="GN66" s="94">
        <v>7.92</v>
      </c>
      <c r="GO66" s="4">
        <v>7.71</v>
      </c>
      <c r="GP66" s="4">
        <v>163.1</v>
      </c>
      <c r="GQ66" s="4">
        <v>-1.1000000000000001</v>
      </c>
      <c r="GR66" s="4">
        <v>0.61</v>
      </c>
      <c r="GS66" s="4">
        <v>0.74</v>
      </c>
      <c r="GT66" s="4">
        <v>3.2</v>
      </c>
      <c r="GU66" s="4">
        <v>3.75</v>
      </c>
      <c r="GV66" s="4">
        <v>555</v>
      </c>
      <c r="GW66" s="4">
        <v>543</v>
      </c>
      <c r="GX66" s="4">
        <v>736</v>
      </c>
      <c r="GY66" s="4">
        <v>703</v>
      </c>
      <c r="GZ66" s="4">
        <v>661</v>
      </c>
      <c r="HA66" s="4">
        <v>644</v>
      </c>
      <c r="HB66" s="4">
        <v>537</v>
      </c>
      <c r="HC66" s="4">
        <v>-0.51</v>
      </c>
      <c r="HD66" s="4">
        <v>-0.8</v>
      </c>
      <c r="HE66" s="4">
        <v>7.85</v>
      </c>
      <c r="HF66" s="4">
        <v>7.81</v>
      </c>
      <c r="HG66" s="4">
        <v>7.86</v>
      </c>
      <c r="HH66" s="4">
        <v>7.97</v>
      </c>
      <c r="HI66" s="4">
        <v>7.96</v>
      </c>
      <c r="HJ66" s="4">
        <v>0</v>
      </c>
      <c r="HK66" s="4">
        <v>0</v>
      </c>
      <c r="HL66" s="4">
        <v>2</v>
      </c>
      <c r="HM66" s="4">
        <v>5.83</v>
      </c>
      <c r="HN66" s="4">
        <v>6.03</v>
      </c>
      <c r="HO66" s="4">
        <v>6.24</v>
      </c>
      <c r="HP66" s="4">
        <v>6.26</v>
      </c>
      <c r="HQ66" s="4">
        <v>6.44</v>
      </c>
      <c r="HR66" s="4">
        <v>0</v>
      </c>
      <c r="HS66" s="4">
        <v>0</v>
      </c>
      <c r="HT66" s="104">
        <v>2</v>
      </c>
      <c r="HU66" s="122">
        <v>42.6</v>
      </c>
      <c r="HV66" s="122">
        <v>43.8</v>
      </c>
      <c r="HW66" s="122">
        <v>43.2</v>
      </c>
      <c r="HX66" s="122">
        <v>163.1</v>
      </c>
      <c r="HY66" s="122">
        <v>1.1000000000000001</v>
      </c>
      <c r="HZ66" s="122">
        <v>-6.5</v>
      </c>
      <c r="IA66" s="122">
        <v>-7.2</v>
      </c>
      <c r="IB66" s="122">
        <v>-6.8</v>
      </c>
      <c r="IC66" s="122">
        <v>7.7</v>
      </c>
      <c r="ID66" s="122">
        <v>0.7</v>
      </c>
      <c r="IE66" s="122">
        <v>4.0999999999999996</v>
      </c>
      <c r="IF66" s="122">
        <v>12.2</v>
      </c>
      <c r="IG66" s="122">
        <v>26.7</v>
      </c>
      <c r="IH66" s="122">
        <v>66.3</v>
      </c>
      <c r="II66" s="133">
        <v>28</v>
      </c>
      <c r="IJ66" s="94">
        <f t="shared" ref="IJ66:IJ97" si="295">IF(ISNUMBER(GN66),GN66,IF(ISNUMBER(ER66),ER66,""))</f>
        <v>7.92</v>
      </c>
      <c r="IK66" s="4">
        <f t="shared" ref="IK66:IK97" si="296">IF(ISNUMBER(GO66),GO66,IF(ISNUMBER(ES66),ES66,""))</f>
        <v>7.71</v>
      </c>
      <c r="IL66" s="4">
        <f t="shared" ref="IL66:IL97" si="297">IF(ISNUMBER(GP66),GP66,IF(ISNUMBER(ET66),ET66,""))</f>
        <v>163.1</v>
      </c>
      <c r="IM66" s="4">
        <f t="shared" ref="IM66:IM97" si="298">IF(ISNUMBER(GQ66),GQ66,IF(ISNUMBER(EU66),EU66,""))</f>
        <v>-1.1000000000000001</v>
      </c>
      <c r="IN66" s="4">
        <f t="shared" ref="IN66:IN97" si="299">IF(ISNUMBER(GR66),GR66,IF(ISNUMBER(EV66),EV66,""))</f>
        <v>0.61</v>
      </c>
      <c r="IO66" s="4">
        <f t="shared" ref="IO66:IO97" si="300">IF(ISNUMBER(GS66),GS66,IF(ISNUMBER(EW66),EW66,""))</f>
        <v>0.74</v>
      </c>
      <c r="IP66" s="4">
        <f t="shared" ref="IP66:IP97" si="301">IF(ISNUMBER(GT66),GT66,IF(ISNUMBER(EX66),EX66,""))</f>
        <v>3.2</v>
      </c>
      <c r="IQ66" s="4">
        <f t="shared" ref="IQ66:IQ97" si="302">IF(ISNUMBER(GU66),GU66,IF(ISNUMBER(EY66),EY66,""))</f>
        <v>3.75</v>
      </c>
      <c r="IR66" s="4">
        <f t="shared" ref="IR66:IR97" si="303">IF(ISNUMBER(GV66),GV66,IF(ISNUMBER(EZ66),EZ66,""))</f>
        <v>555</v>
      </c>
      <c r="IS66" s="4">
        <f t="shared" ref="IS66:IS97" si="304">IF(ISNUMBER(GW66),GW66,IF(ISNUMBER(FA66),FA66,""))</f>
        <v>543</v>
      </c>
      <c r="IT66" s="4">
        <f t="shared" ref="IT66:IT97" si="305">IF(ISNUMBER(GX66),GX66,IF(ISNUMBER(FB66),FB66,""))</f>
        <v>736</v>
      </c>
      <c r="IU66" s="4">
        <f t="shared" ref="IU66:IU97" si="306">IF(ISNUMBER(GY66),GY66,IF(ISNUMBER(FC66),FC66,""))</f>
        <v>703</v>
      </c>
      <c r="IV66" s="4">
        <f t="shared" ref="IV66:IV97" si="307">IF(ISNUMBER(GZ66),GZ66,IF(ISNUMBER(FD66),FD66,""))</f>
        <v>661</v>
      </c>
      <c r="IW66" s="4">
        <f t="shared" ref="IW66:IW97" si="308">IF(ISNUMBER(HA66),HA66,IF(ISNUMBER(FE66),FE66,""))</f>
        <v>644</v>
      </c>
      <c r="IX66" s="4">
        <f t="shared" ref="IX66:IX97" si="309">IF(ISNUMBER(HB66),HB66,IF(ISNUMBER(FF66),FF66,""))</f>
        <v>537</v>
      </c>
      <c r="IY66" s="4">
        <f t="shared" ref="IY66:IY97" si="310">IF(ISNUMBER(HC66),HC66,IF(ISNUMBER(FG66),FG66,""))</f>
        <v>-0.51</v>
      </c>
      <c r="IZ66" s="4">
        <f t="shared" ref="IZ66:IZ97" si="311">IF(ISNUMBER(HD66),HD66,IF(ISNUMBER(FH66),FH66,""))</f>
        <v>-0.8</v>
      </c>
      <c r="JA66" s="4">
        <f t="shared" ref="JA66:JA97" si="312">IF(ISNUMBER(HE66),HE66,IF(ISNUMBER(FI66),FI66,""))</f>
        <v>7.85</v>
      </c>
      <c r="JB66" s="4">
        <f t="shared" ref="JB66:JB97" si="313">IF(ISNUMBER(HF66),HF66,IF(ISNUMBER(FJ66),FJ66,""))</f>
        <v>7.81</v>
      </c>
      <c r="JC66" s="4">
        <f t="shared" ref="JC66:JC97" si="314">IF(ISNUMBER(HG66),HG66,IF(ISNUMBER(FK66),FK66,""))</f>
        <v>7.86</v>
      </c>
      <c r="JD66" s="4">
        <f t="shared" ref="JD66:JD97" si="315">IF(ISNUMBER(HH66),HH66,IF(ISNUMBER(FL66),FL66,""))</f>
        <v>7.97</v>
      </c>
      <c r="JE66" s="4">
        <f t="shared" ref="JE66:JE97" si="316">IF(ISNUMBER(HI66),HI66,IF(ISNUMBER(FM66),FM66,""))</f>
        <v>7.96</v>
      </c>
      <c r="JF66" s="4">
        <f t="shared" ref="JF66:JF97" si="317">IF(ISNUMBER(HJ66),HJ66,IF(ISNUMBER(FN66),FN66,""))</f>
        <v>0</v>
      </c>
      <c r="JG66" s="4">
        <f t="shared" ref="JG66:JG97" si="318">IF(ISNUMBER(HK66),HK66,IF(ISNUMBER(FO66),FO66,""))</f>
        <v>0</v>
      </c>
      <c r="JH66" s="4">
        <f t="shared" ref="JH66:JH97" si="319">IF(ISNUMBER(HL66),HL66,IF(ISNUMBER(FP66),FP66,""))</f>
        <v>2</v>
      </c>
      <c r="JI66" s="4">
        <f t="shared" ref="JI66:JI97" si="320">IF(ISNUMBER(HM66),HM66,IF(ISNUMBER(FQ66),FQ66,""))</f>
        <v>5.83</v>
      </c>
      <c r="JJ66" s="4">
        <f t="shared" ref="JJ66:JJ97" si="321">IF(ISNUMBER(HN66),HN66,IF(ISNUMBER(FR66),FR66,""))</f>
        <v>6.03</v>
      </c>
      <c r="JK66" s="4">
        <f t="shared" ref="JK66:JK97" si="322">IF(ISNUMBER(HO66),HO66,IF(ISNUMBER(FS66),FS66,""))</f>
        <v>6.24</v>
      </c>
      <c r="JL66" s="4">
        <f t="shared" ref="JL66:JL97" si="323">IF(ISNUMBER(HP66),HP66,IF(ISNUMBER(FT66),FT66,""))</f>
        <v>6.26</v>
      </c>
      <c r="JM66" s="4">
        <f t="shared" ref="JM66:JM97" si="324">IF(ISNUMBER(HQ66),HQ66,IF(ISNUMBER(FU66),FU66,""))</f>
        <v>6.44</v>
      </c>
      <c r="JN66" s="4">
        <f t="shared" ref="JN66:JN97" si="325">IF(ISNUMBER(HR66),HR66,IF(ISNUMBER(FV66),FV66,""))</f>
        <v>0</v>
      </c>
      <c r="JO66" s="129">
        <f t="shared" ref="JO66:JO97" si="326">IF(ISNUMBER(HS66),HS66,IF(ISNUMBER(FW66),FW66,""))</f>
        <v>0</v>
      </c>
      <c r="JP66" s="122">
        <f t="shared" ref="JP66:JP97" si="327">IF(ISNUMBER(HT66),HT66,IF(ISNUMBER(FX66),FX66,""))</f>
        <v>2</v>
      </c>
      <c r="JQ66" s="122">
        <f t="shared" ref="JQ66:JQ97" si="328">IF(ISNUMBER(HU66),HU66,IF(ISNUMBER(FY66),FY66,""))</f>
        <v>42.6</v>
      </c>
      <c r="JR66" s="122">
        <f t="shared" ref="JR66:JR97" si="329">IF(ISNUMBER(HV66),HV66,IF(ISNUMBER(FZ66),FZ66,""))</f>
        <v>43.8</v>
      </c>
      <c r="JS66" s="122">
        <f t="shared" ref="JS66:JS97" si="330">IF(ISNUMBER(HW66),HW66,IF(ISNUMBER(GA66),GA66,""))</f>
        <v>43.2</v>
      </c>
      <c r="JT66" s="122">
        <f t="shared" ref="JT66:JT97" si="331">IF(ISNUMBER(HX66),HX66,IF(ISNUMBER(GB66),GB66,""))</f>
        <v>163.1</v>
      </c>
      <c r="JU66" s="122">
        <f t="shared" ref="JU66:JU97" si="332">IF(ISNUMBER(HY66),HY66,IF(ISNUMBER(GC66),GC66,""))</f>
        <v>1.1000000000000001</v>
      </c>
      <c r="JV66" s="122">
        <f t="shared" ref="JV66:JV97" si="333">IF(ISNUMBER(HZ66),HZ66,IF(ISNUMBER(GD66),GD66,""))</f>
        <v>-6.5</v>
      </c>
      <c r="JW66" s="122">
        <f t="shared" ref="JW66:JW97" si="334">IF(ISNUMBER(IA66),IA66,IF(ISNUMBER(GE66),GE66,""))</f>
        <v>-7.2</v>
      </c>
      <c r="JX66" s="122">
        <f t="shared" ref="JX66:JX97" si="335">IF(ISNUMBER(IB66),IB66,IF(ISNUMBER(GF66),GF66,""))</f>
        <v>-6.8</v>
      </c>
      <c r="JY66" s="122">
        <f t="shared" ref="JY66:JY97" si="336">IF(ISNUMBER(IC66),IC66,IF(ISNUMBER(GG66),GG66,""))</f>
        <v>7.7</v>
      </c>
      <c r="JZ66" s="122">
        <f t="shared" ref="JZ66:JZ97" si="337">IF(ISNUMBER(ID66),ID66,IF(ISNUMBER(GH66),GH66,""))</f>
        <v>0.7</v>
      </c>
      <c r="KA66" s="122">
        <f t="shared" ref="KA66:KA97" si="338">IF(ISNUMBER(IE66),IE66,IF(ISNUMBER(GI66),GI66,""))</f>
        <v>4.0999999999999996</v>
      </c>
      <c r="KB66" s="122">
        <f t="shared" ref="KB66:KB97" si="339">IF(ISNUMBER(IF66),IF66,IF(ISNUMBER(GJ66),GJ66,""))</f>
        <v>12.2</v>
      </c>
      <c r="KC66" s="122">
        <f t="shared" ref="KC66:KC97" si="340">IF(ISNUMBER(IG66),IG66,IF(ISNUMBER(GK66),GK66,""))</f>
        <v>26.7</v>
      </c>
      <c r="KD66" s="122">
        <f t="shared" ref="KD66:KD97" si="341">IF(ISNUMBER(IH66),IH66,IF(ISNUMBER(GL66),GL66,""))</f>
        <v>66.3</v>
      </c>
      <c r="KE66" s="133">
        <f t="shared" ref="KE66:KE97" si="342">IF(ISNUMBER(II66),II66,IF(ISNUMBER(GM66),GM66,""))</f>
        <v>28</v>
      </c>
      <c r="KF66" s="94">
        <f t="shared" ref="KF66:KF97" si="343">IF(AND(ISNUMBER(IJ66),ISNUMBER(CV66)),IJ66-CV66,"")</f>
        <v>4.9999999999999822E-2</v>
      </c>
      <c r="KG66" s="4">
        <f t="shared" ref="KG66:KG97" si="344">IF(AND(ISNUMBER(IK66),ISNUMBER(CW66)),IK66-CW66,"")</f>
        <v>0.16999999999999993</v>
      </c>
      <c r="KH66" s="4">
        <f t="shared" ref="KH66:KH97" si="345">IF(AND(ISNUMBER(IL66),ISNUMBER(CX66)),IL66-CX66,"")</f>
        <v>-5.5</v>
      </c>
      <c r="KI66" s="4">
        <f t="shared" ref="KI66:KI97" si="346">IF(AND(ISNUMBER(IM66),ISNUMBER(CY66)),IM66-CY66,"")</f>
        <v>0.79999999999999982</v>
      </c>
      <c r="KJ66" s="4">
        <f t="shared" ref="KJ66:KJ97" si="347">IF(AND(ISNUMBER(IN66),ISNUMBER(CZ66)),IN66-CZ66,"")</f>
        <v>5.9999999999999942E-2</v>
      </c>
      <c r="KK66" s="4">
        <f t="shared" ref="KK66:KK97" si="348">IF(AND(ISNUMBER(IO66),ISNUMBER(DA66)),IO66-DA66,"")</f>
        <v>5.9999999999999942E-2</v>
      </c>
      <c r="KL66" s="4">
        <f t="shared" ref="KL66:KL97" si="349">IF(AND(ISNUMBER(IP66),ISNUMBER(DB66)),IP66-DB66,"")</f>
        <v>1.3200000000000003</v>
      </c>
      <c r="KM66" s="4">
        <f t="shared" ref="KM66:KM97" si="350">IF(AND(ISNUMBER(IQ66),ISNUMBER(DC66)),IQ66-DC66,"")</f>
        <v>1.1299999999999999</v>
      </c>
      <c r="KN66" s="4">
        <f t="shared" ref="KN66:KN97" si="351">IF(AND(ISNUMBER(IR66),ISNUMBER(DD66)),IR66-DD66,"")</f>
        <v>-190</v>
      </c>
      <c r="KO66" s="4">
        <f t="shared" ref="KO66:KO97" si="352">IF(AND(ISNUMBER(IS66),ISNUMBER(DE66)),IS66-DE66,"")</f>
        <v>-206</v>
      </c>
      <c r="KP66" s="4">
        <f t="shared" ref="KP66:KP97" si="353">IF(AND(ISNUMBER(IT66),ISNUMBER(DF66)),IT66-DF66,"")</f>
        <v>-48</v>
      </c>
      <c r="KQ66" s="4">
        <f t="shared" ref="KQ66:KQ97" si="354">IF(AND(ISNUMBER(IU66),ISNUMBER(DG66)),IU66-DG66,"")</f>
        <v>-47</v>
      </c>
      <c r="KR66" s="4">
        <f t="shared" ref="KR66:KR97" si="355">IF(AND(ISNUMBER(IV66),ISNUMBER(DH66)),IV66-DH66,"")</f>
        <v>-70</v>
      </c>
      <c r="KS66" s="4">
        <f t="shared" ref="KS66:KS97" si="356">IF(AND(ISNUMBER(IW66),ISNUMBER(DI66)),IW66-DI66,"")</f>
        <v>-72</v>
      </c>
      <c r="KT66" s="4">
        <f t="shared" ref="KT66:KT97" si="357">IF(AND(ISNUMBER(IX66),ISNUMBER(DJ66)),IX66-DJ66,"")</f>
        <v>-163</v>
      </c>
      <c r="KU66" s="4">
        <f t="shared" ref="KU66:KU97" si="358">IF(AND(ISNUMBER(IY66),ISNUMBER(DK66)),IY66-DK66,"")</f>
        <v>0.72</v>
      </c>
      <c r="KV66" s="4">
        <f t="shared" ref="KV66:KV97" si="359">IF(AND(ISNUMBER(IZ66),ISNUMBER(DL66)),IZ66-DL66,"")</f>
        <v>-1.85</v>
      </c>
      <c r="KW66" s="4">
        <f t="shared" ref="KW66:KW97" si="360">IF(AND(ISNUMBER(JA66),ISNUMBER(DM66)),JA66-DM66,"")</f>
        <v>0.14999999999999947</v>
      </c>
      <c r="KX66" s="4">
        <f t="shared" ref="KX66:KX97" si="361">IF(AND(ISNUMBER(JB66),ISNUMBER(DN66)),JB66-DN66,"")</f>
        <v>9.9999999999999645E-2</v>
      </c>
      <c r="KY66" s="4">
        <f t="shared" ref="KY66:KY97" si="362">IF(AND(ISNUMBER(JC66),ISNUMBER(DO66)),JC66-DO66,"")</f>
        <v>0.14000000000000057</v>
      </c>
      <c r="KZ66" s="4">
        <f t="shared" ref="KZ66:KZ97" si="363">IF(AND(ISNUMBER(JD66),ISNUMBER(DP66)),JD66-DP66,"")</f>
        <v>4.9999999999999822E-2</v>
      </c>
      <c r="LA66" s="4">
        <f t="shared" ref="LA66:LA97" si="364">IF(AND(ISNUMBER(JE66),ISNUMBER(DQ66)),JE66-DQ66,"")</f>
        <v>-0.21999999999999975</v>
      </c>
      <c r="LB66" s="4">
        <f t="shared" ref="LB66:LB97" si="365">IF(AND(ISNUMBER(JF66),ISNUMBER(DR66)),JF66-DR66,"")</f>
        <v>0</v>
      </c>
      <c r="LC66" s="4">
        <f t="shared" ref="LC66:LC97" si="366">IF(AND(ISNUMBER(JG66),ISNUMBER(DS66)),JG66-DS66,"")</f>
        <v>0</v>
      </c>
      <c r="LD66" s="4">
        <f t="shared" ref="LD66:LD97" si="367">IF(AND(ISNUMBER(JH66),ISNUMBER(DT66)),JH66-DT66,"")</f>
        <v>1.1000000000000001</v>
      </c>
      <c r="LE66" s="4">
        <f t="shared" ref="LE66:LE97" si="368">IF(AND(ISNUMBER(JI66),ISNUMBER(DU66)),JI66-DU66,"")</f>
        <v>-1.9900000000000002</v>
      </c>
      <c r="LF66" s="4">
        <f t="shared" ref="LF66:LF97" si="369">IF(AND(ISNUMBER(JJ66),ISNUMBER(DV66)),JJ66-DV66,"")</f>
        <v>-1.1499999999999995</v>
      </c>
      <c r="LG66" s="4">
        <f t="shared" ref="LG66:LG97" si="370">IF(AND(ISNUMBER(JK66),ISNUMBER(DW66)),JK66-DW66,"")</f>
        <v>-0.41000000000000014</v>
      </c>
      <c r="LH66" s="4">
        <f t="shared" ref="LH66:LH97" si="371">IF(AND(ISNUMBER(JL66),ISNUMBER(DX66)),JL66-DX66,"")</f>
        <v>-0.5600000000000005</v>
      </c>
      <c r="LI66" s="4">
        <f t="shared" ref="LI66:LI97" si="372">IF(AND(ISNUMBER(JM66),ISNUMBER(DY66)),JM66-DY66,"")</f>
        <v>-0.36999999999999922</v>
      </c>
      <c r="LJ66" s="4">
        <f t="shared" ref="LJ66:LJ97" si="373">IF(AND(ISNUMBER(JN66),ISNUMBER(DZ66)),JN66-DZ66,"")</f>
        <v>0</v>
      </c>
      <c r="LK66" s="4">
        <f t="shared" ref="LK66:LK97" si="374">IF(AND(ISNUMBER(JO66),ISNUMBER(EA66)),JO66-EA66,"")</f>
        <v>0</v>
      </c>
      <c r="LL66" s="4">
        <f t="shared" ref="LL66:LL97" si="375">IF(AND(ISNUMBER(JP66),ISNUMBER(EB66)),JP66-EB66,"")</f>
        <v>1.1000000000000001</v>
      </c>
      <c r="LM66" s="4">
        <f t="shared" ref="LM66:LM97" si="376">IF(AND(ISNUMBER(JQ66),ISNUMBER(EC66)),JQ66-EC66,"")</f>
        <v>-0.10000000000000142</v>
      </c>
      <c r="LN66" s="4">
        <f t="shared" ref="LN66:LN97" si="377">IF(AND(ISNUMBER(JR66),ISNUMBER(ED66)),JR66-ED66,"")</f>
        <v>-0.70000000000000284</v>
      </c>
      <c r="LO66" s="4">
        <f t="shared" ref="LO66:LO97" si="378">IF(AND(ISNUMBER(JS66),ISNUMBER(EE66)),JS66-EE66,"")</f>
        <v>-0.39999999999999858</v>
      </c>
      <c r="LP66" s="4">
        <f t="shared" ref="LP66:LP97" si="379">IF(AND(ISNUMBER(JT66),ISNUMBER(EF66)),JT66-EF66,"")</f>
        <v>-8.7000000000000171</v>
      </c>
      <c r="LQ66" s="4">
        <f t="shared" ref="LQ66:LQ97" si="380">IF(AND(ISNUMBER(JU66),ISNUMBER(EG66)),JU66-EG66,"")</f>
        <v>-0.79999999999999982</v>
      </c>
      <c r="LR66" s="4">
        <f t="shared" ref="LR66:LR97" si="381">IF(AND(ISNUMBER(JV66),ISNUMBER(EH66)),JV66-EH66,"")</f>
        <v>-1.2999999999999998</v>
      </c>
      <c r="LS66" s="4">
        <f t="shared" ref="LS66:LS97" si="382">IF(AND(ISNUMBER(JW66),ISNUMBER(EI66)),JW66-EI66,"")</f>
        <v>-1.6000000000000005</v>
      </c>
      <c r="LT66" s="4">
        <f t="shared" ref="LT66:LT97" si="383">IF(AND(ISNUMBER(JX66),ISNUMBER(EJ66)),JX66-EJ66,"")</f>
        <v>-1.3999999999999995</v>
      </c>
      <c r="LU66" s="4">
        <f t="shared" ref="LU66:LU97" si="384">IF(AND(ISNUMBER(JY66),ISNUMBER(EK66)),JY66-EK66,"")</f>
        <v>-169.60000000000002</v>
      </c>
      <c r="LV66" s="4">
        <f t="shared" ref="LV66:LV97" si="385">IF(AND(ISNUMBER(JZ66),ISNUMBER(EL66)),JZ66-EL66,"")</f>
        <v>0.29999999999999993</v>
      </c>
      <c r="LW66" s="4">
        <f t="shared" ref="LW66:LW97" si="386">IF(AND(ISNUMBER(KA66),ISNUMBER(EM66)),KA66-EM66,"")</f>
        <v>-1</v>
      </c>
      <c r="LX66" s="4">
        <f t="shared" ref="LX66:LX97" si="387">IF(AND(ISNUMBER(KB66),ISNUMBER(EN66)),KB66-EN66,"")</f>
        <v>-2.1000000000000014</v>
      </c>
      <c r="LY66" s="4">
        <f t="shared" ref="LY66:LY97" si="388">IF(AND(ISNUMBER(KC66),ISNUMBER(EO66)),KC66-EO66,"")</f>
        <v>-2.9000000000000021</v>
      </c>
      <c r="LZ66" s="4">
        <f t="shared" ref="LZ66:LZ97" si="389">IF(AND(ISNUMBER(KD66),ISNUMBER(EP66)),KD66-EP66,"")</f>
        <v>-1.9000000000000057</v>
      </c>
      <c r="MA66" s="4">
        <f t="shared" ref="MA66:MA97" si="390">IF(AND(ISNUMBER(KE66),ISNUMBER(EQ66)),KE66-EQ66,"")</f>
        <v>13</v>
      </c>
      <c r="MB66" s="4" t="str">
        <f t="shared" ref="MB66:MB97" si="391">IF(AND(ISNUMBER(HU66),ISNUMBER(FY66)),HU66-FY66,"")</f>
        <v/>
      </c>
      <c r="MC66" s="4" t="str">
        <f t="shared" ref="MC66:MC97" si="392">IF(AND(ISNUMBER(HV66),ISNUMBER(FZ66)),HV66-FZ66,"")</f>
        <v/>
      </c>
      <c r="MD66" s="4" t="str">
        <f t="shared" ref="MD66:MD97" si="393">IF(AND(ISNUMBER(HZ66),ISNUMBER(GD66)),HZ66-GD66,"")</f>
        <v/>
      </c>
      <c r="ME66" s="4">
        <f t="shared" ref="ME66:ME97" si="394">IA66-GE66</f>
        <v>-7.2</v>
      </c>
    </row>
    <row r="67" spans="1:343" ht="26.25" customHeight="1" thickBot="1" x14ac:dyDescent="0.25">
      <c r="A67" s="35">
        <v>41192</v>
      </c>
      <c r="B67" s="36" t="s">
        <v>210</v>
      </c>
      <c r="C67" s="36" t="s">
        <v>166</v>
      </c>
      <c r="D67" s="31" t="s">
        <v>110</v>
      </c>
      <c r="E67" s="4">
        <v>72</v>
      </c>
      <c r="F67" s="3">
        <v>14875</v>
      </c>
      <c r="G67" s="4" t="s">
        <v>87</v>
      </c>
      <c r="H67" s="4" t="s">
        <v>108</v>
      </c>
      <c r="I67" s="4">
        <v>1835069</v>
      </c>
      <c r="K67" s="74"/>
      <c r="L67" s="75"/>
      <c r="M67" s="75"/>
      <c r="N67" s="75"/>
      <c r="O67" s="75"/>
      <c r="P67" s="4">
        <v>-0.5</v>
      </c>
      <c r="Q67" s="4">
        <v>-0.51</v>
      </c>
      <c r="R67" s="4" t="s">
        <v>249</v>
      </c>
      <c r="S67" s="67">
        <v>24.25</v>
      </c>
      <c r="T67" s="136">
        <v>41129</v>
      </c>
      <c r="U67" s="67">
        <v>2</v>
      </c>
      <c r="V67" s="67">
        <v>1.25</v>
      </c>
      <c r="W67" s="4">
        <v>5</v>
      </c>
      <c r="X67" s="4">
        <v>20</v>
      </c>
      <c r="Y67" s="4">
        <v>12</v>
      </c>
      <c r="Z67" s="4">
        <v>566</v>
      </c>
      <c r="AA67" s="4">
        <v>22.5</v>
      </c>
      <c r="AB67" s="4">
        <v>11</v>
      </c>
      <c r="AC67" s="4">
        <v>4.6399999999999997</v>
      </c>
      <c r="AD67" s="4">
        <v>2.83</v>
      </c>
      <c r="AE67" s="4">
        <v>44.35</v>
      </c>
      <c r="AF67" s="4">
        <v>158</v>
      </c>
      <c r="AG67" s="4">
        <v>44.58</v>
      </c>
      <c r="AH67" s="4">
        <v>68</v>
      </c>
      <c r="AI67" s="4">
        <v>0</v>
      </c>
      <c r="AJ67" s="4" t="b">
        <f t="shared" si="267"/>
        <v>0</v>
      </c>
      <c r="AL67" s="32">
        <v>41319</v>
      </c>
      <c r="AM67" s="60">
        <v>70</v>
      </c>
      <c r="AN67" s="67">
        <v>-2.5</v>
      </c>
      <c r="AO67" s="67">
        <v>0.5</v>
      </c>
      <c r="AP67" s="4">
        <v>145</v>
      </c>
      <c r="AQ67" s="4">
        <v>25</v>
      </c>
      <c r="AR67" s="4">
        <v>17</v>
      </c>
      <c r="AS67" s="4">
        <v>573</v>
      </c>
      <c r="BA67" s="4">
        <f t="shared" si="268"/>
        <v>-2.25</v>
      </c>
      <c r="BB67" s="4">
        <f t="shared" si="265"/>
        <v>-1.74</v>
      </c>
      <c r="BC67" s="4">
        <f t="shared" si="269"/>
        <v>7</v>
      </c>
      <c r="BD67" s="37" t="s">
        <v>78</v>
      </c>
      <c r="BS67" s="4" t="str">
        <f t="shared" si="266"/>
        <v/>
      </c>
      <c r="BT67" s="4" t="str">
        <f t="shared" si="270"/>
        <v/>
      </c>
      <c r="BU67" s="4" t="str">
        <f t="shared" si="271"/>
        <v/>
      </c>
      <c r="BV67" s="4">
        <f>IF(AND(ISBLANK(SPH_6),ISBLANK(SPH_12)),0,1)</f>
        <v>1</v>
      </c>
      <c r="BW67" s="4">
        <f t="shared" si="272"/>
        <v>0</v>
      </c>
      <c r="BX67" s="4" t="str">
        <f t="shared" si="273"/>
        <v/>
      </c>
      <c r="BY67" s="4" t="str">
        <f t="shared" si="274"/>
        <v/>
      </c>
      <c r="BZ67" s="4" t="str">
        <f t="shared" si="275"/>
        <v/>
      </c>
      <c r="CA67" s="53">
        <f t="shared" si="276"/>
        <v>127</v>
      </c>
      <c r="CB67" s="55">
        <f t="shared" si="277"/>
        <v>4.2333333333333334</v>
      </c>
      <c r="CC67" s="4" t="str">
        <f t="shared" si="278"/>
        <v/>
      </c>
      <c r="CD67" s="4" t="str">
        <f t="shared" si="279"/>
        <v/>
      </c>
      <c r="CE67" s="4" t="str">
        <f t="shared" si="280"/>
        <v/>
      </c>
      <c r="CF67" s="4" t="str">
        <f t="shared" si="281"/>
        <v/>
      </c>
      <c r="CG67" s="4">
        <f t="shared" si="263"/>
        <v>2.625</v>
      </c>
      <c r="CH67" s="4">
        <f t="shared" si="282"/>
        <v>-2.25</v>
      </c>
      <c r="CI67" s="104">
        <f t="shared" si="283"/>
        <v>-1.74</v>
      </c>
      <c r="CJ67" s="94">
        <f t="shared" si="284"/>
        <v>7</v>
      </c>
      <c r="CK67" s="4" t="str">
        <f t="shared" si="285"/>
        <v/>
      </c>
      <c r="CL67" s="107">
        <f t="shared" si="286"/>
        <v>-0.51</v>
      </c>
      <c r="CM67" s="107">
        <f>IF(AND(OR(ISNUMBER(BCVA_12),ISNUMBER(BCVA_6)),ISNUMBER(BCVA_PREOP)),-LOG(20/BCVA_PREOP)-(-LOG(20/IF(ISNUMBER(BCVA_12),BCVA_12,BCVA_6))),"")</f>
        <v>-9.6910013008056392E-2</v>
      </c>
      <c r="CN67" s="139">
        <f t="shared" si="287"/>
        <v>0.5</v>
      </c>
      <c r="CO67" s="139">
        <f t="shared" si="288"/>
        <v>-0.75</v>
      </c>
      <c r="CP67" s="149">
        <f t="shared" si="289"/>
        <v>25</v>
      </c>
      <c r="CQ67" s="149">
        <f t="shared" si="290"/>
        <v>20</v>
      </c>
      <c r="CR67" s="148">
        <f t="shared" si="291"/>
        <v>70</v>
      </c>
      <c r="CS67" s="152">
        <f t="shared" si="292"/>
        <v>0</v>
      </c>
      <c r="CT67" s="107" t="str">
        <f t="shared" si="293"/>
        <v/>
      </c>
      <c r="CU67" s="155" t="b">
        <f t="shared" si="294"/>
        <v>0</v>
      </c>
      <c r="CV67">
        <v>7.64</v>
      </c>
      <c r="CW67" s="4">
        <v>7.59</v>
      </c>
      <c r="CX67" s="4">
        <v>143.4</v>
      </c>
      <c r="CY67" s="4">
        <v>-0.3</v>
      </c>
      <c r="CZ67" s="4">
        <v>0.08</v>
      </c>
      <c r="DA67" s="4">
        <v>0.67</v>
      </c>
      <c r="DB67" s="4">
        <v>2.25</v>
      </c>
      <c r="DC67" s="4">
        <v>2.86</v>
      </c>
      <c r="DD67" s="4">
        <v>604</v>
      </c>
      <c r="DE67" s="4">
        <v>601</v>
      </c>
      <c r="DF67" s="4">
        <v>694</v>
      </c>
      <c r="DG67" s="4">
        <v>676</v>
      </c>
      <c r="DH67" s="4">
        <v>672</v>
      </c>
      <c r="DI67" s="4">
        <v>673</v>
      </c>
      <c r="DJ67" s="4">
        <v>600</v>
      </c>
      <c r="DK67" s="4">
        <v>0.92</v>
      </c>
      <c r="DL67" s="4">
        <v>-7.0000000000000007E-2</v>
      </c>
      <c r="DM67" s="4">
        <v>7.67</v>
      </c>
      <c r="DN67" s="4">
        <v>7.51</v>
      </c>
      <c r="DO67" s="4">
        <v>7.57</v>
      </c>
      <c r="DP67" s="4">
        <v>7.86</v>
      </c>
      <c r="DQ67" s="4">
        <v>7.99</v>
      </c>
      <c r="DR67" s="4">
        <v>8.0500000000000007</v>
      </c>
      <c r="DS67" s="4">
        <v>0</v>
      </c>
      <c r="DT67" s="4">
        <v>1.3</v>
      </c>
      <c r="DU67" s="4">
        <v>6.29</v>
      </c>
      <c r="DV67" s="4">
        <v>6.12</v>
      </c>
      <c r="DW67" s="4">
        <v>6.4</v>
      </c>
      <c r="DX67" s="4">
        <v>6.89</v>
      </c>
      <c r="DY67" s="4">
        <v>6.88</v>
      </c>
      <c r="DZ67" s="4">
        <v>0</v>
      </c>
      <c r="EA67" s="4">
        <v>0</v>
      </c>
      <c r="EB67" s="100">
        <v>1.3</v>
      </c>
      <c r="EC67" s="122">
        <v>44.2</v>
      </c>
      <c r="ED67" s="122">
        <v>44.5</v>
      </c>
      <c r="EE67" s="122">
        <v>44.3</v>
      </c>
      <c r="EF67" s="122">
        <v>143.4</v>
      </c>
      <c r="EG67" s="122">
        <v>-0.3</v>
      </c>
      <c r="EH67" s="122">
        <v>-6.2</v>
      </c>
      <c r="EI67" s="122">
        <v>-6.7</v>
      </c>
      <c r="EJ67" s="122">
        <v>-6.4</v>
      </c>
      <c r="EK67" s="122">
        <v>179.6</v>
      </c>
      <c r="EL67" s="122">
        <v>0.4</v>
      </c>
      <c r="EM67" s="122">
        <v>4.4000000000000004</v>
      </c>
      <c r="EN67" s="122">
        <v>12.7</v>
      </c>
      <c r="EO67" s="122">
        <v>27.1</v>
      </c>
      <c r="EP67" s="122">
        <v>63.8</v>
      </c>
      <c r="EQ67" s="126">
        <v>25</v>
      </c>
      <c r="ER67" s="94">
        <v>7.56</v>
      </c>
      <c r="ES67" s="4">
        <v>7.45</v>
      </c>
      <c r="ET67" s="4">
        <v>151.30000000000001</v>
      </c>
      <c r="EU67" s="4">
        <v>-0.7</v>
      </c>
      <c r="EV67" s="4">
        <v>0.2</v>
      </c>
      <c r="EW67" s="4">
        <v>0.86</v>
      </c>
      <c r="EX67" s="4">
        <v>4.08</v>
      </c>
      <c r="EY67" s="4">
        <v>4.67</v>
      </c>
      <c r="EZ67" s="4">
        <v>595</v>
      </c>
      <c r="FA67" s="4">
        <v>595</v>
      </c>
      <c r="FB67" s="4">
        <v>676</v>
      </c>
      <c r="FC67" s="4">
        <v>678</v>
      </c>
      <c r="FD67" s="4">
        <v>700</v>
      </c>
      <c r="FE67" s="4">
        <v>684</v>
      </c>
      <c r="FF67" s="4">
        <v>579</v>
      </c>
      <c r="FG67" s="4">
        <v>1.28</v>
      </c>
      <c r="FH67" s="4">
        <v>-0.26</v>
      </c>
      <c r="FI67" s="4">
        <v>7.58</v>
      </c>
      <c r="FJ67" s="4">
        <v>7.43</v>
      </c>
      <c r="FK67" s="4">
        <v>7.56</v>
      </c>
      <c r="FL67" s="4">
        <v>8.01</v>
      </c>
      <c r="FM67" s="4">
        <v>8.11</v>
      </c>
      <c r="FN67" s="4">
        <v>8.0399999999999991</v>
      </c>
      <c r="FO67" s="4">
        <v>0</v>
      </c>
      <c r="FP67" s="4">
        <v>1.5</v>
      </c>
      <c r="FQ67" s="4">
        <v>6.07</v>
      </c>
      <c r="FR67" s="4">
        <v>6.01</v>
      </c>
      <c r="FS67" s="4">
        <v>6.35</v>
      </c>
      <c r="FT67" s="4">
        <v>6.85</v>
      </c>
      <c r="FU67" s="4">
        <v>6.93</v>
      </c>
      <c r="FV67" s="4">
        <v>0</v>
      </c>
      <c r="FW67" s="4">
        <v>0</v>
      </c>
      <c r="FX67" s="97">
        <v>1.5</v>
      </c>
      <c r="FY67" s="122">
        <v>44.6</v>
      </c>
      <c r="FZ67" s="122">
        <v>45.3</v>
      </c>
      <c r="GA67" s="122">
        <v>45</v>
      </c>
      <c r="GB67" s="122">
        <v>151.30000000000001</v>
      </c>
      <c r="GC67" s="122">
        <v>0.7</v>
      </c>
      <c r="GD67" s="122">
        <v>-6.4</v>
      </c>
      <c r="GE67" s="122">
        <v>-6.9</v>
      </c>
      <c r="GF67" s="122">
        <v>-6.6</v>
      </c>
      <c r="GG67" s="122">
        <v>177.9</v>
      </c>
      <c r="GH67" s="122">
        <v>0.5</v>
      </c>
      <c r="GI67" s="122">
        <v>4.3</v>
      </c>
      <c r="GJ67" s="122">
        <v>12.7</v>
      </c>
      <c r="GK67" s="122">
        <v>27.1</v>
      </c>
      <c r="GL67" s="122">
        <v>64.5</v>
      </c>
      <c r="GM67" s="131">
        <v>40</v>
      </c>
      <c r="IJ67" s="94">
        <f t="shared" si="295"/>
        <v>7.56</v>
      </c>
      <c r="IK67" s="4">
        <f t="shared" si="296"/>
        <v>7.45</v>
      </c>
      <c r="IL67" s="4">
        <f t="shared" si="297"/>
        <v>151.30000000000001</v>
      </c>
      <c r="IM67" s="4">
        <f t="shared" si="298"/>
        <v>-0.7</v>
      </c>
      <c r="IN67" s="4">
        <f t="shared" si="299"/>
        <v>0.2</v>
      </c>
      <c r="IO67" s="4">
        <f t="shared" si="300"/>
        <v>0.86</v>
      </c>
      <c r="IP67" s="4">
        <f t="shared" si="301"/>
        <v>4.08</v>
      </c>
      <c r="IQ67" s="4">
        <f t="shared" si="302"/>
        <v>4.67</v>
      </c>
      <c r="IR67" s="4">
        <f t="shared" si="303"/>
        <v>595</v>
      </c>
      <c r="IS67" s="4">
        <f t="shared" si="304"/>
        <v>595</v>
      </c>
      <c r="IT67" s="4">
        <f t="shared" si="305"/>
        <v>676</v>
      </c>
      <c r="IU67" s="4">
        <f t="shared" si="306"/>
        <v>678</v>
      </c>
      <c r="IV67" s="4">
        <f t="shared" si="307"/>
        <v>700</v>
      </c>
      <c r="IW67" s="4">
        <f t="shared" si="308"/>
        <v>684</v>
      </c>
      <c r="IX67" s="4">
        <f t="shared" si="309"/>
        <v>579</v>
      </c>
      <c r="IY67" s="4">
        <f t="shared" si="310"/>
        <v>1.28</v>
      </c>
      <c r="IZ67" s="4">
        <f t="shared" si="311"/>
        <v>-0.26</v>
      </c>
      <c r="JA67" s="4">
        <f t="shared" si="312"/>
        <v>7.58</v>
      </c>
      <c r="JB67" s="4">
        <f t="shared" si="313"/>
        <v>7.43</v>
      </c>
      <c r="JC67" s="4">
        <f t="shared" si="314"/>
        <v>7.56</v>
      </c>
      <c r="JD67" s="4">
        <f t="shared" si="315"/>
        <v>8.01</v>
      </c>
      <c r="JE67" s="4">
        <f t="shared" si="316"/>
        <v>8.11</v>
      </c>
      <c r="JF67" s="4">
        <f t="shared" si="317"/>
        <v>8.0399999999999991</v>
      </c>
      <c r="JG67" s="4">
        <f t="shared" si="318"/>
        <v>0</v>
      </c>
      <c r="JH67" s="4">
        <f t="shared" si="319"/>
        <v>1.5</v>
      </c>
      <c r="JI67" s="4">
        <f t="shared" si="320"/>
        <v>6.07</v>
      </c>
      <c r="JJ67" s="4">
        <f t="shared" si="321"/>
        <v>6.01</v>
      </c>
      <c r="JK67" s="4">
        <f t="shared" si="322"/>
        <v>6.35</v>
      </c>
      <c r="JL67" s="4">
        <f t="shared" si="323"/>
        <v>6.85</v>
      </c>
      <c r="JM67" s="4">
        <f t="shared" si="324"/>
        <v>6.93</v>
      </c>
      <c r="JN67" s="4">
        <f t="shared" si="325"/>
        <v>0</v>
      </c>
      <c r="JO67" s="129">
        <f t="shared" si="326"/>
        <v>0</v>
      </c>
      <c r="JP67" s="122">
        <f t="shared" si="327"/>
        <v>1.5</v>
      </c>
      <c r="JQ67" s="122">
        <f t="shared" si="328"/>
        <v>44.6</v>
      </c>
      <c r="JR67" s="122">
        <f t="shared" si="329"/>
        <v>45.3</v>
      </c>
      <c r="JS67" s="122">
        <f t="shared" si="330"/>
        <v>45</v>
      </c>
      <c r="JT67" s="122">
        <f t="shared" si="331"/>
        <v>151.30000000000001</v>
      </c>
      <c r="JU67" s="122">
        <f t="shared" si="332"/>
        <v>0.7</v>
      </c>
      <c r="JV67" s="122">
        <f t="shared" si="333"/>
        <v>-6.4</v>
      </c>
      <c r="JW67" s="122">
        <f t="shared" si="334"/>
        <v>-6.9</v>
      </c>
      <c r="JX67" s="122">
        <f t="shared" si="335"/>
        <v>-6.6</v>
      </c>
      <c r="JY67" s="122">
        <f t="shared" si="336"/>
        <v>177.9</v>
      </c>
      <c r="JZ67" s="122">
        <f t="shared" si="337"/>
        <v>0.5</v>
      </c>
      <c r="KA67" s="122">
        <f t="shared" si="338"/>
        <v>4.3</v>
      </c>
      <c r="KB67" s="122">
        <f t="shared" si="339"/>
        <v>12.7</v>
      </c>
      <c r="KC67" s="122">
        <f t="shared" si="340"/>
        <v>27.1</v>
      </c>
      <c r="KD67" s="122">
        <f t="shared" si="341"/>
        <v>64.5</v>
      </c>
      <c r="KE67" s="133">
        <f t="shared" si="342"/>
        <v>40</v>
      </c>
      <c r="KF67" s="94">
        <f t="shared" si="343"/>
        <v>-8.0000000000000071E-2</v>
      </c>
      <c r="KG67" s="4">
        <f t="shared" si="344"/>
        <v>-0.13999999999999968</v>
      </c>
      <c r="KH67" s="4">
        <f t="shared" si="345"/>
        <v>7.9000000000000057</v>
      </c>
      <c r="KI67" s="4">
        <f t="shared" si="346"/>
        <v>-0.39999999999999997</v>
      </c>
      <c r="KJ67" s="4">
        <f t="shared" si="347"/>
        <v>0.12000000000000001</v>
      </c>
      <c r="KK67" s="4">
        <f t="shared" si="348"/>
        <v>0.18999999999999995</v>
      </c>
      <c r="KL67" s="4">
        <f t="shared" si="349"/>
        <v>1.83</v>
      </c>
      <c r="KM67" s="4">
        <f t="shared" si="350"/>
        <v>1.81</v>
      </c>
      <c r="KN67" s="4">
        <f t="shared" si="351"/>
        <v>-9</v>
      </c>
      <c r="KO67" s="4">
        <f t="shared" si="352"/>
        <v>-6</v>
      </c>
      <c r="KP67" s="4">
        <f t="shared" si="353"/>
        <v>-18</v>
      </c>
      <c r="KQ67" s="4">
        <f t="shared" si="354"/>
        <v>2</v>
      </c>
      <c r="KR67" s="4">
        <f t="shared" si="355"/>
        <v>28</v>
      </c>
      <c r="KS67" s="4">
        <f t="shared" si="356"/>
        <v>11</v>
      </c>
      <c r="KT67" s="4">
        <f t="shared" si="357"/>
        <v>-21</v>
      </c>
      <c r="KU67" s="4">
        <f t="shared" si="358"/>
        <v>0.36</v>
      </c>
      <c r="KV67" s="4">
        <f t="shared" si="359"/>
        <v>-0.19</v>
      </c>
      <c r="KW67" s="4">
        <f t="shared" si="360"/>
        <v>-8.9999999999999858E-2</v>
      </c>
      <c r="KX67" s="4">
        <f t="shared" si="361"/>
        <v>-8.0000000000000071E-2</v>
      </c>
      <c r="KY67" s="4">
        <f t="shared" si="362"/>
        <v>-1.0000000000000675E-2</v>
      </c>
      <c r="KZ67" s="4">
        <f t="shared" si="363"/>
        <v>0.14999999999999947</v>
      </c>
      <c r="LA67" s="4">
        <f t="shared" si="364"/>
        <v>0.11999999999999922</v>
      </c>
      <c r="LB67" s="4">
        <f t="shared" si="365"/>
        <v>-1.0000000000001563E-2</v>
      </c>
      <c r="LC67" s="4">
        <f t="shared" si="366"/>
        <v>0</v>
      </c>
      <c r="LD67" s="4">
        <f t="shared" si="367"/>
        <v>0.19999999999999996</v>
      </c>
      <c r="LE67" s="4">
        <f t="shared" si="368"/>
        <v>-0.21999999999999975</v>
      </c>
      <c r="LF67" s="4">
        <f t="shared" si="369"/>
        <v>-0.11000000000000032</v>
      </c>
      <c r="LG67" s="4">
        <f t="shared" si="370"/>
        <v>-5.0000000000000711E-2</v>
      </c>
      <c r="LH67" s="4">
        <f t="shared" si="371"/>
        <v>-4.0000000000000036E-2</v>
      </c>
      <c r="LI67" s="4">
        <f t="shared" si="372"/>
        <v>4.9999999999999822E-2</v>
      </c>
      <c r="LJ67" s="4">
        <f t="shared" si="373"/>
        <v>0</v>
      </c>
      <c r="LK67" s="4">
        <f t="shared" si="374"/>
        <v>0</v>
      </c>
      <c r="LL67" s="4">
        <f t="shared" si="375"/>
        <v>0.19999999999999996</v>
      </c>
      <c r="LM67" s="4">
        <f t="shared" si="376"/>
        <v>0.39999999999999858</v>
      </c>
      <c r="LN67" s="4">
        <f t="shared" si="377"/>
        <v>0.79999999999999716</v>
      </c>
      <c r="LO67" s="4">
        <f t="shared" si="378"/>
        <v>0.70000000000000284</v>
      </c>
      <c r="LP67" s="4">
        <f t="shared" si="379"/>
        <v>7.9000000000000057</v>
      </c>
      <c r="LQ67" s="4">
        <f t="shared" si="380"/>
        <v>1</v>
      </c>
      <c r="LR67" s="4">
        <f t="shared" si="381"/>
        <v>-0.20000000000000018</v>
      </c>
      <c r="LS67" s="4">
        <f t="shared" si="382"/>
        <v>-0.20000000000000018</v>
      </c>
      <c r="LT67" s="4">
        <f t="shared" si="383"/>
        <v>-0.19999999999999929</v>
      </c>
      <c r="LU67" s="4">
        <f t="shared" si="384"/>
        <v>-1.6999999999999886</v>
      </c>
      <c r="LV67" s="4">
        <f t="shared" si="385"/>
        <v>9.9999999999999978E-2</v>
      </c>
      <c r="LW67" s="4">
        <f t="shared" si="386"/>
        <v>-0.10000000000000053</v>
      </c>
      <c r="LX67" s="4">
        <f t="shared" si="387"/>
        <v>0</v>
      </c>
      <c r="LY67" s="4">
        <f t="shared" si="388"/>
        <v>0</v>
      </c>
      <c r="LZ67" s="4">
        <f t="shared" si="389"/>
        <v>0.70000000000000284</v>
      </c>
      <c r="MA67" s="4">
        <f t="shared" si="390"/>
        <v>15</v>
      </c>
      <c r="MB67" s="4" t="str">
        <f t="shared" si="391"/>
        <v/>
      </c>
      <c r="MC67" s="4" t="str">
        <f t="shared" si="392"/>
        <v/>
      </c>
      <c r="MD67" s="4" t="str">
        <f t="shared" si="393"/>
        <v/>
      </c>
      <c r="ME67" s="4">
        <f t="shared" si="394"/>
        <v>6.9</v>
      </c>
    </row>
    <row r="68" spans="1:343" ht="26.25" customHeight="1" thickBot="1" x14ac:dyDescent="0.25">
      <c r="A68" s="35">
        <v>41150</v>
      </c>
      <c r="B68" s="36" t="s">
        <v>210</v>
      </c>
      <c r="C68" s="36" t="s">
        <v>167</v>
      </c>
      <c r="D68" s="31" t="s">
        <v>111</v>
      </c>
      <c r="E68" s="4">
        <v>71</v>
      </c>
      <c r="F68" s="3">
        <v>14875</v>
      </c>
      <c r="G68" s="4" t="s">
        <v>87</v>
      </c>
      <c r="H68" s="4" t="s">
        <v>108</v>
      </c>
      <c r="I68" s="4">
        <v>1835069</v>
      </c>
      <c r="K68" s="74"/>
      <c r="L68" s="75"/>
      <c r="M68" s="75"/>
      <c r="N68" s="75"/>
      <c r="O68" s="75"/>
      <c r="P68" s="4">
        <v>-0.5</v>
      </c>
      <c r="Q68" s="4">
        <v>-0.46</v>
      </c>
      <c r="R68" s="39" t="s">
        <v>249</v>
      </c>
      <c r="S68" s="70">
        <v>24.5</v>
      </c>
      <c r="T68" s="136">
        <v>41129</v>
      </c>
      <c r="U68" s="67">
        <v>2</v>
      </c>
      <c r="V68" s="67">
        <v>1.5</v>
      </c>
      <c r="W68" s="4">
        <v>10</v>
      </c>
      <c r="X68" s="4">
        <v>20</v>
      </c>
      <c r="Y68" s="4">
        <v>13</v>
      </c>
      <c r="Z68" s="4">
        <v>582</v>
      </c>
      <c r="AA68" s="4">
        <v>22.45</v>
      </c>
      <c r="AB68" s="4">
        <v>11</v>
      </c>
      <c r="AC68" s="4">
        <v>4.67</v>
      </c>
      <c r="AD68" s="4">
        <v>2.97</v>
      </c>
      <c r="AE68" s="4">
        <v>44.12</v>
      </c>
      <c r="AF68" s="4">
        <v>100</v>
      </c>
      <c r="AG68" s="4">
        <v>44.82</v>
      </c>
      <c r="AH68" s="4">
        <v>10</v>
      </c>
      <c r="AI68" s="4">
        <v>0</v>
      </c>
      <c r="AJ68" s="4" t="b">
        <f t="shared" si="267"/>
        <v>0</v>
      </c>
      <c r="AL68" s="32">
        <v>41319</v>
      </c>
      <c r="AM68" s="60">
        <v>70</v>
      </c>
      <c r="AN68" s="67">
        <v>-2.25</v>
      </c>
      <c r="AO68" s="67">
        <v>0.5</v>
      </c>
      <c r="AP68" s="4">
        <v>32</v>
      </c>
      <c r="AQ68" s="4">
        <v>25</v>
      </c>
      <c r="AR68" s="4">
        <v>18</v>
      </c>
      <c r="AS68" s="4">
        <v>564</v>
      </c>
      <c r="AT68" s="4">
        <v>1530</v>
      </c>
      <c r="BA68" s="4">
        <f t="shared" si="268"/>
        <v>-2</v>
      </c>
      <c r="BB68" s="4">
        <f t="shared" si="265"/>
        <v>-1.54</v>
      </c>
      <c r="BC68" s="4">
        <f t="shared" si="269"/>
        <v>-18</v>
      </c>
      <c r="BD68" s="3">
        <v>41501</v>
      </c>
      <c r="BE68" s="59"/>
      <c r="BF68" s="67">
        <v>-1.75</v>
      </c>
      <c r="BG68" s="67">
        <v>0.5</v>
      </c>
      <c r="BH68" s="4">
        <v>3</v>
      </c>
      <c r="BI68" s="4">
        <v>20</v>
      </c>
      <c r="BJ68" s="4">
        <v>14</v>
      </c>
      <c r="BK68" s="4">
        <v>566</v>
      </c>
      <c r="BL68" s="4">
        <v>1412</v>
      </c>
      <c r="BM68" s="51" t="s">
        <v>282</v>
      </c>
      <c r="BN68" s="51" t="s">
        <v>282</v>
      </c>
      <c r="BO68" s="51" t="s">
        <v>282</v>
      </c>
      <c r="BP68" s="51" t="s">
        <v>282</v>
      </c>
      <c r="BQ68" s="51" t="s">
        <v>282</v>
      </c>
      <c r="BR68" s="51" t="s">
        <v>282</v>
      </c>
      <c r="BS68" s="4">
        <f t="shared" si="266"/>
        <v>-1.5</v>
      </c>
      <c r="BT68" s="4">
        <f t="shared" si="270"/>
        <v>-1.04</v>
      </c>
      <c r="BU68" s="4">
        <f t="shared" si="271"/>
        <v>-16</v>
      </c>
      <c r="BV68" s="4">
        <f>IF(AND(ISBLANK(SPH_6),ISBLANK(SPH_12)),0,1)</f>
        <v>1</v>
      </c>
      <c r="BW68" s="4">
        <f t="shared" si="272"/>
        <v>1</v>
      </c>
      <c r="BX68" s="4">
        <f t="shared" si="273"/>
        <v>2.75</v>
      </c>
      <c r="BY68" s="4">
        <f t="shared" si="274"/>
        <v>-2</v>
      </c>
      <c r="BZ68" s="4">
        <f t="shared" si="275"/>
        <v>-1.5</v>
      </c>
      <c r="CA68" s="53">
        <f t="shared" si="276"/>
        <v>351</v>
      </c>
      <c r="CB68" s="55">
        <f t="shared" si="277"/>
        <v>11.7</v>
      </c>
      <c r="CC68" s="4">
        <f t="shared" si="278"/>
        <v>0.5</v>
      </c>
      <c r="CD68" s="4" t="str">
        <f t="shared" si="279"/>
        <v/>
      </c>
      <c r="CE68" s="4" t="str">
        <f t="shared" si="280"/>
        <v/>
      </c>
      <c r="CF68" s="4" t="str">
        <f t="shared" si="281"/>
        <v/>
      </c>
      <c r="CG68" s="4">
        <f t="shared" ref="CG68:CG99" si="395">IF(AND(ISNUMBER(SPH_PREOP),ISNUMBER(SE_LAST_)),SPH_PREOP+CYL_PREOP/2,"")</f>
        <v>2.75</v>
      </c>
      <c r="CH68" s="4">
        <f t="shared" si="282"/>
        <v>-1.5</v>
      </c>
      <c r="CI68" s="104">
        <f t="shared" si="283"/>
        <v>-1.04</v>
      </c>
      <c r="CJ68" s="94">
        <f t="shared" si="284"/>
        <v>-16</v>
      </c>
      <c r="CK68" s="4" t="str">
        <f t="shared" si="285"/>
        <v/>
      </c>
      <c r="CL68" s="107">
        <f t="shared" si="286"/>
        <v>-0.46</v>
      </c>
      <c r="CM68" s="107">
        <f t="shared" ref="CM68:CM113" si="396">IF(AND(OR(ISNUMBER(BI68),ISNUMBER(AQ68)),ISNUMBER(X68)),-LOG(20/X68)--LOG(20/IF(ISNUMBER(BI68),BI68,AQ68)),"")</f>
        <v>0</v>
      </c>
      <c r="CN68" s="139">
        <f t="shared" si="287"/>
        <v>0.5</v>
      </c>
      <c r="CO68" s="139">
        <f t="shared" si="288"/>
        <v>-1</v>
      </c>
      <c r="CP68" s="149">
        <f t="shared" si="289"/>
        <v>20</v>
      </c>
      <c r="CQ68" s="149">
        <f t="shared" si="290"/>
        <v>20</v>
      </c>
      <c r="CR68" s="148">
        <f t="shared" si="291"/>
        <v>70</v>
      </c>
      <c r="CS68" s="152">
        <f t="shared" si="292"/>
        <v>0</v>
      </c>
      <c r="CT68" s="107">
        <f t="shared" si="293"/>
        <v>1</v>
      </c>
      <c r="CU68" s="155" t="b">
        <f t="shared" si="294"/>
        <v>0</v>
      </c>
      <c r="CV68">
        <v>7.62</v>
      </c>
      <c r="CW68" s="4">
        <v>7.65</v>
      </c>
      <c r="CX68" s="4">
        <v>88.1</v>
      </c>
      <c r="CY68" s="4">
        <v>0.2</v>
      </c>
      <c r="CZ68" s="4">
        <v>-0.04</v>
      </c>
      <c r="DA68" s="4">
        <v>0.53</v>
      </c>
      <c r="DB68" s="4">
        <v>2.2999999999999998</v>
      </c>
      <c r="DC68" s="4">
        <v>2.91</v>
      </c>
      <c r="DD68" s="4">
        <v>612</v>
      </c>
      <c r="DE68" s="4">
        <v>612</v>
      </c>
      <c r="DF68" s="4">
        <v>707</v>
      </c>
      <c r="DG68" s="4">
        <v>680</v>
      </c>
      <c r="DH68" s="4">
        <v>697</v>
      </c>
      <c r="DI68" s="4">
        <v>687</v>
      </c>
      <c r="DJ68" s="4">
        <v>610</v>
      </c>
      <c r="DK68" s="4">
        <v>-0.34</v>
      </c>
      <c r="DL68" s="4">
        <v>-0.41</v>
      </c>
      <c r="DM68" s="4">
        <v>7.7</v>
      </c>
      <c r="DN68" s="4">
        <v>7.57</v>
      </c>
      <c r="DO68" s="4">
        <v>7.54</v>
      </c>
      <c r="DP68" s="4">
        <v>7.72</v>
      </c>
      <c r="DQ68" s="4">
        <v>8.0500000000000007</v>
      </c>
      <c r="DR68" s="4">
        <v>8.42</v>
      </c>
      <c r="DS68" s="4">
        <v>0</v>
      </c>
      <c r="DT68" s="4">
        <v>1.3</v>
      </c>
      <c r="DU68" s="4">
        <v>6.29</v>
      </c>
      <c r="DV68" s="4">
        <v>6.12</v>
      </c>
      <c r="DW68" s="4">
        <v>6.3</v>
      </c>
      <c r="DX68" s="4">
        <v>6.76</v>
      </c>
      <c r="DY68" s="4">
        <v>7.03</v>
      </c>
      <c r="DZ68" s="4">
        <v>0</v>
      </c>
      <c r="EA68" s="4">
        <v>0</v>
      </c>
      <c r="EB68" s="100">
        <v>1.3</v>
      </c>
      <c r="EC68" s="122">
        <v>44.1</v>
      </c>
      <c r="ED68" s="122">
        <v>44.3</v>
      </c>
      <c r="EE68" s="122">
        <v>44.2</v>
      </c>
      <c r="EF68" s="122">
        <v>88.1</v>
      </c>
      <c r="EG68" s="122">
        <v>0.2</v>
      </c>
      <c r="EH68" s="122">
        <v>-6.4</v>
      </c>
      <c r="EI68" s="122">
        <v>-6.6</v>
      </c>
      <c r="EJ68" s="122">
        <v>-6.5</v>
      </c>
      <c r="EK68" s="122">
        <v>1.6</v>
      </c>
      <c r="EL68" s="122">
        <v>0.2</v>
      </c>
      <c r="EM68" s="122">
        <v>4.4000000000000004</v>
      </c>
      <c r="EN68" s="122">
        <v>12.9</v>
      </c>
      <c r="EO68" s="122">
        <v>27.6</v>
      </c>
      <c r="EP68" s="122">
        <v>64.8</v>
      </c>
      <c r="EQ68" s="126">
        <v>15</v>
      </c>
      <c r="ER68" s="94">
        <v>7.59</v>
      </c>
      <c r="ES68" s="4">
        <v>7.61</v>
      </c>
      <c r="ET68" s="4">
        <v>49.7</v>
      </c>
      <c r="EU68" s="4">
        <v>0.1</v>
      </c>
      <c r="EV68" s="4">
        <v>0</v>
      </c>
      <c r="EW68" s="4">
        <v>0.69</v>
      </c>
      <c r="EX68" s="4">
        <v>3.91</v>
      </c>
      <c r="EY68" s="4">
        <v>4.5</v>
      </c>
      <c r="EZ68" s="4">
        <v>585</v>
      </c>
      <c r="FA68" s="4">
        <v>586</v>
      </c>
      <c r="FB68" s="4">
        <v>707</v>
      </c>
      <c r="FC68" s="4">
        <v>692</v>
      </c>
      <c r="FD68" s="4">
        <v>709</v>
      </c>
      <c r="FE68" s="4">
        <v>650</v>
      </c>
      <c r="FF68" s="4">
        <v>582</v>
      </c>
      <c r="FG68" s="4">
        <v>-0.68</v>
      </c>
      <c r="FH68" s="4">
        <v>-0.21</v>
      </c>
      <c r="FI68" s="4">
        <v>7.7</v>
      </c>
      <c r="FJ68" s="4">
        <v>7.51</v>
      </c>
      <c r="FK68" s="4">
        <v>7.52</v>
      </c>
      <c r="FL68" s="4">
        <v>7.87</v>
      </c>
      <c r="FM68" s="4">
        <v>8.25</v>
      </c>
      <c r="FN68" s="4">
        <v>8.57</v>
      </c>
      <c r="FO68" s="4">
        <v>0</v>
      </c>
      <c r="FP68" s="4">
        <v>1.5</v>
      </c>
      <c r="FQ68" s="4">
        <v>6.1</v>
      </c>
      <c r="FR68" s="4">
        <v>5.93</v>
      </c>
      <c r="FS68" s="4">
        <v>6.28</v>
      </c>
      <c r="FT68" s="4">
        <v>6.9</v>
      </c>
      <c r="FU68" s="4">
        <v>7.18</v>
      </c>
      <c r="FV68" s="4">
        <v>0</v>
      </c>
      <c r="FW68" s="4">
        <v>0</v>
      </c>
      <c r="FX68" s="97">
        <v>1.5</v>
      </c>
      <c r="FY68" s="122">
        <v>44.4</v>
      </c>
      <c r="FZ68" s="122">
        <v>44.4</v>
      </c>
      <c r="GA68" s="122">
        <v>44.4</v>
      </c>
      <c r="GB68" s="122">
        <v>49.7</v>
      </c>
      <c r="GC68" s="122">
        <v>0.1</v>
      </c>
      <c r="GD68" s="122">
        <v>-6.5</v>
      </c>
      <c r="GE68" s="122">
        <v>-6.9</v>
      </c>
      <c r="GF68" s="122">
        <v>-6.7</v>
      </c>
      <c r="GG68" s="122">
        <v>8.1999999999999993</v>
      </c>
      <c r="GH68" s="122">
        <v>0.5</v>
      </c>
      <c r="GI68" s="122">
        <v>4.3</v>
      </c>
      <c r="GJ68" s="122">
        <v>12.6</v>
      </c>
      <c r="GK68" s="122">
        <v>27.1</v>
      </c>
      <c r="GL68" s="122">
        <v>64.099999999999994</v>
      </c>
      <c r="GM68" s="131">
        <v>30</v>
      </c>
      <c r="IJ68" s="94">
        <f t="shared" si="295"/>
        <v>7.59</v>
      </c>
      <c r="IK68" s="4">
        <f t="shared" si="296"/>
        <v>7.61</v>
      </c>
      <c r="IL68" s="4">
        <f t="shared" si="297"/>
        <v>49.7</v>
      </c>
      <c r="IM68" s="4">
        <f t="shared" si="298"/>
        <v>0.1</v>
      </c>
      <c r="IN68" s="4">
        <f t="shared" si="299"/>
        <v>0</v>
      </c>
      <c r="IO68" s="4">
        <f t="shared" si="300"/>
        <v>0.69</v>
      </c>
      <c r="IP68" s="4">
        <f t="shared" si="301"/>
        <v>3.91</v>
      </c>
      <c r="IQ68" s="4">
        <f t="shared" si="302"/>
        <v>4.5</v>
      </c>
      <c r="IR68" s="4">
        <f t="shared" si="303"/>
        <v>585</v>
      </c>
      <c r="IS68" s="4">
        <f t="shared" si="304"/>
        <v>586</v>
      </c>
      <c r="IT68" s="4">
        <f t="shared" si="305"/>
        <v>707</v>
      </c>
      <c r="IU68" s="4">
        <f t="shared" si="306"/>
        <v>692</v>
      </c>
      <c r="IV68" s="4">
        <f t="shared" si="307"/>
        <v>709</v>
      </c>
      <c r="IW68" s="4">
        <f t="shared" si="308"/>
        <v>650</v>
      </c>
      <c r="IX68" s="4">
        <f t="shared" si="309"/>
        <v>582</v>
      </c>
      <c r="IY68" s="4">
        <f t="shared" si="310"/>
        <v>-0.68</v>
      </c>
      <c r="IZ68" s="4">
        <f t="shared" si="311"/>
        <v>-0.21</v>
      </c>
      <c r="JA68" s="4">
        <f t="shared" si="312"/>
        <v>7.7</v>
      </c>
      <c r="JB68" s="4">
        <f t="shared" si="313"/>
        <v>7.51</v>
      </c>
      <c r="JC68" s="4">
        <f t="shared" si="314"/>
        <v>7.52</v>
      </c>
      <c r="JD68" s="4">
        <f t="shared" si="315"/>
        <v>7.87</v>
      </c>
      <c r="JE68" s="4">
        <f t="shared" si="316"/>
        <v>8.25</v>
      </c>
      <c r="JF68" s="4">
        <f t="shared" si="317"/>
        <v>8.57</v>
      </c>
      <c r="JG68" s="4">
        <f t="shared" si="318"/>
        <v>0</v>
      </c>
      <c r="JH68" s="4">
        <f t="shared" si="319"/>
        <v>1.5</v>
      </c>
      <c r="JI68" s="4">
        <f t="shared" si="320"/>
        <v>6.1</v>
      </c>
      <c r="JJ68" s="4">
        <f t="shared" si="321"/>
        <v>5.93</v>
      </c>
      <c r="JK68" s="4">
        <f t="shared" si="322"/>
        <v>6.28</v>
      </c>
      <c r="JL68" s="4">
        <f t="shared" si="323"/>
        <v>6.9</v>
      </c>
      <c r="JM68" s="4">
        <f t="shared" si="324"/>
        <v>7.18</v>
      </c>
      <c r="JN68" s="4">
        <f t="shared" si="325"/>
        <v>0</v>
      </c>
      <c r="JO68" s="129">
        <f t="shared" si="326"/>
        <v>0</v>
      </c>
      <c r="JP68" s="122">
        <f t="shared" si="327"/>
        <v>1.5</v>
      </c>
      <c r="JQ68" s="122">
        <f t="shared" si="328"/>
        <v>44.4</v>
      </c>
      <c r="JR68" s="122">
        <f t="shared" si="329"/>
        <v>44.4</v>
      </c>
      <c r="JS68" s="122">
        <f t="shared" si="330"/>
        <v>44.4</v>
      </c>
      <c r="JT68" s="122">
        <f t="shared" si="331"/>
        <v>49.7</v>
      </c>
      <c r="JU68" s="122">
        <f t="shared" si="332"/>
        <v>0.1</v>
      </c>
      <c r="JV68" s="122">
        <f t="shared" si="333"/>
        <v>-6.5</v>
      </c>
      <c r="JW68" s="122">
        <f t="shared" si="334"/>
        <v>-6.9</v>
      </c>
      <c r="JX68" s="122">
        <f t="shared" si="335"/>
        <v>-6.7</v>
      </c>
      <c r="JY68" s="122">
        <f t="shared" si="336"/>
        <v>8.1999999999999993</v>
      </c>
      <c r="JZ68" s="122">
        <f t="shared" si="337"/>
        <v>0.5</v>
      </c>
      <c r="KA68" s="122">
        <f t="shared" si="338"/>
        <v>4.3</v>
      </c>
      <c r="KB68" s="122">
        <f t="shared" si="339"/>
        <v>12.6</v>
      </c>
      <c r="KC68" s="122">
        <f t="shared" si="340"/>
        <v>27.1</v>
      </c>
      <c r="KD68" s="122">
        <f t="shared" si="341"/>
        <v>64.099999999999994</v>
      </c>
      <c r="KE68" s="133">
        <f t="shared" si="342"/>
        <v>30</v>
      </c>
      <c r="KF68" s="94">
        <f t="shared" si="343"/>
        <v>-3.0000000000000249E-2</v>
      </c>
      <c r="KG68" s="4">
        <f t="shared" si="344"/>
        <v>-4.0000000000000036E-2</v>
      </c>
      <c r="KH68" s="4">
        <f t="shared" si="345"/>
        <v>-38.399999999999991</v>
      </c>
      <c r="KI68" s="4">
        <f t="shared" si="346"/>
        <v>-0.1</v>
      </c>
      <c r="KJ68" s="4">
        <f t="shared" si="347"/>
        <v>0.04</v>
      </c>
      <c r="KK68" s="4">
        <f t="shared" si="348"/>
        <v>0.15999999999999992</v>
      </c>
      <c r="KL68" s="4">
        <f t="shared" si="349"/>
        <v>1.6100000000000003</v>
      </c>
      <c r="KM68" s="4">
        <f t="shared" si="350"/>
        <v>1.5899999999999999</v>
      </c>
      <c r="KN68" s="4">
        <f t="shared" si="351"/>
        <v>-27</v>
      </c>
      <c r="KO68" s="4">
        <f t="shared" si="352"/>
        <v>-26</v>
      </c>
      <c r="KP68" s="4">
        <f t="shared" si="353"/>
        <v>0</v>
      </c>
      <c r="KQ68" s="4">
        <f t="shared" si="354"/>
        <v>12</v>
      </c>
      <c r="KR68" s="4">
        <f t="shared" si="355"/>
        <v>12</v>
      </c>
      <c r="KS68" s="4">
        <f t="shared" si="356"/>
        <v>-37</v>
      </c>
      <c r="KT68" s="4">
        <f t="shared" si="357"/>
        <v>-28</v>
      </c>
      <c r="KU68" s="4">
        <f t="shared" si="358"/>
        <v>-0.34</v>
      </c>
      <c r="KV68" s="4">
        <f t="shared" si="359"/>
        <v>0.19999999999999998</v>
      </c>
      <c r="KW68" s="4">
        <f t="shared" si="360"/>
        <v>0</v>
      </c>
      <c r="KX68" s="4">
        <f t="shared" si="361"/>
        <v>-6.0000000000000497E-2</v>
      </c>
      <c r="KY68" s="4">
        <f t="shared" si="362"/>
        <v>-2.0000000000000462E-2</v>
      </c>
      <c r="KZ68" s="4">
        <f t="shared" si="363"/>
        <v>0.15000000000000036</v>
      </c>
      <c r="LA68" s="4">
        <f t="shared" si="364"/>
        <v>0.19999999999999929</v>
      </c>
      <c r="LB68" s="4">
        <f t="shared" si="365"/>
        <v>0.15000000000000036</v>
      </c>
      <c r="LC68" s="4">
        <f t="shared" si="366"/>
        <v>0</v>
      </c>
      <c r="LD68" s="4">
        <f t="shared" si="367"/>
        <v>0.19999999999999996</v>
      </c>
      <c r="LE68" s="4">
        <f t="shared" si="368"/>
        <v>-0.19000000000000039</v>
      </c>
      <c r="LF68" s="4">
        <f t="shared" si="369"/>
        <v>-0.19000000000000039</v>
      </c>
      <c r="LG68" s="4">
        <f t="shared" si="370"/>
        <v>-1.9999999999999574E-2</v>
      </c>
      <c r="LH68" s="4">
        <f t="shared" si="371"/>
        <v>0.14000000000000057</v>
      </c>
      <c r="LI68" s="4">
        <f t="shared" si="372"/>
        <v>0.14999999999999947</v>
      </c>
      <c r="LJ68" s="4">
        <f t="shared" si="373"/>
        <v>0</v>
      </c>
      <c r="LK68" s="4">
        <f t="shared" si="374"/>
        <v>0</v>
      </c>
      <c r="LL68" s="4">
        <f t="shared" si="375"/>
        <v>0.19999999999999996</v>
      </c>
      <c r="LM68" s="4">
        <f t="shared" si="376"/>
        <v>0.29999999999999716</v>
      </c>
      <c r="LN68" s="4">
        <f t="shared" si="377"/>
        <v>0.10000000000000142</v>
      </c>
      <c r="LO68" s="4">
        <f t="shared" si="378"/>
        <v>0.19999999999999574</v>
      </c>
      <c r="LP68" s="4">
        <f t="shared" si="379"/>
        <v>-38.399999999999991</v>
      </c>
      <c r="LQ68" s="4">
        <f t="shared" si="380"/>
        <v>-0.1</v>
      </c>
      <c r="LR68" s="4">
        <f t="shared" si="381"/>
        <v>-9.9999999999999645E-2</v>
      </c>
      <c r="LS68" s="4">
        <f t="shared" si="382"/>
        <v>-0.30000000000000071</v>
      </c>
      <c r="LT68" s="4">
        <f t="shared" si="383"/>
        <v>-0.20000000000000018</v>
      </c>
      <c r="LU68" s="4">
        <f t="shared" si="384"/>
        <v>6.6</v>
      </c>
      <c r="LV68" s="4">
        <f t="shared" si="385"/>
        <v>0.3</v>
      </c>
      <c r="LW68" s="4">
        <f t="shared" si="386"/>
        <v>-0.10000000000000053</v>
      </c>
      <c r="LX68" s="4">
        <f t="shared" si="387"/>
        <v>-0.30000000000000071</v>
      </c>
      <c r="LY68" s="4">
        <f t="shared" si="388"/>
        <v>-0.5</v>
      </c>
      <c r="LZ68" s="4">
        <f t="shared" si="389"/>
        <v>-0.70000000000000284</v>
      </c>
      <c r="MA68" s="4">
        <f t="shared" si="390"/>
        <v>15</v>
      </c>
      <c r="MB68" s="4" t="str">
        <f t="shared" si="391"/>
        <v/>
      </c>
      <c r="MC68" s="4" t="str">
        <f t="shared" si="392"/>
        <v/>
      </c>
      <c r="MD68" s="4" t="str">
        <f t="shared" si="393"/>
        <v/>
      </c>
      <c r="ME68" s="4">
        <f t="shared" si="394"/>
        <v>6.9</v>
      </c>
    </row>
    <row r="69" spans="1:343" ht="26.25" customHeight="1" thickBot="1" x14ac:dyDescent="0.25">
      <c r="A69" s="35">
        <v>41178</v>
      </c>
      <c r="B69" s="36" t="s">
        <v>172</v>
      </c>
      <c r="C69" s="36" t="s">
        <v>5</v>
      </c>
      <c r="D69" s="31" t="s">
        <v>110</v>
      </c>
      <c r="E69" s="4">
        <v>64</v>
      </c>
      <c r="F69" s="3">
        <v>17632</v>
      </c>
      <c r="G69" s="4" t="s">
        <v>87</v>
      </c>
      <c r="H69" s="4" t="s">
        <v>108</v>
      </c>
      <c r="I69" s="4">
        <v>1835115</v>
      </c>
      <c r="K69" s="74"/>
      <c r="L69" s="75"/>
      <c r="M69" s="75"/>
      <c r="N69" s="75"/>
      <c r="O69" s="75"/>
      <c r="P69" s="4">
        <v>-0.5</v>
      </c>
      <c r="Q69" s="4">
        <v>-0.64</v>
      </c>
      <c r="R69" s="4" t="s">
        <v>249</v>
      </c>
      <c r="S69" s="67">
        <v>19.25</v>
      </c>
      <c r="T69" s="136">
        <v>41165</v>
      </c>
      <c r="U69" s="67">
        <v>0.75</v>
      </c>
      <c r="V69" s="67">
        <v>0.5</v>
      </c>
      <c r="W69" s="4">
        <v>160</v>
      </c>
      <c r="X69" s="4">
        <v>30</v>
      </c>
      <c r="Y69" s="4">
        <v>13</v>
      </c>
      <c r="Z69" s="4">
        <v>631</v>
      </c>
      <c r="AA69" s="4">
        <v>24.64</v>
      </c>
      <c r="AD69" s="4">
        <v>3.29</v>
      </c>
      <c r="AE69" s="4">
        <v>42.03</v>
      </c>
      <c r="AF69" s="4">
        <v>24</v>
      </c>
      <c r="AG69" s="4">
        <v>43.32</v>
      </c>
      <c r="AH69" s="4">
        <v>114</v>
      </c>
      <c r="AI69" s="4">
        <v>0</v>
      </c>
      <c r="AJ69" s="4" t="b">
        <f t="shared" si="267"/>
        <v>0</v>
      </c>
      <c r="AL69" s="32">
        <v>41416</v>
      </c>
      <c r="AM69" s="60">
        <v>20</v>
      </c>
      <c r="AN69" s="67">
        <v>0</v>
      </c>
      <c r="AO69" s="67">
        <v>0</v>
      </c>
      <c r="AP69" s="4">
        <v>0</v>
      </c>
      <c r="AQ69" s="4">
        <v>20</v>
      </c>
      <c r="AR69" s="4">
        <v>12</v>
      </c>
      <c r="AS69" s="4">
        <v>567</v>
      </c>
      <c r="BA69" s="4">
        <f t="shared" si="268"/>
        <v>0</v>
      </c>
      <c r="BB69" s="4">
        <f t="shared" si="265"/>
        <v>0.64</v>
      </c>
      <c r="BC69" s="4">
        <f t="shared" si="269"/>
        <v>-64</v>
      </c>
      <c r="BD69" s="3">
        <v>41603</v>
      </c>
      <c r="BE69" s="56">
        <v>25</v>
      </c>
      <c r="BF69" s="67">
        <v>-0.5</v>
      </c>
      <c r="BG69" s="67">
        <v>0.5</v>
      </c>
      <c r="BH69" s="4">
        <v>169</v>
      </c>
      <c r="BI69" s="4">
        <v>25</v>
      </c>
      <c r="BJ69" s="4">
        <v>12</v>
      </c>
      <c r="BK69" s="4">
        <v>545</v>
      </c>
      <c r="BM69" s="4">
        <v>24.67</v>
      </c>
      <c r="BN69" s="4" t="s">
        <v>282</v>
      </c>
      <c r="BO69" s="4">
        <v>41.72</v>
      </c>
      <c r="BP69" s="4">
        <v>26</v>
      </c>
      <c r="BQ69" s="4">
        <v>42.19</v>
      </c>
      <c r="BR69" s="4">
        <v>116</v>
      </c>
      <c r="BS69" s="4">
        <f t="shared" si="266"/>
        <v>-0.25</v>
      </c>
      <c r="BT69" s="4">
        <f t="shared" si="270"/>
        <v>0.39</v>
      </c>
      <c r="BU69" s="4">
        <f t="shared" si="271"/>
        <v>-86</v>
      </c>
      <c r="BV69" s="4">
        <f>IF(AND(ISBLANK(SPH_6),ISBLANK(SPH_12)),0,1)</f>
        <v>1</v>
      </c>
      <c r="BW69" s="4">
        <f t="shared" si="272"/>
        <v>1</v>
      </c>
      <c r="BX69" s="4">
        <f t="shared" si="273"/>
        <v>1</v>
      </c>
      <c r="BY69" s="4">
        <f t="shared" si="274"/>
        <v>0</v>
      </c>
      <c r="BZ69" s="4">
        <f t="shared" si="275"/>
        <v>-0.25</v>
      </c>
      <c r="CA69" s="53">
        <f t="shared" si="276"/>
        <v>425</v>
      </c>
      <c r="CB69" s="55">
        <f t="shared" si="277"/>
        <v>14.166666666666666</v>
      </c>
      <c r="CC69" s="4">
        <f t="shared" si="278"/>
        <v>-0.25</v>
      </c>
      <c r="CD69" s="4" t="str">
        <f t="shared" si="279"/>
        <v/>
      </c>
      <c r="CE69" s="4">
        <f t="shared" si="280"/>
        <v>-0.71999999999999886</v>
      </c>
      <c r="CF69" s="4">
        <f t="shared" si="281"/>
        <v>-0.71999999999999886</v>
      </c>
      <c r="CG69" s="4">
        <f t="shared" si="395"/>
        <v>1</v>
      </c>
      <c r="CH69" s="4">
        <f t="shared" si="282"/>
        <v>-0.25</v>
      </c>
      <c r="CI69" s="104">
        <f t="shared" si="283"/>
        <v>0.39</v>
      </c>
      <c r="CJ69" s="94">
        <f t="shared" si="284"/>
        <v>-86</v>
      </c>
      <c r="CK69" s="4">
        <f t="shared" si="285"/>
        <v>3.0000000000001137E-2</v>
      </c>
      <c r="CL69" s="107">
        <f t="shared" si="286"/>
        <v>-0.64</v>
      </c>
      <c r="CM69" s="107">
        <f t="shared" si="396"/>
        <v>7.9181246047624873E-2</v>
      </c>
      <c r="CN69" s="139">
        <f t="shared" si="287"/>
        <v>0.5</v>
      </c>
      <c r="CO69" s="139">
        <f t="shared" si="288"/>
        <v>0</v>
      </c>
      <c r="CP69" s="149">
        <f t="shared" si="289"/>
        <v>25</v>
      </c>
      <c r="CQ69" s="149">
        <f t="shared" si="290"/>
        <v>30</v>
      </c>
      <c r="CR69" s="148">
        <f t="shared" si="291"/>
        <v>25</v>
      </c>
      <c r="CS69" s="152">
        <f t="shared" si="292"/>
        <v>1</v>
      </c>
      <c r="CT69" s="107">
        <f t="shared" si="293"/>
        <v>0</v>
      </c>
      <c r="CU69" s="155" t="b">
        <f t="shared" si="294"/>
        <v>0</v>
      </c>
      <c r="CV69">
        <v>8.1</v>
      </c>
      <c r="CW69" s="4">
        <v>7.85</v>
      </c>
      <c r="CX69" s="4">
        <v>28.1</v>
      </c>
      <c r="CY69" s="4">
        <v>-1.3</v>
      </c>
      <c r="CZ69" s="4">
        <v>0.56999999999999995</v>
      </c>
      <c r="DA69" s="4">
        <v>0.64</v>
      </c>
      <c r="DB69" s="4">
        <v>3.01</v>
      </c>
      <c r="DC69" s="4">
        <v>3.65</v>
      </c>
      <c r="DD69" s="4">
        <v>631</v>
      </c>
      <c r="DE69" s="4">
        <v>637</v>
      </c>
      <c r="DF69" s="4">
        <v>670</v>
      </c>
      <c r="DG69" s="4">
        <v>634</v>
      </c>
      <c r="DH69" s="4">
        <v>638</v>
      </c>
      <c r="DI69" s="4">
        <v>681</v>
      </c>
      <c r="DJ69" s="4">
        <v>614</v>
      </c>
      <c r="DK69" s="4">
        <v>-0.71</v>
      </c>
      <c r="DL69" s="4">
        <v>-1.27</v>
      </c>
      <c r="DM69" s="4">
        <v>7.97</v>
      </c>
      <c r="DN69" s="4">
        <v>7.99</v>
      </c>
      <c r="DO69" s="4">
        <v>8.0500000000000007</v>
      </c>
      <c r="DP69" s="4">
        <v>8.25</v>
      </c>
      <c r="DQ69" s="4">
        <v>8.61</v>
      </c>
      <c r="DR69" s="4">
        <v>8.8000000000000007</v>
      </c>
      <c r="DS69" s="4">
        <v>0</v>
      </c>
      <c r="DT69" s="4">
        <v>0.7</v>
      </c>
      <c r="DU69" s="4">
        <v>7.23</v>
      </c>
      <c r="DV69" s="4">
        <v>7.12</v>
      </c>
      <c r="DW69" s="4">
        <v>7.06</v>
      </c>
      <c r="DX69" s="4">
        <v>7.13</v>
      </c>
      <c r="DY69" s="4">
        <v>7.19</v>
      </c>
      <c r="DZ69" s="4">
        <v>7.35</v>
      </c>
      <c r="EA69" s="4">
        <v>0</v>
      </c>
      <c r="EB69" s="100">
        <v>0.7</v>
      </c>
      <c r="EC69" s="122">
        <v>41.7</v>
      </c>
      <c r="ED69" s="122">
        <v>43</v>
      </c>
      <c r="EE69" s="122">
        <v>42.3</v>
      </c>
      <c r="EF69" s="122">
        <v>28.1</v>
      </c>
      <c r="EG69" s="122">
        <v>1.3</v>
      </c>
      <c r="EH69" s="122">
        <v>-5.4</v>
      </c>
      <c r="EI69" s="122">
        <v>-5.7</v>
      </c>
      <c r="EJ69" s="122">
        <v>-5.5</v>
      </c>
      <c r="EK69" s="122">
        <v>132.1</v>
      </c>
      <c r="EL69" s="122">
        <v>0.2</v>
      </c>
      <c r="EM69" s="122">
        <v>4.5</v>
      </c>
      <c r="EN69" s="122">
        <v>12.8</v>
      </c>
      <c r="EO69" s="122">
        <v>26.3</v>
      </c>
      <c r="EP69" s="122">
        <v>60.4</v>
      </c>
      <c r="EQ69" s="126">
        <v>15</v>
      </c>
      <c r="GN69" s="94">
        <v>8.1199999999999992</v>
      </c>
      <c r="GO69" s="4">
        <v>7.95</v>
      </c>
      <c r="GP69" s="4">
        <v>20.3</v>
      </c>
      <c r="GQ69" s="4">
        <v>-0.9</v>
      </c>
      <c r="GR69" s="4">
        <v>0.7</v>
      </c>
      <c r="GS69" s="4">
        <v>0.69</v>
      </c>
      <c r="GT69" s="4">
        <v>4.4400000000000004</v>
      </c>
      <c r="GU69" s="4">
        <v>4.99</v>
      </c>
      <c r="GV69" s="4">
        <v>549</v>
      </c>
      <c r="GW69" s="4">
        <v>549</v>
      </c>
      <c r="GX69" s="4">
        <v>663</v>
      </c>
      <c r="GY69" s="4">
        <v>594</v>
      </c>
      <c r="GZ69" s="4">
        <v>644</v>
      </c>
      <c r="HA69" s="4">
        <v>610</v>
      </c>
      <c r="HB69" s="4">
        <v>538</v>
      </c>
      <c r="HC69" s="4">
        <v>0.81</v>
      </c>
      <c r="HD69" s="4">
        <v>-0.48</v>
      </c>
      <c r="HE69" s="4">
        <v>8.0500000000000007</v>
      </c>
      <c r="HF69" s="4">
        <v>8.0299999999999994</v>
      </c>
      <c r="HG69" s="4">
        <v>8.11</v>
      </c>
      <c r="HH69" s="4">
        <v>8.35</v>
      </c>
      <c r="HI69" s="4">
        <v>8.68</v>
      </c>
      <c r="HJ69" s="4">
        <v>8.84</v>
      </c>
      <c r="HK69" s="4">
        <v>0</v>
      </c>
      <c r="HL69" s="4">
        <v>1.2</v>
      </c>
      <c r="HM69" s="4">
        <v>6.66</v>
      </c>
      <c r="HN69" s="4">
        <v>6.59</v>
      </c>
      <c r="HO69" s="4">
        <v>6.61</v>
      </c>
      <c r="HP69" s="4">
        <v>6.67</v>
      </c>
      <c r="HQ69" s="4">
        <v>6.92</v>
      </c>
      <c r="HR69" s="4">
        <v>0</v>
      </c>
      <c r="HS69" s="4">
        <v>0</v>
      </c>
      <c r="HT69" s="104">
        <v>1.2</v>
      </c>
      <c r="HU69" s="122">
        <v>41.6</v>
      </c>
      <c r="HV69" s="122">
        <v>42.4</v>
      </c>
      <c r="HW69" s="122">
        <v>42</v>
      </c>
      <c r="HX69" s="122">
        <v>20.3</v>
      </c>
      <c r="HY69" s="122">
        <v>0.9</v>
      </c>
      <c r="HZ69" s="122">
        <v>-5.9</v>
      </c>
      <c r="IA69" s="122">
        <v>-6.1</v>
      </c>
      <c r="IB69" s="122">
        <v>-6</v>
      </c>
      <c r="IC69" s="122">
        <v>3.9</v>
      </c>
      <c r="ID69" s="122">
        <v>0.2</v>
      </c>
      <c r="IE69" s="122">
        <v>4</v>
      </c>
      <c r="IF69" s="122">
        <v>11.6</v>
      </c>
      <c r="IG69" s="122">
        <v>24.8</v>
      </c>
      <c r="IH69" s="122">
        <v>61.2</v>
      </c>
      <c r="II69" s="133">
        <v>17</v>
      </c>
      <c r="IJ69" s="94">
        <f t="shared" si="295"/>
        <v>8.1199999999999992</v>
      </c>
      <c r="IK69" s="4">
        <f t="shared" si="296"/>
        <v>7.95</v>
      </c>
      <c r="IL69" s="4">
        <f t="shared" si="297"/>
        <v>20.3</v>
      </c>
      <c r="IM69" s="4">
        <f t="shared" si="298"/>
        <v>-0.9</v>
      </c>
      <c r="IN69" s="4">
        <f t="shared" si="299"/>
        <v>0.7</v>
      </c>
      <c r="IO69" s="4">
        <f t="shared" si="300"/>
        <v>0.69</v>
      </c>
      <c r="IP69" s="4">
        <f t="shared" si="301"/>
        <v>4.4400000000000004</v>
      </c>
      <c r="IQ69" s="4">
        <f t="shared" si="302"/>
        <v>4.99</v>
      </c>
      <c r="IR69" s="4">
        <f t="shared" si="303"/>
        <v>549</v>
      </c>
      <c r="IS69" s="4">
        <f t="shared" si="304"/>
        <v>549</v>
      </c>
      <c r="IT69" s="4">
        <f t="shared" si="305"/>
        <v>663</v>
      </c>
      <c r="IU69" s="4">
        <f t="shared" si="306"/>
        <v>594</v>
      </c>
      <c r="IV69" s="4">
        <f t="shared" si="307"/>
        <v>644</v>
      </c>
      <c r="IW69" s="4">
        <f t="shared" si="308"/>
        <v>610</v>
      </c>
      <c r="IX69" s="4">
        <f t="shared" si="309"/>
        <v>538</v>
      </c>
      <c r="IY69" s="4">
        <f t="shared" si="310"/>
        <v>0.81</v>
      </c>
      <c r="IZ69" s="4">
        <f t="shared" si="311"/>
        <v>-0.48</v>
      </c>
      <c r="JA69" s="4">
        <f t="shared" si="312"/>
        <v>8.0500000000000007</v>
      </c>
      <c r="JB69" s="4">
        <f t="shared" si="313"/>
        <v>8.0299999999999994</v>
      </c>
      <c r="JC69" s="4">
        <f t="shared" si="314"/>
        <v>8.11</v>
      </c>
      <c r="JD69" s="4">
        <f t="shared" si="315"/>
        <v>8.35</v>
      </c>
      <c r="JE69" s="4">
        <f t="shared" si="316"/>
        <v>8.68</v>
      </c>
      <c r="JF69" s="4">
        <f t="shared" si="317"/>
        <v>8.84</v>
      </c>
      <c r="JG69" s="4">
        <f t="shared" si="318"/>
        <v>0</v>
      </c>
      <c r="JH69" s="4">
        <f t="shared" si="319"/>
        <v>1.2</v>
      </c>
      <c r="JI69" s="4">
        <f t="shared" si="320"/>
        <v>6.66</v>
      </c>
      <c r="JJ69" s="4">
        <f t="shared" si="321"/>
        <v>6.59</v>
      </c>
      <c r="JK69" s="4">
        <f t="shared" si="322"/>
        <v>6.61</v>
      </c>
      <c r="JL69" s="4">
        <f t="shared" si="323"/>
        <v>6.67</v>
      </c>
      <c r="JM69" s="4">
        <f t="shared" si="324"/>
        <v>6.92</v>
      </c>
      <c r="JN69" s="4">
        <f t="shared" si="325"/>
        <v>0</v>
      </c>
      <c r="JO69" s="129">
        <f t="shared" si="326"/>
        <v>0</v>
      </c>
      <c r="JP69" s="122">
        <f t="shared" si="327"/>
        <v>1.2</v>
      </c>
      <c r="JQ69" s="122">
        <f t="shared" si="328"/>
        <v>41.6</v>
      </c>
      <c r="JR69" s="122">
        <f t="shared" si="329"/>
        <v>42.4</v>
      </c>
      <c r="JS69" s="122">
        <f t="shared" si="330"/>
        <v>42</v>
      </c>
      <c r="JT69" s="122">
        <f t="shared" si="331"/>
        <v>20.3</v>
      </c>
      <c r="JU69" s="122">
        <f t="shared" si="332"/>
        <v>0.9</v>
      </c>
      <c r="JV69" s="122">
        <f t="shared" si="333"/>
        <v>-5.9</v>
      </c>
      <c r="JW69" s="122">
        <f t="shared" si="334"/>
        <v>-6.1</v>
      </c>
      <c r="JX69" s="122">
        <f t="shared" si="335"/>
        <v>-6</v>
      </c>
      <c r="JY69" s="122">
        <f t="shared" si="336"/>
        <v>3.9</v>
      </c>
      <c r="JZ69" s="122">
        <f t="shared" si="337"/>
        <v>0.2</v>
      </c>
      <c r="KA69" s="122">
        <f t="shared" si="338"/>
        <v>4</v>
      </c>
      <c r="KB69" s="122">
        <f t="shared" si="339"/>
        <v>11.6</v>
      </c>
      <c r="KC69" s="122">
        <f t="shared" si="340"/>
        <v>24.8</v>
      </c>
      <c r="KD69" s="122">
        <f t="shared" si="341"/>
        <v>61.2</v>
      </c>
      <c r="KE69" s="133">
        <f t="shared" si="342"/>
        <v>17</v>
      </c>
      <c r="KF69" s="94">
        <f t="shared" si="343"/>
        <v>1.9999999999999574E-2</v>
      </c>
      <c r="KG69" s="4">
        <f t="shared" si="344"/>
        <v>0.10000000000000053</v>
      </c>
      <c r="KH69" s="4">
        <f t="shared" si="345"/>
        <v>-7.8000000000000007</v>
      </c>
      <c r="KI69" s="4">
        <f t="shared" si="346"/>
        <v>0.4</v>
      </c>
      <c r="KJ69" s="4">
        <f t="shared" si="347"/>
        <v>0.13</v>
      </c>
      <c r="KK69" s="4">
        <f t="shared" si="348"/>
        <v>4.9999999999999933E-2</v>
      </c>
      <c r="KL69" s="4">
        <f t="shared" si="349"/>
        <v>1.4300000000000006</v>
      </c>
      <c r="KM69" s="4">
        <f t="shared" si="350"/>
        <v>1.3400000000000003</v>
      </c>
      <c r="KN69" s="4">
        <f t="shared" si="351"/>
        <v>-82</v>
      </c>
      <c r="KO69" s="4">
        <f t="shared" si="352"/>
        <v>-88</v>
      </c>
      <c r="KP69" s="4">
        <f t="shared" si="353"/>
        <v>-7</v>
      </c>
      <c r="KQ69" s="4">
        <f t="shared" si="354"/>
        <v>-40</v>
      </c>
      <c r="KR69" s="4">
        <f t="shared" si="355"/>
        <v>6</v>
      </c>
      <c r="KS69" s="4">
        <f t="shared" si="356"/>
        <v>-71</v>
      </c>
      <c r="KT69" s="4">
        <f t="shared" si="357"/>
        <v>-76</v>
      </c>
      <c r="KU69" s="4">
        <f t="shared" si="358"/>
        <v>1.52</v>
      </c>
      <c r="KV69" s="4">
        <f t="shared" si="359"/>
        <v>0.79</v>
      </c>
      <c r="KW69" s="4">
        <f t="shared" si="360"/>
        <v>8.0000000000000959E-2</v>
      </c>
      <c r="KX69" s="4">
        <f t="shared" si="361"/>
        <v>3.9999999999999147E-2</v>
      </c>
      <c r="KY69" s="4">
        <f t="shared" si="362"/>
        <v>5.9999999999998721E-2</v>
      </c>
      <c r="KZ69" s="4">
        <f t="shared" si="363"/>
        <v>9.9999999999999645E-2</v>
      </c>
      <c r="LA69" s="4">
        <f t="shared" si="364"/>
        <v>7.0000000000000284E-2</v>
      </c>
      <c r="LB69" s="4">
        <f t="shared" si="365"/>
        <v>3.9999999999999147E-2</v>
      </c>
      <c r="LC69" s="4">
        <f t="shared" si="366"/>
        <v>0</v>
      </c>
      <c r="LD69" s="4">
        <f t="shared" si="367"/>
        <v>0.5</v>
      </c>
      <c r="LE69" s="4">
        <f t="shared" si="368"/>
        <v>-0.57000000000000028</v>
      </c>
      <c r="LF69" s="4">
        <f t="shared" si="369"/>
        <v>-0.53000000000000025</v>
      </c>
      <c r="LG69" s="4">
        <f t="shared" si="370"/>
        <v>-0.44999999999999929</v>
      </c>
      <c r="LH69" s="4">
        <f t="shared" si="371"/>
        <v>-0.45999999999999996</v>
      </c>
      <c r="LI69" s="4">
        <f t="shared" si="372"/>
        <v>-0.27000000000000046</v>
      </c>
      <c r="LJ69" s="4">
        <f t="shared" si="373"/>
        <v>-7.35</v>
      </c>
      <c r="LK69" s="4">
        <f t="shared" si="374"/>
        <v>0</v>
      </c>
      <c r="LL69" s="4">
        <f t="shared" si="375"/>
        <v>0.5</v>
      </c>
      <c r="LM69" s="4">
        <f t="shared" si="376"/>
        <v>-0.10000000000000142</v>
      </c>
      <c r="LN69" s="4">
        <f t="shared" si="377"/>
        <v>-0.60000000000000142</v>
      </c>
      <c r="LO69" s="4">
        <f t="shared" si="378"/>
        <v>-0.29999999999999716</v>
      </c>
      <c r="LP69" s="4">
        <f t="shared" si="379"/>
        <v>-7.8000000000000007</v>
      </c>
      <c r="LQ69" s="4">
        <f t="shared" si="380"/>
        <v>-0.4</v>
      </c>
      <c r="LR69" s="4">
        <f t="shared" si="381"/>
        <v>-0.5</v>
      </c>
      <c r="LS69" s="4">
        <f t="shared" si="382"/>
        <v>-0.39999999999999947</v>
      </c>
      <c r="LT69" s="4">
        <f t="shared" si="383"/>
        <v>-0.5</v>
      </c>
      <c r="LU69" s="4">
        <f t="shared" si="384"/>
        <v>-128.19999999999999</v>
      </c>
      <c r="LV69" s="4">
        <f t="shared" si="385"/>
        <v>0</v>
      </c>
      <c r="LW69" s="4">
        <f t="shared" si="386"/>
        <v>-0.5</v>
      </c>
      <c r="LX69" s="4">
        <f t="shared" si="387"/>
        <v>-1.2000000000000011</v>
      </c>
      <c r="LY69" s="4">
        <f t="shared" si="388"/>
        <v>-1.5</v>
      </c>
      <c r="LZ69" s="4">
        <f t="shared" si="389"/>
        <v>0.80000000000000426</v>
      </c>
      <c r="MA69" s="4">
        <f t="shared" si="390"/>
        <v>2</v>
      </c>
      <c r="MB69" s="4" t="str">
        <f t="shared" si="391"/>
        <v/>
      </c>
      <c r="MC69" s="4" t="str">
        <f t="shared" si="392"/>
        <v/>
      </c>
      <c r="MD69" s="4" t="str">
        <f t="shared" si="393"/>
        <v/>
      </c>
      <c r="ME69" s="4">
        <f t="shared" si="394"/>
        <v>-6.1</v>
      </c>
    </row>
    <row r="70" spans="1:343" ht="26.25" customHeight="1" x14ac:dyDescent="0.2">
      <c r="A70" s="35">
        <v>41192</v>
      </c>
      <c r="B70" s="36" t="s">
        <v>214</v>
      </c>
      <c r="C70" s="36" t="s">
        <v>8</v>
      </c>
      <c r="D70" s="31" t="s">
        <v>110</v>
      </c>
      <c r="E70" s="4">
        <v>58</v>
      </c>
      <c r="F70" s="3">
        <v>19771</v>
      </c>
      <c r="G70" s="4" t="s">
        <v>87</v>
      </c>
      <c r="H70" s="4" t="s">
        <v>112</v>
      </c>
      <c r="I70" s="4">
        <v>1835157</v>
      </c>
      <c r="J70" s="4" t="s">
        <v>310</v>
      </c>
      <c r="P70" s="4">
        <v>-2</v>
      </c>
      <c r="Q70" s="4">
        <v>-1.79</v>
      </c>
      <c r="R70" s="4" t="s">
        <v>249</v>
      </c>
      <c r="S70" s="67">
        <v>18.75</v>
      </c>
      <c r="T70" s="136">
        <v>41074</v>
      </c>
      <c r="U70" s="67">
        <v>-0.25</v>
      </c>
      <c r="V70" s="67">
        <v>0.75</v>
      </c>
      <c r="W70" s="4">
        <v>138</v>
      </c>
      <c r="X70" s="4">
        <v>30</v>
      </c>
      <c r="Y70" s="4">
        <v>21</v>
      </c>
      <c r="Z70" s="4">
        <v>684</v>
      </c>
      <c r="AA70" s="4">
        <v>24.86</v>
      </c>
      <c r="AB70" s="4">
        <v>12.2</v>
      </c>
      <c r="AC70" s="4">
        <v>4.2300000000000004</v>
      </c>
      <c r="AD70" s="4">
        <v>3.59</v>
      </c>
      <c r="AE70" s="4">
        <v>42.51</v>
      </c>
      <c r="AF70" s="4">
        <v>86</v>
      </c>
      <c r="AG70" s="4">
        <v>42.72</v>
      </c>
      <c r="AH70" s="4">
        <v>176</v>
      </c>
      <c r="AI70" s="4">
        <v>1</v>
      </c>
      <c r="AJ70" s="4" t="b">
        <f t="shared" si="267"/>
        <v>1</v>
      </c>
      <c r="AL70" s="37">
        <v>41400</v>
      </c>
      <c r="AM70" s="59">
        <v>40</v>
      </c>
      <c r="AN70" s="67">
        <v>-0.75</v>
      </c>
      <c r="AO70" s="67">
        <v>0.75</v>
      </c>
      <c r="AP70" s="4">
        <v>155</v>
      </c>
      <c r="AQ70" s="4">
        <v>30</v>
      </c>
      <c r="AR70" s="4">
        <v>18</v>
      </c>
      <c r="AS70" s="4">
        <v>612</v>
      </c>
      <c r="AT70" s="4">
        <v>2169</v>
      </c>
      <c r="BA70" s="4">
        <f t="shared" si="268"/>
        <v>-0.375</v>
      </c>
      <c r="BB70" s="4">
        <f t="shared" si="265"/>
        <v>1.415</v>
      </c>
      <c r="BC70" s="4">
        <f t="shared" si="269"/>
        <v>-72</v>
      </c>
      <c r="BD70" s="3">
        <v>41554</v>
      </c>
      <c r="BE70" s="56">
        <v>40</v>
      </c>
      <c r="BF70" s="67">
        <v>-1</v>
      </c>
      <c r="BG70" s="67">
        <v>1</v>
      </c>
      <c r="BH70" s="4">
        <v>135</v>
      </c>
      <c r="BI70" s="4">
        <v>30</v>
      </c>
      <c r="BJ70" s="4">
        <v>16</v>
      </c>
      <c r="BK70" s="4">
        <v>606</v>
      </c>
      <c r="BL70" s="4" t="s">
        <v>282</v>
      </c>
      <c r="BM70" s="4" t="s">
        <v>282</v>
      </c>
      <c r="BN70" s="4" t="s">
        <v>282</v>
      </c>
      <c r="BO70" s="4" t="s">
        <v>282</v>
      </c>
      <c r="BP70" s="4" t="s">
        <v>282</v>
      </c>
      <c r="BQ70" s="4" t="s">
        <v>282</v>
      </c>
      <c r="BR70" s="4" t="s">
        <v>282</v>
      </c>
      <c r="BS70" s="4">
        <f t="shared" si="266"/>
        <v>-0.5</v>
      </c>
      <c r="BT70" s="4">
        <f t="shared" si="270"/>
        <v>1.29</v>
      </c>
      <c r="BU70" s="4">
        <f t="shared" si="271"/>
        <v>-78</v>
      </c>
      <c r="BV70" s="4">
        <f>IF(AND(ISBLANK(SPH_6),ISBLANK(SPH_12)),0,1)</f>
        <v>1</v>
      </c>
      <c r="BW70" s="4">
        <f t="shared" si="272"/>
        <v>1</v>
      </c>
      <c r="BX70" s="4">
        <f t="shared" si="273"/>
        <v>0.125</v>
      </c>
      <c r="BY70" s="4">
        <f t="shared" si="274"/>
        <v>-0.375</v>
      </c>
      <c r="BZ70" s="4">
        <f t="shared" si="275"/>
        <v>-0.5</v>
      </c>
      <c r="CA70" s="53">
        <f t="shared" si="276"/>
        <v>362</v>
      </c>
      <c r="CB70" s="55">
        <f t="shared" si="277"/>
        <v>12.066666666666666</v>
      </c>
      <c r="CC70" s="4">
        <f t="shared" si="278"/>
        <v>-0.125</v>
      </c>
      <c r="CD70" s="4" t="str">
        <f t="shared" si="279"/>
        <v/>
      </c>
      <c r="CE70" s="4" t="str">
        <f t="shared" si="280"/>
        <v/>
      </c>
      <c r="CF70" s="4" t="str">
        <f t="shared" si="281"/>
        <v/>
      </c>
      <c r="CG70" s="4">
        <f t="shared" si="395"/>
        <v>0.125</v>
      </c>
      <c r="CH70" s="4">
        <f t="shared" si="282"/>
        <v>-0.5</v>
      </c>
      <c r="CI70" s="104">
        <f t="shared" si="283"/>
        <v>1.29</v>
      </c>
      <c r="CJ70" s="94">
        <f t="shared" si="284"/>
        <v>-78</v>
      </c>
      <c r="CK70" s="4" t="str">
        <f t="shared" si="285"/>
        <v/>
      </c>
      <c r="CL70" s="107">
        <f t="shared" si="286"/>
        <v>-1.79</v>
      </c>
      <c r="CM70" s="107">
        <f t="shared" si="396"/>
        <v>0</v>
      </c>
      <c r="CN70" s="139">
        <f t="shared" si="287"/>
        <v>1</v>
      </c>
      <c r="CO70" s="139">
        <f t="shared" si="288"/>
        <v>0.25</v>
      </c>
      <c r="CP70" s="149">
        <f t="shared" si="289"/>
        <v>30</v>
      </c>
      <c r="CQ70" s="149">
        <f t="shared" si="290"/>
        <v>30</v>
      </c>
      <c r="CR70" s="148" t="str">
        <f t="shared" si="291"/>
        <v/>
      </c>
      <c r="CS70" s="152">
        <f t="shared" si="292"/>
        <v>0</v>
      </c>
      <c r="CT70" s="107">
        <f t="shared" si="293"/>
        <v>0</v>
      </c>
      <c r="CU70" s="155" t="b">
        <f t="shared" si="294"/>
        <v>0</v>
      </c>
      <c r="CV70">
        <v>8.18</v>
      </c>
      <c r="CW70" s="4">
        <v>8.0299999999999994</v>
      </c>
      <c r="CX70" s="4">
        <v>41.6</v>
      </c>
      <c r="CY70" s="4">
        <v>-0.8</v>
      </c>
      <c r="CZ70" s="4">
        <v>0.1</v>
      </c>
      <c r="DA70" s="4">
        <v>0.37</v>
      </c>
      <c r="DB70" s="4">
        <v>2.75</v>
      </c>
      <c r="DC70" s="4">
        <v>3.48</v>
      </c>
      <c r="DD70" s="4">
        <v>728</v>
      </c>
      <c r="DE70" s="4">
        <v>730</v>
      </c>
      <c r="DF70" s="4">
        <v>733</v>
      </c>
      <c r="DG70" s="4">
        <v>753</v>
      </c>
      <c r="DH70" s="4">
        <v>735</v>
      </c>
      <c r="DI70" s="4">
        <v>751</v>
      </c>
      <c r="DJ70" s="4">
        <v>701</v>
      </c>
      <c r="DK70" s="4">
        <v>-0.51</v>
      </c>
      <c r="DL70" s="4">
        <v>1.59</v>
      </c>
      <c r="DM70" s="4">
        <v>8.1199999999999992</v>
      </c>
      <c r="DN70" s="4">
        <v>8.1</v>
      </c>
      <c r="DO70" s="4">
        <v>8.07</v>
      </c>
      <c r="DP70" s="4">
        <v>8.15</v>
      </c>
      <c r="DQ70" s="4">
        <v>8.52</v>
      </c>
      <c r="DR70" s="4">
        <v>8.94</v>
      </c>
      <c r="DS70" s="4">
        <v>0</v>
      </c>
      <c r="DT70" s="4">
        <v>0.4</v>
      </c>
      <c r="DU70" s="4">
        <v>7.65</v>
      </c>
      <c r="DV70" s="4">
        <v>7.14</v>
      </c>
      <c r="DW70" s="4">
        <v>6.9</v>
      </c>
      <c r="DX70" s="4">
        <v>7.07</v>
      </c>
      <c r="DY70" s="4">
        <v>7.45</v>
      </c>
      <c r="DZ70" s="4">
        <v>7.48</v>
      </c>
      <c r="EA70" s="4">
        <v>0</v>
      </c>
      <c r="EB70" s="100">
        <v>0.4</v>
      </c>
      <c r="EC70" s="122">
        <v>41.2</v>
      </c>
      <c r="ED70" s="122">
        <v>42</v>
      </c>
      <c r="EE70" s="122">
        <v>41.6</v>
      </c>
      <c r="EF70" s="122">
        <v>41.6</v>
      </c>
      <c r="EG70" s="122">
        <v>0.8</v>
      </c>
      <c r="EH70" s="122">
        <v>-5.2</v>
      </c>
      <c r="EI70" s="122">
        <v>-5.6</v>
      </c>
      <c r="EJ70" s="122">
        <v>-5.4</v>
      </c>
      <c r="EK70" s="122">
        <v>56.5</v>
      </c>
      <c r="EL70" s="122">
        <v>0.4</v>
      </c>
      <c r="EM70" s="122">
        <v>5.0999999999999996</v>
      </c>
      <c r="EN70" s="122">
        <v>14.6</v>
      </c>
      <c r="EO70" s="122">
        <v>30.1</v>
      </c>
      <c r="EP70" s="122">
        <v>68.400000000000006</v>
      </c>
      <c r="EQ70" s="126">
        <v>17</v>
      </c>
      <c r="ER70" s="94">
        <v>8</v>
      </c>
      <c r="ES70" s="4">
        <v>8.11</v>
      </c>
      <c r="ET70" s="4">
        <v>65</v>
      </c>
      <c r="EU70" s="4">
        <v>0.5</v>
      </c>
      <c r="EV70" s="4">
        <v>0.37</v>
      </c>
      <c r="EW70" s="4">
        <v>0.41</v>
      </c>
      <c r="EX70" s="4">
        <v>-0.64</v>
      </c>
      <c r="EY70" s="4">
        <v>-0.05</v>
      </c>
      <c r="EZ70" s="4">
        <v>595</v>
      </c>
      <c r="FA70" s="4">
        <v>599</v>
      </c>
      <c r="FB70" s="4">
        <v>735</v>
      </c>
      <c r="FC70" s="4">
        <v>695</v>
      </c>
      <c r="FD70" s="4">
        <v>726</v>
      </c>
      <c r="FE70" s="4">
        <v>665</v>
      </c>
      <c r="FF70" s="4">
        <v>586</v>
      </c>
      <c r="FG70" s="4">
        <v>0.71</v>
      </c>
      <c r="FH70" s="4">
        <v>-0.65</v>
      </c>
      <c r="FI70" s="4">
        <v>8.08</v>
      </c>
      <c r="FJ70" s="4">
        <v>8.0500000000000007</v>
      </c>
      <c r="FK70" s="4">
        <v>8.06</v>
      </c>
      <c r="FL70" s="4">
        <v>8.17</v>
      </c>
      <c r="FM70" s="4">
        <v>8.42</v>
      </c>
      <c r="FN70" s="4">
        <v>8.7100000000000009</v>
      </c>
      <c r="FO70" s="4">
        <v>0</v>
      </c>
      <c r="FP70" s="4">
        <v>1.6</v>
      </c>
      <c r="FQ70" s="4">
        <v>6.29</v>
      </c>
      <c r="FR70" s="4">
        <v>6.25</v>
      </c>
      <c r="FS70" s="4">
        <v>6.51</v>
      </c>
      <c r="FT70" s="4">
        <v>7.06</v>
      </c>
      <c r="FU70" s="4">
        <v>7.24</v>
      </c>
      <c r="FV70" s="4">
        <v>0</v>
      </c>
      <c r="FW70" s="4">
        <v>0</v>
      </c>
      <c r="FX70" s="97">
        <v>1.6</v>
      </c>
      <c r="FY70" s="122">
        <v>41.6</v>
      </c>
      <c r="FZ70" s="122">
        <v>42.2</v>
      </c>
      <c r="GA70" s="122">
        <v>41.9</v>
      </c>
      <c r="GB70" s="122">
        <v>65</v>
      </c>
      <c r="GC70" s="122">
        <v>0.5</v>
      </c>
      <c r="GD70" s="122">
        <v>-6.1</v>
      </c>
      <c r="GE70" s="122">
        <v>-6.7</v>
      </c>
      <c r="GF70" s="122">
        <v>-6.4</v>
      </c>
      <c r="GG70" s="122">
        <v>162.9</v>
      </c>
      <c r="GH70" s="122">
        <v>0.5</v>
      </c>
      <c r="GI70" s="122">
        <v>4.3</v>
      </c>
      <c r="GJ70" s="122">
        <v>12.8</v>
      </c>
      <c r="GK70" s="122">
        <v>27.6</v>
      </c>
      <c r="GL70" s="122">
        <v>65.599999999999994</v>
      </c>
      <c r="GM70" s="131">
        <v>13</v>
      </c>
      <c r="GN70" s="94">
        <v>8.0299999999999994</v>
      </c>
      <c r="GO70" s="4">
        <v>8.1199999999999992</v>
      </c>
      <c r="GP70" s="4">
        <v>59.6</v>
      </c>
      <c r="GQ70" s="4">
        <v>0.5</v>
      </c>
      <c r="GR70" s="4">
        <v>0.37</v>
      </c>
      <c r="GS70" s="4">
        <v>0.42</v>
      </c>
      <c r="GT70" s="4">
        <v>4</v>
      </c>
      <c r="GU70" s="4">
        <v>4.6100000000000003</v>
      </c>
      <c r="GV70" s="4">
        <v>605</v>
      </c>
      <c r="GW70" s="4">
        <v>609</v>
      </c>
      <c r="GX70" s="4">
        <v>742</v>
      </c>
      <c r="GY70" s="4">
        <v>701</v>
      </c>
      <c r="GZ70" s="4">
        <v>725</v>
      </c>
      <c r="HA70" s="4">
        <v>666</v>
      </c>
      <c r="HB70" s="4">
        <v>595</v>
      </c>
      <c r="HC70" s="4">
        <v>0.68</v>
      </c>
      <c r="HD70" s="4">
        <v>-0.61</v>
      </c>
      <c r="HE70" s="4">
        <v>8.08</v>
      </c>
      <c r="HF70" s="4">
        <v>8.06</v>
      </c>
      <c r="HG70" s="4">
        <v>8.07</v>
      </c>
      <c r="HH70" s="4">
        <v>8.17</v>
      </c>
      <c r="HI70" s="4">
        <v>8.4499999999999993</v>
      </c>
      <c r="HJ70" s="4">
        <v>8.83</v>
      </c>
      <c r="HK70" s="4">
        <v>0</v>
      </c>
      <c r="HL70" s="4">
        <v>1.5</v>
      </c>
      <c r="HM70" s="4">
        <v>6.34</v>
      </c>
      <c r="HN70" s="4">
        <v>6.33</v>
      </c>
      <c r="HO70" s="4">
        <v>6.53</v>
      </c>
      <c r="HP70" s="4">
        <v>7.05</v>
      </c>
      <c r="HQ70" s="4">
        <v>7.36</v>
      </c>
      <c r="HR70" s="4">
        <v>0</v>
      </c>
      <c r="HS70" s="4">
        <v>0</v>
      </c>
      <c r="HT70" s="104">
        <v>1.5</v>
      </c>
      <c r="HU70" s="122">
        <v>41.6</v>
      </c>
      <c r="HV70" s="122">
        <v>42</v>
      </c>
      <c r="HW70" s="122">
        <v>41.8</v>
      </c>
      <c r="HX70" s="122">
        <v>59.6</v>
      </c>
      <c r="HY70" s="122">
        <v>0.5</v>
      </c>
      <c r="HZ70" s="122">
        <v>-6.1</v>
      </c>
      <c r="IA70" s="122">
        <v>-6.5</v>
      </c>
      <c r="IB70" s="122">
        <v>-6.3</v>
      </c>
      <c r="IC70" s="122">
        <v>165.7</v>
      </c>
      <c r="ID70" s="122">
        <v>0.4</v>
      </c>
      <c r="IE70" s="122">
        <v>4.4000000000000004</v>
      </c>
      <c r="IF70" s="122">
        <v>12.9</v>
      </c>
      <c r="IG70" s="122">
        <v>27.7</v>
      </c>
      <c r="IH70" s="122">
        <v>65.8</v>
      </c>
      <c r="II70" s="133">
        <v>14</v>
      </c>
      <c r="IJ70" s="94">
        <f t="shared" si="295"/>
        <v>8.0299999999999994</v>
      </c>
      <c r="IK70" s="4">
        <f t="shared" si="296"/>
        <v>8.1199999999999992</v>
      </c>
      <c r="IL70" s="4">
        <f t="shared" si="297"/>
        <v>59.6</v>
      </c>
      <c r="IM70" s="4">
        <f t="shared" si="298"/>
        <v>0.5</v>
      </c>
      <c r="IN70" s="4">
        <f t="shared" si="299"/>
        <v>0.37</v>
      </c>
      <c r="IO70" s="4">
        <f t="shared" si="300"/>
        <v>0.42</v>
      </c>
      <c r="IP70" s="4">
        <f t="shared" si="301"/>
        <v>4</v>
      </c>
      <c r="IQ70" s="4">
        <f t="shared" si="302"/>
        <v>4.6100000000000003</v>
      </c>
      <c r="IR70" s="4">
        <f t="shared" si="303"/>
        <v>605</v>
      </c>
      <c r="IS70" s="4">
        <f t="shared" si="304"/>
        <v>609</v>
      </c>
      <c r="IT70" s="4">
        <f t="shared" si="305"/>
        <v>742</v>
      </c>
      <c r="IU70" s="4">
        <f t="shared" si="306"/>
        <v>701</v>
      </c>
      <c r="IV70" s="4">
        <f t="shared" si="307"/>
        <v>725</v>
      </c>
      <c r="IW70" s="4">
        <f t="shared" si="308"/>
        <v>666</v>
      </c>
      <c r="IX70" s="4">
        <f t="shared" si="309"/>
        <v>595</v>
      </c>
      <c r="IY70" s="4">
        <f t="shared" si="310"/>
        <v>0.68</v>
      </c>
      <c r="IZ70" s="4">
        <f t="shared" si="311"/>
        <v>-0.61</v>
      </c>
      <c r="JA70" s="4">
        <f t="shared" si="312"/>
        <v>8.08</v>
      </c>
      <c r="JB70" s="4">
        <f t="shared" si="313"/>
        <v>8.06</v>
      </c>
      <c r="JC70" s="4">
        <f t="shared" si="314"/>
        <v>8.07</v>
      </c>
      <c r="JD70" s="4">
        <f t="shared" si="315"/>
        <v>8.17</v>
      </c>
      <c r="JE70" s="4">
        <f t="shared" si="316"/>
        <v>8.4499999999999993</v>
      </c>
      <c r="JF70" s="4">
        <f t="shared" si="317"/>
        <v>8.83</v>
      </c>
      <c r="JG70" s="4">
        <f t="shared" si="318"/>
        <v>0</v>
      </c>
      <c r="JH70" s="4">
        <f t="shared" si="319"/>
        <v>1.5</v>
      </c>
      <c r="JI70" s="4">
        <f t="shared" si="320"/>
        <v>6.34</v>
      </c>
      <c r="JJ70" s="4">
        <f t="shared" si="321"/>
        <v>6.33</v>
      </c>
      <c r="JK70" s="4">
        <f t="shared" si="322"/>
        <v>6.53</v>
      </c>
      <c r="JL70" s="4">
        <f t="shared" si="323"/>
        <v>7.05</v>
      </c>
      <c r="JM70" s="4">
        <f t="shared" si="324"/>
        <v>7.36</v>
      </c>
      <c r="JN70" s="4">
        <f t="shared" si="325"/>
        <v>0</v>
      </c>
      <c r="JO70" s="129">
        <f t="shared" si="326"/>
        <v>0</v>
      </c>
      <c r="JP70" s="122">
        <f t="shared" si="327"/>
        <v>1.5</v>
      </c>
      <c r="JQ70" s="122">
        <f t="shared" si="328"/>
        <v>41.6</v>
      </c>
      <c r="JR70" s="122">
        <f t="shared" si="329"/>
        <v>42</v>
      </c>
      <c r="JS70" s="122">
        <f t="shared" si="330"/>
        <v>41.8</v>
      </c>
      <c r="JT70" s="122">
        <f t="shared" si="331"/>
        <v>59.6</v>
      </c>
      <c r="JU70" s="122">
        <f t="shared" si="332"/>
        <v>0.5</v>
      </c>
      <c r="JV70" s="122">
        <f t="shared" si="333"/>
        <v>-6.1</v>
      </c>
      <c r="JW70" s="122">
        <f t="shared" si="334"/>
        <v>-6.5</v>
      </c>
      <c r="JX70" s="122">
        <f t="shared" si="335"/>
        <v>-6.3</v>
      </c>
      <c r="JY70" s="122">
        <f t="shared" si="336"/>
        <v>165.7</v>
      </c>
      <c r="JZ70" s="122">
        <f t="shared" si="337"/>
        <v>0.4</v>
      </c>
      <c r="KA70" s="122">
        <f t="shared" si="338"/>
        <v>4.4000000000000004</v>
      </c>
      <c r="KB70" s="122">
        <f t="shared" si="339"/>
        <v>12.9</v>
      </c>
      <c r="KC70" s="122">
        <f t="shared" si="340"/>
        <v>27.7</v>
      </c>
      <c r="KD70" s="122">
        <f t="shared" si="341"/>
        <v>65.8</v>
      </c>
      <c r="KE70" s="133">
        <f t="shared" si="342"/>
        <v>14</v>
      </c>
      <c r="KF70" s="94">
        <f t="shared" si="343"/>
        <v>-0.15000000000000036</v>
      </c>
      <c r="KG70" s="4">
        <f t="shared" si="344"/>
        <v>8.9999999999999858E-2</v>
      </c>
      <c r="KH70" s="4">
        <f t="shared" si="345"/>
        <v>18</v>
      </c>
      <c r="KI70" s="4">
        <f t="shared" si="346"/>
        <v>1.3</v>
      </c>
      <c r="KJ70" s="4">
        <f t="shared" si="347"/>
        <v>0.27</v>
      </c>
      <c r="KK70" s="4">
        <f t="shared" si="348"/>
        <v>4.9999999999999989E-2</v>
      </c>
      <c r="KL70" s="4">
        <f t="shared" si="349"/>
        <v>1.25</v>
      </c>
      <c r="KM70" s="4">
        <f t="shared" si="350"/>
        <v>1.1300000000000003</v>
      </c>
      <c r="KN70" s="4">
        <f t="shared" si="351"/>
        <v>-123</v>
      </c>
      <c r="KO70" s="4">
        <f t="shared" si="352"/>
        <v>-121</v>
      </c>
      <c r="KP70" s="4">
        <f t="shared" si="353"/>
        <v>9</v>
      </c>
      <c r="KQ70" s="4">
        <f t="shared" si="354"/>
        <v>-52</v>
      </c>
      <c r="KR70" s="4">
        <f t="shared" si="355"/>
        <v>-10</v>
      </c>
      <c r="KS70" s="4">
        <f t="shared" si="356"/>
        <v>-85</v>
      </c>
      <c r="KT70" s="4">
        <f t="shared" si="357"/>
        <v>-106</v>
      </c>
      <c r="KU70" s="4">
        <f t="shared" si="358"/>
        <v>1.19</v>
      </c>
      <c r="KV70" s="4">
        <f t="shared" si="359"/>
        <v>-2.2000000000000002</v>
      </c>
      <c r="KW70" s="4">
        <f t="shared" si="360"/>
        <v>-3.9999999999999147E-2</v>
      </c>
      <c r="KX70" s="4">
        <f t="shared" si="361"/>
        <v>-3.9999999999999147E-2</v>
      </c>
      <c r="KY70" s="4">
        <f t="shared" si="362"/>
        <v>0</v>
      </c>
      <c r="KZ70" s="4">
        <f t="shared" si="363"/>
        <v>1.9999999999999574E-2</v>
      </c>
      <c r="LA70" s="4">
        <f t="shared" si="364"/>
        <v>-7.0000000000000284E-2</v>
      </c>
      <c r="LB70" s="4">
        <f t="shared" si="365"/>
        <v>-0.10999999999999943</v>
      </c>
      <c r="LC70" s="4">
        <f t="shared" si="366"/>
        <v>0</v>
      </c>
      <c r="LD70" s="4">
        <f t="shared" si="367"/>
        <v>1.1000000000000001</v>
      </c>
      <c r="LE70" s="4">
        <f t="shared" si="368"/>
        <v>-1.3100000000000005</v>
      </c>
      <c r="LF70" s="4">
        <f t="shared" si="369"/>
        <v>-0.80999999999999961</v>
      </c>
      <c r="LG70" s="4">
        <f t="shared" si="370"/>
        <v>-0.37000000000000011</v>
      </c>
      <c r="LH70" s="4">
        <f t="shared" si="371"/>
        <v>-2.0000000000000462E-2</v>
      </c>
      <c r="LI70" s="4">
        <f t="shared" si="372"/>
        <v>-8.9999999999999858E-2</v>
      </c>
      <c r="LJ70" s="4">
        <f t="shared" si="373"/>
        <v>-7.48</v>
      </c>
      <c r="LK70" s="4">
        <f t="shared" si="374"/>
        <v>0</v>
      </c>
      <c r="LL70" s="4">
        <f t="shared" si="375"/>
        <v>1.1000000000000001</v>
      </c>
      <c r="LM70" s="4">
        <f t="shared" si="376"/>
        <v>0.39999999999999858</v>
      </c>
      <c r="LN70" s="4">
        <f t="shared" si="377"/>
        <v>0</v>
      </c>
      <c r="LO70" s="4">
        <f t="shared" si="378"/>
        <v>0.19999999999999574</v>
      </c>
      <c r="LP70" s="4">
        <f t="shared" si="379"/>
        <v>18</v>
      </c>
      <c r="LQ70" s="4">
        <f t="shared" si="380"/>
        <v>-0.30000000000000004</v>
      </c>
      <c r="LR70" s="4">
        <f t="shared" si="381"/>
        <v>-0.89999999999999947</v>
      </c>
      <c r="LS70" s="4">
        <f t="shared" si="382"/>
        <v>-0.90000000000000036</v>
      </c>
      <c r="LT70" s="4">
        <f t="shared" si="383"/>
        <v>-0.89999999999999947</v>
      </c>
      <c r="LU70" s="4">
        <f t="shared" si="384"/>
        <v>109.19999999999999</v>
      </c>
      <c r="LV70" s="4">
        <f t="shared" si="385"/>
        <v>0</v>
      </c>
      <c r="LW70" s="4">
        <f t="shared" si="386"/>
        <v>-0.69999999999999929</v>
      </c>
      <c r="LX70" s="4">
        <f t="shared" si="387"/>
        <v>-1.6999999999999993</v>
      </c>
      <c r="LY70" s="4">
        <f t="shared" si="388"/>
        <v>-2.4000000000000021</v>
      </c>
      <c r="LZ70" s="4">
        <f t="shared" si="389"/>
        <v>-2.6000000000000085</v>
      </c>
      <c r="MA70" s="4">
        <f t="shared" si="390"/>
        <v>-3</v>
      </c>
      <c r="MB70" s="4">
        <f t="shared" si="391"/>
        <v>0</v>
      </c>
      <c r="MC70" s="4">
        <f t="shared" si="392"/>
        <v>-0.20000000000000284</v>
      </c>
      <c r="MD70" s="4">
        <f t="shared" si="393"/>
        <v>0</v>
      </c>
      <c r="ME70" s="4">
        <f t="shared" si="394"/>
        <v>0.20000000000000018</v>
      </c>
    </row>
    <row r="71" spans="1:343" ht="26.25" customHeight="1" thickBot="1" x14ac:dyDescent="0.25">
      <c r="A71" s="35">
        <v>41178</v>
      </c>
      <c r="B71" s="36" t="s">
        <v>163</v>
      </c>
      <c r="C71" s="36" t="s">
        <v>241</v>
      </c>
      <c r="D71" s="31" t="s">
        <v>111</v>
      </c>
      <c r="E71" s="4">
        <v>65</v>
      </c>
      <c r="F71" s="3">
        <v>17149</v>
      </c>
      <c r="G71" s="4" t="s">
        <v>87</v>
      </c>
      <c r="H71" s="4" t="s">
        <v>108</v>
      </c>
      <c r="I71" s="4">
        <v>1835189</v>
      </c>
      <c r="J71" s="4" t="s">
        <v>310</v>
      </c>
      <c r="K71" s="76"/>
      <c r="L71" s="76"/>
      <c r="M71" s="76"/>
      <c r="N71" s="76"/>
      <c r="O71" s="76"/>
      <c r="P71" s="33">
        <v>-0.5</v>
      </c>
      <c r="Q71" s="33">
        <v>-0.5</v>
      </c>
      <c r="R71" s="4" t="s">
        <v>249</v>
      </c>
      <c r="S71" s="67">
        <v>22.5</v>
      </c>
      <c r="T71" s="136">
        <v>41157</v>
      </c>
      <c r="U71" s="67">
        <v>0</v>
      </c>
      <c r="V71" s="67">
        <v>0</v>
      </c>
      <c r="W71" s="4">
        <v>0</v>
      </c>
      <c r="X71" s="4">
        <v>30</v>
      </c>
      <c r="Y71" s="4">
        <v>14</v>
      </c>
      <c r="Z71" s="4">
        <v>639</v>
      </c>
      <c r="AA71" s="4">
        <v>23.38</v>
      </c>
      <c r="AD71" s="4">
        <v>2.5299999999999998</v>
      </c>
      <c r="AE71" s="4">
        <v>43.21</v>
      </c>
      <c r="AF71" s="4">
        <v>158</v>
      </c>
      <c r="AG71" s="4">
        <v>44.29</v>
      </c>
      <c r="AH71" s="4">
        <v>68</v>
      </c>
      <c r="AI71" s="4">
        <v>0</v>
      </c>
      <c r="AJ71" s="4" t="b">
        <f t="shared" si="267"/>
        <v>0</v>
      </c>
      <c r="AL71" s="32">
        <v>41302</v>
      </c>
      <c r="AM71" s="60">
        <v>30</v>
      </c>
      <c r="AN71" s="67">
        <v>1</v>
      </c>
      <c r="AO71" s="67">
        <v>0.75</v>
      </c>
      <c r="AP71" s="4">
        <v>75</v>
      </c>
      <c r="AQ71" s="4">
        <v>20</v>
      </c>
      <c r="AR71" s="4">
        <v>17</v>
      </c>
      <c r="AS71" s="4">
        <v>501</v>
      </c>
      <c r="AT71" s="4">
        <v>1804</v>
      </c>
      <c r="BA71" s="4">
        <f t="shared" si="268"/>
        <v>1.375</v>
      </c>
      <c r="BB71" s="4">
        <f t="shared" si="265"/>
        <v>1.875</v>
      </c>
      <c r="BC71" s="4">
        <f t="shared" si="269"/>
        <v>-138</v>
      </c>
      <c r="BD71" s="3">
        <v>41575</v>
      </c>
      <c r="BF71" s="67">
        <v>0.75</v>
      </c>
      <c r="BG71" s="67">
        <v>0.75</v>
      </c>
      <c r="BH71" s="4">
        <v>64</v>
      </c>
      <c r="BI71" s="4">
        <v>20</v>
      </c>
      <c r="BJ71" s="4">
        <v>13</v>
      </c>
      <c r="BK71" s="4">
        <v>515</v>
      </c>
      <c r="BM71" s="4">
        <v>23.39</v>
      </c>
      <c r="BN71" s="4" t="s">
        <v>282</v>
      </c>
      <c r="BO71" s="4">
        <v>41.67</v>
      </c>
      <c r="BP71" s="4">
        <v>142</v>
      </c>
      <c r="BQ71" s="4">
        <v>42.56</v>
      </c>
      <c r="BR71" s="4">
        <v>52</v>
      </c>
      <c r="BS71" s="4">
        <f t="shared" si="266"/>
        <v>1.125</v>
      </c>
      <c r="BT71" s="4">
        <f t="shared" si="270"/>
        <v>1.625</v>
      </c>
      <c r="BU71" s="4">
        <f t="shared" si="271"/>
        <v>-124</v>
      </c>
      <c r="BV71" s="4">
        <f>IF(AND(ISBLANK(SPH_6),ISBLANK(SPH_12)),0,1)</f>
        <v>1</v>
      </c>
      <c r="BW71" s="4">
        <f t="shared" si="272"/>
        <v>1</v>
      </c>
      <c r="BX71" s="4">
        <f t="shared" si="273"/>
        <v>0</v>
      </c>
      <c r="BY71" s="4">
        <f t="shared" si="274"/>
        <v>1.375</v>
      </c>
      <c r="BZ71" s="4">
        <f t="shared" si="275"/>
        <v>1.125</v>
      </c>
      <c r="CA71" s="53">
        <f t="shared" si="276"/>
        <v>397</v>
      </c>
      <c r="CB71" s="55">
        <f t="shared" si="277"/>
        <v>13.233333333333333</v>
      </c>
      <c r="CC71" s="4">
        <f t="shared" si="278"/>
        <v>-0.25</v>
      </c>
      <c r="CD71" s="4" t="str">
        <f t="shared" si="279"/>
        <v/>
      </c>
      <c r="CE71" s="4">
        <f t="shared" si="280"/>
        <v>-1.634999999999998</v>
      </c>
      <c r="CF71" s="4">
        <f t="shared" si="281"/>
        <v>-1.634999999999998</v>
      </c>
      <c r="CG71" s="4">
        <f t="shared" si="395"/>
        <v>0</v>
      </c>
      <c r="CH71" s="4">
        <f t="shared" si="282"/>
        <v>1.125</v>
      </c>
      <c r="CI71" s="104">
        <f t="shared" si="283"/>
        <v>1.625</v>
      </c>
      <c r="CJ71" s="94">
        <f t="shared" si="284"/>
        <v>-124</v>
      </c>
      <c r="CK71" s="4">
        <f t="shared" si="285"/>
        <v>1.0000000000001563E-2</v>
      </c>
      <c r="CL71" s="107">
        <f t="shared" si="286"/>
        <v>-0.5</v>
      </c>
      <c r="CM71" s="107">
        <f t="shared" si="396"/>
        <v>0.17609125905568127</v>
      </c>
      <c r="CN71" s="139">
        <f t="shared" si="287"/>
        <v>0.75</v>
      </c>
      <c r="CO71" s="139">
        <f t="shared" si="288"/>
        <v>0.75</v>
      </c>
      <c r="CP71" s="149">
        <f t="shared" si="289"/>
        <v>20</v>
      </c>
      <c r="CQ71" s="149">
        <f t="shared" si="290"/>
        <v>30</v>
      </c>
      <c r="CR71" s="148">
        <f t="shared" si="291"/>
        <v>30</v>
      </c>
      <c r="CS71" s="152">
        <f t="shared" si="292"/>
        <v>0</v>
      </c>
      <c r="CT71" s="107">
        <f t="shared" si="293"/>
        <v>0</v>
      </c>
      <c r="CU71" s="155" t="b">
        <f t="shared" si="294"/>
        <v>0</v>
      </c>
      <c r="CV71">
        <v>8.0399999999999991</v>
      </c>
      <c r="CW71" s="4">
        <v>7.86</v>
      </c>
      <c r="CX71" s="4">
        <v>173.3</v>
      </c>
      <c r="CY71" s="4">
        <v>-1</v>
      </c>
      <c r="CZ71" s="4">
        <v>0.42</v>
      </c>
      <c r="DA71" s="4">
        <v>0.49</v>
      </c>
      <c r="DB71" s="4">
        <v>2.2000000000000002</v>
      </c>
      <c r="DC71" s="4">
        <v>2.85</v>
      </c>
      <c r="DD71" s="4">
        <v>644</v>
      </c>
      <c r="DE71" s="4">
        <v>654</v>
      </c>
      <c r="DF71" s="4">
        <v>670</v>
      </c>
      <c r="DG71" s="4">
        <v>631</v>
      </c>
      <c r="DH71" s="4">
        <v>639</v>
      </c>
      <c r="DI71" s="4">
        <v>665</v>
      </c>
      <c r="DJ71" s="4">
        <v>616</v>
      </c>
      <c r="DK71" s="4">
        <v>1.51</v>
      </c>
      <c r="DL71" s="4">
        <v>-0.72</v>
      </c>
      <c r="DM71" s="4">
        <v>7.94</v>
      </c>
      <c r="DN71" s="4">
        <v>7.93</v>
      </c>
      <c r="DO71" s="4">
        <v>7.95</v>
      </c>
      <c r="DP71" s="4">
        <v>8.06</v>
      </c>
      <c r="DQ71" s="4">
        <v>8.3000000000000007</v>
      </c>
      <c r="DR71" s="4">
        <v>8.6199999999999992</v>
      </c>
      <c r="DS71" s="4">
        <v>0</v>
      </c>
      <c r="DT71" s="4">
        <v>0.4</v>
      </c>
      <c r="DU71" s="4">
        <v>7.77</v>
      </c>
      <c r="DV71" s="4">
        <v>7.15</v>
      </c>
      <c r="DW71" s="4">
        <v>6.86</v>
      </c>
      <c r="DX71" s="4">
        <v>7.04</v>
      </c>
      <c r="DY71" s="4">
        <v>7.47</v>
      </c>
      <c r="DZ71" s="4">
        <v>7.86</v>
      </c>
      <c r="EA71" s="4">
        <v>0</v>
      </c>
      <c r="EB71" s="100">
        <v>0.4</v>
      </c>
      <c r="EC71" s="122">
        <v>42</v>
      </c>
      <c r="ED71" s="122">
        <v>43</v>
      </c>
      <c r="EE71" s="122">
        <v>42.5</v>
      </c>
      <c r="EF71" s="122">
        <v>173.3</v>
      </c>
      <c r="EG71" s="122">
        <v>1</v>
      </c>
      <c r="EH71" s="122">
        <v>-5.2</v>
      </c>
      <c r="EI71" s="122">
        <v>-5.4</v>
      </c>
      <c r="EJ71" s="122">
        <v>-5.3</v>
      </c>
      <c r="EK71" s="122">
        <v>124.8</v>
      </c>
      <c r="EL71" s="122">
        <v>0.2</v>
      </c>
      <c r="EM71" s="122">
        <v>4.5</v>
      </c>
      <c r="EN71" s="122">
        <v>12.8</v>
      </c>
      <c r="EO71" s="122">
        <v>26.5</v>
      </c>
      <c r="EP71" s="122">
        <v>60.6</v>
      </c>
      <c r="EQ71" s="126">
        <v>9</v>
      </c>
      <c r="ER71" s="94">
        <v>8.26</v>
      </c>
      <c r="ES71" s="4">
        <v>8.0399999999999991</v>
      </c>
      <c r="ET71" s="4">
        <v>148.69999999999999</v>
      </c>
      <c r="EU71" s="4">
        <v>-1.1000000000000001</v>
      </c>
      <c r="EV71" s="4">
        <v>-0.12</v>
      </c>
      <c r="EW71" s="4">
        <v>0.45</v>
      </c>
      <c r="EX71" s="4">
        <v>4.3499999999999996</v>
      </c>
      <c r="EY71" s="4">
        <v>4.8499999999999996</v>
      </c>
      <c r="EZ71" s="4">
        <v>504</v>
      </c>
      <c r="FA71" s="4">
        <v>497</v>
      </c>
      <c r="FB71" s="4">
        <v>639</v>
      </c>
      <c r="FC71" s="4">
        <v>589</v>
      </c>
      <c r="FD71" s="4">
        <v>620</v>
      </c>
      <c r="FE71" s="4">
        <v>605</v>
      </c>
      <c r="FF71" s="4">
        <v>484</v>
      </c>
      <c r="FG71" s="4">
        <v>-1.25</v>
      </c>
      <c r="FH71" s="4">
        <v>-0.59</v>
      </c>
      <c r="FI71" s="4">
        <v>8.2200000000000006</v>
      </c>
      <c r="FJ71" s="4">
        <v>8.0500000000000007</v>
      </c>
      <c r="FK71" s="4">
        <v>8.02</v>
      </c>
      <c r="FL71" s="4">
        <v>8.2100000000000009</v>
      </c>
      <c r="FM71" s="4">
        <v>8.41</v>
      </c>
      <c r="FN71" s="4">
        <v>8.68</v>
      </c>
      <c r="FO71" s="4">
        <v>9</v>
      </c>
      <c r="FP71" s="4">
        <v>1.5</v>
      </c>
      <c r="FQ71" s="4">
        <v>6.48</v>
      </c>
      <c r="FR71" s="4">
        <v>6.33</v>
      </c>
      <c r="FS71" s="4">
        <v>6.51</v>
      </c>
      <c r="FT71" s="4">
        <v>7.04</v>
      </c>
      <c r="FU71" s="4">
        <v>7.36</v>
      </c>
      <c r="FV71" s="4">
        <v>7.95</v>
      </c>
      <c r="FW71" s="4">
        <v>0</v>
      </c>
      <c r="FX71" s="97">
        <v>1.5</v>
      </c>
      <c r="FY71" s="122">
        <v>40.9</v>
      </c>
      <c r="FZ71" s="122">
        <v>42</v>
      </c>
      <c r="GA71" s="122">
        <v>41.4</v>
      </c>
      <c r="GB71" s="122">
        <v>148.69999999999999</v>
      </c>
      <c r="GC71" s="122">
        <v>1.1000000000000001</v>
      </c>
      <c r="GD71" s="122">
        <v>-6</v>
      </c>
      <c r="GE71" s="122">
        <v>-6.5</v>
      </c>
      <c r="GF71" s="122">
        <v>-6.3</v>
      </c>
      <c r="GG71" s="122">
        <v>7.1</v>
      </c>
      <c r="GH71" s="122">
        <v>0.5</v>
      </c>
      <c r="GI71" s="122">
        <v>3.7</v>
      </c>
      <c r="GJ71" s="122">
        <v>10.9</v>
      </c>
      <c r="GK71" s="122">
        <v>23.8</v>
      </c>
      <c r="GL71" s="122">
        <v>57.7</v>
      </c>
      <c r="GM71" s="131">
        <v>24</v>
      </c>
      <c r="GN71" s="94">
        <v>8.11</v>
      </c>
      <c r="GO71" s="4">
        <v>7.94</v>
      </c>
      <c r="GP71" s="4">
        <v>145.5</v>
      </c>
      <c r="GQ71" s="4">
        <v>-0.9</v>
      </c>
      <c r="GR71" s="4">
        <v>0.33</v>
      </c>
      <c r="GS71" s="4">
        <v>0.46</v>
      </c>
      <c r="GT71" s="4">
        <v>4.54</v>
      </c>
      <c r="GU71" s="4">
        <v>5.0599999999999996</v>
      </c>
      <c r="GV71" s="4">
        <v>523</v>
      </c>
      <c r="GW71" s="4">
        <v>518</v>
      </c>
      <c r="GX71" s="4">
        <v>660</v>
      </c>
      <c r="GY71" s="4">
        <v>600</v>
      </c>
      <c r="GZ71" s="4">
        <v>626</v>
      </c>
      <c r="HA71" s="4">
        <v>612</v>
      </c>
      <c r="HB71" s="4">
        <v>501</v>
      </c>
      <c r="HC71" s="4">
        <v>-1.31</v>
      </c>
      <c r="HD71" s="4">
        <v>-0.62</v>
      </c>
      <c r="HE71" s="4">
        <v>8.0399999999999991</v>
      </c>
      <c r="HF71" s="4">
        <v>8.01</v>
      </c>
      <c r="HG71" s="4">
        <v>8</v>
      </c>
      <c r="HH71" s="4">
        <v>8.14</v>
      </c>
      <c r="HI71" s="4">
        <v>8.36</v>
      </c>
      <c r="HJ71" s="4">
        <v>8.5500000000000007</v>
      </c>
      <c r="HK71" s="4">
        <v>0</v>
      </c>
      <c r="HL71" s="4">
        <v>1.3</v>
      </c>
      <c r="HM71" s="4">
        <v>6.49</v>
      </c>
      <c r="HN71" s="4">
        <v>6.39</v>
      </c>
      <c r="HO71" s="4">
        <v>6.51</v>
      </c>
      <c r="HP71" s="4">
        <v>6.84</v>
      </c>
      <c r="HQ71" s="4">
        <v>7.01</v>
      </c>
      <c r="HR71" s="4">
        <v>0</v>
      </c>
      <c r="HS71" s="4">
        <v>0</v>
      </c>
      <c r="HT71" s="104">
        <v>1.3</v>
      </c>
      <c r="HU71" s="122">
        <v>41.6</v>
      </c>
      <c r="HV71" s="122">
        <v>42.5</v>
      </c>
      <c r="HW71" s="122">
        <v>42</v>
      </c>
      <c r="HX71" s="122">
        <v>145.5</v>
      </c>
      <c r="HY71" s="122">
        <v>0.9</v>
      </c>
      <c r="HZ71" s="122">
        <v>-6</v>
      </c>
      <c r="IA71" s="122">
        <v>-6.5</v>
      </c>
      <c r="IB71" s="122">
        <v>-6.2</v>
      </c>
      <c r="IC71" s="122">
        <v>6.4</v>
      </c>
      <c r="ID71" s="122">
        <v>0.6</v>
      </c>
      <c r="IE71" s="122">
        <v>3.8</v>
      </c>
      <c r="IF71" s="122">
        <v>11.2</v>
      </c>
      <c r="IG71" s="122">
        <v>24.2</v>
      </c>
      <c r="IH71" s="122">
        <v>59.3</v>
      </c>
      <c r="II71" s="133">
        <v>12</v>
      </c>
      <c r="IJ71" s="94">
        <f t="shared" si="295"/>
        <v>8.11</v>
      </c>
      <c r="IK71" s="4">
        <f t="shared" si="296"/>
        <v>7.94</v>
      </c>
      <c r="IL71" s="4">
        <f t="shared" si="297"/>
        <v>145.5</v>
      </c>
      <c r="IM71" s="4">
        <f t="shared" si="298"/>
        <v>-0.9</v>
      </c>
      <c r="IN71" s="4">
        <f t="shared" si="299"/>
        <v>0.33</v>
      </c>
      <c r="IO71" s="4">
        <f t="shared" si="300"/>
        <v>0.46</v>
      </c>
      <c r="IP71" s="4">
        <f t="shared" si="301"/>
        <v>4.54</v>
      </c>
      <c r="IQ71" s="4">
        <f t="shared" si="302"/>
        <v>5.0599999999999996</v>
      </c>
      <c r="IR71" s="4">
        <f t="shared" si="303"/>
        <v>523</v>
      </c>
      <c r="IS71" s="4">
        <f t="shared" si="304"/>
        <v>518</v>
      </c>
      <c r="IT71" s="4">
        <f t="shared" si="305"/>
        <v>660</v>
      </c>
      <c r="IU71" s="4">
        <f t="shared" si="306"/>
        <v>600</v>
      </c>
      <c r="IV71" s="4">
        <f t="shared" si="307"/>
        <v>626</v>
      </c>
      <c r="IW71" s="4">
        <f t="shared" si="308"/>
        <v>612</v>
      </c>
      <c r="IX71" s="4">
        <f t="shared" si="309"/>
        <v>501</v>
      </c>
      <c r="IY71" s="4">
        <f t="shared" si="310"/>
        <v>-1.31</v>
      </c>
      <c r="IZ71" s="4">
        <f t="shared" si="311"/>
        <v>-0.62</v>
      </c>
      <c r="JA71" s="4">
        <f t="shared" si="312"/>
        <v>8.0399999999999991</v>
      </c>
      <c r="JB71" s="4">
        <f t="shared" si="313"/>
        <v>8.01</v>
      </c>
      <c r="JC71" s="4">
        <f t="shared" si="314"/>
        <v>8</v>
      </c>
      <c r="JD71" s="4">
        <f t="shared" si="315"/>
        <v>8.14</v>
      </c>
      <c r="JE71" s="4">
        <f t="shared" si="316"/>
        <v>8.36</v>
      </c>
      <c r="JF71" s="4">
        <f t="shared" si="317"/>
        <v>8.5500000000000007</v>
      </c>
      <c r="JG71" s="4">
        <f t="shared" si="318"/>
        <v>0</v>
      </c>
      <c r="JH71" s="4">
        <f t="shared" si="319"/>
        <v>1.3</v>
      </c>
      <c r="JI71" s="4">
        <f t="shared" si="320"/>
        <v>6.49</v>
      </c>
      <c r="JJ71" s="4">
        <f t="shared" si="321"/>
        <v>6.39</v>
      </c>
      <c r="JK71" s="4">
        <f t="shared" si="322"/>
        <v>6.51</v>
      </c>
      <c r="JL71" s="4">
        <f t="shared" si="323"/>
        <v>6.84</v>
      </c>
      <c r="JM71" s="4">
        <f t="shared" si="324"/>
        <v>7.01</v>
      </c>
      <c r="JN71" s="4">
        <f t="shared" si="325"/>
        <v>0</v>
      </c>
      <c r="JO71" s="129">
        <f t="shared" si="326"/>
        <v>0</v>
      </c>
      <c r="JP71" s="122">
        <f t="shared" si="327"/>
        <v>1.3</v>
      </c>
      <c r="JQ71" s="122">
        <f t="shared" si="328"/>
        <v>41.6</v>
      </c>
      <c r="JR71" s="122">
        <f t="shared" si="329"/>
        <v>42.5</v>
      </c>
      <c r="JS71" s="122">
        <f t="shared" si="330"/>
        <v>42</v>
      </c>
      <c r="JT71" s="122">
        <f t="shared" si="331"/>
        <v>145.5</v>
      </c>
      <c r="JU71" s="122">
        <f t="shared" si="332"/>
        <v>0.9</v>
      </c>
      <c r="JV71" s="122">
        <f t="shared" si="333"/>
        <v>-6</v>
      </c>
      <c r="JW71" s="122">
        <f t="shared" si="334"/>
        <v>-6.5</v>
      </c>
      <c r="JX71" s="122">
        <f t="shared" si="335"/>
        <v>-6.2</v>
      </c>
      <c r="JY71" s="122">
        <f t="shared" si="336"/>
        <v>6.4</v>
      </c>
      <c r="JZ71" s="122">
        <f t="shared" si="337"/>
        <v>0.6</v>
      </c>
      <c r="KA71" s="122">
        <f t="shared" si="338"/>
        <v>3.8</v>
      </c>
      <c r="KB71" s="122">
        <f t="shared" si="339"/>
        <v>11.2</v>
      </c>
      <c r="KC71" s="122">
        <f t="shared" si="340"/>
        <v>24.2</v>
      </c>
      <c r="KD71" s="122">
        <f t="shared" si="341"/>
        <v>59.3</v>
      </c>
      <c r="KE71" s="133">
        <f t="shared" si="342"/>
        <v>12</v>
      </c>
      <c r="KF71" s="94">
        <f t="shared" si="343"/>
        <v>7.0000000000000284E-2</v>
      </c>
      <c r="KG71" s="4">
        <f t="shared" si="344"/>
        <v>8.0000000000000071E-2</v>
      </c>
      <c r="KH71" s="4">
        <f t="shared" si="345"/>
        <v>-27.800000000000011</v>
      </c>
      <c r="KI71" s="4">
        <f t="shared" si="346"/>
        <v>9.9999999999999978E-2</v>
      </c>
      <c r="KJ71" s="4">
        <f t="shared" si="347"/>
        <v>-8.9999999999999969E-2</v>
      </c>
      <c r="KK71" s="4">
        <f t="shared" si="348"/>
        <v>-2.9999999999999971E-2</v>
      </c>
      <c r="KL71" s="4">
        <f t="shared" si="349"/>
        <v>2.34</v>
      </c>
      <c r="KM71" s="4">
        <f t="shared" si="350"/>
        <v>2.2099999999999995</v>
      </c>
      <c r="KN71" s="4">
        <f t="shared" si="351"/>
        <v>-121</v>
      </c>
      <c r="KO71" s="4">
        <f t="shared" si="352"/>
        <v>-136</v>
      </c>
      <c r="KP71" s="4">
        <f t="shared" si="353"/>
        <v>-10</v>
      </c>
      <c r="KQ71" s="4">
        <f t="shared" si="354"/>
        <v>-31</v>
      </c>
      <c r="KR71" s="4">
        <f t="shared" si="355"/>
        <v>-13</v>
      </c>
      <c r="KS71" s="4">
        <f t="shared" si="356"/>
        <v>-53</v>
      </c>
      <c r="KT71" s="4">
        <f t="shared" si="357"/>
        <v>-115</v>
      </c>
      <c r="KU71" s="4">
        <f t="shared" si="358"/>
        <v>-2.8200000000000003</v>
      </c>
      <c r="KV71" s="4">
        <f t="shared" si="359"/>
        <v>9.9999999999999978E-2</v>
      </c>
      <c r="KW71" s="4">
        <f t="shared" si="360"/>
        <v>9.9999999999998757E-2</v>
      </c>
      <c r="KX71" s="4">
        <f t="shared" si="361"/>
        <v>8.0000000000000071E-2</v>
      </c>
      <c r="KY71" s="4">
        <f t="shared" si="362"/>
        <v>4.9999999999999822E-2</v>
      </c>
      <c r="KZ71" s="4">
        <f t="shared" si="363"/>
        <v>8.0000000000000071E-2</v>
      </c>
      <c r="LA71" s="4">
        <f t="shared" si="364"/>
        <v>5.9999999999998721E-2</v>
      </c>
      <c r="LB71" s="4">
        <f t="shared" si="365"/>
        <v>-6.9999999999998508E-2</v>
      </c>
      <c r="LC71" s="4">
        <f t="shared" si="366"/>
        <v>0</v>
      </c>
      <c r="LD71" s="4">
        <f t="shared" si="367"/>
        <v>0.9</v>
      </c>
      <c r="LE71" s="4">
        <f t="shared" si="368"/>
        <v>-1.2799999999999994</v>
      </c>
      <c r="LF71" s="4">
        <f t="shared" si="369"/>
        <v>-0.76000000000000068</v>
      </c>
      <c r="LG71" s="4">
        <f t="shared" si="370"/>
        <v>-0.35000000000000053</v>
      </c>
      <c r="LH71" s="4">
        <f t="shared" si="371"/>
        <v>-0.20000000000000018</v>
      </c>
      <c r="LI71" s="4">
        <f t="shared" si="372"/>
        <v>-0.45999999999999996</v>
      </c>
      <c r="LJ71" s="4">
        <f t="shared" si="373"/>
        <v>-7.86</v>
      </c>
      <c r="LK71" s="4">
        <f t="shared" si="374"/>
        <v>0</v>
      </c>
      <c r="LL71" s="4">
        <f t="shared" si="375"/>
        <v>0.9</v>
      </c>
      <c r="LM71" s="4">
        <f t="shared" si="376"/>
        <v>-0.39999999999999858</v>
      </c>
      <c r="LN71" s="4">
        <f t="shared" si="377"/>
        <v>-0.5</v>
      </c>
      <c r="LO71" s="4">
        <f t="shared" si="378"/>
        <v>-0.5</v>
      </c>
      <c r="LP71" s="4">
        <f t="shared" si="379"/>
        <v>-27.800000000000011</v>
      </c>
      <c r="LQ71" s="4">
        <f t="shared" si="380"/>
        <v>-9.9999999999999978E-2</v>
      </c>
      <c r="LR71" s="4">
        <f t="shared" si="381"/>
        <v>-0.79999999999999982</v>
      </c>
      <c r="LS71" s="4">
        <f t="shared" si="382"/>
        <v>-1.0999999999999996</v>
      </c>
      <c r="LT71" s="4">
        <f t="shared" si="383"/>
        <v>-0.90000000000000036</v>
      </c>
      <c r="LU71" s="4">
        <f t="shared" si="384"/>
        <v>-118.39999999999999</v>
      </c>
      <c r="LV71" s="4">
        <f t="shared" si="385"/>
        <v>0.39999999999999997</v>
      </c>
      <c r="LW71" s="4">
        <f t="shared" si="386"/>
        <v>-0.70000000000000018</v>
      </c>
      <c r="LX71" s="4">
        <f t="shared" si="387"/>
        <v>-1.6000000000000014</v>
      </c>
      <c r="LY71" s="4">
        <f t="shared" si="388"/>
        <v>-2.3000000000000007</v>
      </c>
      <c r="LZ71" s="4">
        <f t="shared" si="389"/>
        <v>-1.3000000000000043</v>
      </c>
      <c r="MA71" s="4">
        <f t="shared" si="390"/>
        <v>3</v>
      </c>
      <c r="MB71" s="4">
        <f t="shared" si="391"/>
        <v>0.70000000000000284</v>
      </c>
      <c r="MC71" s="4">
        <f t="shared" si="392"/>
        <v>0.5</v>
      </c>
      <c r="MD71" s="4">
        <f t="shared" si="393"/>
        <v>0</v>
      </c>
      <c r="ME71" s="4">
        <f t="shared" si="394"/>
        <v>0</v>
      </c>
    </row>
    <row r="72" spans="1:343" ht="26.25" customHeight="1" thickBot="1" x14ac:dyDescent="0.25">
      <c r="A72" s="35">
        <v>41262</v>
      </c>
      <c r="B72" s="36" t="s">
        <v>122</v>
      </c>
      <c r="C72" s="36" t="s">
        <v>16</v>
      </c>
      <c r="D72" s="31" t="s">
        <v>110</v>
      </c>
      <c r="E72" s="4">
        <v>67</v>
      </c>
      <c r="F72" s="3">
        <v>16427</v>
      </c>
      <c r="G72" s="4" t="s">
        <v>87</v>
      </c>
      <c r="H72" s="4" t="s">
        <v>112</v>
      </c>
      <c r="I72" s="4">
        <v>1835204</v>
      </c>
      <c r="K72" s="74"/>
      <c r="L72" s="75"/>
      <c r="M72" s="75"/>
      <c r="N72" s="75"/>
      <c r="O72" s="75"/>
      <c r="P72" s="33">
        <v>-0.5</v>
      </c>
      <c r="Q72" s="33">
        <v>-0.42</v>
      </c>
      <c r="R72" s="33" t="s">
        <v>249</v>
      </c>
      <c r="S72" s="67">
        <v>10</v>
      </c>
      <c r="T72" s="136">
        <v>41261</v>
      </c>
      <c r="U72" s="67">
        <v>-8.75</v>
      </c>
      <c r="V72" s="67">
        <v>1.75</v>
      </c>
      <c r="W72" s="4">
        <v>165</v>
      </c>
      <c r="X72" s="4">
        <v>50</v>
      </c>
      <c r="Y72" s="4">
        <v>14</v>
      </c>
      <c r="Z72" s="4">
        <v>624</v>
      </c>
      <c r="AA72" s="4">
        <v>27.66</v>
      </c>
      <c r="AD72" s="4">
        <v>3.65</v>
      </c>
      <c r="AE72" s="4">
        <v>43.38</v>
      </c>
      <c r="AF72" s="4">
        <v>64</v>
      </c>
      <c r="AG72" s="4">
        <v>44.06</v>
      </c>
      <c r="AH72" s="4">
        <v>154</v>
      </c>
      <c r="AI72" s="4">
        <v>0</v>
      </c>
      <c r="AJ72" s="4" t="b">
        <f t="shared" si="267"/>
        <v>0</v>
      </c>
      <c r="AL72" s="3">
        <v>41464</v>
      </c>
      <c r="AM72" s="56">
        <v>30</v>
      </c>
      <c r="AN72" s="67">
        <v>-0.5</v>
      </c>
      <c r="AO72" s="67">
        <v>0.75</v>
      </c>
      <c r="AP72" s="4">
        <v>10</v>
      </c>
      <c r="AQ72" s="4">
        <v>20</v>
      </c>
      <c r="AR72" s="4">
        <v>18</v>
      </c>
      <c r="AS72" s="4">
        <v>547</v>
      </c>
      <c r="AT72" s="4">
        <v>2532</v>
      </c>
      <c r="BA72" s="4">
        <f t="shared" si="268"/>
        <v>-0.125</v>
      </c>
      <c r="BB72" s="4">
        <f t="shared" si="265"/>
        <v>0.29499999999999998</v>
      </c>
      <c r="BC72" s="4">
        <f t="shared" si="269"/>
        <v>-77</v>
      </c>
      <c r="BD72" s="3">
        <v>41590</v>
      </c>
      <c r="BF72" s="67">
        <v>0</v>
      </c>
      <c r="BG72" s="67">
        <v>1.25</v>
      </c>
      <c r="BH72" s="4">
        <v>140</v>
      </c>
      <c r="BI72" s="4">
        <v>30</v>
      </c>
      <c r="BJ72" s="4">
        <v>18</v>
      </c>
      <c r="BK72" s="4">
        <v>563</v>
      </c>
      <c r="BL72" s="4">
        <v>2500</v>
      </c>
      <c r="BM72" s="4" t="s">
        <v>282</v>
      </c>
      <c r="BN72" s="4" t="s">
        <v>282</v>
      </c>
      <c r="BO72" s="4">
        <v>42.61</v>
      </c>
      <c r="BP72" s="4">
        <v>72</v>
      </c>
      <c r="BQ72" s="4">
        <v>43.21</v>
      </c>
      <c r="BR72" s="4">
        <v>162</v>
      </c>
      <c r="BS72" s="4">
        <f t="shared" si="266"/>
        <v>0.625</v>
      </c>
      <c r="BT72" s="4">
        <f t="shared" si="270"/>
        <v>1.0449999999999999</v>
      </c>
      <c r="BU72" s="4">
        <f t="shared" si="271"/>
        <v>-61</v>
      </c>
      <c r="BV72" s="4">
        <f>IF(AND(ISBLANK(SPH_6),ISBLANK(SPH_12)),0,1)</f>
        <v>1</v>
      </c>
      <c r="BW72" s="4">
        <f t="shared" si="272"/>
        <v>1</v>
      </c>
      <c r="BX72" s="4">
        <f t="shared" si="273"/>
        <v>-7.875</v>
      </c>
      <c r="BY72" s="4">
        <f t="shared" si="274"/>
        <v>-0.125</v>
      </c>
      <c r="BZ72" s="4">
        <f t="shared" si="275"/>
        <v>0.625</v>
      </c>
      <c r="CA72" s="53">
        <f t="shared" si="276"/>
        <v>328</v>
      </c>
      <c r="CB72" s="55">
        <f t="shared" si="277"/>
        <v>10.933333333333334</v>
      </c>
      <c r="CC72" s="4">
        <f t="shared" si="278"/>
        <v>0.75</v>
      </c>
      <c r="CD72" s="4" t="str">
        <f t="shared" si="279"/>
        <v/>
      </c>
      <c r="CE72" s="4">
        <f t="shared" si="280"/>
        <v>-0.81000000000000227</v>
      </c>
      <c r="CF72" s="4">
        <f t="shared" si="281"/>
        <v>-0.81000000000000227</v>
      </c>
      <c r="CG72" s="4">
        <f t="shared" si="395"/>
        <v>-7.875</v>
      </c>
      <c r="CH72" s="4">
        <f t="shared" si="282"/>
        <v>0.625</v>
      </c>
      <c r="CI72" s="104">
        <f t="shared" si="283"/>
        <v>1.0449999999999999</v>
      </c>
      <c r="CJ72" s="94">
        <f t="shared" si="284"/>
        <v>-61</v>
      </c>
      <c r="CK72" s="4" t="str">
        <f t="shared" si="285"/>
        <v/>
      </c>
      <c r="CL72" s="107">
        <f t="shared" si="286"/>
        <v>-0.42</v>
      </c>
      <c r="CM72" s="107">
        <f t="shared" si="396"/>
        <v>0.22184874961635634</v>
      </c>
      <c r="CN72" s="139">
        <f t="shared" si="287"/>
        <v>1.25</v>
      </c>
      <c r="CO72" s="139">
        <f t="shared" si="288"/>
        <v>-0.5</v>
      </c>
      <c r="CP72" s="149">
        <f t="shared" si="289"/>
        <v>30</v>
      </c>
      <c r="CQ72" s="149">
        <f t="shared" si="290"/>
        <v>50</v>
      </c>
      <c r="CR72" s="148">
        <f t="shared" si="291"/>
        <v>30</v>
      </c>
      <c r="CS72" s="152" t="str">
        <f t="shared" si="292"/>
        <v/>
      </c>
      <c r="CT72" s="107" t="str">
        <f t="shared" si="293"/>
        <v/>
      </c>
      <c r="CU72" s="155" t="str">
        <f t="shared" si="294"/>
        <v/>
      </c>
      <c r="ER72" s="94">
        <v>7.85</v>
      </c>
      <c r="ES72" s="4">
        <v>7.93</v>
      </c>
      <c r="ET72" s="4">
        <v>67.599999999999994</v>
      </c>
      <c r="EU72" s="4">
        <v>0.4</v>
      </c>
      <c r="EV72" s="4">
        <v>0.23</v>
      </c>
      <c r="EW72" s="4">
        <v>0.35</v>
      </c>
      <c r="EX72" s="4">
        <v>4.99</v>
      </c>
      <c r="EY72" s="4">
        <v>5.54</v>
      </c>
      <c r="EZ72" s="4">
        <v>548</v>
      </c>
      <c r="FA72" s="4">
        <v>543</v>
      </c>
      <c r="FB72" s="4">
        <v>640</v>
      </c>
      <c r="FC72" s="4">
        <v>627</v>
      </c>
      <c r="FD72" s="4">
        <v>633</v>
      </c>
      <c r="FE72" s="4">
        <v>625</v>
      </c>
      <c r="FF72" s="4">
        <v>538</v>
      </c>
      <c r="FG72" s="4">
        <v>0.56999999999999995</v>
      </c>
      <c r="FH72" s="4">
        <v>-0.78</v>
      </c>
      <c r="FI72" s="4">
        <v>7.88</v>
      </c>
      <c r="FJ72" s="4">
        <v>7.88</v>
      </c>
      <c r="FK72" s="4">
        <v>7.88</v>
      </c>
      <c r="FL72" s="4">
        <v>7.95</v>
      </c>
      <c r="FM72" s="4">
        <v>8.15</v>
      </c>
      <c r="FN72" s="4">
        <v>8.44</v>
      </c>
      <c r="FO72" s="4">
        <v>0</v>
      </c>
      <c r="FP72" s="4">
        <v>1.3</v>
      </c>
      <c r="FQ72" s="4">
        <v>6.45</v>
      </c>
      <c r="FR72" s="4">
        <v>6.4</v>
      </c>
      <c r="FS72" s="4">
        <v>6.51</v>
      </c>
      <c r="FT72" s="4">
        <v>6.78</v>
      </c>
      <c r="FU72" s="4">
        <v>6.98</v>
      </c>
      <c r="FV72" s="4">
        <v>7.32</v>
      </c>
      <c r="FW72" s="4">
        <v>0</v>
      </c>
      <c r="FX72" s="97">
        <v>1.3</v>
      </c>
      <c r="GN72" s="94">
        <v>7.86</v>
      </c>
      <c r="GO72" s="4">
        <v>7.96</v>
      </c>
      <c r="GP72" s="4">
        <v>62.1</v>
      </c>
      <c r="GQ72" s="4">
        <v>0.6</v>
      </c>
      <c r="GR72" s="4">
        <v>0.16</v>
      </c>
      <c r="GS72" s="4">
        <v>0.31</v>
      </c>
      <c r="GT72" s="4">
        <v>4.95</v>
      </c>
      <c r="GU72" s="4">
        <v>5.49</v>
      </c>
      <c r="GV72" s="4">
        <v>542</v>
      </c>
      <c r="GW72" s="4">
        <v>538</v>
      </c>
      <c r="GX72" s="4">
        <v>633</v>
      </c>
      <c r="GY72" s="4">
        <v>634</v>
      </c>
      <c r="GZ72" s="4">
        <v>629</v>
      </c>
      <c r="HA72" s="4">
        <v>627</v>
      </c>
      <c r="HB72" s="4">
        <v>534</v>
      </c>
      <c r="HC72" s="4">
        <v>0.63</v>
      </c>
      <c r="HD72" s="4">
        <v>-0.7</v>
      </c>
      <c r="HE72" s="4">
        <v>7.9</v>
      </c>
      <c r="HF72" s="4">
        <v>7.89</v>
      </c>
      <c r="HG72" s="4">
        <v>7.89</v>
      </c>
      <c r="HH72" s="4">
        <v>7.94</v>
      </c>
      <c r="HI72" s="4">
        <v>8.15</v>
      </c>
      <c r="HJ72" s="4">
        <v>8.4499999999999993</v>
      </c>
      <c r="HK72" s="4">
        <v>0</v>
      </c>
      <c r="HL72" s="4">
        <v>1.3</v>
      </c>
      <c r="HM72" s="4">
        <v>6.45</v>
      </c>
      <c r="HN72" s="4">
        <v>6.39</v>
      </c>
      <c r="HO72" s="4">
        <v>6.54</v>
      </c>
      <c r="HP72" s="4">
        <v>6.82</v>
      </c>
      <c r="HQ72" s="4">
        <v>6.98</v>
      </c>
      <c r="HR72" s="4">
        <v>7.33</v>
      </c>
      <c r="HS72" s="4">
        <v>0</v>
      </c>
      <c r="HT72" s="104">
        <v>1.3</v>
      </c>
      <c r="IJ72" s="94">
        <f t="shared" si="295"/>
        <v>7.86</v>
      </c>
      <c r="IK72" s="4">
        <f t="shared" si="296"/>
        <v>7.96</v>
      </c>
      <c r="IL72" s="4">
        <f t="shared" si="297"/>
        <v>62.1</v>
      </c>
      <c r="IM72" s="4">
        <f t="shared" si="298"/>
        <v>0.6</v>
      </c>
      <c r="IN72" s="4">
        <f t="shared" si="299"/>
        <v>0.16</v>
      </c>
      <c r="IO72" s="4">
        <f t="shared" si="300"/>
        <v>0.31</v>
      </c>
      <c r="IP72" s="4">
        <f t="shared" si="301"/>
        <v>4.95</v>
      </c>
      <c r="IQ72" s="4">
        <f t="shared" si="302"/>
        <v>5.49</v>
      </c>
      <c r="IR72" s="4">
        <f t="shared" si="303"/>
        <v>542</v>
      </c>
      <c r="IS72" s="4">
        <f t="shared" si="304"/>
        <v>538</v>
      </c>
      <c r="IT72" s="4">
        <f t="shared" si="305"/>
        <v>633</v>
      </c>
      <c r="IU72" s="4">
        <f t="shared" si="306"/>
        <v>634</v>
      </c>
      <c r="IV72" s="4">
        <f t="shared" si="307"/>
        <v>629</v>
      </c>
      <c r="IW72" s="4">
        <f t="shared" si="308"/>
        <v>627</v>
      </c>
      <c r="IX72" s="4">
        <f t="shared" si="309"/>
        <v>534</v>
      </c>
      <c r="IY72" s="4">
        <f t="shared" si="310"/>
        <v>0.63</v>
      </c>
      <c r="IZ72" s="4">
        <f t="shared" si="311"/>
        <v>-0.7</v>
      </c>
      <c r="JA72" s="4">
        <f t="shared" si="312"/>
        <v>7.9</v>
      </c>
      <c r="JB72" s="4">
        <f t="shared" si="313"/>
        <v>7.89</v>
      </c>
      <c r="JC72" s="4">
        <f t="shared" si="314"/>
        <v>7.89</v>
      </c>
      <c r="JD72" s="4">
        <f t="shared" si="315"/>
        <v>7.94</v>
      </c>
      <c r="JE72" s="4">
        <f t="shared" si="316"/>
        <v>8.15</v>
      </c>
      <c r="JF72" s="4">
        <f t="shared" si="317"/>
        <v>8.4499999999999993</v>
      </c>
      <c r="JG72" s="4">
        <f t="shared" si="318"/>
        <v>0</v>
      </c>
      <c r="JH72" s="4">
        <f t="shared" si="319"/>
        <v>1.3</v>
      </c>
      <c r="JI72" s="4">
        <f t="shared" si="320"/>
        <v>6.45</v>
      </c>
      <c r="JJ72" s="4">
        <f t="shared" si="321"/>
        <v>6.39</v>
      </c>
      <c r="JK72" s="4">
        <f t="shared" si="322"/>
        <v>6.54</v>
      </c>
      <c r="JL72" s="4">
        <f t="shared" si="323"/>
        <v>6.82</v>
      </c>
      <c r="JM72" s="4">
        <f t="shared" si="324"/>
        <v>6.98</v>
      </c>
      <c r="JN72" s="4">
        <f t="shared" si="325"/>
        <v>7.33</v>
      </c>
      <c r="JO72" s="129">
        <f t="shared" si="326"/>
        <v>0</v>
      </c>
      <c r="JP72" s="122">
        <f t="shared" si="327"/>
        <v>1.3</v>
      </c>
      <c r="JQ72" s="122" t="str">
        <f t="shared" si="328"/>
        <v/>
      </c>
      <c r="JR72" s="122" t="str">
        <f t="shared" si="329"/>
        <v/>
      </c>
      <c r="JS72" s="122" t="str">
        <f t="shared" si="330"/>
        <v/>
      </c>
      <c r="JT72" s="122" t="str">
        <f t="shared" si="331"/>
        <v/>
      </c>
      <c r="JU72" s="122" t="str">
        <f t="shared" si="332"/>
        <v/>
      </c>
      <c r="JV72" s="122" t="str">
        <f t="shared" si="333"/>
        <v/>
      </c>
      <c r="JW72" s="122" t="str">
        <f t="shared" si="334"/>
        <v/>
      </c>
      <c r="JX72" s="122" t="str">
        <f t="shared" si="335"/>
        <v/>
      </c>
      <c r="JY72" s="122" t="str">
        <f t="shared" si="336"/>
        <v/>
      </c>
      <c r="JZ72" s="122" t="str">
        <f t="shared" si="337"/>
        <v/>
      </c>
      <c r="KA72" s="122" t="str">
        <f t="shared" si="338"/>
        <v/>
      </c>
      <c r="KB72" s="122" t="str">
        <f t="shared" si="339"/>
        <v/>
      </c>
      <c r="KC72" s="122" t="str">
        <f t="shared" si="340"/>
        <v/>
      </c>
      <c r="KD72" s="122" t="str">
        <f t="shared" si="341"/>
        <v/>
      </c>
      <c r="KE72" s="133" t="str">
        <f t="shared" si="342"/>
        <v/>
      </c>
      <c r="KF72" s="94" t="str">
        <f t="shared" si="343"/>
        <v/>
      </c>
      <c r="KG72" s="4" t="str">
        <f t="shared" si="344"/>
        <v/>
      </c>
      <c r="KH72" s="4" t="str">
        <f t="shared" si="345"/>
        <v/>
      </c>
      <c r="KI72" s="4" t="str">
        <f t="shared" si="346"/>
        <v/>
      </c>
      <c r="KJ72" s="4" t="str">
        <f t="shared" si="347"/>
        <v/>
      </c>
      <c r="KK72" s="4" t="str">
        <f t="shared" si="348"/>
        <v/>
      </c>
      <c r="KL72" s="4" t="str">
        <f t="shared" si="349"/>
        <v/>
      </c>
      <c r="KM72" s="4" t="str">
        <f t="shared" si="350"/>
        <v/>
      </c>
      <c r="KN72" s="4" t="str">
        <f t="shared" si="351"/>
        <v/>
      </c>
      <c r="KO72" s="4" t="str">
        <f t="shared" si="352"/>
        <v/>
      </c>
      <c r="KP72" s="4" t="str">
        <f t="shared" si="353"/>
        <v/>
      </c>
      <c r="KQ72" s="4" t="str">
        <f t="shared" si="354"/>
        <v/>
      </c>
      <c r="KR72" s="4" t="str">
        <f t="shared" si="355"/>
        <v/>
      </c>
      <c r="KS72" s="4" t="str">
        <f t="shared" si="356"/>
        <v/>
      </c>
      <c r="KT72" s="4" t="str">
        <f t="shared" si="357"/>
        <v/>
      </c>
      <c r="KU72" s="4" t="str">
        <f t="shared" si="358"/>
        <v/>
      </c>
      <c r="KV72" s="4" t="str">
        <f t="shared" si="359"/>
        <v/>
      </c>
      <c r="KW72" s="4" t="str">
        <f t="shared" si="360"/>
        <v/>
      </c>
      <c r="KX72" s="4" t="str">
        <f t="shared" si="361"/>
        <v/>
      </c>
      <c r="KY72" s="4" t="str">
        <f t="shared" si="362"/>
        <v/>
      </c>
      <c r="KZ72" s="4" t="str">
        <f t="shared" si="363"/>
        <v/>
      </c>
      <c r="LA72" s="4" t="str">
        <f t="shared" si="364"/>
        <v/>
      </c>
      <c r="LB72" s="4" t="str">
        <f t="shared" si="365"/>
        <v/>
      </c>
      <c r="LC72" s="4" t="str">
        <f t="shared" si="366"/>
        <v/>
      </c>
      <c r="LD72" s="4" t="str">
        <f t="shared" si="367"/>
        <v/>
      </c>
      <c r="LE72" s="4" t="str">
        <f t="shared" si="368"/>
        <v/>
      </c>
      <c r="LF72" s="4" t="str">
        <f t="shared" si="369"/>
        <v/>
      </c>
      <c r="LG72" s="4" t="str">
        <f t="shared" si="370"/>
        <v/>
      </c>
      <c r="LH72" s="4" t="str">
        <f t="shared" si="371"/>
        <v/>
      </c>
      <c r="LI72" s="4" t="str">
        <f t="shared" si="372"/>
        <v/>
      </c>
      <c r="LJ72" s="4" t="str">
        <f t="shared" si="373"/>
        <v/>
      </c>
      <c r="LK72" s="4" t="str">
        <f t="shared" si="374"/>
        <v/>
      </c>
      <c r="LL72" s="4" t="str">
        <f t="shared" si="375"/>
        <v/>
      </c>
      <c r="LM72" s="4" t="str">
        <f t="shared" si="376"/>
        <v/>
      </c>
      <c r="LN72" s="4" t="str">
        <f t="shared" si="377"/>
        <v/>
      </c>
      <c r="LO72" s="4" t="str">
        <f t="shared" si="378"/>
        <v/>
      </c>
      <c r="LP72" s="4" t="str">
        <f t="shared" si="379"/>
        <v/>
      </c>
      <c r="LQ72" s="4" t="str">
        <f t="shared" si="380"/>
        <v/>
      </c>
      <c r="LR72" s="4" t="str">
        <f t="shared" si="381"/>
        <v/>
      </c>
      <c r="LS72" s="4" t="str">
        <f t="shared" si="382"/>
        <v/>
      </c>
      <c r="LT72" s="4" t="str">
        <f t="shared" si="383"/>
        <v/>
      </c>
      <c r="LU72" s="4" t="str">
        <f t="shared" si="384"/>
        <v/>
      </c>
      <c r="LV72" s="4" t="str">
        <f t="shared" si="385"/>
        <v/>
      </c>
      <c r="LW72" s="4" t="str">
        <f t="shared" si="386"/>
        <v/>
      </c>
      <c r="LX72" s="4" t="str">
        <f t="shared" si="387"/>
        <v/>
      </c>
      <c r="LY72" s="4" t="str">
        <f t="shared" si="388"/>
        <v/>
      </c>
      <c r="LZ72" s="4" t="str">
        <f t="shared" si="389"/>
        <v/>
      </c>
      <c r="MA72" s="4" t="str">
        <f t="shared" si="390"/>
        <v/>
      </c>
      <c r="MB72" s="4" t="str">
        <f t="shared" si="391"/>
        <v/>
      </c>
      <c r="MC72" s="4" t="str">
        <f t="shared" si="392"/>
        <v/>
      </c>
      <c r="MD72" s="4" t="str">
        <f t="shared" si="393"/>
        <v/>
      </c>
      <c r="ME72" s="4">
        <f t="shared" si="394"/>
        <v>0</v>
      </c>
    </row>
    <row r="73" spans="1:343" ht="26.25" customHeight="1" x14ac:dyDescent="0.2">
      <c r="A73" s="35">
        <v>41213</v>
      </c>
      <c r="B73" s="36" t="s">
        <v>164</v>
      </c>
      <c r="C73" s="36" t="s">
        <v>16</v>
      </c>
      <c r="D73" s="31" t="s">
        <v>111</v>
      </c>
      <c r="E73" s="4">
        <v>67</v>
      </c>
      <c r="F73" s="3">
        <v>16427</v>
      </c>
      <c r="G73" s="4" t="s">
        <v>87</v>
      </c>
      <c r="H73" s="4" t="s">
        <v>112</v>
      </c>
      <c r="I73" s="4">
        <v>1835204</v>
      </c>
      <c r="K73" s="76"/>
      <c r="L73" s="76"/>
      <c r="M73" s="76"/>
      <c r="N73" s="76"/>
      <c r="O73" s="76"/>
      <c r="P73" s="4">
        <v>-0.5</v>
      </c>
      <c r="Q73" s="4">
        <v>-0.56999999999999995</v>
      </c>
      <c r="R73" s="4" t="s">
        <v>249</v>
      </c>
      <c r="S73" s="67">
        <v>10.5</v>
      </c>
      <c r="T73" s="136">
        <v>41172</v>
      </c>
      <c r="U73" s="67">
        <v>-8.25</v>
      </c>
      <c r="V73" s="67">
        <v>0.75</v>
      </c>
      <c r="W73" s="4">
        <v>56</v>
      </c>
      <c r="X73" s="4">
        <v>70</v>
      </c>
      <c r="Y73" s="4">
        <v>11</v>
      </c>
      <c r="Z73" s="4">
        <v>650</v>
      </c>
      <c r="AA73" s="4">
        <v>26.97</v>
      </c>
      <c r="AD73" s="4">
        <v>2.1800000000000002</v>
      </c>
      <c r="AE73" s="4">
        <v>44.18</v>
      </c>
      <c r="AF73" s="4">
        <v>66</v>
      </c>
      <c r="AG73" s="4">
        <v>44.35</v>
      </c>
      <c r="AH73" s="4">
        <v>156</v>
      </c>
      <c r="AI73" s="4">
        <v>1</v>
      </c>
      <c r="AJ73" s="4" t="b">
        <f t="shared" si="267"/>
        <v>1</v>
      </c>
      <c r="AL73" s="37">
        <v>41374</v>
      </c>
      <c r="AM73" s="59">
        <v>60</v>
      </c>
      <c r="AN73" s="67">
        <v>0.5</v>
      </c>
      <c r="AO73" s="67">
        <v>1</v>
      </c>
      <c r="AP73" s="4">
        <v>16</v>
      </c>
      <c r="AQ73" s="4">
        <v>30</v>
      </c>
      <c r="AR73" s="4">
        <v>15</v>
      </c>
      <c r="AS73" s="4">
        <v>551</v>
      </c>
      <c r="AT73" s="4">
        <v>1767</v>
      </c>
      <c r="BA73" s="4">
        <f t="shared" si="268"/>
        <v>1</v>
      </c>
      <c r="BB73" s="4">
        <f t="shared" si="265"/>
        <v>1.5699999999999998</v>
      </c>
      <c r="BC73" s="4">
        <f t="shared" si="269"/>
        <v>-99</v>
      </c>
      <c r="BD73" s="3">
        <v>41590</v>
      </c>
      <c r="BF73" s="67">
        <v>0.5</v>
      </c>
      <c r="BG73" s="67">
        <v>1.5</v>
      </c>
      <c r="BH73" s="4">
        <v>30</v>
      </c>
      <c r="BI73" s="4">
        <v>30</v>
      </c>
      <c r="BJ73" s="4">
        <v>18</v>
      </c>
      <c r="BK73" s="4">
        <v>534</v>
      </c>
      <c r="BL73" s="4">
        <v>2141</v>
      </c>
      <c r="BM73" s="4" t="s">
        <v>282</v>
      </c>
      <c r="BN73" s="4" t="s">
        <v>282</v>
      </c>
      <c r="BO73" s="4">
        <v>43.1</v>
      </c>
      <c r="BP73" s="4">
        <v>123</v>
      </c>
      <c r="BQ73" s="4">
        <v>43.32</v>
      </c>
      <c r="BR73" s="4">
        <v>33</v>
      </c>
      <c r="BS73" s="4">
        <f t="shared" si="266"/>
        <v>1.25</v>
      </c>
      <c r="BT73" s="4">
        <f t="shared" si="270"/>
        <v>1.8199999999999998</v>
      </c>
      <c r="BU73" s="4">
        <f t="shared" si="271"/>
        <v>-116</v>
      </c>
      <c r="BV73" s="4">
        <f>IF(AND(ISBLANK(SPH_6),ISBLANK(SPH_12)),0,1)</f>
        <v>1</v>
      </c>
      <c r="BW73" s="4">
        <f t="shared" si="272"/>
        <v>1</v>
      </c>
      <c r="BX73" s="4">
        <f t="shared" si="273"/>
        <v>-7.875</v>
      </c>
      <c r="BY73" s="4">
        <f t="shared" si="274"/>
        <v>1</v>
      </c>
      <c r="BZ73" s="4">
        <f t="shared" si="275"/>
        <v>1.25</v>
      </c>
      <c r="CA73" s="53">
        <f t="shared" si="276"/>
        <v>377</v>
      </c>
      <c r="CB73" s="55">
        <f t="shared" si="277"/>
        <v>12.566666666666666</v>
      </c>
      <c r="CC73" s="4">
        <f t="shared" si="278"/>
        <v>0.25</v>
      </c>
      <c r="CD73" s="4" t="str">
        <f t="shared" si="279"/>
        <v/>
      </c>
      <c r="CE73" s="4">
        <f t="shared" si="280"/>
        <v>-1.0549999999999997</v>
      </c>
      <c r="CF73" s="4">
        <f t="shared" si="281"/>
        <v>-1.0549999999999997</v>
      </c>
      <c r="CG73" s="4">
        <f t="shared" si="395"/>
        <v>-7.875</v>
      </c>
      <c r="CH73" s="4">
        <f t="shared" si="282"/>
        <v>1.25</v>
      </c>
      <c r="CI73" s="104">
        <f t="shared" si="283"/>
        <v>1.8199999999999998</v>
      </c>
      <c r="CJ73" s="94">
        <f t="shared" si="284"/>
        <v>-116</v>
      </c>
      <c r="CK73" s="4" t="str">
        <f t="shared" si="285"/>
        <v/>
      </c>
      <c r="CL73" s="107">
        <f t="shared" si="286"/>
        <v>-0.56999999999999995</v>
      </c>
      <c r="CM73" s="107">
        <f t="shared" si="396"/>
        <v>0.36797678529459443</v>
      </c>
      <c r="CN73" s="139">
        <f t="shared" si="287"/>
        <v>1.5</v>
      </c>
      <c r="CO73" s="139">
        <f t="shared" si="288"/>
        <v>0.75</v>
      </c>
      <c r="CP73" s="149">
        <f t="shared" si="289"/>
        <v>30</v>
      </c>
      <c r="CQ73" s="149">
        <f t="shared" si="290"/>
        <v>70</v>
      </c>
      <c r="CR73" s="148">
        <f t="shared" si="291"/>
        <v>60</v>
      </c>
      <c r="CS73" s="152" t="str">
        <f t="shared" si="292"/>
        <v/>
      </c>
      <c r="CT73" s="107" t="str">
        <f t="shared" si="293"/>
        <v/>
      </c>
      <c r="CU73" s="155" t="str">
        <f t="shared" si="294"/>
        <v/>
      </c>
      <c r="ER73" s="94">
        <v>7.87</v>
      </c>
      <c r="ES73" s="4">
        <v>8.0500000000000007</v>
      </c>
      <c r="ET73" s="4">
        <v>105.5</v>
      </c>
      <c r="EU73" s="4">
        <v>1</v>
      </c>
      <c r="EV73" s="4">
        <v>-0.01</v>
      </c>
      <c r="EW73" s="4">
        <v>0.28999999999999998</v>
      </c>
      <c r="EX73" s="4">
        <v>-0.67</v>
      </c>
      <c r="EY73" s="4">
        <v>-0.14000000000000001</v>
      </c>
      <c r="EZ73" s="4">
        <v>530</v>
      </c>
      <c r="FA73" s="4">
        <v>525</v>
      </c>
      <c r="FB73" s="4">
        <v>661</v>
      </c>
      <c r="FC73" s="4">
        <v>646</v>
      </c>
      <c r="FD73" s="4">
        <v>634</v>
      </c>
      <c r="FE73" s="4">
        <v>619</v>
      </c>
      <c r="FF73" s="4">
        <v>513</v>
      </c>
      <c r="FG73" s="4">
        <v>-1.01</v>
      </c>
      <c r="FH73" s="4">
        <v>-0.54</v>
      </c>
      <c r="FI73" s="4">
        <v>7.96</v>
      </c>
      <c r="FJ73" s="4">
        <v>7.93</v>
      </c>
      <c r="FK73" s="4">
        <v>7.91</v>
      </c>
      <c r="FL73" s="4">
        <v>7.97</v>
      </c>
      <c r="FM73" s="4">
        <v>8.15</v>
      </c>
      <c r="FN73" s="4">
        <v>8.36</v>
      </c>
      <c r="FO73" s="4">
        <v>0</v>
      </c>
      <c r="FP73" s="4">
        <v>1.5</v>
      </c>
      <c r="FQ73" s="4">
        <v>6.29</v>
      </c>
      <c r="FR73" s="4">
        <v>6.22</v>
      </c>
      <c r="FS73" s="4">
        <v>6.31</v>
      </c>
      <c r="FT73" s="4">
        <v>6.59</v>
      </c>
      <c r="FU73" s="4">
        <v>6.94</v>
      </c>
      <c r="FV73" s="4">
        <v>0</v>
      </c>
      <c r="FW73" s="4">
        <v>0</v>
      </c>
      <c r="FX73" s="97">
        <v>1.5</v>
      </c>
      <c r="GN73" s="94">
        <v>7.78</v>
      </c>
      <c r="GO73" s="4">
        <v>7.92</v>
      </c>
      <c r="GP73" s="4">
        <v>117.6</v>
      </c>
      <c r="GQ73" s="4">
        <v>0.7</v>
      </c>
      <c r="GR73" s="4">
        <v>0.19</v>
      </c>
      <c r="GS73" s="4">
        <v>0.35</v>
      </c>
      <c r="GT73" s="4">
        <v>4.68</v>
      </c>
      <c r="GU73" s="4">
        <v>5.21</v>
      </c>
      <c r="GV73" s="4">
        <v>538</v>
      </c>
      <c r="GW73" s="4">
        <v>532</v>
      </c>
      <c r="GX73" s="4">
        <v>639</v>
      </c>
      <c r="GY73" s="4">
        <v>625</v>
      </c>
      <c r="GZ73" s="4">
        <v>630</v>
      </c>
      <c r="HA73" s="4">
        <v>609</v>
      </c>
      <c r="HB73" s="4">
        <v>523</v>
      </c>
      <c r="HC73" s="4">
        <v>-0.98</v>
      </c>
      <c r="HD73" s="4">
        <v>-0.63</v>
      </c>
      <c r="HE73" s="4">
        <v>7.84</v>
      </c>
      <c r="HF73" s="4">
        <v>7.86</v>
      </c>
      <c r="HG73" s="4">
        <v>7.87</v>
      </c>
      <c r="HH73" s="4">
        <v>7.93</v>
      </c>
      <c r="HI73" s="4">
        <v>8.1199999999999992</v>
      </c>
      <c r="HJ73" s="4">
        <v>8.4</v>
      </c>
      <c r="HK73" s="4">
        <v>0</v>
      </c>
      <c r="HL73" s="4">
        <v>1.3</v>
      </c>
      <c r="HM73" s="4">
        <v>6.36</v>
      </c>
      <c r="HN73" s="4">
        <v>6.33</v>
      </c>
      <c r="HO73" s="4">
        <v>6.47</v>
      </c>
      <c r="HP73" s="4">
        <v>6.76</v>
      </c>
      <c r="HQ73" s="4">
        <v>6.96</v>
      </c>
      <c r="HR73" s="4">
        <v>7.21</v>
      </c>
      <c r="HS73" s="4">
        <v>0</v>
      </c>
      <c r="HT73" s="104">
        <v>1.3</v>
      </c>
      <c r="IJ73" s="94">
        <f t="shared" si="295"/>
        <v>7.78</v>
      </c>
      <c r="IK73" s="4">
        <f t="shared" si="296"/>
        <v>7.92</v>
      </c>
      <c r="IL73" s="4">
        <f t="shared" si="297"/>
        <v>117.6</v>
      </c>
      <c r="IM73" s="4">
        <f t="shared" si="298"/>
        <v>0.7</v>
      </c>
      <c r="IN73" s="4">
        <f t="shared" si="299"/>
        <v>0.19</v>
      </c>
      <c r="IO73" s="4">
        <f t="shared" si="300"/>
        <v>0.35</v>
      </c>
      <c r="IP73" s="4">
        <f t="shared" si="301"/>
        <v>4.68</v>
      </c>
      <c r="IQ73" s="4">
        <f t="shared" si="302"/>
        <v>5.21</v>
      </c>
      <c r="IR73" s="4">
        <f t="shared" si="303"/>
        <v>538</v>
      </c>
      <c r="IS73" s="4">
        <f t="shared" si="304"/>
        <v>532</v>
      </c>
      <c r="IT73" s="4">
        <f t="shared" si="305"/>
        <v>639</v>
      </c>
      <c r="IU73" s="4">
        <f t="shared" si="306"/>
        <v>625</v>
      </c>
      <c r="IV73" s="4">
        <f t="shared" si="307"/>
        <v>630</v>
      </c>
      <c r="IW73" s="4">
        <f t="shared" si="308"/>
        <v>609</v>
      </c>
      <c r="IX73" s="4">
        <f t="shared" si="309"/>
        <v>523</v>
      </c>
      <c r="IY73" s="4">
        <f t="shared" si="310"/>
        <v>-0.98</v>
      </c>
      <c r="IZ73" s="4">
        <f t="shared" si="311"/>
        <v>-0.63</v>
      </c>
      <c r="JA73" s="4">
        <f t="shared" si="312"/>
        <v>7.84</v>
      </c>
      <c r="JB73" s="4">
        <f t="shared" si="313"/>
        <v>7.86</v>
      </c>
      <c r="JC73" s="4">
        <f t="shared" si="314"/>
        <v>7.87</v>
      </c>
      <c r="JD73" s="4">
        <f t="shared" si="315"/>
        <v>7.93</v>
      </c>
      <c r="JE73" s="4">
        <f t="shared" si="316"/>
        <v>8.1199999999999992</v>
      </c>
      <c r="JF73" s="4">
        <f t="shared" si="317"/>
        <v>8.4</v>
      </c>
      <c r="JG73" s="4">
        <f t="shared" si="318"/>
        <v>0</v>
      </c>
      <c r="JH73" s="4">
        <f t="shared" si="319"/>
        <v>1.3</v>
      </c>
      <c r="JI73" s="4">
        <f t="shared" si="320"/>
        <v>6.36</v>
      </c>
      <c r="JJ73" s="4">
        <f t="shared" si="321"/>
        <v>6.33</v>
      </c>
      <c r="JK73" s="4">
        <f t="shared" si="322"/>
        <v>6.47</v>
      </c>
      <c r="JL73" s="4">
        <f t="shared" si="323"/>
        <v>6.76</v>
      </c>
      <c r="JM73" s="4">
        <f t="shared" si="324"/>
        <v>6.96</v>
      </c>
      <c r="JN73" s="4">
        <f t="shared" si="325"/>
        <v>7.21</v>
      </c>
      <c r="JO73" s="129">
        <f t="shared" si="326"/>
        <v>0</v>
      </c>
      <c r="JP73" s="122">
        <f t="shared" si="327"/>
        <v>1.3</v>
      </c>
      <c r="JQ73" s="122" t="str">
        <f t="shared" si="328"/>
        <v/>
      </c>
      <c r="JR73" s="122" t="str">
        <f t="shared" si="329"/>
        <v/>
      </c>
      <c r="JS73" s="122" t="str">
        <f t="shared" si="330"/>
        <v/>
      </c>
      <c r="JT73" s="122" t="str">
        <f t="shared" si="331"/>
        <v/>
      </c>
      <c r="JU73" s="122" t="str">
        <f t="shared" si="332"/>
        <v/>
      </c>
      <c r="JV73" s="122" t="str">
        <f t="shared" si="333"/>
        <v/>
      </c>
      <c r="JW73" s="122" t="str">
        <f t="shared" si="334"/>
        <v/>
      </c>
      <c r="JX73" s="122" t="str">
        <f t="shared" si="335"/>
        <v/>
      </c>
      <c r="JY73" s="122" t="str">
        <f t="shared" si="336"/>
        <v/>
      </c>
      <c r="JZ73" s="122" t="str">
        <f t="shared" si="337"/>
        <v/>
      </c>
      <c r="KA73" s="122" t="str">
        <f t="shared" si="338"/>
        <v/>
      </c>
      <c r="KB73" s="122" t="str">
        <f t="shared" si="339"/>
        <v/>
      </c>
      <c r="KC73" s="122" t="str">
        <f t="shared" si="340"/>
        <v/>
      </c>
      <c r="KD73" s="122" t="str">
        <f t="shared" si="341"/>
        <v/>
      </c>
      <c r="KE73" s="133" t="str">
        <f t="shared" si="342"/>
        <v/>
      </c>
      <c r="KF73" s="94" t="str">
        <f t="shared" si="343"/>
        <v/>
      </c>
      <c r="KG73" s="4" t="str">
        <f t="shared" si="344"/>
        <v/>
      </c>
      <c r="KH73" s="4" t="str">
        <f t="shared" si="345"/>
        <v/>
      </c>
      <c r="KI73" s="4" t="str">
        <f t="shared" si="346"/>
        <v/>
      </c>
      <c r="KJ73" s="4" t="str">
        <f t="shared" si="347"/>
        <v/>
      </c>
      <c r="KK73" s="4" t="str">
        <f t="shared" si="348"/>
        <v/>
      </c>
      <c r="KL73" s="4" t="str">
        <f t="shared" si="349"/>
        <v/>
      </c>
      <c r="KM73" s="4" t="str">
        <f t="shared" si="350"/>
        <v/>
      </c>
      <c r="KN73" s="4" t="str">
        <f t="shared" si="351"/>
        <v/>
      </c>
      <c r="KO73" s="4" t="str">
        <f t="shared" si="352"/>
        <v/>
      </c>
      <c r="KP73" s="4" t="str">
        <f t="shared" si="353"/>
        <v/>
      </c>
      <c r="KQ73" s="4" t="str">
        <f t="shared" si="354"/>
        <v/>
      </c>
      <c r="KR73" s="4" t="str">
        <f t="shared" si="355"/>
        <v/>
      </c>
      <c r="KS73" s="4" t="str">
        <f t="shared" si="356"/>
        <v/>
      </c>
      <c r="KT73" s="4" t="str">
        <f t="shared" si="357"/>
        <v/>
      </c>
      <c r="KU73" s="4" t="str">
        <f t="shared" si="358"/>
        <v/>
      </c>
      <c r="KV73" s="4" t="str">
        <f t="shared" si="359"/>
        <v/>
      </c>
      <c r="KW73" s="4" t="str">
        <f t="shared" si="360"/>
        <v/>
      </c>
      <c r="KX73" s="4" t="str">
        <f t="shared" si="361"/>
        <v/>
      </c>
      <c r="KY73" s="4" t="str">
        <f t="shared" si="362"/>
        <v/>
      </c>
      <c r="KZ73" s="4" t="str">
        <f t="shared" si="363"/>
        <v/>
      </c>
      <c r="LA73" s="4" t="str">
        <f t="shared" si="364"/>
        <v/>
      </c>
      <c r="LB73" s="4" t="str">
        <f t="shared" si="365"/>
        <v/>
      </c>
      <c r="LC73" s="4" t="str">
        <f t="shared" si="366"/>
        <v/>
      </c>
      <c r="LD73" s="4" t="str">
        <f t="shared" si="367"/>
        <v/>
      </c>
      <c r="LE73" s="4" t="str">
        <f t="shared" si="368"/>
        <v/>
      </c>
      <c r="LF73" s="4" t="str">
        <f t="shared" si="369"/>
        <v/>
      </c>
      <c r="LG73" s="4" t="str">
        <f t="shared" si="370"/>
        <v/>
      </c>
      <c r="LH73" s="4" t="str">
        <f t="shared" si="371"/>
        <v/>
      </c>
      <c r="LI73" s="4" t="str">
        <f t="shared" si="372"/>
        <v/>
      </c>
      <c r="LJ73" s="4" t="str">
        <f t="shared" si="373"/>
        <v/>
      </c>
      <c r="LK73" s="4" t="str">
        <f t="shared" si="374"/>
        <v/>
      </c>
      <c r="LL73" s="4" t="str">
        <f t="shared" si="375"/>
        <v/>
      </c>
      <c r="LM73" s="4" t="str">
        <f t="shared" si="376"/>
        <v/>
      </c>
      <c r="LN73" s="4" t="str">
        <f t="shared" si="377"/>
        <v/>
      </c>
      <c r="LO73" s="4" t="str">
        <f t="shared" si="378"/>
        <v/>
      </c>
      <c r="LP73" s="4" t="str">
        <f t="shared" si="379"/>
        <v/>
      </c>
      <c r="LQ73" s="4" t="str">
        <f t="shared" si="380"/>
        <v/>
      </c>
      <c r="LR73" s="4" t="str">
        <f t="shared" si="381"/>
        <v/>
      </c>
      <c r="LS73" s="4" t="str">
        <f t="shared" si="382"/>
        <v/>
      </c>
      <c r="LT73" s="4" t="str">
        <f t="shared" si="383"/>
        <v/>
      </c>
      <c r="LU73" s="4" t="str">
        <f t="shared" si="384"/>
        <v/>
      </c>
      <c r="LV73" s="4" t="str">
        <f t="shared" si="385"/>
        <v/>
      </c>
      <c r="LW73" s="4" t="str">
        <f t="shared" si="386"/>
        <v/>
      </c>
      <c r="LX73" s="4" t="str">
        <f t="shared" si="387"/>
        <v/>
      </c>
      <c r="LY73" s="4" t="str">
        <f t="shared" si="388"/>
        <v/>
      </c>
      <c r="LZ73" s="4" t="str">
        <f t="shared" si="389"/>
        <v/>
      </c>
      <c r="MA73" s="4" t="str">
        <f t="shared" si="390"/>
        <v/>
      </c>
      <c r="MB73" s="4" t="str">
        <f t="shared" si="391"/>
        <v/>
      </c>
      <c r="MC73" s="4" t="str">
        <f t="shared" si="392"/>
        <v/>
      </c>
      <c r="MD73" s="4" t="str">
        <f t="shared" si="393"/>
        <v/>
      </c>
      <c r="ME73" s="4">
        <f t="shared" si="394"/>
        <v>0</v>
      </c>
    </row>
    <row r="74" spans="1:343" ht="26.25" customHeight="1" x14ac:dyDescent="0.2">
      <c r="A74" s="35">
        <v>41150</v>
      </c>
      <c r="B74" s="36" t="s">
        <v>174</v>
      </c>
      <c r="C74" s="36" t="s">
        <v>3</v>
      </c>
      <c r="D74" s="31" t="s">
        <v>110</v>
      </c>
      <c r="E74" s="4">
        <v>69</v>
      </c>
      <c r="F74" s="3">
        <v>15728</v>
      </c>
      <c r="G74" s="4" t="s">
        <v>87</v>
      </c>
      <c r="H74" s="4" t="s">
        <v>112</v>
      </c>
      <c r="I74" s="4">
        <v>1835205</v>
      </c>
      <c r="K74" s="76"/>
      <c r="L74" s="76"/>
      <c r="M74" s="76"/>
      <c r="N74" s="76"/>
      <c r="O74" s="76"/>
      <c r="P74" s="4">
        <v>-0.5</v>
      </c>
      <c r="Q74" s="4">
        <v>-0.52</v>
      </c>
      <c r="R74" s="4" t="s">
        <v>249</v>
      </c>
      <c r="S74" s="67">
        <v>16</v>
      </c>
      <c r="T74" s="136">
        <v>41071</v>
      </c>
      <c r="U74" s="67">
        <v>-4</v>
      </c>
      <c r="V74" s="67">
        <v>0.5</v>
      </c>
      <c r="W74" s="4">
        <v>137</v>
      </c>
      <c r="X74" s="4">
        <v>30</v>
      </c>
      <c r="Y74" s="4">
        <v>18</v>
      </c>
      <c r="Z74" s="4">
        <v>599</v>
      </c>
      <c r="AA74" s="4">
        <v>26.53</v>
      </c>
      <c r="AD74" s="4">
        <v>3.75</v>
      </c>
      <c r="AE74" s="4">
        <v>43.16</v>
      </c>
      <c r="AF74" s="4">
        <v>92</v>
      </c>
      <c r="AG74" s="4">
        <v>43.89</v>
      </c>
      <c r="AH74" s="4">
        <v>2</v>
      </c>
      <c r="AI74" s="4">
        <v>0</v>
      </c>
      <c r="AJ74" s="4" t="b">
        <f t="shared" si="267"/>
        <v>0</v>
      </c>
      <c r="AL74" s="37" t="s">
        <v>78</v>
      </c>
      <c r="BA74" s="4" t="str">
        <f t="shared" si="268"/>
        <v/>
      </c>
      <c r="BB74" s="4" t="str">
        <f t="shared" si="265"/>
        <v/>
      </c>
      <c r="BC74" s="4" t="str">
        <f t="shared" si="269"/>
        <v/>
      </c>
      <c r="BD74" s="3">
        <v>41570</v>
      </c>
      <c r="BE74" s="56">
        <v>100</v>
      </c>
      <c r="BF74" s="67">
        <v>-3.5</v>
      </c>
      <c r="BG74" s="67">
        <v>0.25</v>
      </c>
      <c r="BH74" s="4">
        <v>130</v>
      </c>
      <c r="BI74" s="4">
        <v>25</v>
      </c>
      <c r="BJ74" s="4">
        <v>15</v>
      </c>
      <c r="BK74" s="4">
        <v>538</v>
      </c>
      <c r="BL74" s="4">
        <v>2237</v>
      </c>
      <c r="BM74" s="51" t="s">
        <v>282</v>
      </c>
      <c r="BN74" s="51" t="s">
        <v>282</v>
      </c>
      <c r="BO74" s="4">
        <v>42.4</v>
      </c>
      <c r="BP74" s="4">
        <v>92</v>
      </c>
      <c r="BQ74" s="4">
        <v>42.99</v>
      </c>
      <c r="BR74" s="4">
        <v>2</v>
      </c>
      <c r="BS74" s="4">
        <f t="shared" si="266"/>
        <v>-3.375</v>
      </c>
      <c r="BT74" s="4">
        <f t="shared" si="270"/>
        <v>-2.855</v>
      </c>
      <c r="BU74" s="4">
        <f t="shared" si="271"/>
        <v>-61</v>
      </c>
      <c r="BV74" s="4">
        <f>IF(AND(ISBLANK(SPH_6),ISBLANK(SPH_12)),0,1)</f>
        <v>1</v>
      </c>
      <c r="BW74" s="4">
        <f t="shared" si="272"/>
        <v>0</v>
      </c>
      <c r="BX74" s="4" t="str">
        <f t="shared" si="273"/>
        <v/>
      </c>
      <c r="BY74" s="4" t="str">
        <f t="shared" si="274"/>
        <v/>
      </c>
      <c r="BZ74" s="4" t="str">
        <f t="shared" si="275"/>
        <v/>
      </c>
      <c r="CA74" s="53">
        <f t="shared" si="276"/>
        <v>420</v>
      </c>
      <c r="CB74" s="55">
        <f t="shared" si="277"/>
        <v>14</v>
      </c>
      <c r="CC74" s="4" t="str">
        <f t="shared" si="278"/>
        <v/>
      </c>
      <c r="CD74" s="4" t="str">
        <f t="shared" si="279"/>
        <v/>
      </c>
      <c r="CE74" s="4">
        <f t="shared" si="280"/>
        <v>-0.82999999999999829</v>
      </c>
      <c r="CF74" s="4">
        <f t="shared" si="281"/>
        <v>-0.82999999999999829</v>
      </c>
      <c r="CG74" s="4">
        <f t="shared" si="395"/>
        <v>-3.75</v>
      </c>
      <c r="CH74" s="4">
        <f t="shared" si="282"/>
        <v>-3.375</v>
      </c>
      <c r="CI74" s="104">
        <f t="shared" si="283"/>
        <v>-2.855</v>
      </c>
      <c r="CJ74" s="94">
        <f t="shared" si="284"/>
        <v>-61</v>
      </c>
      <c r="CK74" s="4" t="str">
        <f t="shared" si="285"/>
        <v/>
      </c>
      <c r="CL74" s="107">
        <f t="shared" si="286"/>
        <v>-0.52</v>
      </c>
      <c r="CM74" s="107">
        <f t="shared" si="396"/>
        <v>7.9181246047624873E-2</v>
      </c>
      <c r="CN74" s="139">
        <f t="shared" si="287"/>
        <v>0.25</v>
      </c>
      <c r="CO74" s="139">
        <f t="shared" si="288"/>
        <v>-0.25</v>
      </c>
      <c r="CP74" s="149">
        <f t="shared" si="289"/>
        <v>25</v>
      </c>
      <c r="CQ74" s="149">
        <f t="shared" si="290"/>
        <v>30</v>
      </c>
      <c r="CR74" s="148">
        <f t="shared" si="291"/>
        <v>100</v>
      </c>
      <c r="CS74" s="152" t="str">
        <f t="shared" si="292"/>
        <v/>
      </c>
      <c r="CT74" s="107">
        <f t="shared" si="293"/>
        <v>0</v>
      </c>
      <c r="CU74" s="155" t="b">
        <f t="shared" si="294"/>
        <v>0</v>
      </c>
      <c r="CV74">
        <v>7.89</v>
      </c>
      <c r="CW74" s="4">
        <v>7.93</v>
      </c>
      <c r="CX74" s="4">
        <v>65.2</v>
      </c>
      <c r="CY74" s="4">
        <v>0.2</v>
      </c>
      <c r="CZ74" s="4">
        <v>0.34</v>
      </c>
      <c r="DA74" s="4">
        <v>0.52</v>
      </c>
      <c r="DB74" s="4">
        <v>3.26</v>
      </c>
      <c r="DC74" s="4">
        <v>3.86</v>
      </c>
      <c r="DD74" s="4">
        <v>595</v>
      </c>
      <c r="DE74" s="4">
        <v>596</v>
      </c>
      <c r="DF74" s="4">
        <v>658</v>
      </c>
      <c r="DG74" s="4">
        <v>642</v>
      </c>
      <c r="DH74" s="4">
        <v>628</v>
      </c>
      <c r="DI74" s="4">
        <v>641</v>
      </c>
      <c r="DJ74" s="4">
        <v>590</v>
      </c>
      <c r="DK74" s="4">
        <v>-1.08</v>
      </c>
      <c r="DL74" s="4">
        <v>0.57999999999999996</v>
      </c>
      <c r="DM74" s="4">
        <v>7.92</v>
      </c>
      <c r="DN74" s="4">
        <v>7.91</v>
      </c>
      <c r="DO74" s="4">
        <v>7.92</v>
      </c>
      <c r="DP74" s="4">
        <v>8.07</v>
      </c>
      <c r="DQ74" s="4">
        <v>8.5</v>
      </c>
      <c r="DR74" s="4">
        <v>9</v>
      </c>
      <c r="DS74" s="4">
        <v>0</v>
      </c>
      <c r="DT74" s="4">
        <v>0.6</v>
      </c>
      <c r="DU74" s="4">
        <v>7.17</v>
      </c>
      <c r="DV74" s="4">
        <v>6.77</v>
      </c>
      <c r="DW74" s="4">
        <v>6.7</v>
      </c>
      <c r="DX74" s="4">
        <v>6.89</v>
      </c>
      <c r="DY74" s="4">
        <v>7.13</v>
      </c>
      <c r="DZ74" s="4">
        <v>7.28</v>
      </c>
      <c r="EA74" s="4">
        <v>0</v>
      </c>
      <c r="EB74" s="100">
        <v>0.6</v>
      </c>
      <c r="EC74" s="122">
        <v>42.6</v>
      </c>
      <c r="ED74" s="122">
        <v>42.8</v>
      </c>
      <c r="EE74" s="122">
        <v>42.7</v>
      </c>
      <c r="EF74" s="122">
        <v>65.2</v>
      </c>
      <c r="EG74" s="122">
        <v>0.2</v>
      </c>
      <c r="EH74" s="122">
        <v>-5.6</v>
      </c>
      <c r="EI74" s="122">
        <v>-5.8</v>
      </c>
      <c r="EJ74" s="122">
        <v>-5.7</v>
      </c>
      <c r="EK74" s="122">
        <v>157.5</v>
      </c>
      <c r="EL74" s="122">
        <v>0.2</v>
      </c>
      <c r="EM74" s="122">
        <v>4.2</v>
      </c>
      <c r="EN74" s="122">
        <v>12.1</v>
      </c>
      <c r="EO74" s="122">
        <v>25.5</v>
      </c>
      <c r="EP74" s="122">
        <v>60.1</v>
      </c>
      <c r="EQ74" s="126">
        <v>9</v>
      </c>
      <c r="GN74" s="94">
        <v>7.93</v>
      </c>
      <c r="GO74" s="4">
        <v>8.0299999999999994</v>
      </c>
      <c r="GP74" s="4">
        <v>90</v>
      </c>
      <c r="GQ74" s="4">
        <v>0.5</v>
      </c>
      <c r="GR74" s="4">
        <v>0.37</v>
      </c>
      <c r="GS74" s="4">
        <v>0.46</v>
      </c>
      <c r="GT74" s="4">
        <v>4.7</v>
      </c>
      <c r="GU74" s="4">
        <v>5.22</v>
      </c>
      <c r="GV74" s="4">
        <v>524</v>
      </c>
      <c r="GW74" s="4">
        <v>522</v>
      </c>
      <c r="GX74" s="4">
        <v>657</v>
      </c>
      <c r="GY74" s="4">
        <v>617</v>
      </c>
      <c r="GZ74" s="4">
        <v>615</v>
      </c>
      <c r="HA74" s="4">
        <v>611</v>
      </c>
      <c r="HB74" s="4">
        <v>519</v>
      </c>
      <c r="HC74" s="4">
        <v>0.61</v>
      </c>
      <c r="HD74" s="4">
        <v>7.0000000000000007E-2</v>
      </c>
      <c r="HE74" s="4">
        <v>8</v>
      </c>
      <c r="HF74" s="4">
        <v>7.94</v>
      </c>
      <c r="HG74" s="4">
        <v>7.93</v>
      </c>
      <c r="HH74" s="4">
        <v>8.06</v>
      </c>
      <c r="HI74" s="4">
        <v>8.4700000000000006</v>
      </c>
      <c r="HJ74" s="4">
        <v>8.69</v>
      </c>
      <c r="HK74" s="4">
        <v>0</v>
      </c>
      <c r="HL74" s="4">
        <v>1.6</v>
      </c>
      <c r="HM74" s="4">
        <v>6.27</v>
      </c>
      <c r="HN74" s="4">
        <v>6.35</v>
      </c>
      <c r="HO74" s="4">
        <v>6.54</v>
      </c>
      <c r="HP74" s="4">
        <v>6.81</v>
      </c>
      <c r="HQ74" s="4">
        <v>7.11</v>
      </c>
      <c r="HR74" s="4">
        <v>0</v>
      </c>
      <c r="HS74" s="4">
        <v>0</v>
      </c>
      <c r="HT74" s="104">
        <v>1.6</v>
      </c>
      <c r="HU74" s="122">
        <v>42</v>
      </c>
      <c r="HV74" s="122">
        <v>42.5</v>
      </c>
      <c r="HW74" s="122">
        <v>42.3</v>
      </c>
      <c r="HX74" s="122">
        <v>90</v>
      </c>
      <c r="HY74" s="122">
        <v>0.5</v>
      </c>
      <c r="HZ74" s="122">
        <v>-6.3</v>
      </c>
      <c r="IA74" s="122">
        <v>-6.5</v>
      </c>
      <c r="IB74" s="122">
        <v>-6.4</v>
      </c>
      <c r="IC74" s="122">
        <v>172.4</v>
      </c>
      <c r="ID74" s="122">
        <v>0.2</v>
      </c>
      <c r="IE74" s="122">
        <v>3.8</v>
      </c>
      <c r="IF74" s="122">
        <v>11.3</v>
      </c>
      <c r="IG74" s="122">
        <v>24.4</v>
      </c>
      <c r="IH74" s="122">
        <v>59.2</v>
      </c>
      <c r="II74" s="133">
        <v>13</v>
      </c>
      <c r="IJ74" s="94">
        <f t="shared" si="295"/>
        <v>7.93</v>
      </c>
      <c r="IK74" s="4">
        <f t="shared" si="296"/>
        <v>8.0299999999999994</v>
      </c>
      <c r="IL74" s="4">
        <f t="shared" si="297"/>
        <v>90</v>
      </c>
      <c r="IM74" s="4">
        <f t="shared" si="298"/>
        <v>0.5</v>
      </c>
      <c r="IN74" s="4">
        <f t="shared" si="299"/>
        <v>0.37</v>
      </c>
      <c r="IO74" s="4">
        <f t="shared" si="300"/>
        <v>0.46</v>
      </c>
      <c r="IP74" s="4">
        <f t="shared" si="301"/>
        <v>4.7</v>
      </c>
      <c r="IQ74" s="4">
        <f t="shared" si="302"/>
        <v>5.22</v>
      </c>
      <c r="IR74" s="4">
        <f t="shared" si="303"/>
        <v>524</v>
      </c>
      <c r="IS74" s="4">
        <f t="shared" si="304"/>
        <v>522</v>
      </c>
      <c r="IT74" s="4">
        <f t="shared" si="305"/>
        <v>657</v>
      </c>
      <c r="IU74" s="4">
        <f t="shared" si="306"/>
        <v>617</v>
      </c>
      <c r="IV74" s="4">
        <f t="shared" si="307"/>
        <v>615</v>
      </c>
      <c r="IW74" s="4">
        <f t="shared" si="308"/>
        <v>611</v>
      </c>
      <c r="IX74" s="4">
        <f t="shared" si="309"/>
        <v>519</v>
      </c>
      <c r="IY74" s="4">
        <f t="shared" si="310"/>
        <v>0.61</v>
      </c>
      <c r="IZ74" s="4">
        <f t="shared" si="311"/>
        <v>7.0000000000000007E-2</v>
      </c>
      <c r="JA74" s="4">
        <f t="shared" si="312"/>
        <v>8</v>
      </c>
      <c r="JB74" s="4">
        <f t="shared" si="313"/>
        <v>7.94</v>
      </c>
      <c r="JC74" s="4">
        <f t="shared" si="314"/>
        <v>7.93</v>
      </c>
      <c r="JD74" s="4">
        <f t="shared" si="315"/>
        <v>8.06</v>
      </c>
      <c r="JE74" s="4">
        <f t="shared" si="316"/>
        <v>8.4700000000000006</v>
      </c>
      <c r="JF74" s="4">
        <f t="shared" si="317"/>
        <v>8.69</v>
      </c>
      <c r="JG74" s="4">
        <f t="shared" si="318"/>
        <v>0</v>
      </c>
      <c r="JH74" s="4">
        <f t="shared" si="319"/>
        <v>1.6</v>
      </c>
      <c r="JI74" s="4">
        <f t="shared" si="320"/>
        <v>6.27</v>
      </c>
      <c r="JJ74" s="4">
        <f t="shared" si="321"/>
        <v>6.35</v>
      </c>
      <c r="JK74" s="4">
        <f t="shared" si="322"/>
        <v>6.54</v>
      </c>
      <c r="JL74" s="4">
        <f t="shared" si="323"/>
        <v>6.81</v>
      </c>
      <c r="JM74" s="4">
        <f t="shared" si="324"/>
        <v>7.11</v>
      </c>
      <c r="JN74" s="4">
        <f t="shared" si="325"/>
        <v>0</v>
      </c>
      <c r="JO74" s="129">
        <f t="shared" si="326"/>
        <v>0</v>
      </c>
      <c r="JP74" s="122">
        <f t="shared" si="327"/>
        <v>1.6</v>
      </c>
      <c r="JQ74" s="122">
        <f t="shared" si="328"/>
        <v>42</v>
      </c>
      <c r="JR74" s="122">
        <f t="shared" si="329"/>
        <v>42.5</v>
      </c>
      <c r="JS74" s="122">
        <f t="shared" si="330"/>
        <v>42.3</v>
      </c>
      <c r="JT74" s="122">
        <f t="shared" si="331"/>
        <v>90</v>
      </c>
      <c r="JU74" s="122">
        <f t="shared" si="332"/>
        <v>0.5</v>
      </c>
      <c r="JV74" s="122">
        <f t="shared" si="333"/>
        <v>-6.3</v>
      </c>
      <c r="JW74" s="122">
        <f t="shared" si="334"/>
        <v>-6.5</v>
      </c>
      <c r="JX74" s="122">
        <f t="shared" si="335"/>
        <v>-6.4</v>
      </c>
      <c r="JY74" s="122">
        <f t="shared" si="336"/>
        <v>172.4</v>
      </c>
      <c r="JZ74" s="122">
        <f t="shared" si="337"/>
        <v>0.2</v>
      </c>
      <c r="KA74" s="122">
        <f t="shared" si="338"/>
        <v>3.8</v>
      </c>
      <c r="KB74" s="122">
        <f t="shared" si="339"/>
        <v>11.3</v>
      </c>
      <c r="KC74" s="122">
        <f t="shared" si="340"/>
        <v>24.4</v>
      </c>
      <c r="KD74" s="122">
        <f t="shared" si="341"/>
        <v>59.2</v>
      </c>
      <c r="KE74" s="133">
        <f t="shared" si="342"/>
        <v>13</v>
      </c>
      <c r="KF74" s="94">
        <f t="shared" si="343"/>
        <v>4.0000000000000036E-2</v>
      </c>
      <c r="KG74" s="4">
        <f t="shared" si="344"/>
        <v>9.9999999999999645E-2</v>
      </c>
      <c r="KH74" s="4">
        <f t="shared" si="345"/>
        <v>24.799999999999997</v>
      </c>
      <c r="KI74" s="4">
        <f t="shared" si="346"/>
        <v>0.3</v>
      </c>
      <c r="KJ74" s="4">
        <f t="shared" si="347"/>
        <v>2.9999999999999971E-2</v>
      </c>
      <c r="KK74" s="4">
        <f t="shared" si="348"/>
        <v>-0.06</v>
      </c>
      <c r="KL74" s="4">
        <f t="shared" si="349"/>
        <v>1.4400000000000004</v>
      </c>
      <c r="KM74" s="4">
        <f t="shared" si="350"/>
        <v>1.3599999999999999</v>
      </c>
      <c r="KN74" s="4">
        <f t="shared" si="351"/>
        <v>-71</v>
      </c>
      <c r="KO74" s="4">
        <f t="shared" si="352"/>
        <v>-74</v>
      </c>
      <c r="KP74" s="4">
        <f t="shared" si="353"/>
        <v>-1</v>
      </c>
      <c r="KQ74" s="4">
        <f t="shared" si="354"/>
        <v>-25</v>
      </c>
      <c r="KR74" s="4">
        <f t="shared" si="355"/>
        <v>-13</v>
      </c>
      <c r="KS74" s="4">
        <f t="shared" si="356"/>
        <v>-30</v>
      </c>
      <c r="KT74" s="4">
        <f t="shared" si="357"/>
        <v>-71</v>
      </c>
      <c r="KU74" s="4">
        <f t="shared" si="358"/>
        <v>1.69</v>
      </c>
      <c r="KV74" s="4">
        <f t="shared" si="359"/>
        <v>-0.51</v>
      </c>
      <c r="KW74" s="4">
        <f t="shared" si="360"/>
        <v>8.0000000000000071E-2</v>
      </c>
      <c r="KX74" s="4">
        <f t="shared" si="361"/>
        <v>3.0000000000000249E-2</v>
      </c>
      <c r="KY74" s="4">
        <f t="shared" si="362"/>
        <v>9.9999999999997868E-3</v>
      </c>
      <c r="KZ74" s="4">
        <f t="shared" si="363"/>
        <v>-9.9999999999997868E-3</v>
      </c>
      <c r="LA74" s="4">
        <f t="shared" si="364"/>
        <v>-2.9999999999999361E-2</v>
      </c>
      <c r="LB74" s="4">
        <f t="shared" si="365"/>
        <v>-0.3100000000000005</v>
      </c>
      <c r="LC74" s="4">
        <f t="shared" si="366"/>
        <v>0</v>
      </c>
      <c r="LD74" s="4">
        <f t="shared" si="367"/>
        <v>1</v>
      </c>
      <c r="LE74" s="4">
        <f t="shared" si="368"/>
        <v>-0.90000000000000036</v>
      </c>
      <c r="LF74" s="4">
        <f t="shared" si="369"/>
        <v>-0.41999999999999993</v>
      </c>
      <c r="LG74" s="4">
        <f t="shared" si="370"/>
        <v>-0.16000000000000014</v>
      </c>
      <c r="LH74" s="4">
        <f t="shared" si="371"/>
        <v>-8.0000000000000071E-2</v>
      </c>
      <c r="LI74" s="4">
        <f t="shared" si="372"/>
        <v>-1.9999999999999574E-2</v>
      </c>
      <c r="LJ74" s="4">
        <f t="shared" si="373"/>
        <v>-7.28</v>
      </c>
      <c r="LK74" s="4">
        <f t="shared" si="374"/>
        <v>0</v>
      </c>
      <c r="LL74" s="4">
        <f t="shared" si="375"/>
        <v>1</v>
      </c>
      <c r="LM74" s="4">
        <f t="shared" si="376"/>
        <v>-0.60000000000000142</v>
      </c>
      <c r="LN74" s="4">
        <f t="shared" si="377"/>
        <v>-0.29999999999999716</v>
      </c>
      <c r="LO74" s="4">
        <f t="shared" si="378"/>
        <v>-0.40000000000000568</v>
      </c>
      <c r="LP74" s="4">
        <f t="shared" si="379"/>
        <v>24.799999999999997</v>
      </c>
      <c r="LQ74" s="4">
        <f t="shared" si="380"/>
        <v>0.3</v>
      </c>
      <c r="LR74" s="4">
        <f t="shared" si="381"/>
        <v>-0.70000000000000018</v>
      </c>
      <c r="LS74" s="4">
        <f t="shared" si="382"/>
        <v>-0.70000000000000018</v>
      </c>
      <c r="LT74" s="4">
        <f t="shared" si="383"/>
        <v>-0.70000000000000018</v>
      </c>
      <c r="LU74" s="4">
        <f t="shared" si="384"/>
        <v>14.900000000000006</v>
      </c>
      <c r="LV74" s="4">
        <f t="shared" si="385"/>
        <v>0</v>
      </c>
      <c r="LW74" s="4">
        <f t="shared" si="386"/>
        <v>-0.40000000000000036</v>
      </c>
      <c r="LX74" s="4">
        <f t="shared" si="387"/>
        <v>-0.79999999999999893</v>
      </c>
      <c r="LY74" s="4">
        <f t="shared" si="388"/>
        <v>-1.1000000000000014</v>
      </c>
      <c r="LZ74" s="4">
        <f t="shared" si="389"/>
        <v>-0.89999999999999858</v>
      </c>
      <c r="MA74" s="4">
        <f t="shared" si="390"/>
        <v>4</v>
      </c>
      <c r="MB74" s="4" t="str">
        <f t="shared" si="391"/>
        <v/>
      </c>
      <c r="MC74" s="4" t="str">
        <f t="shared" si="392"/>
        <v/>
      </c>
      <c r="MD74" s="4" t="str">
        <f t="shared" si="393"/>
        <v/>
      </c>
      <c r="ME74" s="4">
        <f t="shared" si="394"/>
        <v>-6.5</v>
      </c>
    </row>
    <row r="75" spans="1:343" ht="26.25" customHeight="1" x14ac:dyDescent="0.2">
      <c r="A75" s="35">
        <v>41185</v>
      </c>
      <c r="B75" s="36" t="s">
        <v>174</v>
      </c>
      <c r="C75" s="36" t="s">
        <v>3</v>
      </c>
      <c r="D75" s="31" t="s">
        <v>111</v>
      </c>
      <c r="E75" s="4">
        <v>69</v>
      </c>
      <c r="F75" s="3">
        <v>15728</v>
      </c>
      <c r="G75" s="4" t="s">
        <v>87</v>
      </c>
      <c r="H75" s="4" t="s">
        <v>112</v>
      </c>
      <c r="I75" s="4">
        <v>1835205</v>
      </c>
      <c r="K75" s="76"/>
      <c r="L75" s="76"/>
      <c r="M75" s="76"/>
      <c r="N75" s="76"/>
      <c r="O75" s="76"/>
      <c r="P75" s="4">
        <v>-0.5</v>
      </c>
      <c r="Q75" s="4">
        <v>-0.81</v>
      </c>
      <c r="R75" s="4" t="s">
        <v>249</v>
      </c>
      <c r="S75" s="67">
        <v>15.75</v>
      </c>
      <c r="T75" s="136">
        <v>41184</v>
      </c>
      <c r="U75" s="67">
        <v>-3.25</v>
      </c>
      <c r="V75" s="67">
        <v>0.5</v>
      </c>
      <c r="W75" s="4">
        <v>148</v>
      </c>
      <c r="X75" s="4">
        <v>30</v>
      </c>
      <c r="Y75" s="4">
        <v>15</v>
      </c>
      <c r="Z75" s="4">
        <v>600</v>
      </c>
      <c r="AA75" s="4">
        <v>26.59</v>
      </c>
      <c r="AD75" s="4">
        <v>3.98</v>
      </c>
      <c r="AE75" s="4">
        <v>43.21</v>
      </c>
      <c r="AF75" s="4">
        <v>21</v>
      </c>
      <c r="AG75" s="4">
        <v>43.49</v>
      </c>
      <c r="AH75" s="4">
        <v>111</v>
      </c>
      <c r="AI75" s="4">
        <v>1</v>
      </c>
      <c r="AJ75" s="4" t="b">
        <f t="shared" si="267"/>
        <v>1</v>
      </c>
      <c r="AK75" s="54"/>
      <c r="AL75" s="37" t="s">
        <v>78</v>
      </c>
      <c r="AM75" s="60"/>
      <c r="BA75" s="4" t="str">
        <f t="shared" si="268"/>
        <v/>
      </c>
      <c r="BB75" s="4" t="str">
        <f t="shared" si="265"/>
        <v/>
      </c>
      <c r="BC75" s="4" t="str">
        <f t="shared" si="269"/>
        <v/>
      </c>
      <c r="BD75" s="3">
        <v>41570</v>
      </c>
      <c r="BE75" s="56">
        <v>100</v>
      </c>
      <c r="BF75" s="67">
        <v>-3.5</v>
      </c>
      <c r="BG75" s="67">
        <v>0.5</v>
      </c>
      <c r="BH75" s="4">
        <v>95</v>
      </c>
      <c r="BI75" s="4">
        <v>30</v>
      </c>
      <c r="BJ75" s="4">
        <v>15</v>
      </c>
      <c r="BK75" s="4">
        <v>530</v>
      </c>
      <c r="BL75" s="4">
        <v>2375</v>
      </c>
      <c r="BM75" s="4" t="s">
        <v>282</v>
      </c>
      <c r="BN75" s="4" t="s">
        <v>282</v>
      </c>
      <c r="BO75" s="4">
        <v>42.03</v>
      </c>
      <c r="BP75" s="4">
        <v>83</v>
      </c>
      <c r="BQ75" s="4">
        <v>42.72</v>
      </c>
      <c r="BR75" s="4">
        <v>173</v>
      </c>
      <c r="BS75" s="4">
        <f t="shared" si="266"/>
        <v>-3.25</v>
      </c>
      <c r="BT75" s="4">
        <f t="shared" si="270"/>
        <v>-2.44</v>
      </c>
      <c r="BU75" s="4">
        <f t="shared" si="271"/>
        <v>-70</v>
      </c>
      <c r="BV75" s="4">
        <f>IF(AND(ISBLANK(SPH_6),ISBLANK(SPH_12)),0,1)</f>
        <v>1</v>
      </c>
      <c r="BW75" s="4">
        <f t="shared" si="272"/>
        <v>0</v>
      </c>
      <c r="BX75" s="4" t="str">
        <f t="shared" si="273"/>
        <v/>
      </c>
      <c r="BY75" s="4" t="str">
        <f t="shared" si="274"/>
        <v/>
      </c>
      <c r="BZ75" s="4" t="str">
        <f t="shared" si="275"/>
        <v/>
      </c>
      <c r="CA75" s="53">
        <f t="shared" si="276"/>
        <v>385</v>
      </c>
      <c r="CB75" s="55">
        <f t="shared" si="277"/>
        <v>12.833333333333334</v>
      </c>
      <c r="CC75" s="4" t="str">
        <f t="shared" si="278"/>
        <v/>
      </c>
      <c r="CD75" s="4" t="str">
        <f t="shared" si="279"/>
        <v/>
      </c>
      <c r="CE75" s="4">
        <f t="shared" si="280"/>
        <v>-0.97500000000000142</v>
      </c>
      <c r="CF75" s="4">
        <f t="shared" si="281"/>
        <v>-0.97500000000000142</v>
      </c>
      <c r="CG75" s="4">
        <f t="shared" si="395"/>
        <v>-3</v>
      </c>
      <c r="CH75" s="4">
        <f t="shared" si="282"/>
        <v>-3.25</v>
      </c>
      <c r="CI75" s="104">
        <f t="shared" si="283"/>
        <v>-2.44</v>
      </c>
      <c r="CJ75" s="94">
        <f t="shared" si="284"/>
        <v>-70</v>
      </c>
      <c r="CK75" s="4" t="str">
        <f t="shared" si="285"/>
        <v/>
      </c>
      <c r="CL75" s="107">
        <f t="shared" si="286"/>
        <v>-0.81</v>
      </c>
      <c r="CM75" s="107">
        <f t="shared" si="396"/>
        <v>0</v>
      </c>
      <c r="CN75" s="139">
        <f t="shared" si="287"/>
        <v>0.5</v>
      </c>
      <c r="CO75" s="139">
        <f t="shared" si="288"/>
        <v>0</v>
      </c>
      <c r="CP75" s="149">
        <f t="shared" si="289"/>
        <v>30</v>
      </c>
      <c r="CQ75" s="149">
        <f t="shared" si="290"/>
        <v>30</v>
      </c>
      <c r="CR75" s="148">
        <f t="shared" si="291"/>
        <v>100</v>
      </c>
      <c r="CS75" s="152" t="str">
        <f t="shared" si="292"/>
        <v/>
      </c>
      <c r="CT75" s="107">
        <f t="shared" si="293"/>
        <v>0</v>
      </c>
      <c r="CU75" s="155" t="b">
        <f t="shared" si="294"/>
        <v>0</v>
      </c>
      <c r="CV75">
        <v>8</v>
      </c>
      <c r="CW75" s="4">
        <v>8.1199999999999992</v>
      </c>
      <c r="CX75" s="4">
        <v>94.5</v>
      </c>
      <c r="CY75" s="4">
        <v>0.6</v>
      </c>
      <c r="CZ75" s="4">
        <v>-0.01</v>
      </c>
      <c r="DA75" s="4">
        <v>0.4</v>
      </c>
      <c r="DB75" s="4">
        <v>3.19</v>
      </c>
      <c r="DC75" s="4">
        <v>3.82</v>
      </c>
      <c r="DD75" s="4">
        <v>632</v>
      </c>
      <c r="DE75" s="4">
        <v>632</v>
      </c>
      <c r="DF75" s="4">
        <v>679</v>
      </c>
      <c r="DG75" s="4">
        <v>676</v>
      </c>
      <c r="DH75" s="4">
        <v>683</v>
      </c>
      <c r="DI75" s="4">
        <v>658</v>
      </c>
      <c r="DJ75" s="4">
        <v>626</v>
      </c>
      <c r="DK75" s="4">
        <v>0.89</v>
      </c>
      <c r="DL75" s="4">
        <v>0.89</v>
      </c>
      <c r="DM75" s="4">
        <v>8.06</v>
      </c>
      <c r="DN75" s="4">
        <v>8</v>
      </c>
      <c r="DO75" s="4">
        <v>7.97</v>
      </c>
      <c r="DP75" s="4">
        <v>8.09</v>
      </c>
      <c r="DQ75" s="4">
        <v>8.4700000000000006</v>
      </c>
      <c r="DR75" s="4">
        <v>8.9600000000000009</v>
      </c>
      <c r="DS75" s="4">
        <v>9.02</v>
      </c>
      <c r="DT75" s="4">
        <v>0.4</v>
      </c>
      <c r="DU75" s="4">
        <v>7.44</v>
      </c>
      <c r="DV75" s="4">
        <v>6.89</v>
      </c>
      <c r="DW75" s="4">
        <v>6.72</v>
      </c>
      <c r="DX75" s="4">
        <v>6.9</v>
      </c>
      <c r="DY75" s="4">
        <v>7.16</v>
      </c>
      <c r="DZ75" s="4">
        <v>7.36</v>
      </c>
      <c r="EA75" s="4">
        <v>0</v>
      </c>
      <c r="EB75" s="100">
        <v>0.4</v>
      </c>
      <c r="EC75" s="122">
        <v>41.6</v>
      </c>
      <c r="ED75" s="122">
        <v>42.2</v>
      </c>
      <c r="EE75" s="122">
        <v>41.9</v>
      </c>
      <c r="EF75" s="122">
        <v>94.5</v>
      </c>
      <c r="EG75" s="122">
        <v>0.6</v>
      </c>
      <c r="EH75" s="122">
        <v>-5.4</v>
      </c>
      <c r="EI75" s="122">
        <v>-5.6</v>
      </c>
      <c r="EJ75" s="122">
        <v>-5.5</v>
      </c>
      <c r="EK75" s="122">
        <v>61.5</v>
      </c>
      <c r="EL75" s="122">
        <v>0.1</v>
      </c>
      <c r="EM75" s="122">
        <v>4.5</v>
      </c>
      <c r="EN75" s="122">
        <v>12.8</v>
      </c>
      <c r="EO75" s="122">
        <v>26.7</v>
      </c>
      <c r="EP75" s="122">
        <v>62.7</v>
      </c>
      <c r="EQ75" s="126">
        <v>12</v>
      </c>
      <c r="GN75" s="94">
        <v>7.98</v>
      </c>
      <c r="GO75" s="4">
        <v>8.0500000000000007</v>
      </c>
      <c r="GP75" s="4">
        <v>95.2</v>
      </c>
      <c r="GQ75" s="4">
        <v>0.4</v>
      </c>
      <c r="GR75" s="4">
        <v>0.32</v>
      </c>
      <c r="GS75" s="4">
        <v>0.45</v>
      </c>
      <c r="GT75" s="4">
        <v>5.19</v>
      </c>
      <c r="GU75" s="4">
        <v>5.7</v>
      </c>
      <c r="GV75" s="4">
        <v>516</v>
      </c>
      <c r="GW75" s="4">
        <v>514</v>
      </c>
      <c r="GX75" s="4">
        <v>646</v>
      </c>
      <c r="GY75" s="4">
        <v>599</v>
      </c>
      <c r="GZ75" s="4">
        <v>606</v>
      </c>
      <c r="HA75" s="4">
        <v>603</v>
      </c>
      <c r="HB75" s="4">
        <v>512</v>
      </c>
      <c r="HC75" s="4">
        <v>-0.55000000000000004</v>
      </c>
      <c r="HD75" s="4">
        <v>-7.0000000000000007E-2</v>
      </c>
      <c r="HE75" s="4">
        <v>8.07</v>
      </c>
      <c r="HF75" s="4">
        <v>7.95</v>
      </c>
      <c r="HG75" s="4">
        <v>7.96</v>
      </c>
      <c r="HH75" s="4">
        <v>8.11</v>
      </c>
      <c r="HI75" s="4">
        <v>8.42</v>
      </c>
      <c r="HJ75" s="4">
        <v>8.7200000000000006</v>
      </c>
      <c r="HK75" s="4">
        <v>0</v>
      </c>
      <c r="HL75" s="4">
        <v>1.6</v>
      </c>
      <c r="HM75" s="4">
        <v>6.33</v>
      </c>
      <c r="HN75" s="4">
        <v>6.38</v>
      </c>
      <c r="HO75" s="4">
        <v>6.56</v>
      </c>
      <c r="HP75" s="4">
        <v>6.85</v>
      </c>
      <c r="HQ75" s="4">
        <v>7.11</v>
      </c>
      <c r="HR75" s="4">
        <v>7.36</v>
      </c>
      <c r="HS75" s="4">
        <v>0</v>
      </c>
      <c r="HT75" s="104">
        <v>1.6</v>
      </c>
      <c r="HU75" s="122">
        <v>41.9</v>
      </c>
      <c r="HV75" s="122">
        <v>42.3</v>
      </c>
      <c r="HW75" s="122">
        <v>42.1</v>
      </c>
      <c r="HX75" s="122">
        <v>95.2</v>
      </c>
      <c r="HY75" s="122">
        <v>0.4</v>
      </c>
      <c r="HZ75" s="122">
        <v>-6.2</v>
      </c>
      <c r="IA75" s="122">
        <v>-6.4</v>
      </c>
      <c r="IB75" s="122">
        <v>-6.3</v>
      </c>
      <c r="IC75" s="122">
        <v>7.3</v>
      </c>
      <c r="ID75" s="122">
        <v>0.2</v>
      </c>
      <c r="IE75" s="122">
        <v>3.8</v>
      </c>
      <c r="IF75" s="122">
        <v>11.1</v>
      </c>
      <c r="IG75" s="122">
        <v>24</v>
      </c>
      <c r="IH75" s="122">
        <v>58.4</v>
      </c>
      <c r="II75" s="133">
        <v>14</v>
      </c>
      <c r="IJ75" s="94">
        <f t="shared" si="295"/>
        <v>7.98</v>
      </c>
      <c r="IK75" s="4">
        <f t="shared" si="296"/>
        <v>8.0500000000000007</v>
      </c>
      <c r="IL75" s="4">
        <f t="shared" si="297"/>
        <v>95.2</v>
      </c>
      <c r="IM75" s="4">
        <f t="shared" si="298"/>
        <v>0.4</v>
      </c>
      <c r="IN75" s="4">
        <f t="shared" si="299"/>
        <v>0.32</v>
      </c>
      <c r="IO75" s="4">
        <f t="shared" si="300"/>
        <v>0.45</v>
      </c>
      <c r="IP75" s="4">
        <f t="shared" si="301"/>
        <v>5.19</v>
      </c>
      <c r="IQ75" s="4">
        <f t="shared" si="302"/>
        <v>5.7</v>
      </c>
      <c r="IR75" s="4">
        <f t="shared" si="303"/>
        <v>516</v>
      </c>
      <c r="IS75" s="4">
        <f t="shared" si="304"/>
        <v>514</v>
      </c>
      <c r="IT75" s="4">
        <f t="shared" si="305"/>
        <v>646</v>
      </c>
      <c r="IU75" s="4">
        <f t="shared" si="306"/>
        <v>599</v>
      </c>
      <c r="IV75" s="4">
        <f t="shared" si="307"/>
        <v>606</v>
      </c>
      <c r="IW75" s="4">
        <f t="shared" si="308"/>
        <v>603</v>
      </c>
      <c r="IX75" s="4">
        <f t="shared" si="309"/>
        <v>512</v>
      </c>
      <c r="IY75" s="4">
        <f t="shared" si="310"/>
        <v>-0.55000000000000004</v>
      </c>
      <c r="IZ75" s="4">
        <f t="shared" si="311"/>
        <v>-7.0000000000000007E-2</v>
      </c>
      <c r="JA75" s="4">
        <f t="shared" si="312"/>
        <v>8.07</v>
      </c>
      <c r="JB75" s="4">
        <f t="shared" si="313"/>
        <v>7.95</v>
      </c>
      <c r="JC75" s="4">
        <f t="shared" si="314"/>
        <v>7.96</v>
      </c>
      <c r="JD75" s="4">
        <f t="shared" si="315"/>
        <v>8.11</v>
      </c>
      <c r="JE75" s="4">
        <f t="shared" si="316"/>
        <v>8.42</v>
      </c>
      <c r="JF75" s="4">
        <f t="shared" si="317"/>
        <v>8.7200000000000006</v>
      </c>
      <c r="JG75" s="4">
        <f t="shared" si="318"/>
        <v>0</v>
      </c>
      <c r="JH75" s="4">
        <f t="shared" si="319"/>
        <v>1.6</v>
      </c>
      <c r="JI75" s="4">
        <f t="shared" si="320"/>
        <v>6.33</v>
      </c>
      <c r="JJ75" s="4">
        <f t="shared" si="321"/>
        <v>6.38</v>
      </c>
      <c r="JK75" s="4">
        <f t="shared" si="322"/>
        <v>6.56</v>
      </c>
      <c r="JL75" s="4">
        <f t="shared" si="323"/>
        <v>6.85</v>
      </c>
      <c r="JM75" s="4">
        <f t="shared" si="324"/>
        <v>7.11</v>
      </c>
      <c r="JN75" s="4">
        <f t="shared" si="325"/>
        <v>7.36</v>
      </c>
      <c r="JO75" s="129">
        <f t="shared" si="326"/>
        <v>0</v>
      </c>
      <c r="JP75" s="122">
        <f t="shared" si="327"/>
        <v>1.6</v>
      </c>
      <c r="JQ75" s="122">
        <f t="shared" si="328"/>
        <v>41.9</v>
      </c>
      <c r="JR75" s="122">
        <f t="shared" si="329"/>
        <v>42.3</v>
      </c>
      <c r="JS75" s="122">
        <f t="shared" si="330"/>
        <v>42.1</v>
      </c>
      <c r="JT75" s="122">
        <f t="shared" si="331"/>
        <v>95.2</v>
      </c>
      <c r="JU75" s="122">
        <f t="shared" si="332"/>
        <v>0.4</v>
      </c>
      <c r="JV75" s="122">
        <f t="shared" si="333"/>
        <v>-6.2</v>
      </c>
      <c r="JW75" s="122">
        <f t="shared" si="334"/>
        <v>-6.4</v>
      </c>
      <c r="JX75" s="122">
        <f t="shared" si="335"/>
        <v>-6.3</v>
      </c>
      <c r="JY75" s="122">
        <f t="shared" si="336"/>
        <v>7.3</v>
      </c>
      <c r="JZ75" s="122">
        <f t="shared" si="337"/>
        <v>0.2</v>
      </c>
      <c r="KA75" s="122">
        <f t="shared" si="338"/>
        <v>3.8</v>
      </c>
      <c r="KB75" s="122">
        <f t="shared" si="339"/>
        <v>11.1</v>
      </c>
      <c r="KC75" s="122">
        <f t="shared" si="340"/>
        <v>24</v>
      </c>
      <c r="KD75" s="122">
        <f t="shared" si="341"/>
        <v>58.4</v>
      </c>
      <c r="KE75" s="133">
        <f t="shared" si="342"/>
        <v>14</v>
      </c>
      <c r="KF75" s="94">
        <f t="shared" si="343"/>
        <v>-1.9999999999999574E-2</v>
      </c>
      <c r="KG75" s="4">
        <f t="shared" si="344"/>
        <v>-6.9999999999998508E-2</v>
      </c>
      <c r="KH75" s="4">
        <f t="shared" si="345"/>
        <v>0.70000000000000284</v>
      </c>
      <c r="KI75" s="4">
        <f t="shared" si="346"/>
        <v>-0.19999999999999996</v>
      </c>
      <c r="KJ75" s="4">
        <f t="shared" si="347"/>
        <v>0.33</v>
      </c>
      <c r="KK75" s="4">
        <f t="shared" si="348"/>
        <v>4.9999999999999989E-2</v>
      </c>
      <c r="KL75" s="4">
        <f t="shared" si="349"/>
        <v>2.0000000000000004</v>
      </c>
      <c r="KM75" s="4">
        <f t="shared" si="350"/>
        <v>1.8800000000000003</v>
      </c>
      <c r="KN75" s="4">
        <f t="shared" si="351"/>
        <v>-116</v>
      </c>
      <c r="KO75" s="4">
        <f t="shared" si="352"/>
        <v>-118</v>
      </c>
      <c r="KP75" s="4">
        <f t="shared" si="353"/>
        <v>-33</v>
      </c>
      <c r="KQ75" s="4">
        <f t="shared" si="354"/>
        <v>-77</v>
      </c>
      <c r="KR75" s="4">
        <f t="shared" si="355"/>
        <v>-77</v>
      </c>
      <c r="KS75" s="4">
        <f t="shared" si="356"/>
        <v>-55</v>
      </c>
      <c r="KT75" s="4">
        <f t="shared" si="357"/>
        <v>-114</v>
      </c>
      <c r="KU75" s="4">
        <f t="shared" si="358"/>
        <v>-1.44</v>
      </c>
      <c r="KV75" s="4">
        <f t="shared" si="359"/>
        <v>-0.96</v>
      </c>
      <c r="KW75" s="4">
        <f t="shared" si="360"/>
        <v>9.9999999999997868E-3</v>
      </c>
      <c r="KX75" s="4">
        <f t="shared" si="361"/>
        <v>-4.9999999999999822E-2</v>
      </c>
      <c r="KY75" s="4">
        <f t="shared" si="362"/>
        <v>-9.9999999999997868E-3</v>
      </c>
      <c r="KZ75" s="4">
        <f t="shared" si="363"/>
        <v>1.9999999999999574E-2</v>
      </c>
      <c r="LA75" s="4">
        <f t="shared" si="364"/>
        <v>-5.0000000000000711E-2</v>
      </c>
      <c r="LB75" s="4">
        <f t="shared" si="365"/>
        <v>-0.24000000000000021</v>
      </c>
      <c r="LC75" s="4">
        <f t="shared" si="366"/>
        <v>-9.02</v>
      </c>
      <c r="LD75" s="4">
        <f t="shared" si="367"/>
        <v>1.2000000000000002</v>
      </c>
      <c r="LE75" s="4">
        <f t="shared" si="368"/>
        <v>-1.1100000000000003</v>
      </c>
      <c r="LF75" s="4">
        <f t="shared" si="369"/>
        <v>-0.50999999999999979</v>
      </c>
      <c r="LG75" s="4">
        <f t="shared" si="370"/>
        <v>-0.16000000000000014</v>
      </c>
      <c r="LH75" s="4">
        <f t="shared" si="371"/>
        <v>-5.0000000000000711E-2</v>
      </c>
      <c r="LI75" s="4">
        <f t="shared" si="372"/>
        <v>-4.9999999999999822E-2</v>
      </c>
      <c r="LJ75" s="4">
        <f t="shared" si="373"/>
        <v>0</v>
      </c>
      <c r="LK75" s="4">
        <f t="shared" si="374"/>
        <v>0</v>
      </c>
      <c r="LL75" s="4">
        <f t="shared" si="375"/>
        <v>1.2000000000000002</v>
      </c>
      <c r="LM75" s="4">
        <f t="shared" si="376"/>
        <v>0.29999999999999716</v>
      </c>
      <c r="LN75" s="4">
        <f t="shared" si="377"/>
        <v>9.9999999999994316E-2</v>
      </c>
      <c r="LO75" s="4">
        <f t="shared" si="378"/>
        <v>0.20000000000000284</v>
      </c>
      <c r="LP75" s="4">
        <f t="shared" si="379"/>
        <v>0.70000000000000284</v>
      </c>
      <c r="LQ75" s="4">
        <f t="shared" si="380"/>
        <v>-0.19999999999999996</v>
      </c>
      <c r="LR75" s="4">
        <f t="shared" si="381"/>
        <v>-0.79999999999999982</v>
      </c>
      <c r="LS75" s="4">
        <f t="shared" si="382"/>
        <v>-0.80000000000000071</v>
      </c>
      <c r="LT75" s="4">
        <f t="shared" si="383"/>
        <v>-0.79999999999999982</v>
      </c>
      <c r="LU75" s="4">
        <f t="shared" si="384"/>
        <v>-54.2</v>
      </c>
      <c r="LV75" s="4">
        <f t="shared" si="385"/>
        <v>0.1</v>
      </c>
      <c r="LW75" s="4">
        <f t="shared" si="386"/>
        <v>-0.70000000000000018</v>
      </c>
      <c r="LX75" s="4">
        <f t="shared" si="387"/>
        <v>-1.7000000000000011</v>
      </c>
      <c r="LY75" s="4">
        <f t="shared" si="388"/>
        <v>-2.6999999999999993</v>
      </c>
      <c r="LZ75" s="4">
        <f t="shared" si="389"/>
        <v>-4.3000000000000043</v>
      </c>
      <c r="MA75" s="4">
        <f t="shared" si="390"/>
        <v>2</v>
      </c>
      <c r="MB75" s="4" t="str">
        <f t="shared" si="391"/>
        <v/>
      </c>
      <c r="MC75" s="4" t="str">
        <f t="shared" si="392"/>
        <v/>
      </c>
      <c r="MD75" s="4" t="str">
        <f t="shared" si="393"/>
        <v/>
      </c>
      <c r="ME75" s="4">
        <f t="shared" si="394"/>
        <v>-6.4</v>
      </c>
    </row>
    <row r="76" spans="1:343" ht="26.25" customHeight="1" x14ac:dyDescent="0.2">
      <c r="A76" s="35">
        <v>41227</v>
      </c>
      <c r="B76" s="36" t="s">
        <v>238</v>
      </c>
      <c r="C76" s="36" t="s">
        <v>18</v>
      </c>
      <c r="D76" s="31" t="s">
        <v>111</v>
      </c>
      <c r="E76" s="4">
        <v>61</v>
      </c>
      <c r="F76" s="3">
        <v>18727</v>
      </c>
      <c r="G76" s="4" t="s">
        <v>87</v>
      </c>
      <c r="H76" s="4" t="s">
        <v>112</v>
      </c>
      <c r="I76" s="4">
        <v>1835250</v>
      </c>
      <c r="J76" s="36"/>
      <c r="K76" s="76"/>
      <c r="L76" s="76"/>
      <c r="M76" s="76"/>
      <c r="N76" s="79"/>
      <c r="O76" s="76"/>
      <c r="P76" s="4">
        <v>-0.5</v>
      </c>
      <c r="Q76" s="4">
        <v>-0.85</v>
      </c>
      <c r="R76" s="4" t="s">
        <v>249</v>
      </c>
      <c r="S76" s="67">
        <v>23.25</v>
      </c>
      <c r="T76" s="136">
        <v>41216</v>
      </c>
      <c r="U76" s="67">
        <v>1.75</v>
      </c>
      <c r="V76" s="67">
        <v>0.75</v>
      </c>
      <c r="W76" s="4">
        <v>30</v>
      </c>
      <c r="X76" s="4">
        <v>50</v>
      </c>
      <c r="Y76" s="4">
        <v>17</v>
      </c>
      <c r="Z76" s="4">
        <v>580</v>
      </c>
      <c r="AA76" s="4">
        <v>22.51</v>
      </c>
      <c r="AB76" s="4">
        <v>11.5</v>
      </c>
      <c r="AC76" s="4">
        <v>5</v>
      </c>
      <c r="AD76" s="4">
        <v>2.7</v>
      </c>
      <c r="AE76" s="4">
        <v>44.35</v>
      </c>
      <c r="AF76" s="4">
        <v>146</v>
      </c>
      <c r="AG76" s="4">
        <v>45.67</v>
      </c>
      <c r="AH76" s="4">
        <v>56</v>
      </c>
      <c r="AI76" s="4">
        <v>0</v>
      </c>
      <c r="AJ76" s="4" t="b">
        <f t="shared" si="267"/>
        <v>0</v>
      </c>
      <c r="AL76" s="32">
        <v>41478</v>
      </c>
      <c r="AM76" s="60">
        <v>50</v>
      </c>
      <c r="AN76" s="67">
        <v>-0.5</v>
      </c>
      <c r="AO76" s="67">
        <v>1.25</v>
      </c>
      <c r="AP76" s="4">
        <v>18</v>
      </c>
      <c r="AQ76" s="4">
        <v>25</v>
      </c>
      <c r="AR76" s="4">
        <v>14</v>
      </c>
      <c r="AS76" s="4">
        <v>501</v>
      </c>
      <c r="AT76" s="4">
        <v>2155</v>
      </c>
      <c r="BA76" s="4">
        <f t="shared" si="268"/>
        <v>0.125</v>
      </c>
      <c r="BB76" s="4">
        <f t="shared" si="265"/>
        <v>0.97499999999999998</v>
      </c>
      <c r="BC76" s="4">
        <f t="shared" si="269"/>
        <v>-79</v>
      </c>
      <c r="BD76" s="3">
        <v>41660</v>
      </c>
      <c r="BE76" s="59">
        <v>50</v>
      </c>
      <c r="BF76" s="67">
        <v>0.75</v>
      </c>
      <c r="BG76" s="67">
        <v>-1.25</v>
      </c>
      <c r="BH76" s="4">
        <v>110</v>
      </c>
      <c r="BI76" s="4">
        <v>20</v>
      </c>
      <c r="BJ76" s="4">
        <v>13</v>
      </c>
      <c r="BK76" s="4">
        <v>506</v>
      </c>
      <c r="BL76" s="4">
        <v>2203</v>
      </c>
      <c r="BM76" s="4">
        <v>22.52</v>
      </c>
      <c r="BN76" s="4">
        <v>4.2300000000000004</v>
      </c>
      <c r="BO76" s="4">
        <v>44.64</v>
      </c>
      <c r="BP76" s="4">
        <v>75</v>
      </c>
      <c r="BQ76" s="4">
        <v>44.82</v>
      </c>
      <c r="BR76" s="4">
        <v>165</v>
      </c>
      <c r="BS76" s="4">
        <f t="shared" si="266"/>
        <v>0.125</v>
      </c>
      <c r="BT76" s="4">
        <f t="shared" si="270"/>
        <v>0.97499999999999998</v>
      </c>
      <c r="BU76" s="4">
        <f t="shared" si="271"/>
        <v>-74</v>
      </c>
      <c r="BV76" s="4">
        <f>IF(AND(ISBLANK(SPH_6),ISBLANK(SPH_12)),0,1)</f>
        <v>1</v>
      </c>
      <c r="BW76" s="4">
        <f t="shared" si="272"/>
        <v>1</v>
      </c>
      <c r="BX76" s="4">
        <f t="shared" si="273"/>
        <v>2.125</v>
      </c>
      <c r="BY76" s="4">
        <f t="shared" si="274"/>
        <v>0.125</v>
      </c>
      <c r="BZ76" s="4">
        <f t="shared" si="275"/>
        <v>0.125</v>
      </c>
      <c r="CA76" s="53">
        <f t="shared" si="276"/>
        <v>433</v>
      </c>
      <c r="CB76" s="55">
        <f t="shared" si="277"/>
        <v>14.433333333333334</v>
      </c>
      <c r="CC76" s="4">
        <f t="shared" si="278"/>
        <v>0</v>
      </c>
      <c r="CD76" s="4" t="str">
        <f t="shared" si="279"/>
        <v/>
      </c>
      <c r="CE76" s="4">
        <f t="shared" si="280"/>
        <v>-0.28000000000000114</v>
      </c>
      <c r="CF76" s="4">
        <f t="shared" si="281"/>
        <v>-0.28000000000000114</v>
      </c>
      <c r="CG76" s="4">
        <f t="shared" si="395"/>
        <v>2.125</v>
      </c>
      <c r="CH76" s="4">
        <f t="shared" si="282"/>
        <v>0.125</v>
      </c>
      <c r="CI76" s="104">
        <f t="shared" si="283"/>
        <v>0.97499999999999998</v>
      </c>
      <c r="CJ76" s="94">
        <f t="shared" si="284"/>
        <v>-74</v>
      </c>
      <c r="CK76" s="4">
        <f t="shared" si="285"/>
        <v>9.9999999999980105E-3</v>
      </c>
      <c r="CL76" s="107">
        <f t="shared" si="286"/>
        <v>-0.85</v>
      </c>
      <c r="CM76" s="107">
        <f t="shared" si="396"/>
        <v>0.3979400086720376</v>
      </c>
      <c r="CN76" s="139">
        <f t="shared" si="287"/>
        <v>-1.25</v>
      </c>
      <c r="CO76" s="139">
        <f t="shared" si="288"/>
        <v>-2</v>
      </c>
      <c r="CP76" s="149">
        <f t="shared" si="289"/>
        <v>20</v>
      </c>
      <c r="CQ76" s="149">
        <f t="shared" si="290"/>
        <v>50</v>
      </c>
      <c r="CR76" s="148">
        <f t="shared" si="291"/>
        <v>50</v>
      </c>
      <c r="CS76" s="152">
        <f t="shared" si="292"/>
        <v>1</v>
      </c>
      <c r="CT76" s="107">
        <f t="shared" si="293"/>
        <v>1</v>
      </c>
      <c r="CU76" s="155" t="b">
        <f t="shared" si="294"/>
        <v>0</v>
      </c>
      <c r="CV76">
        <v>7.68</v>
      </c>
      <c r="CW76" s="4">
        <v>7.57</v>
      </c>
      <c r="CX76" s="4">
        <v>149.6</v>
      </c>
      <c r="CY76" s="4">
        <v>-0.7</v>
      </c>
      <c r="CZ76" s="4">
        <v>0.05</v>
      </c>
      <c r="DA76" s="4">
        <v>0.59</v>
      </c>
      <c r="DB76" s="4">
        <v>2.25</v>
      </c>
      <c r="DC76" s="4">
        <v>2.85</v>
      </c>
      <c r="DD76" s="4">
        <v>601</v>
      </c>
      <c r="DE76" s="4">
        <v>604</v>
      </c>
      <c r="DF76" s="4">
        <v>654</v>
      </c>
      <c r="DG76" s="4">
        <v>607</v>
      </c>
      <c r="DH76" s="4">
        <v>622</v>
      </c>
      <c r="DI76" s="4">
        <v>664</v>
      </c>
      <c r="DJ76" s="4">
        <v>576</v>
      </c>
      <c r="DK76" s="4">
        <v>-0.9</v>
      </c>
      <c r="DL76" s="4">
        <v>-2.29</v>
      </c>
      <c r="DM76" s="4">
        <v>7.69</v>
      </c>
      <c r="DN76" s="4">
        <v>7.55</v>
      </c>
      <c r="DO76" s="4">
        <v>7.57</v>
      </c>
      <c r="DP76" s="4">
        <v>7.83</v>
      </c>
      <c r="DQ76" s="4">
        <v>8.16</v>
      </c>
      <c r="DR76" s="4">
        <v>8.2799999999999994</v>
      </c>
      <c r="DS76" s="4">
        <v>0</v>
      </c>
      <c r="DT76" s="4">
        <v>0.7</v>
      </c>
      <c r="DU76" s="4">
        <v>7.01</v>
      </c>
      <c r="DV76" s="4">
        <v>6.62</v>
      </c>
      <c r="DW76" s="4">
        <v>6.42</v>
      </c>
      <c r="DX76" s="4">
        <v>6.8</v>
      </c>
      <c r="DY76" s="4">
        <v>7.15</v>
      </c>
      <c r="DZ76" s="4">
        <v>0</v>
      </c>
      <c r="EA76" s="4">
        <v>0</v>
      </c>
      <c r="EB76" s="100">
        <v>0.7</v>
      </c>
      <c r="EC76" s="122">
        <v>43.9</v>
      </c>
      <c r="ED76" s="122">
        <v>44.6</v>
      </c>
      <c r="EE76" s="122">
        <v>44.3</v>
      </c>
      <c r="EF76" s="122">
        <v>149.6</v>
      </c>
      <c r="EG76" s="122">
        <v>0.7</v>
      </c>
      <c r="EH76" s="122">
        <v>-5.8</v>
      </c>
      <c r="EI76" s="122">
        <v>-5.9</v>
      </c>
      <c r="EJ76" s="122">
        <v>-5.9</v>
      </c>
      <c r="EK76" s="122">
        <v>117.5</v>
      </c>
      <c r="EL76" s="122">
        <v>0.1</v>
      </c>
      <c r="EM76" s="122">
        <v>4.3</v>
      </c>
      <c r="EN76" s="122">
        <v>12.2</v>
      </c>
      <c r="EO76" s="122">
        <v>25.6</v>
      </c>
      <c r="EP76" s="122">
        <v>61</v>
      </c>
      <c r="EQ76" s="126">
        <v>16</v>
      </c>
      <c r="IJ76" s="94" t="str">
        <f t="shared" si="295"/>
        <v/>
      </c>
      <c r="IK76" s="4" t="str">
        <f t="shared" si="296"/>
        <v/>
      </c>
      <c r="IL76" s="4" t="str">
        <f t="shared" si="297"/>
        <v/>
      </c>
      <c r="IM76" s="4" t="str">
        <f t="shared" si="298"/>
        <v/>
      </c>
      <c r="IN76" s="4" t="str">
        <f t="shared" si="299"/>
        <v/>
      </c>
      <c r="IO76" s="4" t="str">
        <f t="shared" si="300"/>
        <v/>
      </c>
      <c r="IP76" s="4" t="str">
        <f t="shared" si="301"/>
        <v/>
      </c>
      <c r="IQ76" s="4" t="str">
        <f t="shared" si="302"/>
        <v/>
      </c>
      <c r="IR76" s="4" t="str">
        <f t="shared" si="303"/>
        <v/>
      </c>
      <c r="IS76" s="4" t="str">
        <f t="shared" si="304"/>
        <v/>
      </c>
      <c r="IT76" s="4" t="str">
        <f t="shared" si="305"/>
        <v/>
      </c>
      <c r="IU76" s="4" t="str">
        <f t="shared" si="306"/>
        <v/>
      </c>
      <c r="IV76" s="4" t="str">
        <f t="shared" si="307"/>
        <v/>
      </c>
      <c r="IW76" s="4" t="str">
        <f t="shared" si="308"/>
        <v/>
      </c>
      <c r="IX76" s="4" t="str">
        <f t="shared" si="309"/>
        <v/>
      </c>
      <c r="IY76" s="4" t="str">
        <f t="shared" si="310"/>
        <v/>
      </c>
      <c r="IZ76" s="4" t="str">
        <f t="shared" si="311"/>
        <v/>
      </c>
      <c r="JA76" s="4" t="str">
        <f t="shared" si="312"/>
        <v/>
      </c>
      <c r="JB76" s="4" t="str">
        <f t="shared" si="313"/>
        <v/>
      </c>
      <c r="JC76" s="4" t="str">
        <f t="shared" si="314"/>
        <v/>
      </c>
      <c r="JD76" s="4" t="str">
        <f t="shared" si="315"/>
        <v/>
      </c>
      <c r="JE76" s="4" t="str">
        <f t="shared" si="316"/>
        <v/>
      </c>
      <c r="JF76" s="4" t="str">
        <f t="shared" si="317"/>
        <v/>
      </c>
      <c r="JG76" s="4" t="str">
        <f t="shared" si="318"/>
        <v/>
      </c>
      <c r="JH76" s="4" t="str">
        <f t="shared" si="319"/>
        <v/>
      </c>
      <c r="JI76" s="4" t="str">
        <f t="shared" si="320"/>
        <v/>
      </c>
      <c r="JJ76" s="4" t="str">
        <f t="shared" si="321"/>
        <v/>
      </c>
      <c r="JK76" s="4" t="str">
        <f t="shared" si="322"/>
        <v/>
      </c>
      <c r="JL76" s="4" t="str">
        <f t="shared" si="323"/>
        <v/>
      </c>
      <c r="JM76" s="4" t="str">
        <f t="shared" si="324"/>
        <v/>
      </c>
      <c r="JN76" s="4" t="str">
        <f t="shared" si="325"/>
        <v/>
      </c>
      <c r="JO76" s="129" t="str">
        <f t="shared" si="326"/>
        <v/>
      </c>
      <c r="JP76" s="122" t="str">
        <f t="shared" si="327"/>
        <v/>
      </c>
      <c r="JQ76" s="122" t="str">
        <f t="shared" si="328"/>
        <v/>
      </c>
      <c r="JR76" s="122" t="str">
        <f t="shared" si="329"/>
        <v/>
      </c>
      <c r="JS76" s="122" t="str">
        <f t="shared" si="330"/>
        <v/>
      </c>
      <c r="JT76" s="122" t="str">
        <f t="shared" si="331"/>
        <v/>
      </c>
      <c r="JU76" s="122" t="str">
        <f t="shared" si="332"/>
        <v/>
      </c>
      <c r="JV76" s="122" t="str">
        <f t="shared" si="333"/>
        <v/>
      </c>
      <c r="JW76" s="122" t="str">
        <f t="shared" si="334"/>
        <v/>
      </c>
      <c r="JX76" s="122" t="str">
        <f t="shared" si="335"/>
        <v/>
      </c>
      <c r="JY76" s="122" t="str">
        <f t="shared" si="336"/>
        <v/>
      </c>
      <c r="JZ76" s="122" t="str">
        <f t="shared" si="337"/>
        <v/>
      </c>
      <c r="KA76" s="122" t="str">
        <f t="shared" si="338"/>
        <v/>
      </c>
      <c r="KB76" s="122" t="str">
        <f t="shared" si="339"/>
        <v/>
      </c>
      <c r="KC76" s="122" t="str">
        <f t="shared" si="340"/>
        <v/>
      </c>
      <c r="KD76" s="122" t="str">
        <f t="shared" si="341"/>
        <v/>
      </c>
      <c r="KE76" s="133" t="str">
        <f t="shared" si="342"/>
        <v/>
      </c>
      <c r="KF76" s="94" t="str">
        <f t="shared" si="343"/>
        <v/>
      </c>
      <c r="KG76" s="4" t="str">
        <f t="shared" si="344"/>
        <v/>
      </c>
      <c r="KH76" s="4" t="str">
        <f t="shared" si="345"/>
        <v/>
      </c>
      <c r="KI76" s="4" t="str">
        <f t="shared" si="346"/>
        <v/>
      </c>
      <c r="KJ76" s="4" t="str">
        <f t="shared" si="347"/>
        <v/>
      </c>
      <c r="KK76" s="4" t="str">
        <f t="shared" si="348"/>
        <v/>
      </c>
      <c r="KL76" s="4" t="str">
        <f t="shared" si="349"/>
        <v/>
      </c>
      <c r="KM76" s="4" t="str">
        <f t="shared" si="350"/>
        <v/>
      </c>
      <c r="KN76" s="4" t="str">
        <f t="shared" si="351"/>
        <v/>
      </c>
      <c r="KO76" s="4" t="str">
        <f t="shared" si="352"/>
        <v/>
      </c>
      <c r="KP76" s="4" t="str">
        <f t="shared" si="353"/>
        <v/>
      </c>
      <c r="KQ76" s="4" t="str">
        <f t="shared" si="354"/>
        <v/>
      </c>
      <c r="KR76" s="4" t="str">
        <f t="shared" si="355"/>
        <v/>
      </c>
      <c r="KS76" s="4" t="str">
        <f t="shared" si="356"/>
        <v/>
      </c>
      <c r="KT76" s="4" t="str">
        <f t="shared" si="357"/>
        <v/>
      </c>
      <c r="KU76" s="4" t="str">
        <f t="shared" si="358"/>
        <v/>
      </c>
      <c r="KV76" s="4" t="str">
        <f t="shared" si="359"/>
        <v/>
      </c>
      <c r="KW76" s="4" t="str">
        <f t="shared" si="360"/>
        <v/>
      </c>
      <c r="KX76" s="4" t="str">
        <f t="shared" si="361"/>
        <v/>
      </c>
      <c r="KY76" s="4" t="str">
        <f t="shared" si="362"/>
        <v/>
      </c>
      <c r="KZ76" s="4" t="str">
        <f t="shared" si="363"/>
        <v/>
      </c>
      <c r="LA76" s="4" t="str">
        <f t="shared" si="364"/>
        <v/>
      </c>
      <c r="LB76" s="4" t="str">
        <f t="shared" si="365"/>
        <v/>
      </c>
      <c r="LC76" s="4" t="str">
        <f t="shared" si="366"/>
        <v/>
      </c>
      <c r="LD76" s="4" t="str">
        <f t="shared" si="367"/>
        <v/>
      </c>
      <c r="LE76" s="4" t="str">
        <f t="shared" si="368"/>
        <v/>
      </c>
      <c r="LF76" s="4" t="str">
        <f t="shared" si="369"/>
        <v/>
      </c>
      <c r="LG76" s="4" t="str">
        <f t="shared" si="370"/>
        <v/>
      </c>
      <c r="LH76" s="4" t="str">
        <f t="shared" si="371"/>
        <v/>
      </c>
      <c r="LI76" s="4" t="str">
        <f t="shared" si="372"/>
        <v/>
      </c>
      <c r="LJ76" s="4" t="str">
        <f t="shared" si="373"/>
        <v/>
      </c>
      <c r="LK76" s="4" t="str">
        <f t="shared" si="374"/>
        <v/>
      </c>
      <c r="LL76" s="4" t="str">
        <f t="shared" si="375"/>
        <v/>
      </c>
      <c r="LM76" s="4" t="str">
        <f t="shared" si="376"/>
        <v/>
      </c>
      <c r="LN76" s="4" t="str">
        <f t="shared" si="377"/>
        <v/>
      </c>
      <c r="LO76" s="4" t="str">
        <f t="shared" si="378"/>
        <v/>
      </c>
      <c r="LP76" s="4" t="str">
        <f t="shared" si="379"/>
        <v/>
      </c>
      <c r="LQ76" s="4" t="str">
        <f t="shared" si="380"/>
        <v/>
      </c>
      <c r="LR76" s="4" t="str">
        <f t="shared" si="381"/>
        <v/>
      </c>
      <c r="LS76" s="4" t="str">
        <f t="shared" si="382"/>
        <v/>
      </c>
      <c r="LT76" s="4" t="str">
        <f t="shared" si="383"/>
        <v/>
      </c>
      <c r="LU76" s="4" t="str">
        <f t="shared" si="384"/>
        <v/>
      </c>
      <c r="LV76" s="4" t="str">
        <f t="shared" si="385"/>
        <v/>
      </c>
      <c r="LW76" s="4" t="str">
        <f t="shared" si="386"/>
        <v/>
      </c>
      <c r="LX76" s="4" t="str">
        <f t="shared" si="387"/>
        <v/>
      </c>
      <c r="LY76" s="4" t="str">
        <f t="shared" si="388"/>
        <v/>
      </c>
      <c r="LZ76" s="4" t="str">
        <f t="shared" si="389"/>
        <v/>
      </c>
      <c r="MA76" s="4" t="str">
        <f t="shared" si="390"/>
        <v/>
      </c>
      <c r="MB76" s="4" t="str">
        <f t="shared" si="391"/>
        <v/>
      </c>
      <c r="MC76" s="4" t="str">
        <f t="shared" si="392"/>
        <v/>
      </c>
      <c r="MD76" s="4" t="str">
        <f t="shared" si="393"/>
        <v/>
      </c>
      <c r="ME76" s="4">
        <f t="shared" si="394"/>
        <v>0</v>
      </c>
    </row>
    <row r="77" spans="1:343" ht="26.25" customHeight="1" thickBot="1" x14ac:dyDescent="0.25">
      <c r="A77" s="35">
        <v>41276</v>
      </c>
      <c r="B77" s="36" t="s">
        <v>228</v>
      </c>
      <c r="C77" s="36" t="s">
        <v>63</v>
      </c>
      <c r="D77" s="31" t="s">
        <v>111</v>
      </c>
      <c r="E77" s="4">
        <v>60</v>
      </c>
      <c r="F77" s="3">
        <v>18855</v>
      </c>
      <c r="G77" s="4" t="s">
        <v>87</v>
      </c>
      <c r="H77" s="4" t="s">
        <v>108</v>
      </c>
      <c r="I77" s="4">
        <v>1835272</v>
      </c>
      <c r="J77" s="4" t="s">
        <v>310</v>
      </c>
      <c r="P77" s="33">
        <v>-0.5</v>
      </c>
      <c r="Q77" s="4">
        <v>-0.65</v>
      </c>
      <c r="R77" s="4" t="s">
        <v>249</v>
      </c>
      <c r="S77" s="67">
        <v>19.5</v>
      </c>
      <c r="T77" s="136">
        <v>41271</v>
      </c>
      <c r="U77" s="67">
        <v>-1</v>
      </c>
      <c r="V77" s="67">
        <v>2.75</v>
      </c>
      <c r="W77" s="4">
        <v>175</v>
      </c>
      <c r="X77" s="4">
        <v>20</v>
      </c>
      <c r="Y77" s="4">
        <v>13</v>
      </c>
      <c r="Z77" s="4">
        <v>566</v>
      </c>
      <c r="AA77" s="4">
        <v>23.34</v>
      </c>
      <c r="AD77" s="4">
        <v>2.29</v>
      </c>
      <c r="AE77" s="4">
        <v>45.36</v>
      </c>
      <c r="AF77" s="4">
        <v>75</v>
      </c>
      <c r="AG77" s="4">
        <v>46.3</v>
      </c>
      <c r="AH77" s="4">
        <v>165</v>
      </c>
      <c r="AI77" s="4">
        <v>1</v>
      </c>
      <c r="AJ77" s="4" t="b">
        <f t="shared" si="267"/>
        <v>1</v>
      </c>
      <c r="AL77" s="3">
        <v>41417</v>
      </c>
      <c r="AM77" s="56">
        <v>100</v>
      </c>
      <c r="AN77" s="67">
        <v>-1.5</v>
      </c>
      <c r="AO77" s="67">
        <v>0.5</v>
      </c>
      <c r="AP77" s="4">
        <v>180</v>
      </c>
      <c r="AQ77" s="4">
        <v>20</v>
      </c>
      <c r="AR77" s="4">
        <v>24</v>
      </c>
      <c r="AS77" s="4">
        <v>533</v>
      </c>
      <c r="AT77" s="4">
        <v>1083</v>
      </c>
      <c r="BA77" s="4">
        <f t="shared" si="268"/>
        <v>-1.25</v>
      </c>
      <c r="BB77" s="4">
        <f t="shared" si="265"/>
        <v>-0.6</v>
      </c>
      <c r="BC77" s="4">
        <f t="shared" si="269"/>
        <v>-33</v>
      </c>
      <c r="BD77" s="3">
        <v>41604</v>
      </c>
      <c r="BE77" s="56">
        <v>50</v>
      </c>
      <c r="BF77" s="67">
        <v>-0.75</v>
      </c>
      <c r="BG77" s="67">
        <v>0.25</v>
      </c>
      <c r="BH77" s="4">
        <v>126</v>
      </c>
      <c r="BI77" s="4">
        <v>20</v>
      </c>
      <c r="BJ77" s="4">
        <v>14</v>
      </c>
      <c r="BK77" s="4">
        <v>563</v>
      </c>
      <c r="BL77" s="4">
        <v>1022</v>
      </c>
      <c r="BM77" s="4">
        <v>23.41</v>
      </c>
      <c r="BN77" s="4">
        <v>2.86</v>
      </c>
      <c r="BO77" s="4">
        <v>45.3</v>
      </c>
      <c r="BP77" s="4">
        <v>76</v>
      </c>
      <c r="BQ77" s="4">
        <v>45.55</v>
      </c>
      <c r="BR77" s="4">
        <v>166</v>
      </c>
      <c r="BS77" s="4">
        <f t="shared" si="266"/>
        <v>-0.625</v>
      </c>
      <c r="BT77" s="4">
        <f t="shared" si="270"/>
        <v>2.5000000000000022E-2</v>
      </c>
      <c r="BU77" s="4">
        <f t="shared" si="271"/>
        <v>-3</v>
      </c>
      <c r="BV77" s="4">
        <f>IF(AND(ISBLANK(SPH_6),ISBLANK(SPH_12)),0,1)</f>
        <v>1</v>
      </c>
      <c r="BW77" s="4">
        <f t="shared" si="272"/>
        <v>1</v>
      </c>
      <c r="BX77" s="4">
        <f t="shared" si="273"/>
        <v>0.375</v>
      </c>
      <c r="BY77" s="4">
        <f t="shared" si="274"/>
        <v>-1.25</v>
      </c>
      <c r="BZ77" s="4">
        <f t="shared" si="275"/>
        <v>-0.625</v>
      </c>
      <c r="CA77" s="53">
        <f t="shared" si="276"/>
        <v>328</v>
      </c>
      <c r="CB77" s="55">
        <f t="shared" si="277"/>
        <v>10.933333333333334</v>
      </c>
      <c r="CC77" s="4">
        <f t="shared" si="278"/>
        <v>0.625</v>
      </c>
      <c r="CD77" s="4" t="str">
        <f t="shared" si="279"/>
        <v/>
      </c>
      <c r="CE77" s="4">
        <f t="shared" si="280"/>
        <v>-0.40500000000000114</v>
      </c>
      <c r="CF77" s="4">
        <f t="shared" si="281"/>
        <v>-0.40500000000000114</v>
      </c>
      <c r="CG77" s="4">
        <f t="shared" si="395"/>
        <v>0.375</v>
      </c>
      <c r="CH77" s="4">
        <f t="shared" si="282"/>
        <v>-0.625</v>
      </c>
      <c r="CI77" s="104">
        <f t="shared" si="283"/>
        <v>2.5000000000000022E-2</v>
      </c>
      <c r="CJ77" s="94">
        <f t="shared" si="284"/>
        <v>-3</v>
      </c>
      <c r="CK77" s="4">
        <f t="shared" si="285"/>
        <v>7.0000000000000284E-2</v>
      </c>
      <c r="CL77" s="107">
        <f t="shared" si="286"/>
        <v>-0.65</v>
      </c>
      <c r="CM77" s="107">
        <f t="shared" si="396"/>
        <v>0</v>
      </c>
      <c r="CN77" s="139">
        <f t="shared" si="287"/>
        <v>0.25</v>
      </c>
      <c r="CO77" s="139">
        <f t="shared" si="288"/>
        <v>-2.5</v>
      </c>
      <c r="CP77" s="149">
        <f t="shared" si="289"/>
        <v>20</v>
      </c>
      <c r="CQ77" s="149">
        <f t="shared" si="290"/>
        <v>20</v>
      </c>
      <c r="CR77" s="148">
        <f t="shared" si="291"/>
        <v>50</v>
      </c>
      <c r="CS77" s="152">
        <f t="shared" si="292"/>
        <v>0</v>
      </c>
      <c r="CT77" s="107">
        <f t="shared" si="293"/>
        <v>0</v>
      </c>
      <c r="CU77" s="155" t="b">
        <f t="shared" si="294"/>
        <v>0</v>
      </c>
      <c r="CV77">
        <v>7.42</v>
      </c>
      <c r="CW77" s="4">
        <v>7.54</v>
      </c>
      <c r="CX77" s="4">
        <v>93.5</v>
      </c>
      <c r="CY77" s="4">
        <v>0.7</v>
      </c>
      <c r="CZ77" s="4">
        <v>0.25</v>
      </c>
      <c r="DA77" s="4">
        <v>0.67</v>
      </c>
      <c r="DB77" s="4">
        <v>2.62</v>
      </c>
      <c r="DC77" s="4">
        <v>3.26</v>
      </c>
      <c r="DD77" s="4">
        <v>635</v>
      </c>
      <c r="DE77" s="4">
        <v>637</v>
      </c>
      <c r="DF77" s="4">
        <v>683</v>
      </c>
      <c r="DG77" s="4">
        <v>652</v>
      </c>
      <c r="DH77" s="4">
        <v>634</v>
      </c>
      <c r="DI77" s="4">
        <v>653</v>
      </c>
      <c r="DJ77" s="4">
        <v>616</v>
      </c>
      <c r="DK77" s="4">
        <v>1.88</v>
      </c>
      <c r="DL77" s="4">
        <v>-0.91</v>
      </c>
      <c r="DM77" s="4">
        <v>7.5</v>
      </c>
      <c r="DN77" s="4">
        <v>7.44</v>
      </c>
      <c r="DO77" s="4">
        <v>7.46</v>
      </c>
      <c r="DP77" s="4">
        <v>7.74</v>
      </c>
      <c r="DQ77" s="4">
        <v>8.09</v>
      </c>
      <c r="DR77" s="4">
        <v>8.3800000000000008</v>
      </c>
      <c r="DS77" s="4">
        <v>0</v>
      </c>
      <c r="DT77" s="4">
        <v>0.6</v>
      </c>
      <c r="DU77" s="4">
        <v>6.87</v>
      </c>
      <c r="DV77" s="4">
        <v>6.59</v>
      </c>
      <c r="DW77" s="4">
        <v>6.51</v>
      </c>
      <c r="DX77" s="4">
        <v>6.76</v>
      </c>
      <c r="DY77" s="4">
        <v>6.92</v>
      </c>
      <c r="DZ77" s="4">
        <v>0</v>
      </c>
      <c r="EA77" s="4">
        <v>0</v>
      </c>
      <c r="EB77" s="100">
        <v>0.6</v>
      </c>
      <c r="EC77" s="122">
        <v>44.7</v>
      </c>
      <c r="ED77" s="122">
        <v>45.5</v>
      </c>
      <c r="EE77" s="122">
        <v>45.1</v>
      </c>
      <c r="EF77" s="122">
        <v>93.5</v>
      </c>
      <c r="EG77" s="122">
        <v>0.7</v>
      </c>
      <c r="EH77" s="122">
        <v>-5.6</v>
      </c>
      <c r="EI77" s="122">
        <v>-6.2</v>
      </c>
      <c r="EJ77" s="122">
        <v>-5.9</v>
      </c>
      <c r="EK77" s="122">
        <v>146.30000000000001</v>
      </c>
      <c r="EL77" s="122">
        <v>0.6</v>
      </c>
      <c r="EM77" s="122">
        <v>4.5</v>
      </c>
      <c r="EN77" s="122">
        <v>12.9</v>
      </c>
      <c r="EO77" s="122">
        <v>26.7</v>
      </c>
      <c r="EP77" s="122">
        <v>61.3</v>
      </c>
      <c r="EQ77" s="126">
        <v>23</v>
      </c>
      <c r="ER77" s="94">
        <v>7.42</v>
      </c>
      <c r="ES77" s="4">
        <v>7.45</v>
      </c>
      <c r="ET77" s="4">
        <v>66.099999999999994</v>
      </c>
      <c r="EU77" s="4">
        <v>0.2</v>
      </c>
      <c r="EV77" s="4">
        <v>0.56999999999999995</v>
      </c>
      <c r="EW77" s="4">
        <v>0.71</v>
      </c>
      <c r="EX77" s="4">
        <v>-0.62</v>
      </c>
      <c r="EY77" s="4">
        <v>-0.1</v>
      </c>
      <c r="EZ77" s="4">
        <v>519</v>
      </c>
      <c r="FA77" s="4">
        <v>520</v>
      </c>
      <c r="FB77" s="4">
        <v>635</v>
      </c>
      <c r="FC77" s="4">
        <v>607</v>
      </c>
      <c r="FD77" s="4">
        <v>607</v>
      </c>
      <c r="FE77" s="4">
        <v>597</v>
      </c>
      <c r="FF77" s="4">
        <v>505</v>
      </c>
      <c r="FG77" s="4">
        <v>-0.62</v>
      </c>
      <c r="FH77" s="4">
        <v>-0.95</v>
      </c>
      <c r="FI77" s="4">
        <v>7.43</v>
      </c>
      <c r="FJ77" s="4">
        <v>7.44</v>
      </c>
      <c r="FK77" s="4">
        <v>7.52</v>
      </c>
      <c r="FL77" s="4">
        <v>7.61</v>
      </c>
      <c r="FM77" s="4">
        <v>7.74</v>
      </c>
      <c r="FN77" s="4">
        <v>0</v>
      </c>
      <c r="FO77" s="4">
        <v>0</v>
      </c>
      <c r="FP77" s="4">
        <v>1.2</v>
      </c>
      <c r="FQ77" s="4">
        <v>6.17</v>
      </c>
      <c r="FR77" s="4">
        <v>6.12</v>
      </c>
      <c r="FS77" s="4">
        <v>6.27</v>
      </c>
      <c r="FT77" s="4">
        <v>6.3</v>
      </c>
      <c r="FU77" s="4">
        <v>0</v>
      </c>
      <c r="FV77" s="4">
        <v>0</v>
      </c>
      <c r="FW77" s="4">
        <v>0</v>
      </c>
      <c r="FX77" s="97">
        <v>1.2</v>
      </c>
      <c r="FY77" s="122">
        <v>45.3</v>
      </c>
      <c r="FZ77" s="122">
        <v>45.5</v>
      </c>
      <c r="GA77" s="122">
        <v>45.4</v>
      </c>
      <c r="GB77" s="122">
        <v>66.099999999999994</v>
      </c>
      <c r="GC77" s="122">
        <v>0.2</v>
      </c>
      <c r="GD77" s="122">
        <v>-6.4</v>
      </c>
      <c r="GE77" s="122">
        <v>-6.6</v>
      </c>
      <c r="GF77" s="122">
        <v>-6.5</v>
      </c>
      <c r="GG77" s="122">
        <v>43.4</v>
      </c>
      <c r="GH77" s="122">
        <v>0.3</v>
      </c>
      <c r="GI77" s="122">
        <v>3.8</v>
      </c>
      <c r="GJ77" s="122">
        <v>11.1</v>
      </c>
      <c r="GK77" s="122">
        <v>23.8</v>
      </c>
      <c r="GL77" s="122">
        <v>57.2</v>
      </c>
      <c r="GM77" s="131">
        <v>23</v>
      </c>
      <c r="GN77" s="94">
        <v>7.4</v>
      </c>
      <c r="GO77" s="4">
        <v>7.49</v>
      </c>
      <c r="GP77" s="4">
        <v>71.5</v>
      </c>
      <c r="GQ77" s="4">
        <v>0.6</v>
      </c>
      <c r="GR77" s="4">
        <v>0.54</v>
      </c>
      <c r="GS77" s="4">
        <v>0.59</v>
      </c>
      <c r="GT77" s="4">
        <v>4.87</v>
      </c>
      <c r="GU77" s="4">
        <v>5.4</v>
      </c>
      <c r="GV77" s="4">
        <v>534</v>
      </c>
      <c r="GW77" s="4">
        <v>535</v>
      </c>
      <c r="GX77" s="4">
        <v>638</v>
      </c>
      <c r="GY77" s="4">
        <v>599</v>
      </c>
      <c r="GZ77" s="4">
        <v>610</v>
      </c>
      <c r="HA77" s="4">
        <v>597</v>
      </c>
      <c r="HB77" s="4">
        <v>523</v>
      </c>
      <c r="HC77" s="4">
        <v>-0.7</v>
      </c>
      <c r="HD77" s="4">
        <v>-0.76</v>
      </c>
      <c r="HE77" s="4">
        <v>7.46</v>
      </c>
      <c r="HF77" s="4">
        <v>7.45</v>
      </c>
      <c r="HG77" s="4">
        <v>7.52</v>
      </c>
      <c r="HH77" s="4">
        <v>7.68</v>
      </c>
      <c r="HI77" s="4">
        <v>7.87</v>
      </c>
      <c r="HJ77" s="4">
        <v>7.94</v>
      </c>
      <c r="HK77" s="4">
        <v>0</v>
      </c>
      <c r="HL77" s="4">
        <v>1.2</v>
      </c>
      <c r="HM77" s="4">
        <v>6.26</v>
      </c>
      <c r="HN77" s="4">
        <v>6.21</v>
      </c>
      <c r="HO77" s="4">
        <v>6.17</v>
      </c>
      <c r="HP77" s="4">
        <v>6.25</v>
      </c>
      <c r="HQ77" s="4">
        <v>6.42</v>
      </c>
      <c r="HR77" s="4">
        <v>0</v>
      </c>
      <c r="HS77" s="4">
        <v>0</v>
      </c>
      <c r="HT77" s="104">
        <v>1.2</v>
      </c>
      <c r="HU77" s="122">
        <v>45</v>
      </c>
      <c r="HV77" s="122">
        <v>45.6</v>
      </c>
      <c r="HW77" s="122">
        <v>45.3</v>
      </c>
      <c r="HX77" s="122">
        <v>71.5</v>
      </c>
      <c r="HY77" s="122">
        <v>0.6</v>
      </c>
      <c r="HZ77" s="122">
        <v>-6.3</v>
      </c>
      <c r="IA77" s="122">
        <v>-6.5</v>
      </c>
      <c r="IB77" s="122">
        <v>-6.4</v>
      </c>
      <c r="IC77" s="122">
        <v>37.700000000000003</v>
      </c>
      <c r="ID77" s="122">
        <v>0.3</v>
      </c>
      <c r="IE77" s="122">
        <v>3.9</v>
      </c>
      <c r="IF77" s="122">
        <v>11.3</v>
      </c>
      <c r="IG77" s="122">
        <v>24.3</v>
      </c>
      <c r="IH77" s="122">
        <v>60.4</v>
      </c>
      <c r="II77" s="133">
        <v>18</v>
      </c>
      <c r="IJ77" s="94">
        <f t="shared" si="295"/>
        <v>7.4</v>
      </c>
      <c r="IK77" s="4">
        <f t="shared" si="296"/>
        <v>7.49</v>
      </c>
      <c r="IL77" s="4">
        <f t="shared" si="297"/>
        <v>71.5</v>
      </c>
      <c r="IM77" s="4">
        <f t="shared" si="298"/>
        <v>0.6</v>
      </c>
      <c r="IN77" s="4">
        <f t="shared" si="299"/>
        <v>0.54</v>
      </c>
      <c r="IO77" s="4">
        <f t="shared" si="300"/>
        <v>0.59</v>
      </c>
      <c r="IP77" s="4">
        <f t="shared" si="301"/>
        <v>4.87</v>
      </c>
      <c r="IQ77" s="4">
        <f t="shared" si="302"/>
        <v>5.4</v>
      </c>
      <c r="IR77" s="4">
        <f t="shared" si="303"/>
        <v>534</v>
      </c>
      <c r="IS77" s="4">
        <f t="shared" si="304"/>
        <v>535</v>
      </c>
      <c r="IT77" s="4">
        <f t="shared" si="305"/>
        <v>638</v>
      </c>
      <c r="IU77" s="4">
        <f t="shared" si="306"/>
        <v>599</v>
      </c>
      <c r="IV77" s="4">
        <f t="shared" si="307"/>
        <v>610</v>
      </c>
      <c r="IW77" s="4">
        <f t="shared" si="308"/>
        <v>597</v>
      </c>
      <c r="IX77" s="4">
        <f t="shared" si="309"/>
        <v>523</v>
      </c>
      <c r="IY77" s="4">
        <f t="shared" si="310"/>
        <v>-0.7</v>
      </c>
      <c r="IZ77" s="4">
        <f t="shared" si="311"/>
        <v>-0.76</v>
      </c>
      <c r="JA77" s="4">
        <f t="shared" si="312"/>
        <v>7.46</v>
      </c>
      <c r="JB77" s="4">
        <f t="shared" si="313"/>
        <v>7.45</v>
      </c>
      <c r="JC77" s="4">
        <f t="shared" si="314"/>
        <v>7.52</v>
      </c>
      <c r="JD77" s="4">
        <f t="shared" si="315"/>
        <v>7.68</v>
      </c>
      <c r="JE77" s="4">
        <f t="shared" si="316"/>
        <v>7.87</v>
      </c>
      <c r="JF77" s="4">
        <f t="shared" si="317"/>
        <v>7.94</v>
      </c>
      <c r="JG77" s="4">
        <f t="shared" si="318"/>
        <v>0</v>
      </c>
      <c r="JH77" s="4">
        <f t="shared" si="319"/>
        <v>1.2</v>
      </c>
      <c r="JI77" s="4">
        <f t="shared" si="320"/>
        <v>6.26</v>
      </c>
      <c r="JJ77" s="4">
        <f t="shared" si="321"/>
        <v>6.21</v>
      </c>
      <c r="JK77" s="4">
        <f t="shared" si="322"/>
        <v>6.17</v>
      </c>
      <c r="JL77" s="4">
        <f t="shared" si="323"/>
        <v>6.25</v>
      </c>
      <c r="JM77" s="4">
        <f t="shared" si="324"/>
        <v>6.42</v>
      </c>
      <c r="JN77" s="4">
        <f t="shared" si="325"/>
        <v>0</v>
      </c>
      <c r="JO77" s="129">
        <f t="shared" si="326"/>
        <v>0</v>
      </c>
      <c r="JP77" s="122">
        <f t="shared" si="327"/>
        <v>1.2</v>
      </c>
      <c r="JQ77" s="122">
        <f t="shared" si="328"/>
        <v>45</v>
      </c>
      <c r="JR77" s="122">
        <f t="shared" si="329"/>
        <v>45.6</v>
      </c>
      <c r="JS77" s="122">
        <f t="shared" si="330"/>
        <v>45.3</v>
      </c>
      <c r="JT77" s="122">
        <f t="shared" si="331"/>
        <v>71.5</v>
      </c>
      <c r="JU77" s="122">
        <f t="shared" si="332"/>
        <v>0.6</v>
      </c>
      <c r="JV77" s="122">
        <f t="shared" si="333"/>
        <v>-6.3</v>
      </c>
      <c r="JW77" s="122">
        <f t="shared" si="334"/>
        <v>-6.5</v>
      </c>
      <c r="JX77" s="122">
        <f t="shared" si="335"/>
        <v>-6.4</v>
      </c>
      <c r="JY77" s="122">
        <f t="shared" si="336"/>
        <v>37.700000000000003</v>
      </c>
      <c r="JZ77" s="122">
        <f t="shared" si="337"/>
        <v>0.3</v>
      </c>
      <c r="KA77" s="122">
        <f t="shared" si="338"/>
        <v>3.9</v>
      </c>
      <c r="KB77" s="122">
        <f t="shared" si="339"/>
        <v>11.3</v>
      </c>
      <c r="KC77" s="122">
        <f t="shared" si="340"/>
        <v>24.3</v>
      </c>
      <c r="KD77" s="122">
        <f t="shared" si="341"/>
        <v>60.4</v>
      </c>
      <c r="KE77" s="133">
        <f t="shared" si="342"/>
        <v>18</v>
      </c>
      <c r="KF77" s="94">
        <f t="shared" si="343"/>
        <v>-1.9999999999999574E-2</v>
      </c>
      <c r="KG77" s="4">
        <f t="shared" si="344"/>
        <v>-4.9999999999999822E-2</v>
      </c>
      <c r="KH77" s="4">
        <f t="shared" si="345"/>
        <v>-22</v>
      </c>
      <c r="KI77" s="4">
        <f t="shared" si="346"/>
        <v>-9.9999999999999978E-2</v>
      </c>
      <c r="KJ77" s="4">
        <f t="shared" si="347"/>
        <v>0.29000000000000004</v>
      </c>
      <c r="KK77" s="4">
        <f t="shared" si="348"/>
        <v>-8.0000000000000071E-2</v>
      </c>
      <c r="KL77" s="4">
        <f t="shared" si="349"/>
        <v>2.25</v>
      </c>
      <c r="KM77" s="4">
        <f t="shared" si="350"/>
        <v>2.1400000000000006</v>
      </c>
      <c r="KN77" s="4">
        <f t="shared" si="351"/>
        <v>-101</v>
      </c>
      <c r="KO77" s="4">
        <f t="shared" si="352"/>
        <v>-102</v>
      </c>
      <c r="KP77" s="4">
        <f t="shared" si="353"/>
        <v>-45</v>
      </c>
      <c r="KQ77" s="4">
        <f t="shared" si="354"/>
        <v>-53</v>
      </c>
      <c r="KR77" s="4">
        <f t="shared" si="355"/>
        <v>-24</v>
      </c>
      <c r="KS77" s="4">
        <f t="shared" si="356"/>
        <v>-56</v>
      </c>
      <c r="KT77" s="4">
        <f t="shared" si="357"/>
        <v>-93</v>
      </c>
      <c r="KU77" s="4">
        <f t="shared" si="358"/>
        <v>-2.58</v>
      </c>
      <c r="KV77" s="4">
        <f t="shared" si="359"/>
        <v>0.15000000000000002</v>
      </c>
      <c r="KW77" s="4">
        <f t="shared" si="360"/>
        <v>-4.0000000000000036E-2</v>
      </c>
      <c r="KX77" s="4">
        <f t="shared" si="361"/>
        <v>9.9999999999997868E-3</v>
      </c>
      <c r="KY77" s="4">
        <f t="shared" si="362"/>
        <v>5.9999999999999609E-2</v>
      </c>
      <c r="KZ77" s="4">
        <f t="shared" si="363"/>
        <v>-6.0000000000000497E-2</v>
      </c>
      <c r="LA77" s="4">
        <f t="shared" si="364"/>
        <v>-0.21999999999999975</v>
      </c>
      <c r="LB77" s="4">
        <f t="shared" si="365"/>
        <v>-0.44000000000000039</v>
      </c>
      <c r="LC77" s="4">
        <f t="shared" si="366"/>
        <v>0</v>
      </c>
      <c r="LD77" s="4">
        <f t="shared" si="367"/>
        <v>0.6</v>
      </c>
      <c r="LE77" s="4">
        <f t="shared" si="368"/>
        <v>-0.61000000000000032</v>
      </c>
      <c r="LF77" s="4">
        <f t="shared" si="369"/>
        <v>-0.37999999999999989</v>
      </c>
      <c r="LG77" s="4">
        <f t="shared" si="370"/>
        <v>-0.33999999999999986</v>
      </c>
      <c r="LH77" s="4">
        <f t="shared" si="371"/>
        <v>-0.50999999999999979</v>
      </c>
      <c r="LI77" s="4">
        <f t="shared" si="372"/>
        <v>-0.5</v>
      </c>
      <c r="LJ77" s="4">
        <f t="shared" si="373"/>
        <v>0</v>
      </c>
      <c r="LK77" s="4">
        <f t="shared" si="374"/>
        <v>0</v>
      </c>
      <c r="LL77" s="4">
        <f t="shared" si="375"/>
        <v>0.6</v>
      </c>
      <c r="LM77" s="4">
        <f t="shared" si="376"/>
        <v>0.29999999999999716</v>
      </c>
      <c r="LN77" s="4">
        <f t="shared" si="377"/>
        <v>0.10000000000000142</v>
      </c>
      <c r="LO77" s="4">
        <f t="shared" si="378"/>
        <v>0.19999999999999574</v>
      </c>
      <c r="LP77" s="4">
        <f t="shared" si="379"/>
        <v>-22</v>
      </c>
      <c r="LQ77" s="4">
        <f t="shared" si="380"/>
        <v>-9.9999999999999978E-2</v>
      </c>
      <c r="LR77" s="4">
        <f t="shared" si="381"/>
        <v>-0.70000000000000018</v>
      </c>
      <c r="LS77" s="4">
        <f t="shared" si="382"/>
        <v>-0.29999999999999982</v>
      </c>
      <c r="LT77" s="4">
        <f t="shared" si="383"/>
        <v>-0.5</v>
      </c>
      <c r="LU77" s="4">
        <f t="shared" si="384"/>
        <v>-108.60000000000001</v>
      </c>
      <c r="LV77" s="4">
        <f t="shared" si="385"/>
        <v>-0.3</v>
      </c>
      <c r="LW77" s="4">
        <f t="shared" si="386"/>
        <v>-0.60000000000000009</v>
      </c>
      <c r="LX77" s="4">
        <f t="shared" si="387"/>
        <v>-1.5999999999999996</v>
      </c>
      <c r="LY77" s="4">
        <f t="shared" si="388"/>
        <v>-2.3999999999999986</v>
      </c>
      <c r="LZ77" s="4">
        <f t="shared" si="389"/>
        <v>-0.89999999999999858</v>
      </c>
      <c r="MA77" s="4">
        <f t="shared" si="390"/>
        <v>-5</v>
      </c>
      <c r="MB77" s="4">
        <f t="shared" si="391"/>
        <v>-0.29999999999999716</v>
      </c>
      <c r="MC77" s="4">
        <f t="shared" si="392"/>
        <v>0.10000000000000142</v>
      </c>
      <c r="MD77" s="4">
        <f t="shared" si="393"/>
        <v>0.10000000000000053</v>
      </c>
      <c r="ME77" s="4">
        <f t="shared" si="394"/>
        <v>9.9999999999999645E-2</v>
      </c>
    </row>
    <row r="78" spans="1:343" ht="26.25" customHeight="1" thickBot="1" x14ac:dyDescent="0.25">
      <c r="A78" s="35">
        <v>41204</v>
      </c>
      <c r="B78" s="36" t="s">
        <v>142</v>
      </c>
      <c r="C78" s="36" t="s">
        <v>7</v>
      </c>
      <c r="D78" s="31" t="s">
        <v>110</v>
      </c>
      <c r="E78" s="36">
        <v>51</v>
      </c>
      <c r="F78" s="35">
        <v>22555</v>
      </c>
      <c r="G78" s="36" t="s">
        <v>87</v>
      </c>
      <c r="H78" s="36" t="s">
        <v>108</v>
      </c>
      <c r="I78" s="36">
        <v>1835596</v>
      </c>
      <c r="L78" s="81"/>
      <c r="M78" s="81"/>
      <c r="N78" s="81"/>
      <c r="O78" s="81"/>
      <c r="P78" s="33">
        <v>-0.5</v>
      </c>
      <c r="Q78" s="4">
        <v>-0.48</v>
      </c>
      <c r="R78" s="33" t="s">
        <v>249</v>
      </c>
      <c r="S78" s="67">
        <v>15</v>
      </c>
      <c r="T78" s="136">
        <v>41159</v>
      </c>
      <c r="U78" s="70">
        <v>-3.5</v>
      </c>
      <c r="V78" s="70">
        <v>0.5</v>
      </c>
      <c r="W78" s="36">
        <v>122</v>
      </c>
      <c r="X78" s="36">
        <v>25</v>
      </c>
      <c r="Y78" s="36">
        <v>11</v>
      </c>
      <c r="Z78" s="36">
        <v>606</v>
      </c>
      <c r="AA78" s="4">
        <v>24.02</v>
      </c>
      <c r="AB78" s="4">
        <v>11.5</v>
      </c>
      <c r="AC78" s="4">
        <v>4.13</v>
      </c>
      <c r="AD78" s="4">
        <v>3.9</v>
      </c>
      <c r="AE78" s="4">
        <v>46.87</v>
      </c>
      <c r="AF78" s="4">
        <v>1</v>
      </c>
      <c r="AG78" s="4">
        <v>47.67</v>
      </c>
      <c r="AH78" s="4">
        <v>91</v>
      </c>
      <c r="AI78" s="4">
        <v>1</v>
      </c>
      <c r="AJ78" s="4" t="b">
        <f t="shared" si="267"/>
        <v>1</v>
      </c>
      <c r="AK78" s="54"/>
      <c r="AL78" s="32" t="s">
        <v>78</v>
      </c>
      <c r="AM78" s="60"/>
      <c r="AN78" s="69">
        <v>-0.5</v>
      </c>
      <c r="AO78" s="69">
        <v>1.25</v>
      </c>
      <c r="AP78" s="64">
        <v>180</v>
      </c>
      <c r="AQ78" s="64">
        <v>25</v>
      </c>
      <c r="AR78" s="64">
        <v>17</v>
      </c>
      <c r="AS78" s="64">
        <v>487</v>
      </c>
      <c r="AT78" s="64">
        <v>2347</v>
      </c>
      <c r="BA78" s="4">
        <f t="shared" si="268"/>
        <v>0.125</v>
      </c>
      <c r="BB78" s="4">
        <f t="shared" si="265"/>
        <v>0.60499999999999998</v>
      </c>
      <c r="BC78" s="4">
        <f t="shared" si="269"/>
        <v>-119</v>
      </c>
      <c r="BD78" s="3" t="s">
        <v>78</v>
      </c>
      <c r="BS78" s="4" t="str">
        <f t="shared" si="266"/>
        <v/>
      </c>
      <c r="BT78" s="4" t="str">
        <f t="shared" si="270"/>
        <v/>
      </c>
      <c r="BU78" s="4" t="str">
        <f t="shared" si="271"/>
        <v/>
      </c>
      <c r="BV78" s="4">
        <f>IF(AND(ISBLANK(SPH_6),ISBLANK(SPH_12)),0,1)</f>
        <v>1</v>
      </c>
      <c r="BW78" s="4">
        <f t="shared" si="272"/>
        <v>0</v>
      </c>
      <c r="BX78" s="4" t="str">
        <f t="shared" si="273"/>
        <v/>
      </c>
      <c r="BY78" s="4" t="str">
        <f t="shared" si="274"/>
        <v/>
      </c>
      <c r="BZ78" s="4" t="str">
        <f t="shared" si="275"/>
        <v/>
      </c>
      <c r="CA78" s="53">
        <f t="shared" si="276"/>
        <v>0</v>
      </c>
      <c r="CB78" s="55" t="str">
        <f t="shared" si="277"/>
        <v/>
      </c>
      <c r="CC78" s="4" t="str">
        <f t="shared" si="278"/>
        <v/>
      </c>
      <c r="CD78" s="4" t="str">
        <f t="shared" si="279"/>
        <v/>
      </c>
      <c r="CE78" s="4" t="str">
        <f t="shared" si="280"/>
        <v/>
      </c>
      <c r="CF78" s="4" t="str">
        <f t="shared" si="281"/>
        <v/>
      </c>
      <c r="CG78" s="4">
        <f t="shared" si="395"/>
        <v>-3.25</v>
      </c>
      <c r="CH78" s="4">
        <f t="shared" si="282"/>
        <v>0.125</v>
      </c>
      <c r="CI78" s="104">
        <f t="shared" si="283"/>
        <v>0.60499999999999998</v>
      </c>
      <c r="CJ78" s="94">
        <f t="shared" si="284"/>
        <v>-119</v>
      </c>
      <c r="CK78" s="4" t="str">
        <f t="shared" si="285"/>
        <v/>
      </c>
      <c r="CL78" s="107">
        <f t="shared" si="286"/>
        <v>-0.48</v>
      </c>
      <c r="CM78" s="107">
        <f t="shared" si="396"/>
        <v>0</v>
      </c>
      <c r="CN78" s="139">
        <f t="shared" si="287"/>
        <v>1.25</v>
      </c>
      <c r="CO78" s="139">
        <f t="shared" si="288"/>
        <v>0.75</v>
      </c>
      <c r="CP78" s="149">
        <f t="shared" si="289"/>
        <v>25</v>
      </c>
      <c r="CQ78" s="149">
        <f t="shared" si="290"/>
        <v>25</v>
      </c>
      <c r="CR78" s="148" t="str">
        <f t="shared" si="291"/>
        <v/>
      </c>
      <c r="CS78" s="152" t="str">
        <f t="shared" si="292"/>
        <v/>
      </c>
      <c r="CT78" s="107" t="str">
        <f t="shared" si="293"/>
        <v/>
      </c>
      <c r="CU78" s="155" t="str">
        <f t="shared" si="294"/>
        <v/>
      </c>
      <c r="IJ78" s="94" t="str">
        <f t="shared" si="295"/>
        <v/>
      </c>
      <c r="IK78" s="4" t="str">
        <f t="shared" si="296"/>
        <v/>
      </c>
      <c r="IL78" s="4" t="str">
        <f t="shared" si="297"/>
        <v/>
      </c>
      <c r="IM78" s="4" t="str">
        <f t="shared" si="298"/>
        <v/>
      </c>
      <c r="IN78" s="4" t="str">
        <f t="shared" si="299"/>
        <v/>
      </c>
      <c r="IO78" s="4" t="str">
        <f t="shared" si="300"/>
        <v/>
      </c>
      <c r="IP78" s="4" t="str">
        <f t="shared" si="301"/>
        <v/>
      </c>
      <c r="IQ78" s="4" t="str">
        <f t="shared" si="302"/>
        <v/>
      </c>
      <c r="IR78" s="4" t="str">
        <f t="shared" si="303"/>
        <v/>
      </c>
      <c r="IS78" s="4" t="str">
        <f t="shared" si="304"/>
        <v/>
      </c>
      <c r="IT78" s="4" t="str">
        <f t="shared" si="305"/>
        <v/>
      </c>
      <c r="IU78" s="4" t="str">
        <f t="shared" si="306"/>
        <v/>
      </c>
      <c r="IV78" s="4" t="str">
        <f t="shared" si="307"/>
        <v/>
      </c>
      <c r="IW78" s="4" t="str">
        <f t="shared" si="308"/>
        <v/>
      </c>
      <c r="IX78" s="4" t="str">
        <f t="shared" si="309"/>
        <v/>
      </c>
      <c r="IY78" s="4" t="str">
        <f t="shared" si="310"/>
        <v/>
      </c>
      <c r="IZ78" s="4" t="str">
        <f t="shared" si="311"/>
        <v/>
      </c>
      <c r="JA78" s="4" t="str">
        <f t="shared" si="312"/>
        <v/>
      </c>
      <c r="JB78" s="4" t="str">
        <f t="shared" si="313"/>
        <v/>
      </c>
      <c r="JC78" s="4" t="str">
        <f t="shared" si="314"/>
        <v/>
      </c>
      <c r="JD78" s="4" t="str">
        <f t="shared" si="315"/>
        <v/>
      </c>
      <c r="JE78" s="4" t="str">
        <f t="shared" si="316"/>
        <v/>
      </c>
      <c r="JF78" s="4" t="str">
        <f t="shared" si="317"/>
        <v/>
      </c>
      <c r="JG78" s="4" t="str">
        <f t="shared" si="318"/>
        <v/>
      </c>
      <c r="JH78" s="4" t="str">
        <f t="shared" si="319"/>
        <v/>
      </c>
      <c r="JI78" s="4" t="str">
        <f t="shared" si="320"/>
        <v/>
      </c>
      <c r="JJ78" s="4" t="str">
        <f t="shared" si="321"/>
        <v/>
      </c>
      <c r="JK78" s="4" t="str">
        <f t="shared" si="322"/>
        <v/>
      </c>
      <c r="JL78" s="4" t="str">
        <f t="shared" si="323"/>
        <v/>
      </c>
      <c r="JM78" s="4" t="str">
        <f t="shared" si="324"/>
        <v/>
      </c>
      <c r="JN78" s="4" t="str">
        <f t="shared" si="325"/>
        <v/>
      </c>
      <c r="JO78" s="129" t="str">
        <f t="shared" si="326"/>
        <v/>
      </c>
      <c r="JP78" s="122" t="str">
        <f t="shared" si="327"/>
        <v/>
      </c>
      <c r="JQ78" s="122" t="str">
        <f t="shared" si="328"/>
        <v/>
      </c>
      <c r="JR78" s="122" t="str">
        <f t="shared" si="329"/>
        <v/>
      </c>
      <c r="JS78" s="122" t="str">
        <f t="shared" si="330"/>
        <v/>
      </c>
      <c r="JT78" s="122" t="str">
        <f t="shared" si="331"/>
        <v/>
      </c>
      <c r="JU78" s="122" t="str">
        <f t="shared" si="332"/>
        <v/>
      </c>
      <c r="JV78" s="122" t="str">
        <f t="shared" si="333"/>
        <v/>
      </c>
      <c r="JW78" s="122" t="str">
        <f t="shared" si="334"/>
        <v/>
      </c>
      <c r="JX78" s="122" t="str">
        <f t="shared" si="335"/>
        <v/>
      </c>
      <c r="JY78" s="122" t="str">
        <f t="shared" si="336"/>
        <v/>
      </c>
      <c r="JZ78" s="122" t="str">
        <f t="shared" si="337"/>
        <v/>
      </c>
      <c r="KA78" s="122" t="str">
        <f t="shared" si="338"/>
        <v/>
      </c>
      <c r="KB78" s="122" t="str">
        <f t="shared" si="339"/>
        <v/>
      </c>
      <c r="KC78" s="122" t="str">
        <f t="shared" si="340"/>
        <v/>
      </c>
      <c r="KD78" s="122" t="str">
        <f t="shared" si="341"/>
        <v/>
      </c>
      <c r="KE78" s="133" t="str">
        <f t="shared" si="342"/>
        <v/>
      </c>
      <c r="KF78" s="94" t="str">
        <f t="shared" si="343"/>
        <v/>
      </c>
      <c r="KG78" s="4" t="str">
        <f t="shared" si="344"/>
        <v/>
      </c>
      <c r="KH78" s="4" t="str">
        <f t="shared" si="345"/>
        <v/>
      </c>
      <c r="KI78" s="4" t="str">
        <f t="shared" si="346"/>
        <v/>
      </c>
      <c r="KJ78" s="4" t="str">
        <f t="shared" si="347"/>
        <v/>
      </c>
      <c r="KK78" s="4" t="str">
        <f t="shared" si="348"/>
        <v/>
      </c>
      <c r="KL78" s="4" t="str">
        <f t="shared" si="349"/>
        <v/>
      </c>
      <c r="KM78" s="4" t="str">
        <f t="shared" si="350"/>
        <v/>
      </c>
      <c r="KN78" s="4" t="str">
        <f t="shared" si="351"/>
        <v/>
      </c>
      <c r="KO78" s="4" t="str">
        <f t="shared" si="352"/>
        <v/>
      </c>
      <c r="KP78" s="4" t="str">
        <f t="shared" si="353"/>
        <v/>
      </c>
      <c r="KQ78" s="4" t="str">
        <f t="shared" si="354"/>
        <v/>
      </c>
      <c r="KR78" s="4" t="str">
        <f t="shared" si="355"/>
        <v/>
      </c>
      <c r="KS78" s="4" t="str">
        <f t="shared" si="356"/>
        <v/>
      </c>
      <c r="KT78" s="4" t="str">
        <f t="shared" si="357"/>
        <v/>
      </c>
      <c r="KU78" s="4" t="str">
        <f t="shared" si="358"/>
        <v/>
      </c>
      <c r="KV78" s="4" t="str">
        <f t="shared" si="359"/>
        <v/>
      </c>
      <c r="KW78" s="4" t="str">
        <f t="shared" si="360"/>
        <v/>
      </c>
      <c r="KX78" s="4" t="str">
        <f t="shared" si="361"/>
        <v/>
      </c>
      <c r="KY78" s="4" t="str">
        <f t="shared" si="362"/>
        <v/>
      </c>
      <c r="KZ78" s="4" t="str">
        <f t="shared" si="363"/>
        <v/>
      </c>
      <c r="LA78" s="4" t="str">
        <f t="shared" si="364"/>
        <v/>
      </c>
      <c r="LB78" s="4" t="str">
        <f t="shared" si="365"/>
        <v/>
      </c>
      <c r="LC78" s="4" t="str">
        <f t="shared" si="366"/>
        <v/>
      </c>
      <c r="LD78" s="4" t="str">
        <f t="shared" si="367"/>
        <v/>
      </c>
      <c r="LE78" s="4" t="str">
        <f t="shared" si="368"/>
        <v/>
      </c>
      <c r="LF78" s="4" t="str">
        <f t="shared" si="369"/>
        <v/>
      </c>
      <c r="LG78" s="4" t="str">
        <f t="shared" si="370"/>
        <v/>
      </c>
      <c r="LH78" s="4" t="str">
        <f t="shared" si="371"/>
        <v/>
      </c>
      <c r="LI78" s="4" t="str">
        <f t="shared" si="372"/>
        <v/>
      </c>
      <c r="LJ78" s="4" t="str">
        <f t="shared" si="373"/>
        <v/>
      </c>
      <c r="LK78" s="4" t="str">
        <f t="shared" si="374"/>
        <v/>
      </c>
      <c r="LL78" s="4" t="str">
        <f t="shared" si="375"/>
        <v/>
      </c>
      <c r="LM78" s="4" t="str">
        <f t="shared" si="376"/>
        <v/>
      </c>
      <c r="LN78" s="4" t="str">
        <f t="shared" si="377"/>
        <v/>
      </c>
      <c r="LO78" s="4" t="str">
        <f t="shared" si="378"/>
        <v/>
      </c>
      <c r="LP78" s="4" t="str">
        <f t="shared" si="379"/>
        <v/>
      </c>
      <c r="LQ78" s="4" t="str">
        <f t="shared" si="380"/>
        <v/>
      </c>
      <c r="LR78" s="4" t="str">
        <f t="shared" si="381"/>
        <v/>
      </c>
      <c r="LS78" s="4" t="str">
        <f t="shared" si="382"/>
        <v/>
      </c>
      <c r="LT78" s="4" t="str">
        <f t="shared" si="383"/>
        <v/>
      </c>
      <c r="LU78" s="4" t="str">
        <f t="shared" si="384"/>
        <v/>
      </c>
      <c r="LV78" s="4" t="str">
        <f t="shared" si="385"/>
        <v/>
      </c>
      <c r="LW78" s="4" t="str">
        <f t="shared" si="386"/>
        <v/>
      </c>
      <c r="LX78" s="4" t="str">
        <f t="shared" si="387"/>
        <v/>
      </c>
      <c r="LY78" s="4" t="str">
        <f t="shared" si="388"/>
        <v/>
      </c>
      <c r="LZ78" s="4" t="str">
        <f t="shared" si="389"/>
        <v/>
      </c>
      <c r="MA78" s="4" t="str">
        <f t="shared" si="390"/>
        <v/>
      </c>
      <c r="MB78" s="4" t="str">
        <f t="shared" si="391"/>
        <v/>
      </c>
      <c r="MC78" s="4" t="str">
        <f t="shared" si="392"/>
        <v/>
      </c>
      <c r="MD78" s="4" t="str">
        <f t="shared" si="393"/>
        <v/>
      </c>
      <c r="ME78" s="4">
        <f t="shared" si="394"/>
        <v>0</v>
      </c>
    </row>
    <row r="79" spans="1:343" ht="26.25" customHeight="1" thickBot="1" x14ac:dyDescent="0.25">
      <c r="A79" s="35">
        <v>41213</v>
      </c>
      <c r="B79" s="36" t="s">
        <v>137</v>
      </c>
      <c r="C79" s="36" t="s">
        <v>229</v>
      </c>
      <c r="D79" s="31" t="s">
        <v>110</v>
      </c>
      <c r="E79" s="4">
        <v>55</v>
      </c>
      <c r="F79" s="3">
        <v>21053</v>
      </c>
      <c r="G79" s="4" t="s">
        <v>87</v>
      </c>
      <c r="H79" s="4" t="s">
        <v>108</v>
      </c>
      <c r="I79" s="4">
        <v>1835663</v>
      </c>
      <c r="K79" s="74"/>
      <c r="L79" s="75"/>
      <c r="M79" s="75"/>
      <c r="N79" s="75"/>
      <c r="O79" s="75"/>
      <c r="P79" s="4">
        <v>-0.5</v>
      </c>
      <c r="Q79" s="4">
        <v>-0.52</v>
      </c>
      <c r="R79" s="4" t="s">
        <v>249</v>
      </c>
      <c r="S79" s="67">
        <v>21.75</v>
      </c>
      <c r="T79" s="136">
        <v>41179</v>
      </c>
      <c r="U79" s="67">
        <v>0</v>
      </c>
      <c r="V79" s="67">
        <v>1.25</v>
      </c>
      <c r="W79" s="4">
        <v>7</v>
      </c>
      <c r="X79" s="4">
        <v>60</v>
      </c>
      <c r="Y79" s="4">
        <v>14</v>
      </c>
      <c r="Z79" s="4">
        <v>697</v>
      </c>
      <c r="AA79" s="4">
        <v>23.83</v>
      </c>
      <c r="AB79" s="4">
        <v>12.1</v>
      </c>
      <c r="AC79" s="4">
        <v>4.72</v>
      </c>
      <c r="AD79" s="4">
        <v>2.78</v>
      </c>
      <c r="AE79" s="4">
        <v>41.75</v>
      </c>
      <c r="AF79" s="4">
        <v>1</v>
      </c>
      <c r="AG79" s="4">
        <v>43</v>
      </c>
      <c r="AH79" s="4">
        <v>91</v>
      </c>
      <c r="AI79" s="4">
        <v>0</v>
      </c>
      <c r="AJ79" s="4" t="b">
        <f t="shared" si="267"/>
        <v>0</v>
      </c>
      <c r="AK79" s="43" t="s">
        <v>275</v>
      </c>
      <c r="AL79" s="32">
        <v>41340</v>
      </c>
      <c r="AM79" s="60">
        <v>40</v>
      </c>
      <c r="AN79" s="67">
        <v>-1.25</v>
      </c>
      <c r="AO79" s="67">
        <v>0.5</v>
      </c>
      <c r="AP79" s="4">
        <v>60</v>
      </c>
      <c r="AQ79" s="4">
        <v>20</v>
      </c>
      <c r="AR79" s="4">
        <v>12</v>
      </c>
      <c r="AS79" s="4">
        <v>514</v>
      </c>
      <c r="AT79" s="4">
        <v>1961</v>
      </c>
      <c r="BA79" s="4">
        <f t="shared" si="268"/>
        <v>-1</v>
      </c>
      <c r="BB79" s="4">
        <f t="shared" si="265"/>
        <v>-0.48</v>
      </c>
      <c r="BC79" s="4">
        <f t="shared" si="269"/>
        <v>-183</v>
      </c>
      <c r="BD79" s="51" t="s">
        <v>505</v>
      </c>
      <c r="BS79" s="4" t="str">
        <f t="shared" si="266"/>
        <v/>
      </c>
      <c r="BT79" s="4" t="str">
        <f t="shared" si="270"/>
        <v/>
      </c>
      <c r="BU79" s="4" t="str">
        <f t="shared" si="271"/>
        <v/>
      </c>
      <c r="BV79" s="4">
        <f>IF(AND(ISBLANK(SPH_6),ISBLANK(SPH_12)),0,1)</f>
        <v>1</v>
      </c>
      <c r="BW79" s="4">
        <f t="shared" si="272"/>
        <v>0</v>
      </c>
      <c r="BX79" s="4" t="str">
        <f t="shared" si="273"/>
        <v/>
      </c>
      <c r="BY79" s="4" t="str">
        <f t="shared" si="274"/>
        <v/>
      </c>
      <c r="BZ79" s="4" t="str">
        <f t="shared" si="275"/>
        <v/>
      </c>
      <c r="CA79" s="53">
        <f t="shared" si="276"/>
        <v>127</v>
      </c>
      <c r="CB79" s="55">
        <f t="shared" si="277"/>
        <v>4.2333333333333334</v>
      </c>
      <c r="CC79" s="4" t="str">
        <f t="shared" si="278"/>
        <v/>
      </c>
      <c r="CD79" s="4" t="str">
        <f t="shared" si="279"/>
        <v/>
      </c>
      <c r="CE79" s="4" t="str">
        <f t="shared" si="280"/>
        <v/>
      </c>
      <c r="CF79" s="4" t="str">
        <f t="shared" si="281"/>
        <v/>
      </c>
      <c r="CG79" s="4">
        <f t="shared" si="395"/>
        <v>0.625</v>
      </c>
      <c r="CH79" s="4">
        <f t="shared" si="282"/>
        <v>-1</v>
      </c>
      <c r="CI79" s="104">
        <f t="shared" si="283"/>
        <v>-0.48</v>
      </c>
      <c r="CJ79" s="94">
        <f t="shared" si="284"/>
        <v>-183</v>
      </c>
      <c r="CK79" s="4" t="str">
        <f t="shared" si="285"/>
        <v/>
      </c>
      <c r="CL79" s="107">
        <f t="shared" si="286"/>
        <v>-0.52</v>
      </c>
      <c r="CM79" s="107">
        <f t="shared" si="396"/>
        <v>0.47712125471966244</v>
      </c>
      <c r="CN79" s="139">
        <f t="shared" si="287"/>
        <v>0.5</v>
      </c>
      <c r="CO79" s="139">
        <f t="shared" si="288"/>
        <v>-0.75</v>
      </c>
      <c r="CP79" s="149">
        <f t="shared" si="289"/>
        <v>20</v>
      </c>
      <c r="CQ79" s="149">
        <f t="shared" si="290"/>
        <v>60</v>
      </c>
      <c r="CR79" s="148">
        <f t="shared" si="291"/>
        <v>40</v>
      </c>
      <c r="CS79" s="152" t="str">
        <f t="shared" si="292"/>
        <v/>
      </c>
      <c r="CT79" s="107" t="str">
        <f t="shared" si="293"/>
        <v/>
      </c>
      <c r="CU79" s="155" t="str">
        <f t="shared" si="294"/>
        <v/>
      </c>
      <c r="ER79" s="94">
        <v>8.23</v>
      </c>
      <c r="ES79" s="4">
        <v>8.01</v>
      </c>
      <c r="ET79" s="4">
        <v>14.8</v>
      </c>
      <c r="EU79" s="4">
        <v>-1.1000000000000001</v>
      </c>
      <c r="EV79" s="4">
        <v>0.68</v>
      </c>
      <c r="EW79" s="4">
        <v>0.71</v>
      </c>
      <c r="EX79" s="4">
        <v>4.3899999999999997</v>
      </c>
      <c r="EY79" s="4">
        <v>4.93</v>
      </c>
      <c r="EZ79" s="4">
        <v>532</v>
      </c>
      <c r="FA79" s="4">
        <v>528</v>
      </c>
      <c r="FB79" s="4">
        <v>683</v>
      </c>
      <c r="FC79" s="4">
        <v>582</v>
      </c>
      <c r="FD79" s="4">
        <v>605</v>
      </c>
      <c r="FE79" s="4">
        <v>615</v>
      </c>
      <c r="FF79" s="4">
        <v>518</v>
      </c>
      <c r="FG79" s="4">
        <v>1.3</v>
      </c>
      <c r="FH79" s="4">
        <v>-0.79</v>
      </c>
      <c r="FI79" s="4">
        <v>8.1</v>
      </c>
      <c r="FJ79" s="4">
        <v>8.1199999999999992</v>
      </c>
      <c r="FK79" s="4">
        <v>8.1999999999999993</v>
      </c>
      <c r="FL79" s="4">
        <v>8.4499999999999993</v>
      </c>
      <c r="FM79" s="4">
        <v>8.85</v>
      </c>
      <c r="FN79" s="4">
        <v>9</v>
      </c>
      <c r="FO79" s="4">
        <v>0</v>
      </c>
      <c r="FP79" s="4">
        <v>0.9</v>
      </c>
      <c r="FQ79" s="4">
        <v>6.95</v>
      </c>
      <c r="FR79" s="4">
        <v>6.6</v>
      </c>
      <c r="FS79" s="4">
        <v>6.65</v>
      </c>
      <c r="FT79" s="4">
        <v>7.2</v>
      </c>
      <c r="FU79" s="4">
        <v>7.61</v>
      </c>
      <c r="FV79" s="4">
        <v>7.57</v>
      </c>
      <c r="FW79" s="4">
        <v>0</v>
      </c>
      <c r="FX79" s="97">
        <v>0.9</v>
      </c>
      <c r="IJ79" s="94">
        <f t="shared" si="295"/>
        <v>8.23</v>
      </c>
      <c r="IK79" s="4">
        <f t="shared" si="296"/>
        <v>8.01</v>
      </c>
      <c r="IL79" s="4">
        <f t="shared" si="297"/>
        <v>14.8</v>
      </c>
      <c r="IM79" s="4">
        <f t="shared" si="298"/>
        <v>-1.1000000000000001</v>
      </c>
      <c r="IN79" s="4">
        <f t="shared" si="299"/>
        <v>0.68</v>
      </c>
      <c r="IO79" s="4">
        <f t="shared" si="300"/>
        <v>0.71</v>
      </c>
      <c r="IP79" s="4">
        <f t="shared" si="301"/>
        <v>4.3899999999999997</v>
      </c>
      <c r="IQ79" s="4">
        <f t="shared" si="302"/>
        <v>4.93</v>
      </c>
      <c r="IR79" s="4">
        <f t="shared" si="303"/>
        <v>532</v>
      </c>
      <c r="IS79" s="4">
        <f t="shared" si="304"/>
        <v>528</v>
      </c>
      <c r="IT79" s="4">
        <f t="shared" si="305"/>
        <v>683</v>
      </c>
      <c r="IU79" s="4">
        <f t="shared" si="306"/>
        <v>582</v>
      </c>
      <c r="IV79" s="4">
        <f t="shared" si="307"/>
        <v>605</v>
      </c>
      <c r="IW79" s="4">
        <f t="shared" si="308"/>
        <v>615</v>
      </c>
      <c r="IX79" s="4">
        <f t="shared" si="309"/>
        <v>518</v>
      </c>
      <c r="IY79" s="4">
        <f t="shared" si="310"/>
        <v>1.3</v>
      </c>
      <c r="IZ79" s="4">
        <f t="shared" si="311"/>
        <v>-0.79</v>
      </c>
      <c r="JA79" s="4">
        <f t="shared" si="312"/>
        <v>8.1</v>
      </c>
      <c r="JB79" s="4">
        <f t="shared" si="313"/>
        <v>8.1199999999999992</v>
      </c>
      <c r="JC79" s="4">
        <f t="shared" si="314"/>
        <v>8.1999999999999993</v>
      </c>
      <c r="JD79" s="4">
        <f t="shared" si="315"/>
        <v>8.4499999999999993</v>
      </c>
      <c r="JE79" s="4">
        <f t="shared" si="316"/>
        <v>8.85</v>
      </c>
      <c r="JF79" s="4">
        <f t="shared" si="317"/>
        <v>9</v>
      </c>
      <c r="JG79" s="4">
        <f t="shared" si="318"/>
        <v>0</v>
      </c>
      <c r="JH79" s="4">
        <f t="shared" si="319"/>
        <v>0.9</v>
      </c>
      <c r="JI79" s="4">
        <f t="shared" si="320"/>
        <v>6.95</v>
      </c>
      <c r="JJ79" s="4">
        <f t="shared" si="321"/>
        <v>6.6</v>
      </c>
      <c r="JK79" s="4">
        <f t="shared" si="322"/>
        <v>6.65</v>
      </c>
      <c r="JL79" s="4">
        <f t="shared" si="323"/>
        <v>7.2</v>
      </c>
      <c r="JM79" s="4">
        <f t="shared" si="324"/>
        <v>7.61</v>
      </c>
      <c r="JN79" s="4">
        <f t="shared" si="325"/>
        <v>7.57</v>
      </c>
      <c r="JO79" s="129">
        <f t="shared" si="326"/>
        <v>0</v>
      </c>
      <c r="JP79" s="122">
        <f t="shared" si="327"/>
        <v>0.9</v>
      </c>
      <c r="JQ79" s="122" t="str">
        <f t="shared" si="328"/>
        <v/>
      </c>
      <c r="JR79" s="122" t="str">
        <f t="shared" si="329"/>
        <v/>
      </c>
      <c r="JS79" s="122" t="str">
        <f t="shared" si="330"/>
        <v/>
      </c>
      <c r="JT79" s="122" t="str">
        <f t="shared" si="331"/>
        <v/>
      </c>
      <c r="JU79" s="122" t="str">
        <f t="shared" si="332"/>
        <v/>
      </c>
      <c r="JV79" s="122" t="str">
        <f t="shared" si="333"/>
        <v/>
      </c>
      <c r="JW79" s="122" t="str">
        <f t="shared" si="334"/>
        <v/>
      </c>
      <c r="JX79" s="122" t="str">
        <f t="shared" si="335"/>
        <v/>
      </c>
      <c r="JY79" s="122" t="str">
        <f t="shared" si="336"/>
        <v/>
      </c>
      <c r="JZ79" s="122" t="str">
        <f t="shared" si="337"/>
        <v/>
      </c>
      <c r="KA79" s="122" t="str">
        <f t="shared" si="338"/>
        <v/>
      </c>
      <c r="KB79" s="122" t="str">
        <f t="shared" si="339"/>
        <v/>
      </c>
      <c r="KC79" s="122" t="str">
        <f t="shared" si="340"/>
        <v/>
      </c>
      <c r="KD79" s="122" t="str">
        <f t="shared" si="341"/>
        <v/>
      </c>
      <c r="KE79" s="133" t="str">
        <f t="shared" si="342"/>
        <v/>
      </c>
      <c r="KF79" s="94" t="str">
        <f t="shared" si="343"/>
        <v/>
      </c>
      <c r="KG79" s="4" t="str">
        <f t="shared" si="344"/>
        <v/>
      </c>
      <c r="KH79" s="4" t="str">
        <f t="shared" si="345"/>
        <v/>
      </c>
      <c r="KI79" s="4" t="str">
        <f t="shared" si="346"/>
        <v/>
      </c>
      <c r="KJ79" s="4" t="str">
        <f t="shared" si="347"/>
        <v/>
      </c>
      <c r="KK79" s="4" t="str">
        <f t="shared" si="348"/>
        <v/>
      </c>
      <c r="KL79" s="4" t="str">
        <f t="shared" si="349"/>
        <v/>
      </c>
      <c r="KM79" s="4" t="str">
        <f t="shared" si="350"/>
        <v/>
      </c>
      <c r="KN79" s="4" t="str">
        <f t="shared" si="351"/>
        <v/>
      </c>
      <c r="KO79" s="4" t="str">
        <f t="shared" si="352"/>
        <v/>
      </c>
      <c r="KP79" s="4" t="str">
        <f t="shared" si="353"/>
        <v/>
      </c>
      <c r="KQ79" s="4" t="str">
        <f t="shared" si="354"/>
        <v/>
      </c>
      <c r="KR79" s="4" t="str">
        <f t="shared" si="355"/>
        <v/>
      </c>
      <c r="KS79" s="4" t="str">
        <f t="shared" si="356"/>
        <v/>
      </c>
      <c r="KT79" s="4" t="str">
        <f t="shared" si="357"/>
        <v/>
      </c>
      <c r="KU79" s="4" t="str">
        <f t="shared" si="358"/>
        <v/>
      </c>
      <c r="KV79" s="4" t="str">
        <f t="shared" si="359"/>
        <v/>
      </c>
      <c r="KW79" s="4" t="str">
        <f t="shared" si="360"/>
        <v/>
      </c>
      <c r="KX79" s="4" t="str">
        <f t="shared" si="361"/>
        <v/>
      </c>
      <c r="KY79" s="4" t="str">
        <f t="shared" si="362"/>
        <v/>
      </c>
      <c r="KZ79" s="4" t="str">
        <f t="shared" si="363"/>
        <v/>
      </c>
      <c r="LA79" s="4" t="str">
        <f t="shared" si="364"/>
        <v/>
      </c>
      <c r="LB79" s="4" t="str">
        <f t="shared" si="365"/>
        <v/>
      </c>
      <c r="LC79" s="4" t="str">
        <f t="shared" si="366"/>
        <v/>
      </c>
      <c r="LD79" s="4" t="str">
        <f t="shared" si="367"/>
        <v/>
      </c>
      <c r="LE79" s="4" t="str">
        <f t="shared" si="368"/>
        <v/>
      </c>
      <c r="LF79" s="4" t="str">
        <f t="shared" si="369"/>
        <v/>
      </c>
      <c r="LG79" s="4" t="str">
        <f t="shared" si="370"/>
        <v/>
      </c>
      <c r="LH79" s="4" t="str">
        <f t="shared" si="371"/>
        <v/>
      </c>
      <c r="LI79" s="4" t="str">
        <f t="shared" si="372"/>
        <v/>
      </c>
      <c r="LJ79" s="4" t="str">
        <f t="shared" si="373"/>
        <v/>
      </c>
      <c r="LK79" s="4" t="str">
        <f t="shared" si="374"/>
        <v/>
      </c>
      <c r="LL79" s="4" t="str">
        <f t="shared" si="375"/>
        <v/>
      </c>
      <c r="LM79" s="4" t="str">
        <f t="shared" si="376"/>
        <v/>
      </c>
      <c r="LN79" s="4" t="str">
        <f t="shared" si="377"/>
        <v/>
      </c>
      <c r="LO79" s="4" t="str">
        <f t="shared" si="378"/>
        <v/>
      </c>
      <c r="LP79" s="4" t="str">
        <f t="shared" si="379"/>
        <v/>
      </c>
      <c r="LQ79" s="4" t="str">
        <f t="shared" si="380"/>
        <v/>
      </c>
      <c r="LR79" s="4" t="str">
        <f t="shared" si="381"/>
        <v/>
      </c>
      <c r="LS79" s="4" t="str">
        <f t="shared" si="382"/>
        <v/>
      </c>
      <c r="LT79" s="4" t="str">
        <f t="shared" si="383"/>
        <v/>
      </c>
      <c r="LU79" s="4" t="str">
        <f t="shared" si="384"/>
        <v/>
      </c>
      <c r="LV79" s="4" t="str">
        <f t="shared" si="385"/>
        <v/>
      </c>
      <c r="LW79" s="4" t="str">
        <f t="shared" si="386"/>
        <v/>
      </c>
      <c r="LX79" s="4" t="str">
        <f t="shared" si="387"/>
        <v/>
      </c>
      <c r="LY79" s="4" t="str">
        <f t="shared" si="388"/>
        <v/>
      </c>
      <c r="LZ79" s="4" t="str">
        <f t="shared" si="389"/>
        <v/>
      </c>
      <c r="MA79" s="4" t="str">
        <f t="shared" si="390"/>
        <v/>
      </c>
      <c r="MB79" s="4" t="str">
        <f t="shared" si="391"/>
        <v/>
      </c>
      <c r="MC79" s="4" t="str">
        <f t="shared" si="392"/>
        <v/>
      </c>
      <c r="MD79" s="4" t="str">
        <f t="shared" si="393"/>
        <v/>
      </c>
      <c r="ME79" s="4">
        <f t="shared" si="394"/>
        <v>0</v>
      </c>
    </row>
    <row r="80" spans="1:343" ht="26.25" customHeight="1" thickBot="1" x14ac:dyDescent="0.25">
      <c r="A80" s="35">
        <v>41206</v>
      </c>
      <c r="B80" s="36" t="s">
        <v>214</v>
      </c>
      <c r="C80" s="36" t="s">
        <v>9</v>
      </c>
      <c r="D80" s="31" t="s">
        <v>111</v>
      </c>
      <c r="E80" s="4">
        <v>57</v>
      </c>
      <c r="F80" s="3">
        <v>20225</v>
      </c>
      <c r="G80" s="4" t="s">
        <v>87</v>
      </c>
      <c r="H80" s="4" t="s">
        <v>112</v>
      </c>
      <c r="I80" s="4">
        <v>1835684</v>
      </c>
      <c r="K80" s="74"/>
      <c r="L80" s="75"/>
      <c r="M80" s="75"/>
      <c r="N80" s="75"/>
      <c r="O80" s="75"/>
      <c r="P80" s="4">
        <v>-0.5</v>
      </c>
      <c r="Q80" s="4">
        <v>-0.52</v>
      </c>
      <c r="R80" s="39" t="s">
        <v>249</v>
      </c>
      <c r="S80" s="70">
        <v>12.5</v>
      </c>
      <c r="T80" s="136">
        <v>41204</v>
      </c>
      <c r="U80" s="67">
        <v>-14.5</v>
      </c>
      <c r="V80" s="67">
        <v>1</v>
      </c>
      <c r="W80" s="4">
        <v>80</v>
      </c>
      <c r="X80" s="4">
        <v>80</v>
      </c>
      <c r="Y80" s="4">
        <v>24</v>
      </c>
      <c r="Z80" s="4">
        <v>522</v>
      </c>
      <c r="AA80" s="4">
        <v>25.73</v>
      </c>
      <c r="AB80" s="4">
        <v>12.1</v>
      </c>
      <c r="AC80" s="4">
        <v>4.6900000000000004</v>
      </c>
      <c r="AD80" s="4">
        <v>3.71</v>
      </c>
      <c r="AE80" s="4">
        <v>44.64</v>
      </c>
      <c r="AF80" s="4">
        <v>177</v>
      </c>
      <c r="AG80" s="4">
        <v>45.42</v>
      </c>
      <c r="AH80" s="4">
        <v>87</v>
      </c>
      <c r="AI80" s="4">
        <v>0</v>
      </c>
      <c r="AJ80" s="4" t="b">
        <f t="shared" si="267"/>
        <v>0</v>
      </c>
      <c r="AL80" s="3" t="s">
        <v>78</v>
      </c>
      <c r="AN80" s="69">
        <v>0</v>
      </c>
      <c r="AO80" s="69">
        <v>0.5</v>
      </c>
      <c r="AP80" s="64">
        <v>45</v>
      </c>
      <c r="AQ80" s="64">
        <v>20</v>
      </c>
      <c r="AR80" s="64">
        <v>14</v>
      </c>
      <c r="AS80" s="64">
        <v>490</v>
      </c>
      <c r="AT80" s="64">
        <v>2326</v>
      </c>
      <c r="BA80" s="4">
        <f t="shared" si="268"/>
        <v>0.25</v>
      </c>
      <c r="BB80" s="4">
        <f t="shared" si="265"/>
        <v>0.77</v>
      </c>
      <c r="BC80" s="4">
        <f t="shared" si="269"/>
        <v>-32</v>
      </c>
      <c r="BD80" s="51" t="s">
        <v>505</v>
      </c>
      <c r="BS80" s="4" t="str">
        <f t="shared" si="266"/>
        <v/>
      </c>
      <c r="BT80" s="4" t="str">
        <f t="shared" si="270"/>
        <v/>
      </c>
      <c r="BU80" s="4" t="str">
        <f t="shared" si="271"/>
        <v/>
      </c>
      <c r="BV80" s="4">
        <f>IF(AND(ISBLANK(SPH_6),ISBLANK(SPH_12)),0,1)</f>
        <v>1</v>
      </c>
      <c r="BW80" s="4">
        <f t="shared" si="272"/>
        <v>0</v>
      </c>
      <c r="BX80" s="4" t="str">
        <f t="shared" si="273"/>
        <v/>
      </c>
      <c r="BY80" s="4" t="str">
        <f t="shared" si="274"/>
        <v/>
      </c>
      <c r="BZ80" s="4" t="str">
        <f t="shared" si="275"/>
        <v/>
      </c>
      <c r="CA80" s="53">
        <f t="shared" si="276"/>
        <v>0</v>
      </c>
      <c r="CB80" s="55" t="str">
        <f t="shared" si="277"/>
        <v/>
      </c>
      <c r="CC80" s="4" t="str">
        <f t="shared" si="278"/>
        <v/>
      </c>
      <c r="CD80" s="4" t="str">
        <f t="shared" si="279"/>
        <v/>
      </c>
      <c r="CE80" s="4" t="str">
        <f t="shared" si="280"/>
        <v/>
      </c>
      <c r="CF80" s="4" t="str">
        <f t="shared" si="281"/>
        <v/>
      </c>
      <c r="CG80" s="4">
        <f t="shared" si="395"/>
        <v>-14</v>
      </c>
      <c r="CH80" s="4">
        <f t="shared" si="282"/>
        <v>0.25</v>
      </c>
      <c r="CI80" s="104">
        <f t="shared" si="283"/>
        <v>0.77</v>
      </c>
      <c r="CJ80" s="94">
        <f t="shared" si="284"/>
        <v>-32</v>
      </c>
      <c r="CK80" s="4" t="str">
        <f t="shared" si="285"/>
        <v/>
      </c>
      <c r="CL80" s="107">
        <f t="shared" si="286"/>
        <v>-0.52</v>
      </c>
      <c r="CM80" s="107">
        <f t="shared" si="396"/>
        <v>0.6020599913279624</v>
      </c>
      <c r="CN80" s="139">
        <f t="shared" si="287"/>
        <v>0.5</v>
      </c>
      <c r="CO80" s="139">
        <f t="shared" si="288"/>
        <v>-0.5</v>
      </c>
      <c r="CP80" s="149">
        <f t="shared" si="289"/>
        <v>20</v>
      </c>
      <c r="CQ80" s="149">
        <f t="shared" si="290"/>
        <v>80</v>
      </c>
      <c r="CR80" s="148" t="str">
        <f t="shared" si="291"/>
        <v/>
      </c>
      <c r="CS80" s="152" t="str">
        <f t="shared" si="292"/>
        <v/>
      </c>
      <c r="CT80" s="107" t="str">
        <f t="shared" si="293"/>
        <v/>
      </c>
      <c r="CU80" s="155" t="str">
        <f t="shared" si="294"/>
        <v/>
      </c>
      <c r="IJ80" s="94" t="str">
        <f t="shared" si="295"/>
        <v/>
      </c>
      <c r="IK80" s="4" t="str">
        <f t="shared" si="296"/>
        <v/>
      </c>
      <c r="IL80" s="4" t="str">
        <f t="shared" si="297"/>
        <v/>
      </c>
      <c r="IM80" s="4" t="str">
        <f t="shared" si="298"/>
        <v/>
      </c>
      <c r="IN80" s="4" t="str">
        <f t="shared" si="299"/>
        <v/>
      </c>
      <c r="IO80" s="4" t="str">
        <f t="shared" si="300"/>
        <v/>
      </c>
      <c r="IP80" s="4" t="str">
        <f t="shared" si="301"/>
        <v/>
      </c>
      <c r="IQ80" s="4" t="str">
        <f t="shared" si="302"/>
        <v/>
      </c>
      <c r="IR80" s="4" t="str">
        <f t="shared" si="303"/>
        <v/>
      </c>
      <c r="IS80" s="4" t="str">
        <f t="shared" si="304"/>
        <v/>
      </c>
      <c r="IT80" s="4" t="str">
        <f t="shared" si="305"/>
        <v/>
      </c>
      <c r="IU80" s="4" t="str">
        <f t="shared" si="306"/>
        <v/>
      </c>
      <c r="IV80" s="4" t="str">
        <f t="shared" si="307"/>
        <v/>
      </c>
      <c r="IW80" s="4" t="str">
        <f t="shared" si="308"/>
        <v/>
      </c>
      <c r="IX80" s="4" t="str">
        <f t="shared" si="309"/>
        <v/>
      </c>
      <c r="IY80" s="4" t="str">
        <f t="shared" si="310"/>
        <v/>
      </c>
      <c r="IZ80" s="4" t="str">
        <f t="shared" si="311"/>
        <v/>
      </c>
      <c r="JA80" s="4" t="str">
        <f t="shared" si="312"/>
        <v/>
      </c>
      <c r="JB80" s="4" t="str">
        <f t="shared" si="313"/>
        <v/>
      </c>
      <c r="JC80" s="4" t="str">
        <f t="shared" si="314"/>
        <v/>
      </c>
      <c r="JD80" s="4" t="str">
        <f t="shared" si="315"/>
        <v/>
      </c>
      <c r="JE80" s="4" t="str">
        <f t="shared" si="316"/>
        <v/>
      </c>
      <c r="JF80" s="4" t="str">
        <f t="shared" si="317"/>
        <v/>
      </c>
      <c r="JG80" s="4" t="str">
        <f t="shared" si="318"/>
        <v/>
      </c>
      <c r="JH80" s="4" t="str">
        <f t="shared" si="319"/>
        <v/>
      </c>
      <c r="JI80" s="4" t="str">
        <f t="shared" si="320"/>
        <v/>
      </c>
      <c r="JJ80" s="4" t="str">
        <f t="shared" si="321"/>
        <v/>
      </c>
      <c r="JK80" s="4" t="str">
        <f t="shared" si="322"/>
        <v/>
      </c>
      <c r="JL80" s="4" t="str">
        <f t="shared" si="323"/>
        <v/>
      </c>
      <c r="JM80" s="4" t="str">
        <f t="shared" si="324"/>
        <v/>
      </c>
      <c r="JN80" s="4" t="str">
        <f t="shared" si="325"/>
        <v/>
      </c>
      <c r="JO80" s="129" t="str">
        <f t="shared" si="326"/>
        <v/>
      </c>
      <c r="JP80" s="122" t="str">
        <f t="shared" si="327"/>
        <v/>
      </c>
      <c r="JQ80" s="122" t="str">
        <f t="shared" si="328"/>
        <v/>
      </c>
      <c r="JR80" s="122" t="str">
        <f t="shared" si="329"/>
        <v/>
      </c>
      <c r="JS80" s="122" t="str">
        <f t="shared" si="330"/>
        <v/>
      </c>
      <c r="JT80" s="122" t="str">
        <f t="shared" si="331"/>
        <v/>
      </c>
      <c r="JU80" s="122" t="str">
        <f t="shared" si="332"/>
        <v/>
      </c>
      <c r="JV80" s="122" t="str">
        <f t="shared" si="333"/>
        <v/>
      </c>
      <c r="JW80" s="122" t="str">
        <f t="shared" si="334"/>
        <v/>
      </c>
      <c r="JX80" s="122" t="str">
        <f t="shared" si="335"/>
        <v/>
      </c>
      <c r="JY80" s="122" t="str">
        <f t="shared" si="336"/>
        <v/>
      </c>
      <c r="JZ80" s="122" t="str">
        <f t="shared" si="337"/>
        <v/>
      </c>
      <c r="KA80" s="122" t="str">
        <f t="shared" si="338"/>
        <v/>
      </c>
      <c r="KB80" s="122" t="str">
        <f t="shared" si="339"/>
        <v/>
      </c>
      <c r="KC80" s="122" t="str">
        <f t="shared" si="340"/>
        <v/>
      </c>
      <c r="KD80" s="122" t="str">
        <f t="shared" si="341"/>
        <v/>
      </c>
      <c r="KE80" s="133" t="str">
        <f t="shared" si="342"/>
        <v/>
      </c>
      <c r="KF80" s="94" t="str">
        <f t="shared" si="343"/>
        <v/>
      </c>
      <c r="KG80" s="4" t="str">
        <f t="shared" si="344"/>
        <v/>
      </c>
      <c r="KH80" s="4" t="str">
        <f t="shared" si="345"/>
        <v/>
      </c>
      <c r="KI80" s="4" t="str">
        <f t="shared" si="346"/>
        <v/>
      </c>
      <c r="KJ80" s="4" t="str">
        <f t="shared" si="347"/>
        <v/>
      </c>
      <c r="KK80" s="4" t="str">
        <f t="shared" si="348"/>
        <v/>
      </c>
      <c r="KL80" s="4" t="str">
        <f t="shared" si="349"/>
        <v/>
      </c>
      <c r="KM80" s="4" t="str">
        <f t="shared" si="350"/>
        <v/>
      </c>
      <c r="KN80" s="4" t="str">
        <f t="shared" si="351"/>
        <v/>
      </c>
      <c r="KO80" s="4" t="str">
        <f t="shared" si="352"/>
        <v/>
      </c>
      <c r="KP80" s="4" t="str">
        <f t="shared" si="353"/>
        <v/>
      </c>
      <c r="KQ80" s="4" t="str">
        <f t="shared" si="354"/>
        <v/>
      </c>
      <c r="KR80" s="4" t="str">
        <f t="shared" si="355"/>
        <v/>
      </c>
      <c r="KS80" s="4" t="str">
        <f t="shared" si="356"/>
        <v/>
      </c>
      <c r="KT80" s="4" t="str">
        <f t="shared" si="357"/>
        <v/>
      </c>
      <c r="KU80" s="4" t="str">
        <f t="shared" si="358"/>
        <v/>
      </c>
      <c r="KV80" s="4" t="str">
        <f t="shared" si="359"/>
        <v/>
      </c>
      <c r="KW80" s="4" t="str">
        <f t="shared" si="360"/>
        <v/>
      </c>
      <c r="KX80" s="4" t="str">
        <f t="shared" si="361"/>
        <v/>
      </c>
      <c r="KY80" s="4" t="str">
        <f t="shared" si="362"/>
        <v/>
      </c>
      <c r="KZ80" s="4" t="str">
        <f t="shared" si="363"/>
        <v/>
      </c>
      <c r="LA80" s="4" t="str">
        <f t="shared" si="364"/>
        <v/>
      </c>
      <c r="LB80" s="4" t="str">
        <f t="shared" si="365"/>
        <v/>
      </c>
      <c r="LC80" s="4" t="str">
        <f t="shared" si="366"/>
        <v/>
      </c>
      <c r="LD80" s="4" t="str">
        <f t="shared" si="367"/>
        <v/>
      </c>
      <c r="LE80" s="4" t="str">
        <f t="shared" si="368"/>
        <v/>
      </c>
      <c r="LF80" s="4" t="str">
        <f t="shared" si="369"/>
        <v/>
      </c>
      <c r="LG80" s="4" t="str">
        <f t="shared" si="370"/>
        <v/>
      </c>
      <c r="LH80" s="4" t="str">
        <f t="shared" si="371"/>
        <v/>
      </c>
      <c r="LI80" s="4" t="str">
        <f t="shared" si="372"/>
        <v/>
      </c>
      <c r="LJ80" s="4" t="str">
        <f t="shared" si="373"/>
        <v/>
      </c>
      <c r="LK80" s="4" t="str">
        <f t="shared" si="374"/>
        <v/>
      </c>
      <c r="LL80" s="4" t="str">
        <f t="shared" si="375"/>
        <v/>
      </c>
      <c r="LM80" s="4" t="str">
        <f t="shared" si="376"/>
        <v/>
      </c>
      <c r="LN80" s="4" t="str">
        <f t="shared" si="377"/>
        <v/>
      </c>
      <c r="LO80" s="4" t="str">
        <f t="shared" si="378"/>
        <v/>
      </c>
      <c r="LP80" s="4" t="str">
        <f t="shared" si="379"/>
        <v/>
      </c>
      <c r="LQ80" s="4" t="str">
        <f t="shared" si="380"/>
        <v/>
      </c>
      <c r="LR80" s="4" t="str">
        <f t="shared" si="381"/>
        <v/>
      </c>
      <c r="LS80" s="4" t="str">
        <f t="shared" si="382"/>
        <v/>
      </c>
      <c r="LT80" s="4" t="str">
        <f t="shared" si="383"/>
        <v/>
      </c>
      <c r="LU80" s="4" t="str">
        <f t="shared" si="384"/>
        <v/>
      </c>
      <c r="LV80" s="4" t="str">
        <f t="shared" si="385"/>
        <v/>
      </c>
      <c r="LW80" s="4" t="str">
        <f t="shared" si="386"/>
        <v/>
      </c>
      <c r="LX80" s="4" t="str">
        <f t="shared" si="387"/>
        <v/>
      </c>
      <c r="LY80" s="4" t="str">
        <f t="shared" si="388"/>
        <v/>
      </c>
      <c r="LZ80" s="4" t="str">
        <f t="shared" si="389"/>
        <v/>
      </c>
      <c r="MA80" s="4" t="str">
        <f t="shared" si="390"/>
        <v/>
      </c>
      <c r="MB80" s="4" t="str">
        <f t="shared" si="391"/>
        <v/>
      </c>
      <c r="MC80" s="4" t="str">
        <f t="shared" si="392"/>
        <v/>
      </c>
      <c r="MD80" s="4" t="str">
        <f t="shared" si="393"/>
        <v/>
      </c>
      <c r="ME80" s="4">
        <f t="shared" si="394"/>
        <v>0</v>
      </c>
    </row>
    <row r="81" spans="1:343" ht="26.25" customHeight="1" thickBot="1" x14ac:dyDescent="0.25">
      <c r="A81" s="35">
        <v>41206</v>
      </c>
      <c r="B81" s="36" t="s">
        <v>138</v>
      </c>
      <c r="C81" s="36" t="s">
        <v>215</v>
      </c>
      <c r="D81" s="31" t="s">
        <v>111</v>
      </c>
      <c r="E81" s="4">
        <v>73</v>
      </c>
      <c r="F81" s="3">
        <v>14372</v>
      </c>
      <c r="G81" s="4" t="s">
        <v>87</v>
      </c>
      <c r="H81" s="4" t="s">
        <v>108</v>
      </c>
      <c r="I81" s="4">
        <v>1835691</v>
      </c>
      <c r="K81" s="74"/>
      <c r="L81" s="75"/>
      <c r="M81" s="75"/>
      <c r="N81" s="75"/>
      <c r="O81" s="75"/>
      <c r="P81" s="4">
        <v>-0.75</v>
      </c>
      <c r="Q81" s="4">
        <v>-0.75</v>
      </c>
      <c r="R81" s="39" t="s">
        <v>249</v>
      </c>
      <c r="S81" s="70">
        <v>28.5</v>
      </c>
      <c r="T81" s="136">
        <v>41197</v>
      </c>
      <c r="U81" s="67">
        <v>4.5</v>
      </c>
      <c r="V81" s="67">
        <v>0.5</v>
      </c>
      <c r="W81" s="4">
        <v>150</v>
      </c>
      <c r="X81" s="4">
        <v>60</v>
      </c>
      <c r="Y81" s="4">
        <v>12</v>
      </c>
      <c r="Z81" s="4">
        <v>819</v>
      </c>
      <c r="AA81" s="4">
        <v>21.48</v>
      </c>
      <c r="AD81" s="4">
        <v>2.17</v>
      </c>
      <c r="AE81" s="4">
        <v>43.21</v>
      </c>
      <c r="AF81" s="4">
        <v>5</v>
      </c>
      <c r="AG81" s="4">
        <v>44</v>
      </c>
      <c r="AH81" s="4">
        <v>95</v>
      </c>
      <c r="AI81" s="4">
        <v>2</v>
      </c>
      <c r="AJ81" s="4" t="b">
        <f t="shared" si="267"/>
        <v>1</v>
      </c>
      <c r="AK81" s="54"/>
      <c r="AL81" s="32">
        <v>41417</v>
      </c>
      <c r="AM81" s="60">
        <v>40</v>
      </c>
      <c r="AN81" s="67">
        <v>-0.75</v>
      </c>
      <c r="AO81" s="67">
        <v>0.25</v>
      </c>
      <c r="AP81" s="4">
        <v>89</v>
      </c>
      <c r="AQ81" s="4">
        <v>30</v>
      </c>
      <c r="AR81" s="4">
        <v>17</v>
      </c>
      <c r="AS81" s="4">
        <v>523</v>
      </c>
      <c r="AT81" s="4">
        <v>1351</v>
      </c>
      <c r="BA81" s="4">
        <f t="shared" si="268"/>
        <v>-0.625</v>
      </c>
      <c r="BB81" s="4">
        <f t="shared" si="265"/>
        <v>0.125</v>
      </c>
      <c r="BC81" s="4">
        <f t="shared" si="269"/>
        <v>-296</v>
      </c>
      <c r="BD81" s="3">
        <v>41599</v>
      </c>
      <c r="BF81" s="67">
        <v>-1.75</v>
      </c>
      <c r="BG81" s="67">
        <v>1</v>
      </c>
      <c r="BH81" s="4">
        <v>15</v>
      </c>
      <c r="BI81" s="4">
        <v>20</v>
      </c>
      <c r="BJ81" s="4">
        <v>14</v>
      </c>
      <c r="BK81" s="4">
        <v>518</v>
      </c>
      <c r="BL81" s="4">
        <v>1422</v>
      </c>
      <c r="BM81" s="4">
        <v>21.56</v>
      </c>
      <c r="BN81" s="4">
        <v>3.34</v>
      </c>
      <c r="BO81" s="4">
        <v>44.06</v>
      </c>
      <c r="BP81" s="4">
        <v>44</v>
      </c>
      <c r="BQ81" s="4">
        <v>44.76</v>
      </c>
      <c r="BR81" s="4">
        <v>134</v>
      </c>
      <c r="BS81" s="4">
        <f t="shared" si="266"/>
        <v>-1.25</v>
      </c>
      <c r="BT81" s="4">
        <f t="shared" si="270"/>
        <v>-0.5</v>
      </c>
      <c r="BU81" s="4">
        <f t="shared" si="271"/>
        <v>-301</v>
      </c>
      <c r="BV81" s="4">
        <f>IF(AND(ISBLANK(SPH_6),ISBLANK(SPH_12)),0,1)</f>
        <v>1</v>
      </c>
      <c r="BW81" s="4">
        <f t="shared" si="272"/>
        <v>1</v>
      </c>
      <c r="BX81" s="4">
        <f t="shared" si="273"/>
        <v>4.75</v>
      </c>
      <c r="BY81" s="4">
        <f t="shared" si="274"/>
        <v>-0.625</v>
      </c>
      <c r="BZ81" s="4">
        <f t="shared" si="275"/>
        <v>-1.25</v>
      </c>
      <c r="CA81" s="53">
        <f t="shared" si="276"/>
        <v>393</v>
      </c>
      <c r="CB81" s="55">
        <f t="shared" si="277"/>
        <v>13.1</v>
      </c>
      <c r="CC81" s="4">
        <f t="shared" si="278"/>
        <v>-0.625</v>
      </c>
      <c r="CD81" s="4" t="str">
        <f t="shared" si="279"/>
        <v/>
      </c>
      <c r="CE81" s="4">
        <f t="shared" si="280"/>
        <v>0.80499999999999261</v>
      </c>
      <c r="CF81" s="4">
        <f t="shared" si="281"/>
        <v>0.80499999999999261</v>
      </c>
      <c r="CG81" s="4">
        <f t="shared" si="395"/>
        <v>4.75</v>
      </c>
      <c r="CH81" s="4">
        <f t="shared" si="282"/>
        <v>-1.25</v>
      </c>
      <c r="CI81" s="104">
        <f t="shared" si="283"/>
        <v>-0.5</v>
      </c>
      <c r="CJ81" s="94">
        <f t="shared" si="284"/>
        <v>-301</v>
      </c>
      <c r="CK81" s="4">
        <f t="shared" si="285"/>
        <v>7.9999999999998295E-2</v>
      </c>
      <c r="CL81" s="107">
        <f t="shared" si="286"/>
        <v>-0.75</v>
      </c>
      <c r="CM81" s="107">
        <f t="shared" si="396"/>
        <v>0.47712125471966244</v>
      </c>
      <c r="CN81" s="139">
        <f t="shared" si="287"/>
        <v>1</v>
      </c>
      <c r="CO81" s="139">
        <f t="shared" si="288"/>
        <v>0.5</v>
      </c>
      <c r="CP81" s="149">
        <f t="shared" si="289"/>
        <v>20</v>
      </c>
      <c r="CQ81" s="149">
        <f t="shared" si="290"/>
        <v>60</v>
      </c>
      <c r="CR81" s="148">
        <f t="shared" si="291"/>
        <v>40</v>
      </c>
      <c r="CS81" s="152">
        <f t="shared" si="292"/>
        <v>1</v>
      </c>
      <c r="CT81" s="107">
        <f t="shared" si="293"/>
        <v>0</v>
      </c>
      <c r="CU81" s="155" t="b">
        <f t="shared" si="294"/>
        <v>0</v>
      </c>
      <c r="CV81">
        <v>7.82</v>
      </c>
      <c r="CW81" s="4">
        <v>7.54</v>
      </c>
      <c r="CX81" s="4">
        <v>9.6999999999999993</v>
      </c>
      <c r="CY81" s="4">
        <v>-1.6</v>
      </c>
      <c r="CZ81" s="4">
        <v>0.56000000000000005</v>
      </c>
      <c r="DA81" s="4">
        <v>0.9</v>
      </c>
      <c r="DB81" s="4">
        <v>1.65</v>
      </c>
      <c r="DC81" s="4">
        <v>2.4500000000000002</v>
      </c>
      <c r="DD81" s="4">
        <v>792</v>
      </c>
      <c r="DE81" s="4">
        <v>821</v>
      </c>
      <c r="DF81" s="4">
        <v>873</v>
      </c>
      <c r="DG81" s="4">
        <v>934</v>
      </c>
      <c r="DH81" s="4">
        <v>730</v>
      </c>
      <c r="DI81" s="4">
        <v>900</v>
      </c>
      <c r="DJ81" s="4">
        <v>713</v>
      </c>
      <c r="DK81" s="4">
        <v>1.61</v>
      </c>
      <c r="DL81" s="4">
        <v>0.56000000000000005</v>
      </c>
      <c r="DM81" s="4">
        <v>7.73</v>
      </c>
      <c r="DN81" s="4">
        <v>7.62</v>
      </c>
      <c r="DO81" s="4">
        <v>7.76</v>
      </c>
      <c r="DP81" s="4">
        <v>8.23</v>
      </c>
      <c r="DQ81" s="4">
        <v>8.4</v>
      </c>
      <c r="DR81" s="4">
        <v>8.44</v>
      </c>
      <c r="DS81" s="4">
        <v>0</v>
      </c>
      <c r="DT81" s="4">
        <v>0.9</v>
      </c>
      <c r="DU81" s="4">
        <v>6.71</v>
      </c>
      <c r="DV81" s="4">
        <v>6.35</v>
      </c>
      <c r="DW81" s="4">
        <v>6.52</v>
      </c>
      <c r="DX81" s="4">
        <v>7.16</v>
      </c>
      <c r="DY81" s="4">
        <v>7.47</v>
      </c>
      <c r="DZ81" s="4">
        <v>0</v>
      </c>
      <c r="EA81" s="4">
        <v>0</v>
      </c>
      <c r="EB81" s="100">
        <v>0.9</v>
      </c>
      <c r="EC81" s="107">
        <v>43.2</v>
      </c>
      <c r="ED81" s="107">
        <v>44.7</v>
      </c>
      <c r="EE81" s="122">
        <v>43.9</v>
      </c>
      <c r="EF81" s="122">
        <v>9.6999999999999993</v>
      </c>
      <c r="EG81" s="122">
        <v>1.6</v>
      </c>
      <c r="EH81" s="122">
        <v>-5.7</v>
      </c>
      <c r="EI81" s="122">
        <v>-6.6</v>
      </c>
      <c r="EJ81" s="122">
        <v>-6.1</v>
      </c>
      <c r="EK81" s="122">
        <v>170.4</v>
      </c>
      <c r="EL81" s="122">
        <v>0.8</v>
      </c>
      <c r="EM81" s="122">
        <v>5.7</v>
      </c>
      <c r="EN81" s="122">
        <v>16.3</v>
      </c>
      <c r="EO81" s="122">
        <v>34.299999999999997</v>
      </c>
      <c r="EP81" s="122">
        <v>79.099999999999994</v>
      </c>
      <c r="EQ81" s="126">
        <v>35</v>
      </c>
      <c r="GN81" s="94">
        <v>7.7</v>
      </c>
      <c r="GO81" s="4">
        <v>7.53</v>
      </c>
      <c r="GP81" s="4">
        <v>162.80000000000001</v>
      </c>
      <c r="GQ81" s="4">
        <v>-0.9</v>
      </c>
      <c r="GR81" s="4">
        <v>0.75</v>
      </c>
      <c r="GS81" s="4">
        <v>0.83</v>
      </c>
      <c r="GT81" s="4">
        <v>4.28</v>
      </c>
      <c r="GU81" s="4">
        <v>4.79</v>
      </c>
      <c r="GV81" s="4">
        <v>511</v>
      </c>
      <c r="GW81" s="4">
        <v>502</v>
      </c>
      <c r="GX81" s="4">
        <v>745</v>
      </c>
      <c r="GY81" s="4">
        <v>580</v>
      </c>
      <c r="GZ81" s="4">
        <v>598</v>
      </c>
      <c r="HA81" s="4">
        <v>585</v>
      </c>
      <c r="HB81" s="4">
        <v>491</v>
      </c>
      <c r="HC81" s="4">
        <v>-1.0900000000000001</v>
      </c>
      <c r="HD81" s="4">
        <v>-0.19</v>
      </c>
      <c r="HE81" s="4">
        <v>7.6</v>
      </c>
      <c r="HF81" s="4">
        <v>7.63</v>
      </c>
      <c r="HG81" s="4">
        <v>7.81</v>
      </c>
      <c r="HH81" s="4">
        <v>8.07</v>
      </c>
      <c r="HI81" s="4">
        <v>8.24</v>
      </c>
      <c r="HJ81" s="4">
        <v>8.31</v>
      </c>
      <c r="HK81" s="4">
        <v>0</v>
      </c>
      <c r="HL81" s="4">
        <v>1.7</v>
      </c>
      <c r="HM81" s="4">
        <v>6</v>
      </c>
      <c r="HN81" s="4">
        <v>6.11</v>
      </c>
      <c r="HO81" s="4">
        <v>6.19</v>
      </c>
      <c r="HP81" s="4">
        <v>6.36</v>
      </c>
      <c r="HQ81" s="4">
        <v>6.46</v>
      </c>
      <c r="HR81" s="4">
        <v>0</v>
      </c>
      <c r="HS81" s="4">
        <v>0</v>
      </c>
      <c r="HT81" s="104">
        <v>1.7</v>
      </c>
      <c r="HU81" s="122">
        <v>43.9</v>
      </c>
      <c r="HV81" s="122">
        <v>44.8</v>
      </c>
      <c r="HW81" s="122">
        <v>44.3</v>
      </c>
      <c r="HX81" s="122">
        <v>162.80000000000001</v>
      </c>
      <c r="HY81" s="122">
        <v>0.9</v>
      </c>
      <c r="HZ81" s="122">
        <v>-6.2</v>
      </c>
      <c r="IA81" s="122">
        <v>-7.1</v>
      </c>
      <c r="IB81" s="122">
        <v>-6.6</v>
      </c>
      <c r="IC81" s="122">
        <v>2.7</v>
      </c>
      <c r="ID81" s="122">
        <v>0.8</v>
      </c>
      <c r="IE81" s="122">
        <v>3.7</v>
      </c>
      <c r="IF81" s="122">
        <v>11.1</v>
      </c>
      <c r="IG81" s="122">
        <v>24.4</v>
      </c>
      <c r="IH81" s="122">
        <v>61.8</v>
      </c>
      <c r="II81" s="133">
        <v>35</v>
      </c>
      <c r="IJ81" s="94">
        <f t="shared" si="295"/>
        <v>7.7</v>
      </c>
      <c r="IK81" s="4">
        <f t="shared" si="296"/>
        <v>7.53</v>
      </c>
      <c r="IL81" s="4">
        <f t="shared" si="297"/>
        <v>162.80000000000001</v>
      </c>
      <c r="IM81" s="4">
        <f t="shared" si="298"/>
        <v>-0.9</v>
      </c>
      <c r="IN81" s="4">
        <f t="shared" si="299"/>
        <v>0.75</v>
      </c>
      <c r="IO81" s="4">
        <f t="shared" si="300"/>
        <v>0.83</v>
      </c>
      <c r="IP81" s="4">
        <f t="shared" si="301"/>
        <v>4.28</v>
      </c>
      <c r="IQ81" s="4">
        <f t="shared" si="302"/>
        <v>4.79</v>
      </c>
      <c r="IR81" s="4">
        <f t="shared" si="303"/>
        <v>511</v>
      </c>
      <c r="IS81" s="4">
        <f t="shared" si="304"/>
        <v>502</v>
      </c>
      <c r="IT81" s="4">
        <f t="shared" si="305"/>
        <v>745</v>
      </c>
      <c r="IU81" s="4">
        <f t="shared" si="306"/>
        <v>580</v>
      </c>
      <c r="IV81" s="4">
        <f t="shared" si="307"/>
        <v>598</v>
      </c>
      <c r="IW81" s="4">
        <f t="shared" si="308"/>
        <v>585</v>
      </c>
      <c r="IX81" s="4">
        <f t="shared" si="309"/>
        <v>491</v>
      </c>
      <c r="IY81" s="4">
        <f t="shared" si="310"/>
        <v>-1.0900000000000001</v>
      </c>
      <c r="IZ81" s="4">
        <f t="shared" si="311"/>
        <v>-0.19</v>
      </c>
      <c r="JA81" s="4">
        <f t="shared" si="312"/>
        <v>7.6</v>
      </c>
      <c r="JB81" s="4">
        <f t="shared" si="313"/>
        <v>7.63</v>
      </c>
      <c r="JC81" s="4">
        <f t="shared" si="314"/>
        <v>7.81</v>
      </c>
      <c r="JD81" s="4">
        <f t="shared" si="315"/>
        <v>8.07</v>
      </c>
      <c r="JE81" s="4">
        <f t="shared" si="316"/>
        <v>8.24</v>
      </c>
      <c r="JF81" s="4">
        <f t="shared" si="317"/>
        <v>8.31</v>
      </c>
      <c r="JG81" s="4">
        <f t="shared" si="318"/>
        <v>0</v>
      </c>
      <c r="JH81" s="4">
        <f t="shared" si="319"/>
        <v>1.7</v>
      </c>
      <c r="JI81" s="4">
        <f t="shared" si="320"/>
        <v>6</v>
      </c>
      <c r="JJ81" s="4">
        <f t="shared" si="321"/>
        <v>6.11</v>
      </c>
      <c r="JK81" s="4">
        <f t="shared" si="322"/>
        <v>6.19</v>
      </c>
      <c r="JL81" s="4">
        <f t="shared" si="323"/>
        <v>6.36</v>
      </c>
      <c r="JM81" s="4">
        <f t="shared" si="324"/>
        <v>6.46</v>
      </c>
      <c r="JN81" s="4">
        <f t="shared" si="325"/>
        <v>0</v>
      </c>
      <c r="JO81" s="129">
        <f t="shared" si="326"/>
        <v>0</v>
      </c>
      <c r="JP81" s="122">
        <f t="shared" si="327"/>
        <v>1.7</v>
      </c>
      <c r="JQ81" s="122">
        <f t="shared" si="328"/>
        <v>43.9</v>
      </c>
      <c r="JR81" s="122">
        <f t="shared" si="329"/>
        <v>44.8</v>
      </c>
      <c r="JS81" s="122">
        <f t="shared" si="330"/>
        <v>44.3</v>
      </c>
      <c r="JT81" s="122">
        <f t="shared" si="331"/>
        <v>162.80000000000001</v>
      </c>
      <c r="JU81" s="122">
        <f t="shared" si="332"/>
        <v>0.9</v>
      </c>
      <c r="JV81" s="122">
        <f t="shared" si="333"/>
        <v>-6.2</v>
      </c>
      <c r="JW81" s="122">
        <f t="shared" si="334"/>
        <v>-7.1</v>
      </c>
      <c r="JX81" s="122">
        <f t="shared" si="335"/>
        <v>-6.6</v>
      </c>
      <c r="JY81" s="122">
        <f t="shared" si="336"/>
        <v>2.7</v>
      </c>
      <c r="JZ81" s="122">
        <f t="shared" si="337"/>
        <v>0.8</v>
      </c>
      <c r="KA81" s="122">
        <f t="shared" si="338"/>
        <v>3.7</v>
      </c>
      <c r="KB81" s="122">
        <f t="shared" si="339"/>
        <v>11.1</v>
      </c>
      <c r="KC81" s="122">
        <f t="shared" si="340"/>
        <v>24.4</v>
      </c>
      <c r="KD81" s="122">
        <f t="shared" si="341"/>
        <v>61.8</v>
      </c>
      <c r="KE81" s="133">
        <f t="shared" si="342"/>
        <v>35</v>
      </c>
      <c r="KF81" s="94">
        <f t="shared" si="343"/>
        <v>-0.12000000000000011</v>
      </c>
      <c r="KG81" s="4">
        <f t="shared" si="344"/>
        <v>-9.9999999999997868E-3</v>
      </c>
      <c r="KH81" s="4">
        <f t="shared" si="345"/>
        <v>153.10000000000002</v>
      </c>
      <c r="KI81" s="4">
        <f t="shared" si="346"/>
        <v>0.70000000000000007</v>
      </c>
      <c r="KJ81" s="4">
        <f t="shared" si="347"/>
        <v>0.18999999999999995</v>
      </c>
      <c r="KK81" s="4">
        <f t="shared" si="348"/>
        <v>-7.0000000000000062E-2</v>
      </c>
      <c r="KL81" s="4">
        <f t="shared" si="349"/>
        <v>2.6300000000000003</v>
      </c>
      <c r="KM81" s="4">
        <f t="shared" si="350"/>
        <v>2.34</v>
      </c>
      <c r="KN81" s="4">
        <f t="shared" si="351"/>
        <v>-281</v>
      </c>
      <c r="KO81" s="4">
        <f t="shared" si="352"/>
        <v>-319</v>
      </c>
      <c r="KP81" s="4">
        <f t="shared" si="353"/>
        <v>-128</v>
      </c>
      <c r="KQ81" s="4">
        <f t="shared" si="354"/>
        <v>-354</v>
      </c>
      <c r="KR81" s="4">
        <f t="shared" si="355"/>
        <v>-132</v>
      </c>
      <c r="KS81" s="4">
        <f t="shared" si="356"/>
        <v>-315</v>
      </c>
      <c r="KT81" s="4">
        <f t="shared" si="357"/>
        <v>-222</v>
      </c>
      <c r="KU81" s="4">
        <f t="shared" si="358"/>
        <v>-2.7</v>
      </c>
      <c r="KV81" s="4">
        <f t="shared" si="359"/>
        <v>-0.75</v>
      </c>
      <c r="KW81" s="4">
        <f t="shared" si="360"/>
        <v>-0.13000000000000078</v>
      </c>
      <c r="KX81" s="4">
        <f t="shared" si="361"/>
        <v>9.9999999999997868E-3</v>
      </c>
      <c r="KY81" s="4">
        <f t="shared" si="362"/>
        <v>4.9999999999999822E-2</v>
      </c>
      <c r="KZ81" s="4">
        <f t="shared" si="363"/>
        <v>-0.16000000000000014</v>
      </c>
      <c r="LA81" s="4">
        <f t="shared" si="364"/>
        <v>-0.16000000000000014</v>
      </c>
      <c r="LB81" s="4">
        <f t="shared" si="365"/>
        <v>-0.12999999999999901</v>
      </c>
      <c r="LC81" s="4">
        <f t="shared" si="366"/>
        <v>0</v>
      </c>
      <c r="LD81" s="4">
        <f t="shared" si="367"/>
        <v>0.79999999999999993</v>
      </c>
      <c r="LE81" s="4">
        <f t="shared" si="368"/>
        <v>-0.71</v>
      </c>
      <c r="LF81" s="4">
        <f t="shared" si="369"/>
        <v>-0.23999999999999932</v>
      </c>
      <c r="LG81" s="4">
        <f t="shared" si="370"/>
        <v>-0.32999999999999918</v>
      </c>
      <c r="LH81" s="4">
        <f t="shared" si="371"/>
        <v>-0.79999999999999982</v>
      </c>
      <c r="LI81" s="4">
        <f t="shared" si="372"/>
        <v>-1.0099999999999998</v>
      </c>
      <c r="LJ81" s="4">
        <f t="shared" si="373"/>
        <v>0</v>
      </c>
      <c r="LK81" s="4">
        <f t="shared" si="374"/>
        <v>0</v>
      </c>
      <c r="LL81" s="4">
        <f t="shared" si="375"/>
        <v>0.79999999999999993</v>
      </c>
      <c r="LM81" s="4">
        <f t="shared" si="376"/>
        <v>0.69999999999999574</v>
      </c>
      <c r="LN81" s="4">
        <f t="shared" si="377"/>
        <v>9.9999999999994316E-2</v>
      </c>
      <c r="LO81" s="4">
        <f t="shared" si="378"/>
        <v>0.39999999999999858</v>
      </c>
      <c r="LP81" s="4">
        <f t="shared" si="379"/>
        <v>153.10000000000002</v>
      </c>
      <c r="LQ81" s="4">
        <f t="shared" si="380"/>
        <v>-0.70000000000000007</v>
      </c>
      <c r="LR81" s="4">
        <f t="shared" si="381"/>
        <v>-0.5</v>
      </c>
      <c r="LS81" s="4">
        <f t="shared" si="382"/>
        <v>-0.5</v>
      </c>
      <c r="LT81" s="4">
        <f t="shared" si="383"/>
        <v>-0.5</v>
      </c>
      <c r="LU81" s="4">
        <f t="shared" si="384"/>
        <v>-167.70000000000002</v>
      </c>
      <c r="LV81" s="4">
        <f t="shared" si="385"/>
        <v>0</v>
      </c>
      <c r="LW81" s="4">
        <f t="shared" si="386"/>
        <v>-2</v>
      </c>
      <c r="LX81" s="4">
        <f t="shared" si="387"/>
        <v>-5.2000000000000011</v>
      </c>
      <c r="LY81" s="4">
        <f t="shared" si="388"/>
        <v>-9.8999999999999986</v>
      </c>
      <c r="LZ81" s="4">
        <f t="shared" si="389"/>
        <v>-17.299999999999997</v>
      </c>
      <c r="MA81" s="4">
        <f t="shared" si="390"/>
        <v>0</v>
      </c>
      <c r="MB81" s="4" t="str">
        <f t="shared" si="391"/>
        <v/>
      </c>
      <c r="MC81" s="4" t="str">
        <f t="shared" si="392"/>
        <v/>
      </c>
      <c r="MD81" s="4" t="str">
        <f t="shared" si="393"/>
        <v/>
      </c>
      <c r="ME81" s="4">
        <f t="shared" si="394"/>
        <v>-7.1</v>
      </c>
    </row>
    <row r="82" spans="1:343" ht="26.25" customHeight="1" thickBot="1" x14ac:dyDescent="0.25">
      <c r="A82" s="35">
        <v>41213</v>
      </c>
      <c r="B82" s="36" t="s">
        <v>176</v>
      </c>
      <c r="C82" s="36" t="s">
        <v>122</v>
      </c>
      <c r="D82" s="31" t="s">
        <v>110</v>
      </c>
      <c r="E82" s="4">
        <v>68</v>
      </c>
      <c r="F82" s="3">
        <v>16096</v>
      </c>
      <c r="G82" s="4" t="s">
        <v>87</v>
      </c>
      <c r="H82" s="4" t="s">
        <v>112</v>
      </c>
      <c r="I82" s="4">
        <v>1835693</v>
      </c>
      <c r="K82" s="74"/>
      <c r="L82" s="75"/>
      <c r="M82" s="75"/>
      <c r="N82" s="75"/>
      <c r="O82" s="75"/>
      <c r="P82" s="33">
        <v>-0.5</v>
      </c>
      <c r="Q82" s="33">
        <v>-0.53</v>
      </c>
      <c r="R82" s="33" t="s">
        <v>249</v>
      </c>
      <c r="S82" s="67">
        <v>21</v>
      </c>
      <c r="T82" s="136">
        <v>41190</v>
      </c>
      <c r="U82" s="67">
        <v>3</v>
      </c>
      <c r="V82" s="67">
        <v>0</v>
      </c>
      <c r="W82" s="4">
        <v>0</v>
      </c>
      <c r="X82" s="4">
        <v>40</v>
      </c>
      <c r="Y82" s="4">
        <v>24</v>
      </c>
      <c r="Z82" s="4">
        <v>535</v>
      </c>
      <c r="AA82" s="4">
        <v>23.15</v>
      </c>
      <c r="AB82" s="4">
        <v>12.4</v>
      </c>
      <c r="AC82" s="4">
        <v>5</v>
      </c>
      <c r="AD82" s="4">
        <v>3.01</v>
      </c>
      <c r="AE82" s="4">
        <v>44.53</v>
      </c>
      <c r="AF82" s="4">
        <v>146</v>
      </c>
      <c r="AG82" s="4">
        <v>45.12</v>
      </c>
      <c r="AH82" s="4">
        <v>56</v>
      </c>
      <c r="AI82" s="4">
        <v>0</v>
      </c>
      <c r="AJ82" s="4" t="b">
        <f t="shared" si="267"/>
        <v>0</v>
      </c>
      <c r="AL82" s="32">
        <v>41389</v>
      </c>
      <c r="AM82" s="60">
        <v>60</v>
      </c>
      <c r="AN82" s="67">
        <v>2</v>
      </c>
      <c r="AO82" s="67">
        <v>0.5</v>
      </c>
      <c r="AP82" s="4">
        <v>135</v>
      </c>
      <c r="AQ82" s="4">
        <v>25</v>
      </c>
      <c r="AR82" s="4">
        <v>14</v>
      </c>
      <c r="AS82" s="4">
        <v>451</v>
      </c>
      <c r="AT82" s="4">
        <v>1842</v>
      </c>
      <c r="BA82" s="4">
        <f t="shared" si="268"/>
        <v>2.25</v>
      </c>
      <c r="BB82" s="4">
        <f t="shared" si="265"/>
        <v>2.7800000000000002</v>
      </c>
      <c r="BC82" s="4">
        <f t="shared" si="269"/>
        <v>-84</v>
      </c>
      <c r="BD82" s="3">
        <v>41648</v>
      </c>
      <c r="BE82" s="56">
        <v>50</v>
      </c>
      <c r="BF82" s="67">
        <v>1</v>
      </c>
      <c r="BG82" s="67">
        <v>0.75</v>
      </c>
      <c r="BH82" s="4">
        <v>150</v>
      </c>
      <c r="BI82" s="4">
        <v>20</v>
      </c>
      <c r="BJ82" s="4">
        <v>18</v>
      </c>
      <c r="BK82" s="51">
        <v>455</v>
      </c>
      <c r="BL82" s="51">
        <v>2404</v>
      </c>
      <c r="BM82" s="51">
        <v>23.16</v>
      </c>
      <c r="BN82" s="4">
        <v>2.62</v>
      </c>
      <c r="BO82" s="4">
        <v>42.56</v>
      </c>
      <c r="BP82" s="4">
        <v>0</v>
      </c>
      <c r="BQ82" s="4">
        <v>44.06</v>
      </c>
      <c r="BR82" s="4">
        <v>120</v>
      </c>
      <c r="BS82" s="4">
        <f t="shared" si="266"/>
        <v>1.375</v>
      </c>
      <c r="BT82" s="4">
        <f t="shared" si="270"/>
        <v>1.905</v>
      </c>
      <c r="BU82" s="4">
        <f t="shared" si="271"/>
        <v>-80</v>
      </c>
      <c r="BV82" s="4">
        <f>IF(AND(ISBLANK(SPH_6),ISBLANK(SPH_12)),0,1)</f>
        <v>1</v>
      </c>
      <c r="BW82" s="4">
        <f t="shared" si="272"/>
        <v>1</v>
      </c>
      <c r="BX82" s="4">
        <f t="shared" si="273"/>
        <v>3</v>
      </c>
      <c r="BY82" s="4">
        <f t="shared" si="274"/>
        <v>2.25</v>
      </c>
      <c r="BZ82" s="4">
        <f t="shared" si="275"/>
        <v>1.375</v>
      </c>
      <c r="CA82" s="53">
        <f t="shared" si="276"/>
        <v>435</v>
      </c>
      <c r="CB82" s="55">
        <f t="shared" si="277"/>
        <v>14.5</v>
      </c>
      <c r="CC82" s="4">
        <f t="shared" si="278"/>
        <v>-0.875</v>
      </c>
      <c r="CD82" s="4" t="str">
        <f t="shared" si="279"/>
        <v/>
      </c>
      <c r="CE82" s="4">
        <f t="shared" si="280"/>
        <v>-1.5150000000000006</v>
      </c>
      <c r="CF82" s="4">
        <f t="shared" si="281"/>
        <v>-1.5150000000000006</v>
      </c>
      <c r="CG82" s="4">
        <f t="shared" si="395"/>
        <v>3</v>
      </c>
      <c r="CH82" s="4">
        <f t="shared" si="282"/>
        <v>1.375</v>
      </c>
      <c r="CI82" s="104">
        <f t="shared" si="283"/>
        <v>1.905</v>
      </c>
      <c r="CJ82" s="94">
        <f t="shared" si="284"/>
        <v>-80</v>
      </c>
      <c r="CK82" s="4">
        <f t="shared" si="285"/>
        <v>1.0000000000001563E-2</v>
      </c>
      <c r="CL82" s="107">
        <f t="shared" si="286"/>
        <v>-0.53</v>
      </c>
      <c r="CM82" s="107">
        <f t="shared" si="396"/>
        <v>0.3010299956639812</v>
      </c>
      <c r="CN82" s="139">
        <f t="shared" si="287"/>
        <v>0.75</v>
      </c>
      <c r="CO82" s="139">
        <f t="shared" si="288"/>
        <v>0.75</v>
      </c>
      <c r="CP82" s="149">
        <f t="shared" si="289"/>
        <v>20</v>
      </c>
      <c r="CQ82" s="149">
        <f t="shared" si="290"/>
        <v>40</v>
      </c>
      <c r="CR82" s="148">
        <f t="shared" si="291"/>
        <v>50</v>
      </c>
      <c r="CS82" s="152" t="str">
        <f t="shared" si="292"/>
        <v/>
      </c>
      <c r="CT82" s="107" t="str">
        <f t="shared" si="293"/>
        <v/>
      </c>
      <c r="CU82" s="155" t="str">
        <f t="shared" si="294"/>
        <v/>
      </c>
      <c r="IJ82" s="94" t="str">
        <f t="shared" si="295"/>
        <v/>
      </c>
      <c r="IK82" s="4" t="str">
        <f t="shared" si="296"/>
        <v/>
      </c>
      <c r="IL82" s="4" t="str">
        <f t="shared" si="297"/>
        <v/>
      </c>
      <c r="IM82" s="4" t="str">
        <f t="shared" si="298"/>
        <v/>
      </c>
      <c r="IN82" s="4" t="str">
        <f t="shared" si="299"/>
        <v/>
      </c>
      <c r="IO82" s="4" t="str">
        <f t="shared" si="300"/>
        <v/>
      </c>
      <c r="IP82" s="4" t="str">
        <f t="shared" si="301"/>
        <v/>
      </c>
      <c r="IQ82" s="4" t="str">
        <f t="shared" si="302"/>
        <v/>
      </c>
      <c r="IR82" s="4" t="str">
        <f t="shared" si="303"/>
        <v/>
      </c>
      <c r="IS82" s="4" t="str">
        <f t="shared" si="304"/>
        <v/>
      </c>
      <c r="IT82" s="4" t="str">
        <f t="shared" si="305"/>
        <v/>
      </c>
      <c r="IU82" s="4" t="str">
        <f t="shared" si="306"/>
        <v/>
      </c>
      <c r="IV82" s="4" t="str">
        <f t="shared" si="307"/>
        <v/>
      </c>
      <c r="IW82" s="4" t="str">
        <f t="shared" si="308"/>
        <v/>
      </c>
      <c r="IX82" s="4" t="str">
        <f t="shared" si="309"/>
        <v/>
      </c>
      <c r="IY82" s="4" t="str">
        <f t="shared" si="310"/>
        <v/>
      </c>
      <c r="IZ82" s="4" t="str">
        <f t="shared" si="311"/>
        <v/>
      </c>
      <c r="JA82" s="4" t="str">
        <f t="shared" si="312"/>
        <v/>
      </c>
      <c r="JB82" s="4" t="str">
        <f t="shared" si="313"/>
        <v/>
      </c>
      <c r="JC82" s="4" t="str">
        <f t="shared" si="314"/>
        <v/>
      </c>
      <c r="JD82" s="4" t="str">
        <f t="shared" si="315"/>
        <v/>
      </c>
      <c r="JE82" s="4" t="str">
        <f t="shared" si="316"/>
        <v/>
      </c>
      <c r="JF82" s="4" t="str">
        <f t="shared" si="317"/>
        <v/>
      </c>
      <c r="JG82" s="4" t="str">
        <f t="shared" si="318"/>
        <v/>
      </c>
      <c r="JH82" s="4" t="str">
        <f t="shared" si="319"/>
        <v/>
      </c>
      <c r="JI82" s="4" t="str">
        <f t="shared" si="320"/>
        <v/>
      </c>
      <c r="JJ82" s="4" t="str">
        <f t="shared" si="321"/>
        <v/>
      </c>
      <c r="JK82" s="4" t="str">
        <f t="shared" si="322"/>
        <v/>
      </c>
      <c r="JL82" s="4" t="str">
        <f t="shared" si="323"/>
        <v/>
      </c>
      <c r="JM82" s="4" t="str">
        <f t="shared" si="324"/>
        <v/>
      </c>
      <c r="JN82" s="4" t="str">
        <f t="shared" si="325"/>
        <v/>
      </c>
      <c r="JO82" s="129" t="str">
        <f t="shared" si="326"/>
        <v/>
      </c>
      <c r="JP82" s="122" t="str">
        <f t="shared" si="327"/>
        <v/>
      </c>
      <c r="JQ82" s="122" t="str">
        <f t="shared" si="328"/>
        <v/>
      </c>
      <c r="JR82" s="122" t="str">
        <f t="shared" si="329"/>
        <v/>
      </c>
      <c r="JS82" s="122" t="str">
        <f t="shared" si="330"/>
        <v/>
      </c>
      <c r="JT82" s="122" t="str">
        <f t="shared" si="331"/>
        <v/>
      </c>
      <c r="JU82" s="122" t="str">
        <f t="shared" si="332"/>
        <v/>
      </c>
      <c r="JV82" s="122" t="str">
        <f t="shared" si="333"/>
        <v/>
      </c>
      <c r="JW82" s="122" t="str">
        <f t="shared" si="334"/>
        <v/>
      </c>
      <c r="JX82" s="122" t="str">
        <f t="shared" si="335"/>
        <v/>
      </c>
      <c r="JY82" s="122" t="str">
        <f t="shared" si="336"/>
        <v/>
      </c>
      <c r="JZ82" s="122" t="str">
        <f t="shared" si="337"/>
        <v/>
      </c>
      <c r="KA82" s="122" t="str">
        <f t="shared" si="338"/>
        <v/>
      </c>
      <c r="KB82" s="122" t="str">
        <f t="shared" si="339"/>
        <v/>
      </c>
      <c r="KC82" s="122" t="str">
        <f t="shared" si="340"/>
        <v/>
      </c>
      <c r="KD82" s="122" t="str">
        <f t="shared" si="341"/>
        <v/>
      </c>
      <c r="KE82" s="133" t="str">
        <f t="shared" si="342"/>
        <v/>
      </c>
      <c r="KF82" s="94" t="str">
        <f t="shared" si="343"/>
        <v/>
      </c>
      <c r="KG82" s="4" t="str">
        <f t="shared" si="344"/>
        <v/>
      </c>
      <c r="KH82" s="4" t="str">
        <f t="shared" si="345"/>
        <v/>
      </c>
      <c r="KI82" s="4" t="str">
        <f t="shared" si="346"/>
        <v/>
      </c>
      <c r="KJ82" s="4" t="str">
        <f t="shared" si="347"/>
        <v/>
      </c>
      <c r="KK82" s="4" t="str">
        <f t="shared" si="348"/>
        <v/>
      </c>
      <c r="KL82" s="4" t="str">
        <f t="shared" si="349"/>
        <v/>
      </c>
      <c r="KM82" s="4" t="str">
        <f t="shared" si="350"/>
        <v/>
      </c>
      <c r="KN82" s="4" t="str">
        <f t="shared" si="351"/>
        <v/>
      </c>
      <c r="KO82" s="4" t="str">
        <f t="shared" si="352"/>
        <v/>
      </c>
      <c r="KP82" s="4" t="str">
        <f t="shared" si="353"/>
        <v/>
      </c>
      <c r="KQ82" s="4" t="str">
        <f t="shared" si="354"/>
        <v/>
      </c>
      <c r="KR82" s="4" t="str">
        <f t="shared" si="355"/>
        <v/>
      </c>
      <c r="KS82" s="4" t="str">
        <f t="shared" si="356"/>
        <v/>
      </c>
      <c r="KT82" s="4" t="str">
        <f t="shared" si="357"/>
        <v/>
      </c>
      <c r="KU82" s="4" t="str">
        <f t="shared" si="358"/>
        <v/>
      </c>
      <c r="KV82" s="4" t="str">
        <f t="shared" si="359"/>
        <v/>
      </c>
      <c r="KW82" s="4" t="str">
        <f t="shared" si="360"/>
        <v/>
      </c>
      <c r="KX82" s="4" t="str">
        <f t="shared" si="361"/>
        <v/>
      </c>
      <c r="KY82" s="4" t="str">
        <f t="shared" si="362"/>
        <v/>
      </c>
      <c r="KZ82" s="4" t="str">
        <f t="shared" si="363"/>
        <v/>
      </c>
      <c r="LA82" s="4" t="str">
        <f t="shared" si="364"/>
        <v/>
      </c>
      <c r="LB82" s="4" t="str">
        <f t="shared" si="365"/>
        <v/>
      </c>
      <c r="LC82" s="4" t="str">
        <f t="shared" si="366"/>
        <v/>
      </c>
      <c r="LD82" s="4" t="str">
        <f t="shared" si="367"/>
        <v/>
      </c>
      <c r="LE82" s="4" t="str">
        <f t="shared" si="368"/>
        <v/>
      </c>
      <c r="LF82" s="4" t="str">
        <f t="shared" si="369"/>
        <v/>
      </c>
      <c r="LG82" s="4" t="str">
        <f t="shared" si="370"/>
        <v/>
      </c>
      <c r="LH82" s="4" t="str">
        <f t="shared" si="371"/>
        <v/>
      </c>
      <c r="LI82" s="4" t="str">
        <f t="shared" si="372"/>
        <v/>
      </c>
      <c r="LJ82" s="4" t="str">
        <f t="shared" si="373"/>
        <v/>
      </c>
      <c r="LK82" s="4" t="str">
        <f t="shared" si="374"/>
        <v/>
      </c>
      <c r="LL82" s="4" t="str">
        <f t="shared" si="375"/>
        <v/>
      </c>
      <c r="LM82" s="4" t="str">
        <f t="shared" si="376"/>
        <v/>
      </c>
      <c r="LN82" s="4" t="str">
        <f t="shared" si="377"/>
        <v/>
      </c>
      <c r="LO82" s="4" t="str">
        <f t="shared" si="378"/>
        <v/>
      </c>
      <c r="LP82" s="4" t="str">
        <f t="shared" si="379"/>
        <v/>
      </c>
      <c r="LQ82" s="4" t="str">
        <f t="shared" si="380"/>
        <v/>
      </c>
      <c r="LR82" s="4" t="str">
        <f t="shared" si="381"/>
        <v/>
      </c>
      <c r="LS82" s="4" t="str">
        <f t="shared" si="382"/>
        <v/>
      </c>
      <c r="LT82" s="4" t="str">
        <f t="shared" si="383"/>
        <v/>
      </c>
      <c r="LU82" s="4" t="str">
        <f t="shared" si="384"/>
        <v/>
      </c>
      <c r="LV82" s="4" t="str">
        <f t="shared" si="385"/>
        <v/>
      </c>
      <c r="LW82" s="4" t="str">
        <f t="shared" si="386"/>
        <v/>
      </c>
      <c r="LX82" s="4" t="str">
        <f t="shared" si="387"/>
        <v/>
      </c>
      <c r="LY82" s="4" t="str">
        <f t="shared" si="388"/>
        <v/>
      </c>
      <c r="LZ82" s="4" t="str">
        <f t="shared" si="389"/>
        <v/>
      </c>
      <c r="MA82" s="4" t="str">
        <f t="shared" si="390"/>
        <v/>
      </c>
      <c r="MB82" s="4" t="str">
        <f t="shared" si="391"/>
        <v/>
      </c>
      <c r="MC82" s="4" t="str">
        <f t="shared" si="392"/>
        <v/>
      </c>
      <c r="MD82" s="4" t="str">
        <f t="shared" si="393"/>
        <v/>
      </c>
      <c r="ME82" s="4">
        <f t="shared" si="394"/>
        <v>0</v>
      </c>
    </row>
    <row r="83" spans="1:343" ht="26.25" customHeight="1" x14ac:dyDescent="0.2">
      <c r="A83" s="35">
        <v>41255</v>
      </c>
      <c r="B83" s="36" t="s">
        <v>186</v>
      </c>
      <c r="C83" s="36" t="s">
        <v>235</v>
      </c>
      <c r="D83" s="31" t="s">
        <v>110</v>
      </c>
      <c r="E83" s="4">
        <v>65</v>
      </c>
      <c r="F83" s="3">
        <v>17355</v>
      </c>
      <c r="G83" s="4" t="s">
        <v>87</v>
      </c>
      <c r="H83" s="4" t="s">
        <v>112</v>
      </c>
      <c r="I83" s="4">
        <v>1835772</v>
      </c>
      <c r="K83" s="76"/>
      <c r="L83" s="76"/>
      <c r="M83" s="76"/>
      <c r="N83" s="76"/>
      <c r="O83" s="76"/>
      <c r="P83" s="4">
        <v>-0.5</v>
      </c>
      <c r="Q83" s="4">
        <v>-0.55000000000000004</v>
      </c>
      <c r="R83" s="39" t="s">
        <v>249</v>
      </c>
      <c r="S83" s="70">
        <v>13.5</v>
      </c>
      <c r="T83" s="136">
        <v>41250</v>
      </c>
      <c r="U83" s="67">
        <v>-4.25</v>
      </c>
      <c r="V83" s="67">
        <v>1.25</v>
      </c>
      <c r="W83" s="4">
        <v>133</v>
      </c>
      <c r="X83" s="4">
        <v>30</v>
      </c>
      <c r="Y83" s="4">
        <v>13</v>
      </c>
      <c r="Z83" s="4">
        <v>542</v>
      </c>
      <c r="AA83" s="4">
        <v>25.33</v>
      </c>
      <c r="AB83" s="4">
        <v>12.2</v>
      </c>
      <c r="AC83" s="4">
        <v>5.03</v>
      </c>
      <c r="AD83" s="4">
        <v>3.64</v>
      </c>
      <c r="AE83" s="4">
        <v>44.47</v>
      </c>
      <c r="AF83" s="4">
        <v>7</v>
      </c>
      <c r="AG83" s="4">
        <v>45.98</v>
      </c>
      <c r="AH83" s="4">
        <v>97</v>
      </c>
      <c r="AI83" s="4">
        <v>0</v>
      </c>
      <c r="AJ83" s="4" t="b">
        <f t="shared" si="267"/>
        <v>0</v>
      </c>
      <c r="AK83" s="54" t="s">
        <v>501</v>
      </c>
      <c r="AL83" s="32">
        <v>41435</v>
      </c>
      <c r="AM83" s="60">
        <v>25</v>
      </c>
      <c r="AN83" s="67">
        <v>-1</v>
      </c>
      <c r="AO83" s="67">
        <v>0.5</v>
      </c>
      <c r="AP83" s="4">
        <v>153</v>
      </c>
      <c r="AQ83" s="4">
        <v>25</v>
      </c>
      <c r="AR83" s="4">
        <v>14</v>
      </c>
      <c r="AS83" s="4">
        <v>482</v>
      </c>
      <c r="AT83" s="4">
        <v>1653</v>
      </c>
      <c r="BA83" s="4">
        <f t="shared" si="268"/>
        <v>-0.75</v>
      </c>
      <c r="BB83" s="4">
        <f t="shared" si="265"/>
        <v>-0.19999999999999996</v>
      </c>
      <c r="BC83" s="4">
        <f t="shared" si="269"/>
        <v>-60</v>
      </c>
      <c r="BD83" s="35">
        <v>41656</v>
      </c>
      <c r="BE83" s="56">
        <v>30</v>
      </c>
      <c r="BF83" s="67">
        <v>-1</v>
      </c>
      <c r="BG83" s="67">
        <v>0.5</v>
      </c>
      <c r="BH83" s="4">
        <v>142</v>
      </c>
      <c r="BI83" s="4">
        <v>30</v>
      </c>
      <c r="BJ83" s="4">
        <v>15</v>
      </c>
      <c r="BK83" s="4">
        <v>487</v>
      </c>
      <c r="BL83" s="4">
        <v>1610</v>
      </c>
      <c r="BM83" s="4">
        <v>25.34</v>
      </c>
      <c r="BN83" s="4">
        <v>4.51</v>
      </c>
      <c r="BO83" s="4">
        <v>45.18</v>
      </c>
      <c r="BP83" s="4">
        <v>68</v>
      </c>
      <c r="BQ83" s="4">
        <v>45.67</v>
      </c>
      <c r="BR83" s="4">
        <v>157</v>
      </c>
      <c r="BS83" s="4">
        <f t="shared" si="266"/>
        <v>-0.75</v>
      </c>
      <c r="BT83" s="4">
        <f t="shared" si="270"/>
        <v>-0.19999999999999996</v>
      </c>
      <c r="BU83" s="4">
        <f t="shared" si="271"/>
        <v>-55</v>
      </c>
      <c r="BV83" s="4">
        <f>IF(AND(ISBLANK(SPH_6),ISBLANK(SPH_12)),0,1)</f>
        <v>1</v>
      </c>
      <c r="BW83" s="4">
        <f t="shared" si="272"/>
        <v>1</v>
      </c>
      <c r="BX83" s="4">
        <f t="shared" si="273"/>
        <v>-3.625</v>
      </c>
      <c r="BY83" s="4">
        <f t="shared" si="274"/>
        <v>-0.75</v>
      </c>
      <c r="BZ83" s="4">
        <f t="shared" si="275"/>
        <v>-0.75</v>
      </c>
      <c r="CA83" s="53">
        <f t="shared" si="276"/>
        <v>401</v>
      </c>
      <c r="CB83" s="55">
        <f t="shared" si="277"/>
        <v>13.366666666666667</v>
      </c>
      <c r="CC83" s="4">
        <f t="shared" si="278"/>
        <v>0</v>
      </c>
      <c r="CD83" s="4" t="str">
        <f t="shared" si="279"/>
        <v/>
      </c>
      <c r="CE83" s="4">
        <f t="shared" si="280"/>
        <v>0.20000000000000284</v>
      </c>
      <c r="CF83" s="4">
        <f t="shared" si="281"/>
        <v>0.20000000000000284</v>
      </c>
      <c r="CG83" s="4">
        <f t="shared" si="395"/>
        <v>-3.625</v>
      </c>
      <c r="CH83" s="4">
        <f t="shared" si="282"/>
        <v>-0.75</v>
      </c>
      <c r="CI83" s="104">
        <f t="shared" si="283"/>
        <v>-0.19999999999999996</v>
      </c>
      <c r="CJ83" s="94">
        <f t="shared" si="284"/>
        <v>-55</v>
      </c>
      <c r="CK83" s="4">
        <f t="shared" si="285"/>
        <v>1.0000000000001563E-2</v>
      </c>
      <c r="CL83" s="107">
        <f t="shared" si="286"/>
        <v>-0.55000000000000004</v>
      </c>
      <c r="CM83" s="107">
        <f t="shared" si="396"/>
        <v>0</v>
      </c>
      <c r="CN83" s="139">
        <f t="shared" si="287"/>
        <v>0.5</v>
      </c>
      <c r="CO83" s="139">
        <f t="shared" si="288"/>
        <v>-0.75</v>
      </c>
      <c r="CP83" s="149">
        <f t="shared" si="289"/>
        <v>30</v>
      </c>
      <c r="CQ83" s="149">
        <f t="shared" si="290"/>
        <v>30</v>
      </c>
      <c r="CR83" s="148">
        <f t="shared" si="291"/>
        <v>30</v>
      </c>
      <c r="CS83" s="152">
        <f t="shared" si="292"/>
        <v>1</v>
      </c>
      <c r="CT83" s="107">
        <f t="shared" si="293"/>
        <v>1</v>
      </c>
      <c r="CU83" s="155" t="b">
        <f t="shared" si="294"/>
        <v>0</v>
      </c>
      <c r="CV83">
        <v>7.65</v>
      </c>
      <c r="CW83" s="4">
        <v>7.51</v>
      </c>
      <c r="CX83" s="4">
        <v>5.2</v>
      </c>
      <c r="CY83" s="4">
        <v>-0.9</v>
      </c>
      <c r="CZ83" s="4">
        <v>0.03</v>
      </c>
      <c r="DA83" s="4">
        <v>0.55000000000000004</v>
      </c>
      <c r="DB83" s="4">
        <v>2.91</v>
      </c>
      <c r="DC83" s="4">
        <v>3.47</v>
      </c>
      <c r="DD83" s="4">
        <v>557</v>
      </c>
      <c r="DE83" s="4">
        <v>566</v>
      </c>
      <c r="DF83" s="4">
        <v>602</v>
      </c>
      <c r="DG83" s="4">
        <v>594</v>
      </c>
      <c r="DH83" s="4">
        <v>580</v>
      </c>
      <c r="DI83" s="4">
        <v>685</v>
      </c>
      <c r="DJ83" s="4">
        <v>530</v>
      </c>
      <c r="DK83" s="4">
        <v>-1.05</v>
      </c>
      <c r="DL83" s="4">
        <v>-0.7</v>
      </c>
      <c r="DM83" s="4">
        <v>7.61</v>
      </c>
      <c r="DN83" s="4">
        <v>7.52</v>
      </c>
      <c r="DO83" s="4">
        <v>7.51</v>
      </c>
      <c r="DP83" s="4">
        <v>7.72</v>
      </c>
      <c r="DQ83" s="4">
        <v>8.25</v>
      </c>
      <c r="DR83" s="4">
        <v>8.7799999999999994</v>
      </c>
      <c r="DS83" s="4">
        <v>0</v>
      </c>
      <c r="DT83" s="4">
        <v>1.6</v>
      </c>
      <c r="DU83" s="4">
        <v>6.18</v>
      </c>
      <c r="DV83" s="4">
        <v>6.49</v>
      </c>
      <c r="DW83" s="4">
        <v>6.79</v>
      </c>
      <c r="DX83" s="4">
        <v>6.94</v>
      </c>
      <c r="DY83" s="4">
        <v>7.17</v>
      </c>
      <c r="DZ83" s="4">
        <v>7.6</v>
      </c>
      <c r="EA83" s="4">
        <v>0</v>
      </c>
      <c r="EB83" s="100">
        <v>1.6</v>
      </c>
      <c r="EC83" s="122">
        <v>44.1</v>
      </c>
      <c r="ED83" s="122">
        <v>45</v>
      </c>
      <c r="EE83" s="122">
        <v>44.5</v>
      </c>
      <c r="EF83" s="122">
        <v>5.2</v>
      </c>
      <c r="EG83" s="122">
        <v>0.9</v>
      </c>
      <c r="EH83" s="122">
        <v>-6.1</v>
      </c>
      <c r="EI83" s="122">
        <v>-6.5</v>
      </c>
      <c r="EJ83" s="122">
        <v>-6.3</v>
      </c>
      <c r="EK83" s="122">
        <v>48.8</v>
      </c>
      <c r="EL83" s="122">
        <v>0.4</v>
      </c>
      <c r="EM83" s="122">
        <v>4</v>
      </c>
      <c r="EN83" s="122">
        <v>11.8</v>
      </c>
      <c r="EO83" s="122">
        <v>24.6</v>
      </c>
      <c r="EP83" s="122">
        <v>56.1</v>
      </c>
      <c r="EQ83" s="126">
        <v>12</v>
      </c>
      <c r="IJ83" s="94" t="str">
        <f t="shared" si="295"/>
        <v/>
      </c>
      <c r="IK83" s="4" t="str">
        <f t="shared" si="296"/>
        <v/>
      </c>
      <c r="IL83" s="4" t="str">
        <f t="shared" si="297"/>
        <v/>
      </c>
      <c r="IM83" s="4" t="str">
        <f t="shared" si="298"/>
        <v/>
      </c>
      <c r="IN83" s="4" t="str">
        <f t="shared" si="299"/>
        <v/>
      </c>
      <c r="IO83" s="4" t="str">
        <f t="shared" si="300"/>
        <v/>
      </c>
      <c r="IP83" s="4" t="str">
        <f t="shared" si="301"/>
        <v/>
      </c>
      <c r="IQ83" s="4" t="str">
        <f t="shared" si="302"/>
        <v/>
      </c>
      <c r="IR83" s="4" t="str">
        <f t="shared" si="303"/>
        <v/>
      </c>
      <c r="IS83" s="4" t="str">
        <f t="shared" si="304"/>
        <v/>
      </c>
      <c r="IT83" s="4" t="str">
        <f t="shared" si="305"/>
        <v/>
      </c>
      <c r="IU83" s="4" t="str">
        <f t="shared" si="306"/>
        <v/>
      </c>
      <c r="IV83" s="4" t="str">
        <f t="shared" si="307"/>
        <v/>
      </c>
      <c r="IW83" s="4" t="str">
        <f t="shared" si="308"/>
        <v/>
      </c>
      <c r="IX83" s="4" t="str">
        <f t="shared" si="309"/>
        <v/>
      </c>
      <c r="IY83" s="4" t="str">
        <f t="shared" si="310"/>
        <v/>
      </c>
      <c r="IZ83" s="4" t="str">
        <f t="shared" si="311"/>
        <v/>
      </c>
      <c r="JA83" s="4" t="str">
        <f t="shared" si="312"/>
        <v/>
      </c>
      <c r="JB83" s="4" t="str">
        <f t="shared" si="313"/>
        <v/>
      </c>
      <c r="JC83" s="4" t="str">
        <f t="shared" si="314"/>
        <v/>
      </c>
      <c r="JD83" s="4" t="str">
        <f t="shared" si="315"/>
        <v/>
      </c>
      <c r="JE83" s="4" t="str">
        <f t="shared" si="316"/>
        <v/>
      </c>
      <c r="JF83" s="4" t="str">
        <f t="shared" si="317"/>
        <v/>
      </c>
      <c r="JG83" s="4" t="str">
        <f t="shared" si="318"/>
        <v/>
      </c>
      <c r="JH83" s="4" t="str">
        <f t="shared" si="319"/>
        <v/>
      </c>
      <c r="JI83" s="4" t="str">
        <f t="shared" si="320"/>
        <v/>
      </c>
      <c r="JJ83" s="4" t="str">
        <f t="shared" si="321"/>
        <v/>
      </c>
      <c r="JK83" s="4" t="str">
        <f t="shared" si="322"/>
        <v/>
      </c>
      <c r="JL83" s="4" t="str">
        <f t="shared" si="323"/>
        <v/>
      </c>
      <c r="JM83" s="4" t="str">
        <f t="shared" si="324"/>
        <v/>
      </c>
      <c r="JN83" s="4" t="str">
        <f t="shared" si="325"/>
        <v/>
      </c>
      <c r="JO83" s="129" t="str">
        <f t="shared" si="326"/>
        <v/>
      </c>
      <c r="JP83" s="122" t="str">
        <f t="shared" si="327"/>
        <v/>
      </c>
      <c r="JQ83" s="122" t="str">
        <f t="shared" si="328"/>
        <v/>
      </c>
      <c r="JR83" s="122" t="str">
        <f t="shared" si="329"/>
        <v/>
      </c>
      <c r="JS83" s="122" t="str">
        <f t="shared" si="330"/>
        <v/>
      </c>
      <c r="JT83" s="122" t="str">
        <f t="shared" si="331"/>
        <v/>
      </c>
      <c r="JU83" s="122" t="str">
        <f t="shared" si="332"/>
        <v/>
      </c>
      <c r="JV83" s="122" t="str">
        <f t="shared" si="333"/>
        <v/>
      </c>
      <c r="JW83" s="122" t="str">
        <f t="shared" si="334"/>
        <v/>
      </c>
      <c r="JX83" s="122" t="str">
        <f t="shared" si="335"/>
        <v/>
      </c>
      <c r="JY83" s="122" t="str">
        <f t="shared" si="336"/>
        <v/>
      </c>
      <c r="JZ83" s="122" t="str">
        <f t="shared" si="337"/>
        <v/>
      </c>
      <c r="KA83" s="122" t="str">
        <f t="shared" si="338"/>
        <v/>
      </c>
      <c r="KB83" s="122" t="str">
        <f t="shared" si="339"/>
        <v/>
      </c>
      <c r="KC83" s="122" t="str">
        <f t="shared" si="340"/>
        <v/>
      </c>
      <c r="KD83" s="122" t="str">
        <f t="shared" si="341"/>
        <v/>
      </c>
      <c r="KE83" s="133" t="str">
        <f t="shared" si="342"/>
        <v/>
      </c>
      <c r="KF83" s="94" t="str">
        <f t="shared" si="343"/>
        <v/>
      </c>
      <c r="KG83" s="4" t="str">
        <f t="shared" si="344"/>
        <v/>
      </c>
      <c r="KH83" s="4" t="str">
        <f t="shared" si="345"/>
        <v/>
      </c>
      <c r="KI83" s="4" t="str">
        <f t="shared" si="346"/>
        <v/>
      </c>
      <c r="KJ83" s="4" t="str">
        <f t="shared" si="347"/>
        <v/>
      </c>
      <c r="KK83" s="4" t="str">
        <f t="shared" si="348"/>
        <v/>
      </c>
      <c r="KL83" s="4" t="str">
        <f t="shared" si="349"/>
        <v/>
      </c>
      <c r="KM83" s="4" t="str">
        <f t="shared" si="350"/>
        <v/>
      </c>
      <c r="KN83" s="4" t="str">
        <f t="shared" si="351"/>
        <v/>
      </c>
      <c r="KO83" s="4" t="str">
        <f t="shared" si="352"/>
        <v/>
      </c>
      <c r="KP83" s="4" t="str">
        <f t="shared" si="353"/>
        <v/>
      </c>
      <c r="KQ83" s="4" t="str">
        <f t="shared" si="354"/>
        <v/>
      </c>
      <c r="KR83" s="4" t="str">
        <f t="shared" si="355"/>
        <v/>
      </c>
      <c r="KS83" s="4" t="str">
        <f t="shared" si="356"/>
        <v/>
      </c>
      <c r="KT83" s="4" t="str">
        <f t="shared" si="357"/>
        <v/>
      </c>
      <c r="KU83" s="4" t="str">
        <f t="shared" si="358"/>
        <v/>
      </c>
      <c r="KV83" s="4" t="str">
        <f t="shared" si="359"/>
        <v/>
      </c>
      <c r="KW83" s="4" t="str">
        <f t="shared" si="360"/>
        <v/>
      </c>
      <c r="KX83" s="4" t="str">
        <f t="shared" si="361"/>
        <v/>
      </c>
      <c r="KY83" s="4" t="str">
        <f t="shared" si="362"/>
        <v/>
      </c>
      <c r="KZ83" s="4" t="str">
        <f t="shared" si="363"/>
        <v/>
      </c>
      <c r="LA83" s="4" t="str">
        <f t="shared" si="364"/>
        <v/>
      </c>
      <c r="LB83" s="4" t="str">
        <f t="shared" si="365"/>
        <v/>
      </c>
      <c r="LC83" s="4" t="str">
        <f t="shared" si="366"/>
        <v/>
      </c>
      <c r="LD83" s="4" t="str">
        <f t="shared" si="367"/>
        <v/>
      </c>
      <c r="LE83" s="4" t="str">
        <f t="shared" si="368"/>
        <v/>
      </c>
      <c r="LF83" s="4" t="str">
        <f t="shared" si="369"/>
        <v/>
      </c>
      <c r="LG83" s="4" t="str">
        <f t="shared" si="370"/>
        <v/>
      </c>
      <c r="LH83" s="4" t="str">
        <f t="shared" si="371"/>
        <v/>
      </c>
      <c r="LI83" s="4" t="str">
        <f t="shared" si="372"/>
        <v/>
      </c>
      <c r="LJ83" s="4" t="str">
        <f t="shared" si="373"/>
        <v/>
      </c>
      <c r="LK83" s="4" t="str">
        <f t="shared" si="374"/>
        <v/>
      </c>
      <c r="LL83" s="4" t="str">
        <f t="shared" si="375"/>
        <v/>
      </c>
      <c r="LM83" s="4" t="str">
        <f t="shared" si="376"/>
        <v/>
      </c>
      <c r="LN83" s="4" t="str">
        <f t="shared" si="377"/>
        <v/>
      </c>
      <c r="LO83" s="4" t="str">
        <f t="shared" si="378"/>
        <v/>
      </c>
      <c r="LP83" s="4" t="str">
        <f t="shared" si="379"/>
        <v/>
      </c>
      <c r="LQ83" s="4" t="str">
        <f t="shared" si="380"/>
        <v/>
      </c>
      <c r="LR83" s="4" t="str">
        <f t="shared" si="381"/>
        <v/>
      </c>
      <c r="LS83" s="4" t="str">
        <f t="shared" si="382"/>
        <v/>
      </c>
      <c r="LT83" s="4" t="str">
        <f t="shared" si="383"/>
        <v/>
      </c>
      <c r="LU83" s="4" t="str">
        <f t="shared" si="384"/>
        <v/>
      </c>
      <c r="LV83" s="4" t="str">
        <f t="shared" si="385"/>
        <v/>
      </c>
      <c r="LW83" s="4" t="str">
        <f t="shared" si="386"/>
        <v/>
      </c>
      <c r="LX83" s="4" t="str">
        <f t="shared" si="387"/>
        <v/>
      </c>
      <c r="LY83" s="4" t="str">
        <f t="shared" si="388"/>
        <v/>
      </c>
      <c r="LZ83" s="4" t="str">
        <f t="shared" si="389"/>
        <v/>
      </c>
      <c r="MA83" s="4" t="str">
        <f t="shared" si="390"/>
        <v/>
      </c>
      <c r="MB83" s="4" t="str">
        <f t="shared" si="391"/>
        <v/>
      </c>
      <c r="MC83" s="4" t="str">
        <f t="shared" si="392"/>
        <v/>
      </c>
      <c r="MD83" s="4" t="str">
        <f t="shared" si="393"/>
        <v/>
      </c>
      <c r="ME83" s="4">
        <f t="shared" si="394"/>
        <v>0</v>
      </c>
    </row>
    <row r="84" spans="1:343" ht="26.25" customHeight="1" x14ac:dyDescent="0.2">
      <c r="A84" s="35">
        <v>41262</v>
      </c>
      <c r="B84" s="36" t="s">
        <v>209</v>
      </c>
      <c r="C84" s="36" t="s">
        <v>21</v>
      </c>
      <c r="D84" s="31" t="s">
        <v>110</v>
      </c>
      <c r="E84" s="4">
        <v>69</v>
      </c>
      <c r="F84" s="3">
        <v>15808</v>
      </c>
      <c r="G84" s="4" t="s">
        <v>87</v>
      </c>
      <c r="H84" s="4" t="s">
        <v>108</v>
      </c>
      <c r="I84" s="4">
        <v>1835804</v>
      </c>
      <c r="P84" s="33">
        <v>-0.5</v>
      </c>
      <c r="Q84" s="33">
        <v>-0.56999999999999995</v>
      </c>
      <c r="R84" s="33" t="s">
        <v>249</v>
      </c>
      <c r="S84" s="67">
        <v>24.25</v>
      </c>
      <c r="T84" s="136">
        <v>41207</v>
      </c>
      <c r="U84" s="67">
        <v>3.25</v>
      </c>
      <c r="V84" s="67">
        <v>1.25</v>
      </c>
      <c r="W84" s="4">
        <v>25</v>
      </c>
      <c r="X84" s="4">
        <v>25</v>
      </c>
      <c r="Y84" s="4">
        <v>13</v>
      </c>
      <c r="Z84" s="4">
        <v>649</v>
      </c>
      <c r="AA84" s="4">
        <v>22.64</v>
      </c>
      <c r="AD84" s="4">
        <v>2.2000000000000002</v>
      </c>
      <c r="AE84" s="4">
        <v>43.6</v>
      </c>
      <c r="AF84" s="4">
        <v>35</v>
      </c>
      <c r="AG84" s="4">
        <v>44.29</v>
      </c>
      <c r="AH84" s="4">
        <v>125</v>
      </c>
      <c r="AI84" s="4">
        <v>0</v>
      </c>
      <c r="AJ84" s="4" t="b">
        <f t="shared" si="267"/>
        <v>0</v>
      </c>
      <c r="AL84" s="37">
        <v>41407</v>
      </c>
      <c r="AM84" s="59">
        <v>30</v>
      </c>
      <c r="AN84" s="67">
        <v>0</v>
      </c>
      <c r="AO84" s="67">
        <v>0</v>
      </c>
      <c r="AP84" s="4">
        <v>0</v>
      </c>
      <c r="AQ84" s="4">
        <v>20</v>
      </c>
      <c r="AR84" s="4">
        <v>13</v>
      </c>
      <c r="AS84" s="4">
        <v>520</v>
      </c>
      <c r="AT84" s="4">
        <v>2198</v>
      </c>
      <c r="BA84" s="4">
        <f t="shared" si="268"/>
        <v>0</v>
      </c>
      <c r="BB84" s="4">
        <f t="shared" si="265"/>
        <v>0.56999999999999995</v>
      </c>
      <c r="BC84" s="4">
        <f t="shared" si="269"/>
        <v>-129</v>
      </c>
      <c r="BD84" s="3">
        <v>41604</v>
      </c>
      <c r="BE84" s="56">
        <v>30</v>
      </c>
      <c r="BF84" s="67">
        <v>0.75</v>
      </c>
      <c r="BG84" s="67">
        <v>0.25</v>
      </c>
      <c r="BH84" s="4">
        <v>140</v>
      </c>
      <c r="BI84" s="4">
        <v>25</v>
      </c>
      <c r="BJ84" s="4">
        <v>14</v>
      </c>
      <c r="BK84" s="4">
        <v>525</v>
      </c>
      <c r="BL84" s="4">
        <v>2114</v>
      </c>
      <c r="BM84" s="4">
        <v>22.69</v>
      </c>
      <c r="BN84" s="4">
        <v>3.96</v>
      </c>
      <c r="BO84" s="4">
        <v>44.05</v>
      </c>
      <c r="BP84" s="4">
        <v>25</v>
      </c>
      <c r="BQ84" s="4">
        <v>44.64</v>
      </c>
      <c r="BR84" s="4">
        <v>115</v>
      </c>
      <c r="BS84" s="4">
        <f t="shared" si="266"/>
        <v>0.875</v>
      </c>
      <c r="BT84" s="4">
        <f t="shared" si="270"/>
        <v>1.4449999999999998</v>
      </c>
      <c r="BU84" s="4">
        <f t="shared" si="271"/>
        <v>-124</v>
      </c>
      <c r="BV84" s="4">
        <f>IF(AND(ISBLANK(SPH_6),ISBLANK(SPH_12)),0,1)</f>
        <v>1</v>
      </c>
      <c r="BW84" s="4">
        <f t="shared" si="272"/>
        <v>1</v>
      </c>
      <c r="BX84" s="4">
        <f t="shared" si="273"/>
        <v>3.875</v>
      </c>
      <c r="BY84" s="4">
        <f t="shared" si="274"/>
        <v>0</v>
      </c>
      <c r="BZ84" s="4">
        <f t="shared" si="275"/>
        <v>0.875</v>
      </c>
      <c r="CA84" s="53">
        <f t="shared" si="276"/>
        <v>342</v>
      </c>
      <c r="CB84" s="55">
        <f t="shared" si="277"/>
        <v>11.4</v>
      </c>
      <c r="CC84" s="4">
        <f t="shared" si="278"/>
        <v>0.875</v>
      </c>
      <c r="CD84" s="4" t="str">
        <f t="shared" si="279"/>
        <v/>
      </c>
      <c r="CE84" s="4">
        <f t="shared" si="280"/>
        <v>0.39999999999999858</v>
      </c>
      <c r="CF84" s="4">
        <f t="shared" si="281"/>
        <v>0.39999999999999858</v>
      </c>
      <c r="CG84" s="4">
        <f t="shared" si="395"/>
        <v>3.875</v>
      </c>
      <c r="CH84" s="4">
        <f t="shared" si="282"/>
        <v>0.875</v>
      </c>
      <c r="CI84" s="104">
        <f t="shared" si="283"/>
        <v>1.4449999999999998</v>
      </c>
      <c r="CJ84" s="94">
        <f t="shared" si="284"/>
        <v>-124</v>
      </c>
      <c r="CK84" s="4">
        <f t="shared" si="285"/>
        <v>5.0000000000000711E-2</v>
      </c>
      <c r="CL84" s="107">
        <f t="shared" si="286"/>
        <v>-0.56999999999999995</v>
      </c>
      <c r="CM84" s="107">
        <f t="shared" si="396"/>
        <v>0</v>
      </c>
      <c r="CN84" s="139">
        <f t="shared" si="287"/>
        <v>0.25</v>
      </c>
      <c r="CO84" s="139">
        <f t="shared" si="288"/>
        <v>-1</v>
      </c>
      <c r="CP84" s="149">
        <f t="shared" si="289"/>
        <v>25</v>
      </c>
      <c r="CQ84" s="149">
        <f t="shared" si="290"/>
        <v>25</v>
      </c>
      <c r="CR84" s="148">
        <f t="shared" si="291"/>
        <v>30</v>
      </c>
      <c r="CS84" s="152">
        <f t="shared" si="292"/>
        <v>1</v>
      </c>
      <c r="CT84" s="107">
        <f t="shared" si="293"/>
        <v>0</v>
      </c>
      <c r="CU84" s="155" t="b">
        <f t="shared" si="294"/>
        <v>0</v>
      </c>
      <c r="CV84">
        <v>7.93</v>
      </c>
      <c r="CW84" s="4">
        <v>7.7</v>
      </c>
      <c r="CX84" s="4">
        <v>37.299999999999997</v>
      </c>
      <c r="CY84" s="4">
        <v>-1.3</v>
      </c>
      <c r="CZ84" s="4">
        <v>-0.18</v>
      </c>
      <c r="DA84" s="4">
        <v>0.44</v>
      </c>
      <c r="DB84" s="4">
        <v>2.39</v>
      </c>
      <c r="DC84" s="4">
        <v>3.07</v>
      </c>
      <c r="DD84" s="4">
        <v>682</v>
      </c>
      <c r="DE84" s="4">
        <v>687</v>
      </c>
      <c r="DF84" s="4">
        <v>723</v>
      </c>
      <c r="DG84" s="4">
        <v>682</v>
      </c>
      <c r="DH84" s="4">
        <v>671</v>
      </c>
      <c r="DI84" s="4">
        <v>700</v>
      </c>
      <c r="DJ84" s="4">
        <v>666</v>
      </c>
      <c r="DK84" s="4">
        <v>-2.13</v>
      </c>
      <c r="DL84" s="4">
        <v>-1.1299999999999999</v>
      </c>
      <c r="DM84" s="4">
        <v>7.85</v>
      </c>
      <c r="DN84" s="4">
        <v>7.74</v>
      </c>
      <c r="DO84" s="4">
        <v>7.66</v>
      </c>
      <c r="DP84" s="4">
        <v>7.82</v>
      </c>
      <c r="DQ84" s="4">
        <v>8.1999999999999993</v>
      </c>
      <c r="DR84" s="4">
        <v>8.7100000000000009</v>
      </c>
      <c r="DS84" s="4">
        <v>0</v>
      </c>
      <c r="DT84" s="4">
        <v>0.4</v>
      </c>
      <c r="DU84" s="4">
        <v>7.46</v>
      </c>
      <c r="DV84" s="4">
        <v>6.9</v>
      </c>
      <c r="DW84" s="4">
        <v>6.59</v>
      </c>
      <c r="DX84" s="4">
        <v>6.73</v>
      </c>
      <c r="DY84" s="4">
        <v>7.08</v>
      </c>
      <c r="DZ84" s="4">
        <v>7.33</v>
      </c>
      <c r="EA84" s="4">
        <v>0</v>
      </c>
      <c r="EB84" s="100">
        <v>0.4</v>
      </c>
      <c r="EC84" s="122">
        <v>42.6</v>
      </c>
      <c r="ED84" s="122">
        <v>43.8</v>
      </c>
      <c r="EE84" s="122">
        <v>43.2</v>
      </c>
      <c r="EF84" s="122">
        <v>37.299999999999997</v>
      </c>
      <c r="EG84" s="122">
        <v>1.3</v>
      </c>
      <c r="EH84" s="122">
        <v>-5.3</v>
      </c>
      <c r="EI84" s="122">
        <v>-5.8</v>
      </c>
      <c r="EJ84" s="122">
        <v>-5.5</v>
      </c>
      <c r="EK84" s="122">
        <v>50.1</v>
      </c>
      <c r="EL84" s="122">
        <v>0.5</v>
      </c>
      <c r="EM84" s="122">
        <v>4.8</v>
      </c>
      <c r="EN84" s="122">
        <v>13.7</v>
      </c>
      <c r="EO84" s="122">
        <v>28.4</v>
      </c>
      <c r="EP84" s="122">
        <v>66.099999999999994</v>
      </c>
      <c r="EQ84" s="126">
        <v>29</v>
      </c>
      <c r="GN84" s="94">
        <v>7.89</v>
      </c>
      <c r="GO84" s="4">
        <v>7.66</v>
      </c>
      <c r="GP84" s="4">
        <v>33.700000000000003</v>
      </c>
      <c r="GQ84" s="4">
        <v>-1.3</v>
      </c>
      <c r="GR84" s="4">
        <v>-0.08</v>
      </c>
      <c r="GS84" s="4">
        <v>0.32</v>
      </c>
      <c r="GT84" s="4">
        <v>-0.56999999999999995</v>
      </c>
      <c r="GU84" s="4">
        <v>-0.04</v>
      </c>
      <c r="GV84" s="4">
        <v>526</v>
      </c>
      <c r="GW84" s="4">
        <v>524</v>
      </c>
      <c r="GX84" s="4">
        <v>655</v>
      </c>
      <c r="GY84" s="4">
        <v>592</v>
      </c>
      <c r="GZ84" s="4">
        <v>617</v>
      </c>
      <c r="HA84" s="4">
        <v>613</v>
      </c>
      <c r="HB84" s="4">
        <v>507</v>
      </c>
      <c r="HC84" s="4">
        <v>0.97</v>
      </c>
      <c r="HD84" s="4">
        <v>-0.9</v>
      </c>
      <c r="HE84" s="4">
        <v>7.81</v>
      </c>
      <c r="HF84" s="4">
        <v>7.7</v>
      </c>
      <c r="HG84" s="4">
        <v>7.65</v>
      </c>
      <c r="HH84" s="4">
        <v>7.74</v>
      </c>
      <c r="HI84" s="4">
        <v>7.8</v>
      </c>
      <c r="HJ84" s="4">
        <v>8.0500000000000007</v>
      </c>
      <c r="HK84" s="4">
        <v>0</v>
      </c>
      <c r="HL84" s="4">
        <v>1.4</v>
      </c>
      <c r="HM84" s="4">
        <v>6.29</v>
      </c>
      <c r="HN84" s="4">
        <v>6.22</v>
      </c>
      <c r="HO84" s="4">
        <v>6.34</v>
      </c>
      <c r="HP84" s="4">
        <v>6.55</v>
      </c>
      <c r="HQ84" s="4">
        <v>6.75</v>
      </c>
      <c r="HR84" s="4">
        <v>0</v>
      </c>
      <c r="HS84" s="4">
        <v>0</v>
      </c>
      <c r="HT84" s="104">
        <v>1.4</v>
      </c>
      <c r="HU84" s="122">
        <v>42.8</v>
      </c>
      <c r="HV84" s="122">
        <v>44.1</v>
      </c>
      <c r="HW84" s="122">
        <v>43.4</v>
      </c>
      <c r="HX84" s="122">
        <v>33.700000000000003</v>
      </c>
      <c r="HY84" s="122">
        <v>1.3</v>
      </c>
      <c r="HZ84" s="122">
        <v>-6.2</v>
      </c>
      <c r="IA84" s="122">
        <v>-6.6</v>
      </c>
      <c r="IB84" s="122">
        <v>-6.4</v>
      </c>
      <c r="IC84" s="122">
        <v>150.9</v>
      </c>
      <c r="ID84" s="122">
        <v>0.4</v>
      </c>
      <c r="IE84" s="122">
        <v>3.8</v>
      </c>
      <c r="IF84" s="122">
        <v>11.3</v>
      </c>
      <c r="IG84" s="122">
        <v>24.3</v>
      </c>
      <c r="IH84" s="122">
        <v>58.9</v>
      </c>
      <c r="II84" s="133">
        <v>28</v>
      </c>
      <c r="IJ84" s="94">
        <f t="shared" si="295"/>
        <v>7.89</v>
      </c>
      <c r="IK84" s="4">
        <f t="shared" si="296"/>
        <v>7.66</v>
      </c>
      <c r="IL84" s="4">
        <f t="shared" si="297"/>
        <v>33.700000000000003</v>
      </c>
      <c r="IM84" s="4">
        <f t="shared" si="298"/>
        <v>-1.3</v>
      </c>
      <c r="IN84" s="4">
        <f t="shared" si="299"/>
        <v>-0.08</v>
      </c>
      <c r="IO84" s="4">
        <f t="shared" si="300"/>
        <v>0.32</v>
      </c>
      <c r="IP84" s="4">
        <f t="shared" si="301"/>
        <v>-0.56999999999999995</v>
      </c>
      <c r="IQ84" s="4">
        <f t="shared" si="302"/>
        <v>-0.04</v>
      </c>
      <c r="IR84" s="4">
        <f t="shared" si="303"/>
        <v>526</v>
      </c>
      <c r="IS84" s="4">
        <f t="shared" si="304"/>
        <v>524</v>
      </c>
      <c r="IT84" s="4">
        <f t="shared" si="305"/>
        <v>655</v>
      </c>
      <c r="IU84" s="4">
        <f t="shared" si="306"/>
        <v>592</v>
      </c>
      <c r="IV84" s="4">
        <f t="shared" si="307"/>
        <v>617</v>
      </c>
      <c r="IW84" s="4">
        <f t="shared" si="308"/>
        <v>613</v>
      </c>
      <c r="IX84" s="4">
        <f t="shared" si="309"/>
        <v>507</v>
      </c>
      <c r="IY84" s="4">
        <f t="shared" si="310"/>
        <v>0.97</v>
      </c>
      <c r="IZ84" s="4">
        <f t="shared" si="311"/>
        <v>-0.9</v>
      </c>
      <c r="JA84" s="4">
        <f t="shared" si="312"/>
        <v>7.81</v>
      </c>
      <c r="JB84" s="4">
        <f t="shared" si="313"/>
        <v>7.7</v>
      </c>
      <c r="JC84" s="4">
        <f t="shared" si="314"/>
        <v>7.65</v>
      </c>
      <c r="JD84" s="4">
        <f t="shared" si="315"/>
        <v>7.74</v>
      </c>
      <c r="JE84" s="4">
        <f t="shared" si="316"/>
        <v>7.8</v>
      </c>
      <c r="JF84" s="4">
        <f t="shared" si="317"/>
        <v>8.0500000000000007</v>
      </c>
      <c r="JG84" s="4">
        <f t="shared" si="318"/>
        <v>0</v>
      </c>
      <c r="JH84" s="4">
        <f t="shared" si="319"/>
        <v>1.4</v>
      </c>
      <c r="JI84" s="4">
        <f t="shared" si="320"/>
        <v>6.29</v>
      </c>
      <c r="JJ84" s="4">
        <f t="shared" si="321"/>
        <v>6.22</v>
      </c>
      <c r="JK84" s="4">
        <f t="shared" si="322"/>
        <v>6.34</v>
      </c>
      <c r="JL84" s="4">
        <f t="shared" si="323"/>
        <v>6.55</v>
      </c>
      <c r="JM84" s="4">
        <f t="shared" si="324"/>
        <v>6.75</v>
      </c>
      <c r="JN84" s="4">
        <f t="shared" si="325"/>
        <v>0</v>
      </c>
      <c r="JO84" s="129">
        <f t="shared" si="326"/>
        <v>0</v>
      </c>
      <c r="JP84" s="122">
        <f t="shared" si="327"/>
        <v>1.4</v>
      </c>
      <c r="JQ84" s="122">
        <f t="shared" si="328"/>
        <v>42.8</v>
      </c>
      <c r="JR84" s="122">
        <f t="shared" si="329"/>
        <v>44.1</v>
      </c>
      <c r="JS84" s="122">
        <f t="shared" si="330"/>
        <v>43.4</v>
      </c>
      <c r="JT84" s="122">
        <f t="shared" si="331"/>
        <v>33.700000000000003</v>
      </c>
      <c r="JU84" s="122">
        <f t="shared" si="332"/>
        <v>1.3</v>
      </c>
      <c r="JV84" s="122">
        <f t="shared" si="333"/>
        <v>-6.2</v>
      </c>
      <c r="JW84" s="122">
        <f t="shared" si="334"/>
        <v>-6.6</v>
      </c>
      <c r="JX84" s="122">
        <f t="shared" si="335"/>
        <v>-6.4</v>
      </c>
      <c r="JY84" s="122">
        <f t="shared" si="336"/>
        <v>150.9</v>
      </c>
      <c r="JZ84" s="122">
        <f t="shared" si="337"/>
        <v>0.4</v>
      </c>
      <c r="KA84" s="122">
        <f t="shared" si="338"/>
        <v>3.8</v>
      </c>
      <c r="KB84" s="122">
        <f t="shared" si="339"/>
        <v>11.3</v>
      </c>
      <c r="KC84" s="122">
        <f t="shared" si="340"/>
        <v>24.3</v>
      </c>
      <c r="KD84" s="122">
        <f t="shared" si="341"/>
        <v>58.9</v>
      </c>
      <c r="KE84" s="133">
        <f t="shared" si="342"/>
        <v>28</v>
      </c>
      <c r="KF84" s="94">
        <f t="shared" si="343"/>
        <v>-4.0000000000000036E-2</v>
      </c>
      <c r="KG84" s="4">
        <f t="shared" si="344"/>
        <v>-4.0000000000000036E-2</v>
      </c>
      <c r="KH84" s="4">
        <f t="shared" si="345"/>
        <v>-3.5999999999999943</v>
      </c>
      <c r="KI84" s="4">
        <f t="shared" si="346"/>
        <v>0</v>
      </c>
      <c r="KJ84" s="4">
        <f t="shared" si="347"/>
        <v>9.9999999999999992E-2</v>
      </c>
      <c r="KK84" s="4">
        <f t="shared" si="348"/>
        <v>-0.12</v>
      </c>
      <c r="KL84" s="4">
        <f t="shared" si="349"/>
        <v>-2.96</v>
      </c>
      <c r="KM84" s="4">
        <f t="shared" si="350"/>
        <v>-3.11</v>
      </c>
      <c r="KN84" s="4">
        <f t="shared" si="351"/>
        <v>-156</v>
      </c>
      <c r="KO84" s="4">
        <f t="shared" si="352"/>
        <v>-163</v>
      </c>
      <c r="KP84" s="4">
        <f t="shared" si="353"/>
        <v>-68</v>
      </c>
      <c r="KQ84" s="4">
        <f t="shared" si="354"/>
        <v>-90</v>
      </c>
      <c r="KR84" s="4">
        <f t="shared" si="355"/>
        <v>-54</v>
      </c>
      <c r="KS84" s="4">
        <f t="shared" si="356"/>
        <v>-87</v>
      </c>
      <c r="KT84" s="4">
        <f t="shared" si="357"/>
        <v>-159</v>
      </c>
      <c r="KU84" s="4">
        <f t="shared" si="358"/>
        <v>3.0999999999999996</v>
      </c>
      <c r="KV84" s="4">
        <f t="shared" si="359"/>
        <v>0.22999999999999987</v>
      </c>
      <c r="KW84" s="4">
        <f t="shared" si="360"/>
        <v>-4.0000000000000036E-2</v>
      </c>
      <c r="KX84" s="4">
        <f t="shared" si="361"/>
        <v>-4.0000000000000036E-2</v>
      </c>
      <c r="KY84" s="4">
        <f t="shared" si="362"/>
        <v>-9.9999999999997868E-3</v>
      </c>
      <c r="KZ84" s="4">
        <f t="shared" si="363"/>
        <v>-8.0000000000000071E-2</v>
      </c>
      <c r="LA84" s="4">
        <f t="shared" si="364"/>
        <v>-0.39999999999999947</v>
      </c>
      <c r="LB84" s="4">
        <f t="shared" si="365"/>
        <v>-0.66000000000000014</v>
      </c>
      <c r="LC84" s="4">
        <f t="shared" si="366"/>
        <v>0</v>
      </c>
      <c r="LD84" s="4">
        <f t="shared" si="367"/>
        <v>0.99999999999999989</v>
      </c>
      <c r="LE84" s="4">
        <f t="shared" si="368"/>
        <v>-1.17</v>
      </c>
      <c r="LF84" s="4">
        <f t="shared" si="369"/>
        <v>-0.6800000000000006</v>
      </c>
      <c r="LG84" s="4">
        <f t="shared" si="370"/>
        <v>-0.25</v>
      </c>
      <c r="LH84" s="4">
        <f t="shared" si="371"/>
        <v>-0.1800000000000006</v>
      </c>
      <c r="LI84" s="4">
        <f t="shared" si="372"/>
        <v>-0.33000000000000007</v>
      </c>
      <c r="LJ84" s="4">
        <f t="shared" si="373"/>
        <v>-7.33</v>
      </c>
      <c r="LK84" s="4">
        <f t="shared" si="374"/>
        <v>0</v>
      </c>
      <c r="LL84" s="4">
        <f t="shared" si="375"/>
        <v>0.99999999999999989</v>
      </c>
      <c r="LM84" s="4">
        <f t="shared" si="376"/>
        <v>0.19999999999999574</v>
      </c>
      <c r="LN84" s="4">
        <f t="shared" si="377"/>
        <v>0.30000000000000426</v>
      </c>
      <c r="LO84" s="4">
        <f t="shared" si="378"/>
        <v>0.19999999999999574</v>
      </c>
      <c r="LP84" s="4">
        <f t="shared" si="379"/>
        <v>-3.5999999999999943</v>
      </c>
      <c r="LQ84" s="4">
        <f t="shared" si="380"/>
        <v>0</v>
      </c>
      <c r="LR84" s="4">
        <f t="shared" si="381"/>
        <v>-0.90000000000000036</v>
      </c>
      <c r="LS84" s="4">
        <f t="shared" si="382"/>
        <v>-0.79999999999999982</v>
      </c>
      <c r="LT84" s="4">
        <f t="shared" si="383"/>
        <v>-0.90000000000000036</v>
      </c>
      <c r="LU84" s="4">
        <f t="shared" si="384"/>
        <v>100.80000000000001</v>
      </c>
      <c r="LV84" s="4">
        <f t="shared" si="385"/>
        <v>-9.9999999999999978E-2</v>
      </c>
      <c r="LW84" s="4">
        <f t="shared" si="386"/>
        <v>-1</v>
      </c>
      <c r="LX84" s="4">
        <f t="shared" si="387"/>
        <v>-2.3999999999999986</v>
      </c>
      <c r="LY84" s="4">
        <f t="shared" si="388"/>
        <v>-4.0999999999999979</v>
      </c>
      <c r="LZ84" s="4">
        <f t="shared" si="389"/>
        <v>-7.1999999999999957</v>
      </c>
      <c r="MA84" s="4">
        <f t="shared" si="390"/>
        <v>-1</v>
      </c>
      <c r="MB84" s="4" t="str">
        <f t="shared" si="391"/>
        <v/>
      </c>
      <c r="MC84" s="4" t="str">
        <f t="shared" si="392"/>
        <v/>
      </c>
      <c r="MD84" s="4" t="str">
        <f t="shared" si="393"/>
        <v/>
      </c>
      <c r="ME84" s="4">
        <f t="shared" si="394"/>
        <v>-6.6</v>
      </c>
    </row>
    <row r="85" spans="1:343" ht="26.25" customHeight="1" thickBot="1" x14ac:dyDescent="0.25">
      <c r="A85" s="35">
        <v>41395</v>
      </c>
      <c r="B85" s="36" t="s">
        <v>209</v>
      </c>
      <c r="C85" s="36" t="s">
        <v>21</v>
      </c>
      <c r="D85" s="31" t="s">
        <v>111</v>
      </c>
      <c r="E85" s="4">
        <v>70</v>
      </c>
      <c r="F85" s="3">
        <v>15808</v>
      </c>
      <c r="G85" s="4" t="s">
        <v>87</v>
      </c>
      <c r="H85" s="4" t="s">
        <v>108</v>
      </c>
      <c r="I85" s="4">
        <v>1835804</v>
      </c>
      <c r="K85" s="76"/>
      <c r="L85" s="76"/>
      <c r="M85" s="76"/>
      <c r="N85" s="76"/>
      <c r="O85" s="76"/>
      <c r="P85" s="4">
        <v>-0.75</v>
      </c>
      <c r="Q85" s="4">
        <v>-0.82</v>
      </c>
      <c r="R85" s="4" t="s">
        <v>249</v>
      </c>
      <c r="S85" s="67">
        <v>23.5</v>
      </c>
      <c r="T85" s="136">
        <v>41352</v>
      </c>
      <c r="U85" s="67">
        <v>3.25</v>
      </c>
      <c r="V85" s="67">
        <v>0.5</v>
      </c>
      <c r="W85" s="4">
        <v>23</v>
      </c>
      <c r="X85" s="4">
        <v>40</v>
      </c>
      <c r="Y85" s="4">
        <v>10</v>
      </c>
      <c r="Z85" s="4">
        <v>659</v>
      </c>
      <c r="AA85" s="4">
        <v>22.64</v>
      </c>
      <c r="AD85" s="4">
        <v>2.62</v>
      </c>
      <c r="AE85" s="4">
        <v>43.83</v>
      </c>
      <c r="AF85" s="4">
        <v>162</v>
      </c>
      <c r="AG85" s="4">
        <v>45.24</v>
      </c>
      <c r="AH85" s="4">
        <v>72</v>
      </c>
      <c r="AI85" s="4">
        <v>1</v>
      </c>
      <c r="AJ85" s="4" t="b">
        <f t="shared" si="267"/>
        <v>1</v>
      </c>
      <c r="AL85" s="32">
        <v>41604</v>
      </c>
      <c r="AM85" s="60">
        <v>20</v>
      </c>
      <c r="AN85" s="67">
        <v>-1.75</v>
      </c>
      <c r="AO85" s="67">
        <v>2</v>
      </c>
      <c r="AP85" s="4">
        <v>50</v>
      </c>
      <c r="AQ85" s="4">
        <v>25</v>
      </c>
      <c r="AR85" s="4">
        <v>12</v>
      </c>
      <c r="AS85" s="4">
        <v>536</v>
      </c>
      <c r="AT85" s="4">
        <v>2347</v>
      </c>
      <c r="AU85" s="4">
        <v>22.71</v>
      </c>
      <c r="AV85" s="4">
        <v>3.79</v>
      </c>
      <c r="AW85" s="4">
        <v>43.1</v>
      </c>
      <c r="AX85" s="4">
        <v>143</v>
      </c>
      <c r="AY85" s="4">
        <v>44.23</v>
      </c>
      <c r="AZ85" s="4">
        <v>53</v>
      </c>
      <c r="BA85" s="4">
        <f t="shared" si="268"/>
        <v>-0.75</v>
      </c>
      <c r="BB85" s="4">
        <f t="shared" si="265"/>
        <v>6.9999999999999951E-2</v>
      </c>
      <c r="BC85" s="4">
        <f t="shared" si="269"/>
        <v>-123</v>
      </c>
      <c r="BD85" s="150">
        <v>41704</v>
      </c>
      <c r="BS85" s="4" t="str">
        <f t="shared" si="266"/>
        <v/>
      </c>
      <c r="BT85" s="4" t="str">
        <f t="shared" si="270"/>
        <v/>
      </c>
      <c r="BU85" s="4" t="str">
        <f t="shared" si="271"/>
        <v/>
      </c>
      <c r="BV85" s="4">
        <f>IF(AND(ISBLANK(SPH_6),ISBLANK(SPH_12)),0,1)</f>
        <v>1</v>
      </c>
      <c r="BW85" s="4">
        <f t="shared" si="272"/>
        <v>0</v>
      </c>
      <c r="BX85" s="4" t="str">
        <f t="shared" si="273"/>
        <v/>
      </c>
      <c r="BY85" s="4" t="str">
        <f t="shared" si="274"/>
        <v/>
      </c>
      <c r="BZ85" s="4" t="str">
        <f t="shared" si="275"/>
        <v/>
      </c>
      <c r="CA85" s="53">
        <f t="shared" si="276"/>
        <v>209</v>
      </c>
      <c r="CB85" s="55">
        <f t="shared" si="277"/>
        <v>6.9666666666666668</v>
      </c>
      <c r="CC85" s="4" t="str">
        <f t="shared" si="278"/>
        <v/>
      </c>
      <c r="CD85" s="4">
        <f t="shared" si="279"/>
        <v>-0.86999999999999744</v>
      </c>
      <c r="CE85" s="4" t="str">
        <f t="shared" si="280"/>
        <v/>
      </c>
      <c r="CF85" s="4">
        <f t="shared" si="281"/>
        <v>-0.86999999999999744</v>
      </c>
      <c r="CG85" s="4">
        <f t="shared" si="395"/>
        <v>3.5</v>
      </c>
      <c r="CH85" s="4">
        <f t="shared" si="282"/>
        <v>-0.75</v>
      </c>
      <c r="CI85" s="104">
        <f t="shared" si="283"/>
        <v>6.9999999999999951E-2</v>
      </c>
      <c r="CJ85" s="94">
        <f t="shared" si="284"/>
        <v>-123</v>
      </c>
      <c r="CK85" s="4">
        <f t="shared" si="285"/>
        <v>7.0000000000000284E-2</v>
      </c>
      <c r="CL85" s="107">
        <f t="shared" si="286"/>
        <v>-0.82</v>
      </c>
      <c r="CM85" s="107">
        <f t="shared" si="396"/>
        <v>0.20411998265592479</v>
      </c>
      <c r="CN85" s="139">
        <f t="shared" si="287"/>
        <v>2</v>
      </c>
      <c r="CO85" s="139">
        <f t="shared" si="288"/>
        <v>1.5</v>
      </c>
      <c r="CP85" s="149">
        <f t="shared" si="289"/>
        <v>25</v>
      </c>
      <c r="CQ85" s="149">
        <f t="shared" si="290"/>
        <v>40</v>
      </c>
      <c r="CR85" s="148">
        <f t="shared" si="291"/>
        <v>20</v>
      </c>
      <c r="CS85" s="152" t="str">
        <f t="shared" si="292"/>
        <v/>
      </c>
      <c r="CT85" s="107" t="str">
        <f t="shared" si="293"/>
        <v/>
      </c>
      <c r="CU85" s="155" t="str">
        <f t="shared" si="294"/>
        <v/>
      </c>
      <c r="IJ85" s="94" t="str">
        <f t="shared" si="295"/>
        <v/>
      </c>
      <c r="IK85" s="4" t="str">
        <f t="shared" si="296"/>
        <v/>
      </c>
      <c r="IL85" s="4" t="str">
        <f t="shared" si="297"/>
        <v/>
      </c>
      <c r="IM85" s="4" t="str">
        <f t="shared" si="298"/>
        <v/>
      </c>
      <c r="IN85" s="4" t="str">
        <f t="shared" si="299"/>
        <v/>
      </c>
      <c r="IO85" s="4" t="str">
        <f t="shared" si="300"/>
        <v/>
      </c>
      <c r="IP85" s="4" t="str">
        <f t="shared" si="301"/>
        <v/>
      </c>
      <c r="IQ85" s="4" t="str">
        <f t="shared" si="302"/>
        <v/>
      </c>
      <c r="IR85" s="4" t="str">
        <f t="shared" si="303"/>
        <v/>
      </c>
      <c r="IS85" s="4" t="str">
        <f t="shared" si="304"/>
        <v/>
      </c>
      <c r="IT85" s="4" t="str">
        <f t="shared" si="305"/>
        <v/>
      </c>
      <c r="IU85" s="4" t="str">
        <f t="shared" si="306"/>
        <v/>
      </c>
      <c r="IV85" s="4" t="str">
        <f t="shared" si="307"/>
        <v/>
      </c>
      <c r="IW85" s="4" t="str">
        <f t="shared" si="308"/>
        <v/>
      </c>
      <c r="IX85" s="4" t="str">
        <f t="shared" si="309"/>
        <v/>
      </c>
      <c r="IY85" s="4" t="str">
        <f t="shared" si="310"/>
        <v/>
      </c>
      <c r="IZ85" s="4" t="str">
        <f t="shared" si="311"/>
        <v/>
      </c>
      <c r="JA85" s="4" t="str">
        <f t="shared" si="312"/>
        <v/>
      </c>
      <c r="JB85" s="4" t="str">
        <f t="shared" si="313"/>
        <v/>
      </c>
      <c r="JC85" s="4" t="str">
        <f t="shared" si="314"/>
        <v/>
      </c>
      <c r="JD85" s="4" t="str">
        <f t="shared" si="315"/>
        <v/>
      </c>
      <c r="JE85" s="4" t="str">
        <f t="shared" si="316"/>
        <v/>
      </c>
      <c r="JF85" s="4" t="str">
        <f t="shared" si="317"/>
        <v/>
      </c>
      <c r="JG85" s="4" t="str">
        <f t="shared" si="318"/>
        <v/>
      </c>
      <c r="JH85" s="4" t="str">
        <f t="shared" si="319"/>
        <v/>
      </c>
      <c r="JI85" s="4" t="str">
        <f t="shared" si="320"/>
        <v/>
      </c>
      <c r="JJ85" s="4" t="str">
        <f t="shared" si="321"/>
        <v/>
      </c>
      <c r="JK85" s="4" t="str">
        <f t="shared" si="322"/>
        <v/>
      </c>
      <c r="JL85" s="4" t="str">
        <f t="shared" si="323"/>
        <v/>
      </c>
      <c r="JM85" s="4" t="str">
        <f t="shared" si="324"/>
        <v/>
      </c>
      <c r="JN85" s="4" t="str">
        <f t="shared" si="325"/>
        <v/>
      </c>
      <c r="JO85" s="129" t="str">
        <f t="shared" si="326"/>
        <v/>
      </c>
      <c r="JP85" s="122" t="str">
        <f t="shared" si="327"/>
        <v/>
      </c>
      <c r="JQ85" s="122" t="str">
        <f t="shared" si="328"/>
        <v/>
      </c>
      <c r="JR85" s="122" t="str">
        <f t="shared" si="329"/>
        <v/>
      </c>
      <c r="JS85" s="122" t="str">
        <f t="shared" si="330"/>
        <v/>
      </c>
      <c r="JT85" s="122" t="str">
        <f t="shared" si="331"/>
        <v/>
      </c>
      <c r="JU85" s="122" t="str">
        <f t="shared" si="332"/>
        <v/>
      </c>
      <c r="JV85" s="122" t="str">
        <f t="shared" si="333"/>
        <v/>
      </c>
      <c r="JW85" s="122" t="str">
        <f t="shared" si="334"/>
        <v/>
      </c>
      <c r="JX85" s="122" t="str">
        <f t="shared" si="335"/>
        <v/>
      </c>
      <c r="JY85" s="122" t="str">
        <f t="shared" si="336"/>
        <v/>
      </c>
      <c r="JZ85" s="122" t="str">
        <f t="shared" si="337"/>
        <v/>
      </c>
      <c r="KA85" s="122" t="str">
        <f t="shared" si="338"/>
        <v/>
      </c>
      <c r="KB85" s="122" t="str">
        <f t="shared" si="339"/>
        <v/>
      </c>
      <c r="KC85" s="122" t="str">
        <f t="shared" si="340"/>
        <v/>
      </c>
      <c r="KD85" s="122" t="str">
        <f t="shared" si="341"/>
        <v/>
      </c>
      <c r="KE85" s="133" t="str">
        <f t="shared" si="342"/>
        <v/>
      </c>
      <c r="KF85" s="94" t="str">
        <f t="shared" si="343"/>
        <v/>
      </c>
      <c r="KG85" s="4" t="str">
        <f t="shared" si="344"/>
        <v/>
      </c>
      <c r="KH85" s="4" t="str">
        <f t="shared" si="345"/>
        <v/>
      </c>
      <c r="KI85" s="4" t="str">
        <f t="shared" si="346"/>
        <v/>
      </c>
      <c r="KJ85" s="4" t="str">
        <f t="shared" si="347"/>
        <v/>
      </c>
      <c r="KK85" s="4" t="str">
        <f t="shared" si="348"/>
        <v/>
      </c>
      <c r="KL85" s="4" t="str">
        <f t="shared" si="349"/>
        <v/>
      </c>
      <c r="KM85" s="4" t="str">
        <f t="shared" si="350"/>
        <v/>
      </c>
      <c r="KN85" s="4" t="str">
        <f t="shared" si="351"/>
        <v/>
      </c>
      <c r="KO85" s="4" t="str">
        <f t="shared" si="352"/>
        <v/>
      </c>
      <c r="KP85" s="4" t="str">
        <f t="shared" si="353"/>
        <v/>
      </c>
      <c r="KQ85" s="4" t="str">
        <f t="shared" si="354"/>
        <v/>
      </c>
      <c r="KR85" s="4" t="str">
        <f t="shared" si="355"/>
        <v/>
      </c>
      <c r="KS85" s="4" t="str">
        <f t="shared" si="356"/>
        <v/>
      </c>
      <c r="KT85" s="4" t="str">
        <f t="shared" si="357"/>
        <v/>
      </c>
      <c r="KU85" s="4" t="str">
        <f t="shared" si="358"/>
        <v/>
      </c>
      <c r="KV85" s="4" t="str">
        <f t="shared" si="359"/>
        <v/>
      </c>
      <c r="KW85" s="4" t="str">
        <f t="shared" si="360"/>
        <v/>
      </c>
      <c r="KX85" s="4" t="str">
        <f t="shared" si="361"/>
        <v/>
      </c>
      <c r="KY85" s="4" t="str">
        <f t="shared" si="362"/>
        <v/>
      </c>
      <c r="KZ85" s="4" t="str">
        <f t="shared" si="363"/>
        <v/>
      </c>
      <c r="LA85" s="4" t="str">
        <f t="shared" si="364"/>
        <v/>
      </c>
      <c r="LB85" s="4" t="str">
        <f t="shared" si="365"/>
        <v/>
      </c>
      <c r="LC85" s="4" t="str">
        <f t="shared" si="366"/>
        <v/>
      </c>
      <c r="LD85" s="4" t="str">
        <f t="shared" si="367"/>
        <v/>
      </c>
      <c r="LE85" s="4" t="str">
        <f t="shared" si="368"/>
        <v/>
      </c>
      <c r="LF85" s="4" t="str">
        <f t="shared" si="369"/>
        <v/>
      </c>
      <c r="LG85" s="4" t="str">
        <f t="shared" si="370"/>
        <v/>
      </c>
      <c r="LH85" s="4" t="str">
        <f t="shared" si="371"/>
        <v/>
      </c>
      <c r="LI85" s="4" t="str">
        <f t="shared" si="372"/>
        <v/>
      </c>
      <c r="LJ85" s="4" t="str">
        <f t="shared" si="373"/>
        <v/>
      </c>
      <c r="LK85" s="4" t="str">
        <f t="shared" si="374"/>
        <v/>
      </c>
      <c r="LL85" s="4" t="str">
        <f t="shared" si="375"/>
        <v/>
      </c>
      <c r="LM85" s="4" t="str">
        <f t="shared" si="376"/>
        <v/>
      </c>
      <c r="LN85" s="4" t="str">
        <f t="shared" si="377"/>
        <v/>
      </c>
      <c r="LO85" s="4" t="str">
        <f t="shared" si="378"/>
        <v/>
      </c>
      <c r="LP85" s="4" t="str">
        <f t="shared" si="379"/>
        <v/>
      </c>
      <c r="LQ85" s="4" t="str">
        <f t="shared" si="380"/>
        <v/>
      </c>
      <c r="LR85" s="4" t="str">
        <f t="shared" si="381"/>
        <v/>
      </c>
      <c r="LS85" s="4" t="str">
        <f t="shared" si="382"/>
        <v/>
      </c>
      <c r="LT85" s="4" t="str">
        <f t="shared" si="383"/>
        <v/>
      </c>
      <c r="LU85" s="4" t="str">
        <f t="shared" si="384"/>
        <v/>
      </c>
      <c r="LV85" s="4" t="str">
        <f t="shared" si="385"/>
        <v/>
      </c>
      <c r="LW85" s="4" t="str">
        <f t="shared" si="386"/>
        <v/>
      </c>
      <c r="LX85" s="4" t="str">
        <f t="shared" si="387"/>
        <v/>
      </c>
      <c r="LY85" s="4" t="str">
        <f t="shared" si="388"/>
        <v/>
      </c>
      <c r="LZ85" s="4" t="str">
        <f t="shared" si="389"/>
        <v/>
      </c>
      <c r="MA85" s="4" t="str">
        <f t="shared" si="390"/>
        <v/>
      </c>
      <c r="MB85" s="4" t="str">
        <f t="shared" si="391"/>
        <v/>
      </c>
      <c r="MC85" s="4" t="str">
        <f t="shared" si="392"/>
        <v/>
      </c>
      <c r="MD85" s="4" t="str">
        <f t="shared" si="393"/>
        <v/>
      </c>
      <c r="ME85" s="4">
        <f t="shared" si="394"/>
        <v>0</v>
      </c>
    </row>
    <row r="86" spans="1:343" ht="26.25" customHeight="1" thickBot="1" x14ac:dyDescent="0.25">
      <c r="A86" s="35">
        <v>41227</v>
      </c>
      <c r="B86" s="36" t="s">
        <v>131</v>
      </c>
      <c r="C86" s="36" t="s">
        <v>114</v>
      </c>
      <c r="D86" s="31" t="s">
        <v>110</v>
      </c>
      <c r="E86" s="4">
        <v>60</v>
      </c>
      <c r="F86" s="3">
        <v>19022</v>
      </c>
      <c r="G86" s="4" t="s">
        <v>87</v>
      </c>
      <c r="H86" s="4" t="s">
        <v>112</v>
      </c>
      <c r="I86" s="4">
        <v>1835815</v>
      </c>
      <c r="K86" s="80"/>
      <c r="L86" s="81"/>
      <c r="M86" s="81"/>
      <c r="N86" s="81"/>
      <c r="O86" s="81"/>
      <c r="P86" s="4">
        <v>-0.5</v>
      </c>
      <c r="Q86" s="4">
        <v>-0.65</v>
      </c>
      <c r="R86" s="4" t="s">
        <v>249</v>
      </c>
      <c r="S86" s="67">
        <v>19.25</v>
      </c>
      <c r="T86" s="136">
        <v>41207</v>
      </c>
      <c r="U86" s="67">
        <v>-3.25</v>
      </c>
      <c r="V86" s="67">
        <v>2</v>
      </c>
      <c r="W86" s="4">
        <v>165</v>
      </c>
      <c r="X86" s="4">
        <v>25</v>
      </c>
      <c r="Y86" s="4">
        <v>14</v>
      </c>
      <c r="Z86" s="4">
        <v>610</v>
      </c>
      <c r="AA86" s="4">
        <v>24.04</v>
      </c>
      <c r="AB86" s="4">
        <v>12.5</v>
      </c>
      <c r="AC86" s="4">
        <v>4.74</v>
      </c>
      <c r="AD86" s="4">
        <v>3.43</v>
      </c>
      <c r="AE86" s="4">
        <v>42.99</v>
      </c>
      <c r="AF86" s="4">
        <v>123</v>
      </c>
      <c r="AG86" s="4">
        <v>44.76</v>
      </c>
      <c r="AH86" s="4">
        <v>33</v>
      </c>
      <c r="AI86" s="4">
        <v>1</v>
      </c>
      <c r="AJ86" s="4" t="b">
        <f t="shared" si="267"/>
        <v>1</v>
      </c>
      <c r="AL86" s="3">
        <v>41428</v>
      </c>
      <c r="AN86" s="67">
        <v>-2.5</v>
      </c>
      <c r="AO86" s="67">
        <v>3.75</v>
      </c>
      <c r="AP86" s="4">
        <v>98</v>
      </c>
      <c r="AQ86" s="4">
        <v>20</v>
      </c>
      <c r="AR86" s="4">
        <v>14</v>
      </c>
      <c r="AS86" s="4">
        <v>563</v>
      </c>
      <c r="AT86" s="4">
        <v>557</v>
      </c>
      <c r="BA86" s="4">
        <f t="shared" si="268"/>
        <v>-0.625</v>
      </c>
      <c r="BB86" s="4">
        <f t="shared" si="265"/>
        <v>2.5000000000000022E-2</v>
      </c>
      <c r="BC86" s="4">
        <f t="shared" si="269"/>
        <v>-47</v>
      </c>
      <c r="BD86" s="3">
        <v>41603</v>
      </c>
      <c r="BE86" s="56">
        <v>50</v>
      </c>
      <c r="BF86" s="67">
        <v>-2.25</v>
      </c>
      <c r="BG86" s="67">
        <v>3.5</v>
      </c>
      <c r="BH86" s="4">
        <v>100</v>
      </c>
      <c r="BI86" s="4">
        <v>20</v>
      </c>
      <c r="BJ86" s="4">
        <v>16</v>
      </c>
      <c r="BK86" s="4">
        <v>567</v>
      </c>
      <c r="BL86" s="4">
        <v>611</v>
      </c>
      <c r="BM86" s="4" t="s">
        <v>282</v>
      </c>
      <c r="BN86" s="4" t="s">
        <v>282</v>
      </c>
      <c r="BO86" s="4" t="s">
        <v>282</v>
      </c>
      <c r="BP86" s="4" t="s">
        <v>282</v>
      </c>
      <c r="BQ86" s="4" t="s">
        <v>282</v>
      </c>
      <c r="BR86" s="4" t="s">
        <v>282</v>
      </c>
      <c r="BS86" s="4">
        <f t="shared" si="266"/>
        <v>-0.5</v>
      </c>
      <c r="BT86" s="4">
        <f t="shared" si="270"/>
        <v>0.15000000000000002</v>
      </c>
      <c r="BU86" s="4">
        <f t="shared" si="271"/>
        <v>-43</v>
      </c>
      <c r="BV86" s="4">
        <f>IF(AND(ISBLANK(SPH_6),ISBLANK(SPH_12)),0,1)</f>
        <v>1</v>
      </c>
      <c r="BW86" s="4">
        <f t="shared" si="272"/>
        <v>1</v>
      </c>
      <c r="BX86" s="4">
        <f t="shared" si="273"/>
        <v>-2.25</v>
      </c>
      <c r="BY86" s="4">
        <f t="shared" si="274"/>
        <v>-0.625</v>
      </c>
      <c r="BZ86" s="4">
        <f t="shared" si="275"/>
        <v>-0.5</v>
      </c>
      <c r="CA86" s="53">
        <f t="shared" si="276"/>
        <v>376</v>
      </c>
      <c r="CB86" s="55">
        <f t="shared" si="277"/>
        <v>12.533333333333333</v>
      </c>
      <c r="CC86" s="4">
        <f t="shared" si="278"/>
        <v>0.125</v>
      </c>
      <c r="CD86" s="4" t="str">
        <f t="shared" si="279"/>
        <v/>
      </c>
      <c r="CE86" s="4" t="str">
        <f t="shared" si="280"/>
        <v/>
      </c>
      <c r="CF86" s="4" t="str">
        <f t="shared" si="281"/>
        <v/>
      </c>
      <c r="CG86" s="4">
        <f t="shared" si="395"/>
        <v>-2.25</v>
      </c>
      <c r="CH86" s="4">
        <f t="shared" si="282"/>
        <v>-0.5</v>
      </c>
      <c r="CI86" s="104">
        <f t="shared" si="283"/>
        <v>0.15000000000000002</v>
      </c>
      <c r="CJ86" s="94">
        <f t="shared" si="284"/>
        <v>-43</v>
      </c>
      <c r="CK86" s="4" t="str">
        <f t="shared" si="285"/>
        <v/>
      </c>
      <c r="CL86" s="107">
        <f t="shared" si="286"/>
        <v>-0.65</v>
      </c>
      <c r="CM86" s="107">
        <f t="shared" si="396"/>
        <v>9.6910013008056392E-2</v>
      </c>
      <c r="CN86" s="139">
        <f t="shared" si="287"/>
        <v>3.5</v>
      </c>
      <c r="CO86" s="139">
        <f t="shared" si="288"/>
        <v>1.5</v>
      </c>
      <c r="CP86" s="149">
        <f t="shared" si="289"/>
        <v>20</v>
      </c>
      <c r="CQ86" s="149">
        <f t="shared" si="290"/>
        <v>25</v>
      </c>
      <c r="CR86" s="148">
        <f t="shared" si="291"/>
        <v>50</v>
      </c>
      <c r="CS86" s="152">
        <f t="shared" si="292"/>
        <v>0</v>
      </c>
      <c r="CT86" s="107">
        <f t="shared" si="293"/>
        <v>1</v>
      </c>
      <c r="CU86" s="155" t="b">
        <f t="shared" si="294"/>
        <v>0</v>
      </c>
      <c r="CV86">
        <v>7.81</v>
      </c>
      <c r="CW86" s="4">
        <v>7.7</v>
      </c>
      <c r="CX86" s="4">
        <v>35.9</v>
      </c>
      <c r="CY86" s="4">
        <v>-0.6</v>
      </c>
      <c r="CZ86" s="4">
        <v>0.24</v>
      </c>
      <c r="DA86" s="4">
        <v>0.5</v>
      </c>
      <c r="DB86" s="4">
        <v>2.85</v>
      </c>
      <c r="DC86" s="4">
        <v>3.49</v>
      </c>
      <c r="DD86" s="4">
        <v>637</v>
      </c>
      <c r="DE86" s="4">
        <v>643</v>
      </c>
      <c r="DF86" s="4">
        <v>637</v>
      </c>
      <c r="DG86" s="4">
        <v>696</v>
      </c>
      <c r="DH86" s="4">
        <v>643</v>
      </c>
      <c r="DI86" s="4">
        <v>676</v>
      </c>
      <c r="DJ86" s="4">
        <v>579</v>
      </c>
      <c r="DK86" s="4">
        <v>-0.22</v>
      </c>
      <c r="DL86" s="4">
        <v>1.39</v>
      </c>
      <c r="DM86" s="4">
        <v>7.76</v>
      </c>
      <c r="DN86" s="4">
        <v>7.75</v>
      </c>
      <c r="DO86" s="4">
        <v>7.75</v>
      </c>
      <c r="DP86" s="4">
        <v>7.9</v>
      </c>
      <c r="DQ86" s="4">
        <v>8.2899999999999991</v>
      </c>
      <c r="DR86" s="4">
        <v>8.82</v>
      </c>
      <c r="DS86" s="4">
        <v>9.0500000000000007</v>
      </c>
      <c r="DT86" s="4">
        <v>1</v>
      </c>
      <c r="DU86" s="4">
        <v>6.9</v>
      </c>
      <c r="DV86" s="4">
        <v>7.13</v>
      </c>
      <c r="DW86" s="4">
        <v>7.32</v>
      </c>
      <c r="DX86" s="4">
        <v>7.23</v>
      </c>
      <c r="DY86" s="4">
        <v>7.16</v>
      </c>
      <c r="DZ86" s="4">
        <v>7.21</v>
      </c>
      <c r="EA86" s="4">
        <v>0</v>
      </c>
      <c r="EB86" s="100">
        <v>1</v>
      </c>
      <c r="EC86" s="122">
        <v>43.2</v>
      </c>
      <c r="ED86" s="122">
        <v>43.8</v>
      </c>
      <c r="EE86" s="122">
        <v>43.5</v>
      </c>
      <c r="EF86" s="122">
        <v>35.9</v>
      </c>
      <c r="EG86" s="122">
        <v>0.6</v>
      </c>
      <c r="EH86" s="122">
        <v>-5.5</v>
      </c>
      <c r="EI86" s="122">
        <v>-6.1</v>
      </c>
      <c r="EJ86" s="122">
        <v>-5.8</v>
      </c>
      <c r="EK86" s="122">
        <v>29.6</v>
      </c>
      <c r="EL86" s="122">
        <v>0.5</v>
      </c>
      <c r="EM86" s="122">
        <v>4.5999999999999996</v>
      </c>
      <c r="EN86" s="122">
        <v>13</v>
      </c>
      <c r="EO86" s="122">
        <v>26.8</v>
      </c>
      <c r="EP86" s="122">
        <v>59.7</v>
      </c>
      <c r="EQ86" s="126">
        <v>12</v>
      </c>
      <c r="ER86" s="94">
        <v>7.88</v>
      </c>
      <c r="ES86" s="4">
        <v>7.51</v>
      </c>
      <c r="ET86" s="4">
        <v>21.8</v>
      </c>
      <c r="EU86" s="4">
        <v>-2.1</v>
      </c>
      <c r="EV86" s="4">
        <v>0.42</v>
      </c>
      <c r="EW86" s="4">
        <v>0.5</v>
      </c>
      <c r="EX86" s="4">
        <v>5.2</v>
      </c>
      <c r="EY86" s="4">
        <v>5.76</v>
      </c>
      <c r="EZ86" s="4">
        <v>554</v>
      </c>
      <c r="FA86" s="4">
        <v>548</v>
      </c>
      <c r="FB86" s="4">
        <v>663</v>
      </c>
      <c r="FC86" s="4">
        <v>621</v>
      </c>
      <c r="FD86" s="4">
        <v>663</v>
      </c>
      <c r="FE86" s="4">
        <v>607</v>
      </c>
      <c r="FF86" s="4">
        <v>514</v>
      </c>
      <c r="FG86" s="4">
        <v>0.95</v>
      </c>
      <c r="FH86" s="4">
        <v>-1.5</v>
      </c>
      <c r="FI86" s="4">
        <v>7.66</v>
      </c>
      <c r="FJ86" s="4">
        <v>7.79</v>
      </c>
      <c r="FK86" s="4">
        <v>7.83</v>
      </c>
      <c r="FL86" s="4">
        <v>7.92</v>
      </c>
      <c r="FM86" s="4">
        <v>8.09</v>
      </c>
      <c r="FN86" s="4">
        <v>8.4</v>
      </c>
      <c r="FO86" s="4">
        <v>0</v>
      </c>
      <c r="FP86" s="4">
        <v>1.3</v>
      </c>
      <c r="FQ86" s="4">
        <v>6.28</v>
      </c>
      <c r="FR86" s="4">
        <v>6.33</v>
      </c>
      <c r="FS86" s="4">
        <v>6.56</v>
      </c>
      <c r="FT86" s="4">
        <v>6.81</v>
      </c>
      <c r="FU86" s="4">
        <v>7</v>
      </c>
      <c r="FV86" s="4">
        <v>7.35</v>
      </c>
      <c r="FW86" s="4">
        <v>0</v>
      </c>
      <c r="FX86" s="97">
        <v>1.3</v>
      </c>
      <c r="FY86" s="122">
        <v>42.8</v>
      </c>
      <c r="FZ86" s="122">
        <v>44.9</v>
      </c>
      <c r="GA86" s="122">
        <v>43.8</v>
      </c>
      <c r="GB86" s="122">
        <v>21.8</v>
      </c>
      <c r="GC86" s="122">
        <v>2.1</v>
      </c>
      <c r="GD86" s="122">
        <v>-6.2</v>
      </c>
      <c r="GE86" s="122">
        <v>-6.5</v>
      </c>
      <c r="GF86" s="122">
        <v>-6.4</v>
      </c>
      <c r="GG86" s="122">
        <v>133.9</v>
      </c>
      <c r="GH86" s="122">
        <v>0.2</v>
      </c>
      <c r="GI86" s="122">
        <v>4</v>
      </c>
      <c r="GJ86" s="122">
        <v>11.8</v>
      </c>
      <c r="GK86" s="122">
        <v>25.1</v>
      </c>
      <c r="GL86" s="122">
        <v>59.8</v>
      </c>
      <c r="GM86" s="131">
        <v>19</v>
      </c>
      <c r="IJ86" s="94">
        <f t="shared" si="295"/>
        <v>7.88</v>
      </c>
      <c r="IK86" s="4">
        <f t="shared" si="296"/>
        <v>7.51</v>
      </c>
      <c r="IL86" s="4">
        <f t="shared" si="297"/>
        <v>21.8</v>
      </c>
      <c r="IM86" s="4">
        <f t="shared" si="298"/>
        <v>-2.1</v>
      </c>
      <c r="IN86" s="4">
        <f t="shared" si="299"/>
        <v>0.42</v>
      </c>
      <c r="IO86" s="4">
        <f t="shared" si="300"/>
        <v>0.5</v>
      </c>
      <c r="IP86" s="4">
        <f t="shared" si="301"/>
        <v>5.2</v>
      </c>
      <c r="IQ86" s="4">
        <f t="shared" si="302"/>
        <v>5.76</v>
      </c>
      <c r="IR86" s="4">
        <f t="shared" si="303"/>
        <v>554</v>
      </c>
      <c r="IS86" s="4">
        <f t="shared" si="304"/>
        <v>548</v>
      </c>
      <c r="IT86" s="4">
        <f t="shared" si="305"/>
        <v>663</v>
      </c>
      <c r="IU86" s="4">
        <f t="shared" si="306"/>
        <v>621</v>
      </c>
      <c r="IV86" s="4">
        <f t="shared" si="307"/>
        <v>663</v>
      </c>
      <c r="IW86" s="4">
        <f t="shared" si="308"/>
        <v>607</v>
      </c>
      <c r="IX86" s="4">
        <f t="shared" si="309"/>
        <v>514</v>
      </c>
      <c r="IY86" s="4">
        <f t="shared" si="310"/>
        <v>0.95</v>
      </c>
      <c r="IZ86" s="4">
        <f t="shared" si="311"/>
        <v>-1.5</v>
      </c>
      <c r="JA86" s="4">
        <f t="shared" si="312"/>
        <v>7.66</v>
      </c>
      <c r="JB86" s="4">
        <f t="shared" si="313"/>
        <v>7.79</v>
      </c>
      <c r="JC86" s="4">
        <f t="shared" si="314"/>
        <v>7.83</v>
      </c>
      <c r="JD86" s="4">
        <f t="shared" si="315"/>
        <v>7.92</v>
      </c>
      <c r="JE86" s="4">
        <f t="shared" si="316"/>
        <v>8.09</v>
      </c>
      <c r="JF86" s="4">
        <f t="shared" si="317"/>
        <v>8.4</v>
      </c>
      <c r="JG86" s="4">
        <f t="shared" si="318"/>
        <v>0</v>
      </c>
      <c r="JH86" s="4">
        <f t="shared" si="319"/>
        <v>1.3</v>
      </c>
      <c r="JI86" s="4">
        <f t="shared" si="320"/>
        <v>6.28</v>
      </c>
      <c r="JJ86" s="4">
        <f t="shared" si="321"/>
        <v>6.33</v>
      </c>
      <c r="JK86" s="4">
        <f t="shared" si="322"/>
        <v>6.56</v>
      </c>
      <c r="JL86" s="4">
        <f t="shared" si="323"/>
        <v>6.81</v>
      </c>
      <c r="JM86" s="4">
        <f t="shared" si="324"/>
        <v>7</v>
      </c>
      <c r="JN86" s="4">
        <f t="shared" si="325"/>
        <v>7.35</v>
      </c>
      <c r="JO86" s="129">
        <f t="shared" si="326"/>
        <v>0</v>
      </c>
      <c r="JP86" s="122">
        <f t="shared" si="327"/>
        <v>1.3</v>
      </c>
      <c r="JQ86" s="122">
        <f t="shared" si="328"/>
        <v>42.8</v>
      </c>
      <c r="JR86" s="122">
        <f t="shared" si="329"/>
        <v>44.9</v>
      </c>
      <c r="JS86" s="122">
        <f t="shared" si="330"/>
        <v>43.8</v>
      </c>
      <c r="JT86" s="122">
        <f t="shared" si="331"/>
        <v>21.8</v>
      </c>
      <c r="JU86" s="122">
        <f t="shared" si="332"/>
        <v>2.1</v>
      </c>
      <c r="JV86" s="122">
        <f t="shared" si="333"/>
        <v>-6.2</v>
      </c>
      <c r="JW86" s="122">
        <f t="shared" si="334"/>
        <v>-6.5</v>
      </c>
      <c r="JX86" s="122">
        <f t="shared" si="335"/>
        <v>-6.4</v>
      </c>
      <c r="JY86" s="122">
        <f t="shared" si="336"/>
        <v>133.9</v>
      </c>
      <c r="JZ86" s="122">
        <f t="shared" si="337"/>
        <v>0.2</v>
      </c>
      <c r="KA86" s="122">
        <f t="shared" si="338"/>
        <v>4</v>
      </c>
      <c r="KB86" s="122">
        <f t="shared" si="339"/>
        <v>11.8</v>
      </c>
      <c r="KC86" s="122">
        <f t="shared" si="340"/>
        <v>25.1</v>
      </c>
      <c r="KD86" s="122">
        <f t="shared" si="341"/>
        <v>59.8</v>
      </c>
      <c r="KE86" s="133">
        <f t="shared" si="342"/>
        <v>19</v>
      </c>
      <c r="KF86" s="94">
        <f t="shared" si="343"/>
        <v>7.0000000000000284E-2</v>
      </c>
      <c r="KG86" s="4">
        <f t="shared" si="344"/>
        <v>-0.19000000000000039</v>
      </c>
      <c r="KH86" s="4">
        <f t="shared" si="345"/>
        <v>-14.099999999999998</v>
      </c>
      <c r="KI86" s="4">
        <f t="shared" si="346"/>
        <v>-1.5</v>
      </c>
      <c r="KJ86" s="4">
        <f t="shared" si="347"/>
        <v>0.18</v>
      </c>
      <c r="KK86" s="4">
        <f t="shared" si="348"/>
        <v>0</v>
      </c>
      <c r="KL86" s="4">
        <f t="shared" si="349"/>
        <v>2.35</v>
      </c>
      <c r="KM86" s="4">
        <f t="shared" si="350"/>
        <v>2.2699999999999996</v>
      </c>
      <c r="KN86" s="4">
        <f t="shared" si="351"/>
        <v>-83</v>
      </c>
      <c r="KO86" s="4">
        <f t="shared" si="352"/>
        <v>-95</v>
      </c>
      <c r="KP86" s="4">
        <f t="shared" si="353"/>
        <v>26</v>
      </c>
      <c r="KQ86" s="4">
        <f t="shared" si="354"/>
        <v>-75</v>
      </c>
      <c r="KR86" s="4">
        <f t="shared" si="355"/>
        <v>20</v>
      </c>
      <c r="KS86" s="4">
        <f t="shared" si="356"/>
        <v>-69</v>
      </c>
      <c r="KT86" s="4">
        <f t="shared" si="357"/>
        <v>-65</v>
      </c>
      <c r="KU86" s="4">
        <f t="shared" si="358"/>
        <v>1.17</v>
      </c>
      <c r="KV86" s="4">
        <f t="shared" si="359"/>
        <v>-2.8899999999999997</v>
      </c>
      <c r="KW86" s="4">
        <f t="shared" si="360"/>
        <v>-9.9999999999999645E-2</v>
      </c>
      <c r="KX86" s="4">
        <f t="shared" si="361"/>
        <v>4.0000000000000036E-2</v>
      </c>
      <c r="KY86" s="4">
        <f t="shared" si="362"/>
        <v>8.0000000000000071E-2</v>
      </c>
      <c r="KZ86" s="4">
        <f t="shared" si="363"/>
        <v>1.9999999999999574E-2</v>
      </c>
      <c r="LA86" s="4">
        <f t="shared" si="364"/>
        <v>-0.19999999999999929</v>
      </c>
      <c r="LB86" s="4">
        <f t="shared" si="365"/>
        <v>-0.41999999999999993</v>
      </c>
      <c r="LC86" s="4">
        <f t="shared" si="366"/>
        <v>-9.0500000000000007</v>
      </c>
      <c r="LD86" s="4">
        <f t="shared" si="367"/>
        <v>0.30000000000000004</v>
      </c>
      <c r="LE86" s="4">
        <f t="shared" si="368"/>
        <v>-0.62000000000000011</v>
      </c>
      <c r="LF86" s="4">
        <f t="shared" si="369"/>
        <v>-0.79999999999999982</v>
      </c>
      <c r="LG86" s="4">
        <f t="shared" si="370"/>
        <v>-0.76000000000000068</v>
      </c>
      <c r="LH86" s="4">
        <f t="shared" si="371"/>
        <v>-0.42000000000000082</v>
      </c>
      <c r="LI86" s="4">
        <f t="shared" si="372"/>
        <v>-0.16000000000000014</v>
      </c>
      <c r="LJ86" s="4">
        <f t="shared" si="373"/>
        <v>0.13999999999999968</v>
      </c>
      <c r="LK86" s="4">
        <f t="shared" si="374"/>
        <v>0</v>
      </c>
      <c r="LL86" s="4">
        <f t="shared" si="375"/>
        <v>0.30000000000000004</v>
      </c>
      <c r="LM86" s="4">
        <f t="shared" si="376"/>
        <v>-0.40000000000000568</v>
      </c>
      <c r="LN86" s="4">
        <f t="shared" si="377"/>
        <v>1.1000000000000014</v>
      </c>
      <c r="LO86" s="4">
        <f t="shared" si="378"/>
        <v>0.29999999999999716</v>
      </c>
      <c r="LP86" s="4">
        <f t="shared" si="379"/>
        <v>-14.099999999999998</v>
      </c>
      <c r="LQ86" s="4">
        <f t="shared" si="380"/>
        <v>1.5</v>
      </c>
      <c r="LR86" s="4">
        <f t="shared" si="381"/>
        <v>-0.70000000000000018</v>
      </c>
      <c r="LS86" s="4">
        <f t="shared" si="382"/>
        <v>-0.40000000000000036</v>
      </c>
      <c r="LT86" s="4">
        <f t="shared" si="383"/>
        <v>-0.60000000000000053</v>
      </c>
      <c r="LU86" s="4">
        <f t="shared" si="384"/>
        <v>104.30000000000001</v>
      </c>
      <c r="LV86" s="4">
        <f t="shared" si="385"/>
        <v>-0.3</v>
      </c>
      <c r="LW86" s="4">
        <f t="shared" si="386"/>
        <v>-0.59999999999999964</v>
      </c>
      <c r="LX86" s="4">
        <f t="shared" si="387"/>
        <v>-1.1999999999999993</v>
      </c>
      <c r="LY86" s="4">
        <f t="shared" si="388"/>
        <v>-1.6999999999999993</v>
      </c>
      <c r="LZ86" s="4">
        <f t="shared" si="389"/>
        <v>9.9999999999994316E-2</v>
      </c>
      <c r="MA86" s="4">
        <f t="shared" si="390"/>
        <v>7</v>
      </c>
      <c r="MB86" s="4" t="str">
        <f t="shared" si="391"/>
        <v/>
      </c>
      <c r="MC86" s="4" t="str">
        <f t="shared" si="392"/>
        <v/>
      </c>
      <c r="MD86" s="4" t="str">
        <f t="shared" si="393"/>
        <v/>
      </c>
      <c r="ME86" s="4">
        <f t="shared" si="394"/>
        <v>6.5</v>
      </c>
    </row>
    <row r="87" spans="1:343" ht="26.25" customHeight="1" thickBot="1" x14ac:dyDescent="0.25">
      <c r="A87" s="35">
        <v>41318</v>
      </c>
      <c r="B87" s="36" t="s">
        <v>208</v>
      </c>
      <c r="C87" s="36" t="s">
        <v>202</v>
      </c>
      <c r="D87" s="31" t="s">
        <v>110</v>
      </c>
      <c r="E87" s="4">
        <v>65</v>
      </c>
      <c r="F87" s="3">
        <v>17345</v>
      </c>
      <c r="G87" s="4" t="s">
        <v>87</v>
      </c>
      <c r="H87" s="4" t="s">
        <v>108</v>
      </c>
      <c r="I87" s="4">
        <v>1835958</v>
      </c>
      <c r="K87" s="80"/>
      <c r="L87" s="81"/>
      <c r="M87" s="81"/>
      <c r="N87" s="81"/>
      <c r="O87" s="81"/>
      <c r="P87" s="4">
        <v>-0.5</v>
      </c>
      <c r="Q87" s="4">
        <v>-0.53</v>
      </c>
      <c r="R87" s="39" t="s">
        <v>249</v>
      </c>
      <c r="S87" s="70">
        <v>20.75</v>
      </c>
      <c r="T87" s="136">
        <v>41253</v>
      </c>
      <c r="U87" s="67">
        <v>-3.5</v>
      </c>
      <c r="V87" s="67">
        <v>1.25</v>
      </c>
      <c r="W87" s="4">
        <v>3</v>
      </c>
      <c r="X87" s="4">
        <v>40</v>
      </c>
      <c r="Y87" s="4">
        <v>15</v>
      </c>
      <c r="Z87" s="4">
        <v>664</v>
      </c>
      <c r="AA87" s="4">
        <v>23.46</v>
      </c>
      <c r="AB87" s="4">
        <v>11.7</v>
      </c>
      <c r="AC87" s="4">
        <v>5.0999999999999996</v>
      </c>
      <c r="AD87" s="4">
        <v>2.92</v>
      </c>
      <c r="AE87" s="4">
        <v>44</v>
      </c>
      <c r="AF87" s="4">
        <v>89</v>
      </c>
      <c r="AG87" s="4">
        <v>44.53</v>
      </c>
      <c r="AH87" s="4">
        <v>179</v>
      </c>
      <c r="AI87" s="4">
        <v>2</v>
      </c>
      <c r="AJ87" s="4" t="b">
        <f t="shared" si="267"/>
        <v>1</v>
      </c>
      <c r="AK87" s="54"/>
      <c r="AL87" s="32">
        <v>41444</v>
      </c>
      <c r="AM87" s="60">
        <v>50</v>
      </c>
      <c r="AN87" s="67">
        <v>0</v>
      </c>
      <c r="AO87" s="67">
        <v>0.75</v>
      </c>
      <c r="AP87" s="4">
        <v>17</v>
      </c>
      <c r="AQ87" s="4">
        <v>25</v>
      </c>
      <c r="AR87" s="4">
        <v>15</v>
      </c>
      <c r="AS87" s="4">
        <v>498</v>
      </c>
      <c r="AT87" s="4">
        <v>1550</v>
      </c>
      <c r="BA87" s="4">
        <f t="shared" si="268"/>
        <v>0.375</v>
      </c>
      <c r="BB87" s="4">
        <f t="shared" si="265"/>
        <v>0.90500000000000003</v>
      </c>
      <c r="BC87" s="4">
        <f t="shared" si="269"/>
        <v>-166</v>
      </c>
      <c r="BD87" s="150">
        <v>41738</v>
      </c>
      <c r="BS87" s="4" t="str">
        <f t="shared" si="266"/>
        <v/>
      </c>
      <c r="BT87" s="4" t="str">
        <f t="shared" si="270"/>
        <v/>
      </c>
      <c r="BU87" s="4" t="str">
        <f t="shared" si="271"/>
        <v/>
      </c>
      <c r="BV87" s="4">
        <f>IF(AND(ISBLANK(SPH_6),ISBLANK(SPH_12)),0,1)</f>
        <v>1</v>
      </c>
      <c r="BW87" s="4">
        <f t="shared" si="272"/>
        <v>0</v>
      </c>
      <c r="BX87" s="4" t="str">
        <f t="shared" si="273"/>
        <v/>
      </c>
      <c r="BY87" s="4" t="str">
        <f t="shared" si="274"/>
        <v/>
      </c>
      <c r="BZ87" s="4" t="str">
        <f t="shared" si="275"/>
        <v/>
      </c>
      <c r="CA87" s="53">
        <f t="shared" si="276"/>
        <v>126</v>
      </c>
      <c r="CB87" s="55">
        <f t="shared" si="277"/>
        <v>4.2</v>
      </c>
      <c r="CC87" s="4" t="str">
        <f t="shared" si="278"/>
        <v/>
      </c>
      <c r="CD87" s="4" t="str">
        <f t="shared" si="279"/>
        <v/>
      </c>
      <c r="CE87" s="4" t="str">
        <f t="shared" si="280"/>
        <v/>
      </c>
      <c r="CF87" s="4" t="str">
        <f t="shared" si="281"/>
        <v/>
      </c>
      <c r="CG87" s="4">
        <f t="shared" si="395"/>
        <v>-2.875</v>
      </c>
      <c r="CH87" s="4">
        <f t="shared" si="282"/>
        <v>0.375</v>
      </c>
      <c r="CI87" s="104">
        <f t="shared" si="283"/>
        <v>0.90500000000000003</v>
      </c>
      <c r="CJ87" s="94">
        <f t="shared" si="284"/>
        <v>-166</v>
      </c>
      <c r="CK87" s="4" t="str">
        <f t="shared" si="285"/>
        <v/>
      </c>
      <c r="CL87" s="107">
        <f t="shared" si="286"/>
        <v>-0.53</v>
      </c>
      <c r="CM87" s="107">
        <f t="shared" si="396"/>
        <v>0.20411998265592479</v>
      </c>
      <c r="CN87" s="139">
        <f t="shared" si="287"/>
        <v>0.75</v>
      </c>
      <c r="CO87" s="139">
        <f t="shared" si="288"/>
        <v>-0.5</v>
      </c>
      <c r="CP87" s="149">
        <f t="shared" si="289"/>
        <v>25</v>
      </c>
      <c r="CQ87" s="149">
        <f t="shared" si="290"/>
        <v>40</v>
      </c>
      <c r="CR87" s="148">
        <f t="shared" si="291"/>
        <v>50</v>
      </c>
      <c r="CS87" s="152" t="str">
        <f t="shared" si="292"/>
        <v/>
      </c>
      <c r="CT87" s="107" t="str">
        <f t="shared" si="293"/>
        <v/>
      </c>
      <c r="CU87" s="155" t="str">
        <f t="shared" si="294"/>
        <v/>
      </c>
      <c r="IJ87" s="94" t="str">
        <f t="shared" si="295"/>
        <v/>
      </c>
      <c r="IK87" s="4" t="str">
        <f t="shared" si="296"/>
        <v/>
      </c>
      <c r="IL87" s="4" t="str">
        <f t="shared" si="297"/>
        <v/>
      </c>
      <c r="IM87" s="4" t="str">
        <f t="shared" si="298"/>
        <v/>
      </c>
      <c r="IN87" s="4" t="str">
        <f t="shared" si="299"/>
        <v/>
      </c>
      <c r="IO87" s="4" t="str">
        <f t="shared" si="300"/>
        <v/>
      </c>
      <c r="IP87" s="4" t="str">
        <f t="shared" si="301"/>
        <v/>
      </c>
      <c r="IQ87" s="4" t="str">
        <f t="shared" si="302"/>
        <v/>
      </c>
      <c r="IR87" s="4" t="str">
        <f t="shared" si="303"/>
        <v/>
      </c>
      <c r="IS87" s="4" t="str">
        <f t="shared" si="304"/>
        <v/>
      </c>
      <c r="IT87" s="4" t="str">
        <f t="shared" si="305"/>
        <v/>
      </c>
      <c r="IU87" s="4" t="str">
        <f t="shared" si="306"/>
        <v/>
      </c>
      <c r="IV87" s="4" t="str">
        <f t="shared" si="307"/>
        <v/>
      </c>
      <c r="IW87" s="4" t="str">
        <f t="shared" si="308"/>
        <v/>
      </c>
      <c r="IX87" s="4" t="str">
        <f t="shared" si="309"/>
        <v/>
      </c>
      <c r="IY87" s="4" t="str">
        <f t="shared" si="310"/>
        <v/>
      </c>
      <c r="IZ87" s="4" t="str">
        <f t="shared" si="311"/>
        <v/>
      </c>
      <c r="JA87" s="4" t="str">
        <f t="shared" si="312"/>
        <v/>
      </c>
      <c r="JB87" s="4" t="str">
        <f t="shared" si="313"/>
        <v/>
      </c>
      <c r="JC87" s="4" t="str">
        <f t="shared" si="314"/>
        <v/>
      </c>
      <c r="JD87" s="4" t="str">
        <f t="shared" si="315"/>
        <v/>
      </c>
      <c r="JE87" s="4" t="str">
        <f t="shared" si="316"/>
        <v/>
      </c>
      <c r="JF87" s="4" t="str">
        <f t="shared" si="317"/>
        <v/>
      </c>
      <c r="JG87" s="4" t="str">
        <f t="shared" si="318"/>
        <v/>
      </c>
      <c r="JH87" s="4" t="str">
        <f t="shared" si="319"/>
        <v/>
      </c>
      <c r="JI87" s="4" t="str">
        <f t="shared" si="320"/>
        <v/>
      </c>
      <c r="JJ87" s="4" t="str">
        <f t="shared" si="321"/>
        <v/>
      </c>
      <c r="JK87" s="4" t="str">
        <f t="shared" si="322"/>
        <v/>
      </c>
      <c r="JL87" s="4" t="str">
        <f t="shared" si="323"/>
        <v/>
      </c>
      <c r="JM87" s="4" t="str">
        <f t="shared" si="324"/>
        <v/>
      </c>
      <c r="JN87" s="4" t="str">
        <f t="shared" si="325"/>
        <v/>
      </c>
      <c r="JO87" s="129" t="str">
        <f t="shared" si="326"/>
        <v/>
      </c>
      <c r="JP87" s="122" t="str">
        <f t="shared" si="327"/>
        <v/>
      </c>
      <c r="JQ87" s="122" t="str">
        <f t="shared" si="328"/>
        <v/>
      </c>
      <c r="JR87" s="122" t="str">
        <f t="shared" si="329"/>
        <v/>
      </c>
      <c r="JS87" s="122" t="str">
        <f t="shared" si="330"/>
        <v/>
      </c>
      <c r="JT87" s="122" t="str">
        <f t="shared" si="331"/>
        <v/>
      </c>
      <c r="JU87" s="122" t="str">
        <f t="shared" si="332"/>
        <v/>
      </c>
      <c r="JV87" s="122" t="str">
        <f t="shared" si="333"/>
        <v/>
      </c>
      <c r="JW87" s="122" t="str">
        <f t="shared" si="334"/>
        <v/>
      </c>
      <c r="JX87" s="122" t="str">
        <f t="shared" si="335"/>
        <v/>
      </c>
      <c r="JY87" s="122" t="str">
        <f t="shared" si="336"/>
        <v/>
      </c>
      <c r="JZ87" s="122" t="str">
        <f t="shared" si="337"/>
        <v/>
      </c>
      <c r="KA87" s="122" t="str">
        <f t="shared" si="338"/>
        <v/>
      </c>
      <c r="KB87" s="122" t="str">
        <f t="shared" si="339"/>
        <v/>
      </c>
      <c r="KC87" s="122" t="str">
        <f t="shared" si="340"/>
        <v/>
      </c>
      <c r="KD87" s="122" t="str">
        <f t="shared" si="341"/>
        <v/>
      </c>
      <c r="KE87" s="133" t="str">
        <f t="shared" si="342"/>
        <v/>
      </c>
      <c r="KF87" s="94" t="str">
        <f t="shared" si="343"/>
        <v/>
      </c>
      <c r="KG87" s="4" t="str">
        <f t="shared" si="344"/>
        <v/>
      </c>
      <c r="KH87" s="4" t="str">
        <f t="shared" si="345"/>
        <v/>
      </c>
      <c r="KI87" s="4" t="str">
        <f t="shared" si="346"/>
        <v/>
      </c>
      <c r="KJ87" s="4" t="str">
        <f t="shared" si="347"/>
        <v/>
      </c>
      <c r="KK87" s="4" t="str">
        <f t="shared" si="348"/>
        <v/>
      </c>
      <c r="KL87" s="4" t="str">
        <f t="shared" si="349"/>
        <v/>
      </c>
      <c r="KM87" s="4" t="str">
        <f t="shared" si="350"/>
        <v/>
      </c>
      <c r="KN87" s="4" t="str">
        <f t="shared" si="351"/>
        <v/>
      </c>
      <c r="KO87" s="4" t="str">
        <f t="shared" si="352"/>
        <v/>
      </c>
      <c r="KP87" s="4" t="str">
        <f t="shared" si="353"/>
        <v/>
      </c>
      <c r="KQ87" s="4" t="str">
        <f t="shared" si="354"/>
        <v/>
      </c>
      <c r="KR87" s="4" t="str">
        <f t="shared" si="355"/>
        <v/>
      </c>
      <c r="KS87" s="4" t="str">
        <f t="shared" si="356"/>
        <v/>
      </c>
      <c r="KT87" s="4" t="str">
        <f t="shared" si="357"/>
        <v/>
      </c>
      <c r="KU87" s="4" t="str">
        <f t="shared" si="358"/>
        <v/>
      </c>
      <c r="KV87" s="4" t="str">
        <f t="shared" si="359"/>
        <v/>
      </c>
      <c r="KW87" s="4" t="str">
        <f t="shared" si="360"/>
        <v/>
      </c>
      <c r="KX87" s="4" t="str">
        <f t="shared" si="361"/>
        <v/>
      </c>
      <c r="KY87" s="4" t="str">
        <f t="shared" si="362"/>
        <v/>
      </c>
      <c r="KZ87" s="4" t="str">
        <f t="shared" si="363"/>
        <v/>
      </c>
      <c r="LA87" s="4" t="str">
        <f t="shared" si="364"/>
        <v/>
      </c>
      <c r="LB87" s="4" t="str">
        <f t="shared" si="365"/>
        <v/>
      </c>
      <c r="LC87" s="4" t="str">
        <f t="shared" si="366"/>
        <v/>
      </c>
      <c r="LD87" s="4" t="str">
        <f t="shared" si="367"/>
        <v/>
      </c>
      <c r="LE87" s="4" t="str">
        <f t="shared" si="368"/>
        <v/>
      </c>
      <c r="LF87" s="4" t="str">
        <f t="shared" si="369"/>
        <v/>
      </c>
      <c r="LG87" s="4" t="str">
        <f t="shared" si="370"/>
        <v/>
      </c>
      <c r="LH87" s="4" t="str">
        <f t="shared" si="371"/>
        <v/>
      </c>
      <c r="LI87" s="4" t="str">
        <f t="shared" si="372"/>
        <v/>
      </c>
      <c r="LJ87" s="4" t="str">
        <f t="shared" si="373"/>
        <v/>
      </c>
      <c r="LK87" s="4" t="str">
        <f t="shared" si="374"/>
        <v/>
      </c>
      <c r="LL87" s="4" t="str">
        <f t="shared" si="375"/>
        <v/>
      </c>
      <c r="LM87" s="4" t="str">
        <f t="shared" si="376"/>
        <v/>
      </c>
      <c r="LN87" s="4" t="str">
        <f t="shared" si="377"/>
        <v/>
      </c>
      <c r="LO87" s="4" t="str">
        <f t="shared" si="378"/>
        <v/>
      </c>
      <c r="LP87" s="4" t="str">
        <f t="shared" si="379"/>
        <v/>
      </c>
      <c r="LQ87" s="4" t="str">
        <f t="shared" si="380"/>
        <v/>
      </c>
      <c r="LR87" s="4" t="str">
        <f t="shared" si="381"/>
        <v/>
      </c>
      <c r="LS87" s="4" t="str">
        <f t="shared" si="382"/>
        <v/>
      </c>
      <c r="LT87" s="4" t="str">
        <f t="shared" si="383"/>
        <v/>
      </c>
      <c r="LU87" s="4" t="str">
        <f t="shared" si="384"/>
        <v/>
      </c>
      <c r="LV87" s="4" t="str">
        <f t="shared" si="385"/>
        <v/>
      </c>
      <c r="LW87" s="4" t="str">
        <f t="shared" si="386"/>
        <v/>
      </c>
      <c r="LX87" s="4" t="str">
        <f t="shared" si="387"/>
        <v/>
      </c>
      <c r="LY87" s="4" t="str">
        <f t="shared" si="388"/>
        <v/>
      </c>
      <c r="LZ87" s="4" t="str">
        <f t="shared" si="389"/>
        <v/>
      </c>
      <c r="MA87" s="4" t="str">
        <f t="shared" si="390"/>
        <v/>
      </c>
      <c r="MB87" s="4" t="str">
        <f t="shared" si="391"/>
        <v/>
      </c>
      <c r="MC87" s="4" t="str">
        <f t="shared" si="392"/>
        <v/>
      </c>
      <c r="MD87" s="4" t="str">
        <f t="shared" si="393"/>
        <v/>
      </c>
      <c r="ME87" s="4">
        <f t="shared" si="394"/>
        <v>0</v>
      </c>
    </row>
    <row r="88" spans="1:343" ht="26.25" customHeight="1" x14ac:dyDescent="0.2">
      <c r="A88" s="35">
        <v>41311</v>
      </c>
      <c r="B88" s="36" t="s">
        <v>129</v>
      </c>
      <c r="C88" s="36" t="s">
        <v>171</v>
      </c>
      <c r="D88" s="31" t="s">
        <v>111</v>
      </c>
      <c r="E88" s="4">
        <v>65</v>
      </c>
      <c r="F88" s="3">
        <v>17562</v>
      </c>
      <c r="G88" s="4" t="s">
        <v>87</v>
      </c>
      <c r="H88" s="4" t="s">
        <v>108</v>
      </c>
      <c r="I88" s="4">
        <v>1835959</v>
      </c>
      <c r="J88" s="4" t="s">
        <v>310</v>
      </c>
      <c r="P88" s="4">
        <v>-0.5</v>
      </c>
      <c r="Q88" s="4">
        <v>-0.6</v>
      </c>
      <c r="R88" s="4" t="s">
        <v>249</v>
      </c>
      <c r="S88" s="67">
        <v>24.75</v>
      </c>
      <c r="T88" s="136">
        <v>41253</v>
      </c>
      <c r="U88" s="67">
        <v>3</v>
      </c>
      <c r="V88" s="67">
        <v>1</v>
      </c>
      <c r="W88" s="4">
        <v>10</v>
      </c>
      <c r="X88" s="4">
        <v>25</v>
      </c>
      <c r="Y88" s="4">
        <v>13</v>
      </c>
      <c r="Z88" s="4">
        <v>646</v>
      </c>
      <c r="AA88" s="4">
        <v>23.27</v>
      </c>
      <c r="AB88" s="4">
        <v>12.1</v>
      </c>
      <c r="AC88" s="4">
        <v>4.6900000000000004</v>
      </c>
      <c r="AD88" s="4">
        <v>2.15</v>
      </c>
      <c r="AE88" s="4">
        <v>43.55</v>
      </c>
      <c r="AF88" s="4">
        <v>156</v>
      </c>
      <c r="AG88" s="4">
        <v>44.06</v>
      </c>
      <c r="AH88" s="4">
        <v>66</v>
      </c>
      <c r="AI88" s="4">
        <v>1</v>
      </c>
      <c r="AJ88" s="4" t="b">
        <f t="shared" si="267"/>
        <v>1</v>
      </c>
      <c r="AK88" s="54"/>
      <c r="AL88" s="32">
        <v>41438</v>
      </c>
      <c r="AM88" s="60">
        <v>200</v>
      </c>
      <c r="AN88" s="67">
        <v>-3.25</v>
      </c>
      <c r="AO88" s="67">
        <v>1.25</v>
      </c>
      <c r="AP88" s="4">
        <v>172</v>
      </c>
      <c r="AQ88" s="4">
        <v>20</v>
      </c>
      <c r="AR88" s="4">
        <v>16</v>
      </c>
      <c r="BA88" s="4">
        <f t="shared" si="268"/>
        <v>-2.625</v>
      </c>
      <c r="BB88" s="4">
        <f t="shared" si="265"/>
        <v>-2.0249999999999999</v>
      </c>
      <c r="BC88" s="4" t="str">
        <f t="shared" si="269"/>
        <v/>
      </c>
      <c r="BD88" s="3">
        <v>41682</v>
      </c>
      <c r="BE88" s="56">
        <v>200</v>
      </c>
      <c r="BF88" s="67">
        <v>-3.5</v>
      </c>
      <c r="BG88" s="67">
        <v>1</v>
      </c>
      <c r="BH88" s="4">
        <v>30</v>
      </c>
      <c r="BI88" s="4">
        <v>25</v>
      </c>
      <c r="BJ88" s="4">
        <v>31</v>
      </c>
      <c r="BK88" s="4">
        <v>601</v>
      </c>
      <c r="BL88" s="4">
        <v>1919</v>
      </c>
      <c r="BM88" s="4">
        <v>23.42</v>
      </c>
      <c r="BN88" s="4">
        <v>2.81</v>
      </c>
      <c r="BO88" s="4">
        <v>43.55</v>
      </c>
      <c r="BP88" s="4">
        <v>159</v>
      </c>
      <c r="BQ88" s="4">
        <v>44.35</v>
      </c>
      <c r="BR88" s="4">
        <v>69</v>
      </c>
      <c r="BS88" s="4">
        <f t="shared" si="266"/>
        <v>-3</v>
      </c>
      <c r="BT88" s="4">
        <f t="shared" si="270"/>
        <v>-2.4</v>
      </c>
      <c r="BU88" s="4">
        <f t="shared" si="271"/>
        <v>-45</v>
      </c>
      <c r="BV88" s="4">
        <f>IF(AND(ISBLANK(SPH_6),ISBLANK(SPH_12)),0,1)</f>
        <v>1</v>
      </c>
      <c r="BW88" s="4">
        <f t="shared" si="272"/>
        <v>1</v>
      </c>
      <c r="BX88" s="4">
        <f t="shared" si="273"/>
        <v>3.5</v>
      </c>
      <c r="BY88" s="4">
        <f t="shared" si="274"/>
        <v>-2.625</v>
      </c>
      <c r="BZ88" s="4">
        <f t="shared" si="275"/>
        <v>-3</v>
      </c>
      <c r="CA88" s="53">
        <f t="shared" si="276"/>
        <v>371</v>
      </c>
      <c r="CB88" s="55">
        <f t="shared" si="277"/>
        <v>12.366666666666667</v>
      </c>
      <c r="CC88" s="4">
        <f t="shared" si="278"/>
        <v>-0.375</v>
      </c>
      <c r="CD88" s="4" t="str">
        <f t="shared" si="279"/>
        <v/>
      </c>
      <c r="CE88" s="4">
        <f t="shared" si="280"/>
        <v>0.14500000000000313</v>
      </c>
      <c r="CF88" s="4">
        <f t="shared" si="281"/>
        <v>0.14500000000000313</v>
      </c>
      <c r="CG88" s="4">
        <f t="shared" si="395"/>
        <v>3.5</v>
      </c>
      <c r="CH88" s="4">
        <f t="shared" si="282"/>
        <v>-3</v>
      </c>
      <c r="CI88" s="104">
        <f t="shared" si="283"/>
        <v>-2.4</v>
      </c>
      <c r="CJ88" s="94">
        <f t="shared" si="284"/>
        <v>-45</v>
      </c>
      <c r="CK88" s="4">
        <f t="shared" si="285"/>
        <v>0.15000000000000213</v>
      </c>
      <c r="CL88" s="107">
        <f t="shared" si="286"/>
        <v>-0.6</v>
      </c>
      <c r="CM88" s="107">
        <f t="shared" si="396"/>
        <v>0</v>
      </c>
      <c r="CN88" s="139">
        <f t="shared" si="287"/>
        <v>1</v>
      </c>
      <c r="CO88" s="139">
        <f t="shared" si="288"/>
        <v>0</v>
      </c>
      <c r="CP88" s="149">
        <f t="shared" si="289"/>
        <v>25</v>
      </c>
      <c r="CQ88" s="149">
        <f t="shared" si="290"/>
        <v>25</v>
      </c>
      <c r="CR88" s="148">
        <f t="shared" si="291"/>
        <v>200</v>
      </c>
      <c r="CS88" s="152">
        <f t="shared" si="292"/>
        <v>0</v>
      </c>
      <c r="CT88" s="107">
        <f t="shared" si="293"/>
        <v>0</v>
      </c>
      <c r="CU88" s="155" t="b">
        <f t="shared" si="294"/>
        <v>0</v>
      </c>
      <c r="CV88">
        <v>7.89</v>
      </c>
      <c r="CW88" s="4">
        <v>7.79</v>
      </c>
      <c r="CX88" s="4">
        <v>145.69999999999999</v>
      </c>
      <c r="CY88" s="4">
        <v>-0.5</v>
      </c>
      <c r="CZ88" s="4">
        <v>-0.09</v>
      </c>
      <c r="DA88" s="4">
        <v>0.36</v>
      </c>
      <c r="DB88" s="4">
        <v>2.79</v>
      </c>
      <c r="DC88" s="4">
        <v>3.4</v>
      </c>
      <c r="DD88" s="4">
        <v>611</v>
      </c>
      <c r="DE88" s="4">
        <v>610</v>
      </c>
      <c r="DF88" s="4">
        <v>736</v>
      </c>
      <c r="DG88" s="4">
        <v>666</v>
      </c>
      <c r="DH88" s="4">
        <v>720</v>
      </c>
      <c r="DI88" s="4">
        <v>672</v>
      </c>
      <c r="DJ88" s="4">
        <v>606</v>
      </c>
      <c r="DK88" s="4">
        <v>-0.74</v>
      </c>
      <c r="DL88" s="4">
        <v>-0.22</v>
      </c>
      <c r="DM88" s="4">
        <v>7.86</v>
      </c>
      <c r="DN88" s="4">
        <v>7.8</v>
      </c>
      <c r="DO88" s="4">
        <v>7.77</v>
      </c>
      <c r="DP88" s="4">
        <v>7.87</v>
      </c>
      <c r="DQ88" s="4">
        <v>8.16</v>
      </c>
      <c r="DR88" s="4">
        <v>8.3699999999999992</v>
      </c>
      <c r="DS88" s="4">
        <v>8.41</v>
      </c>
      <c r="DT88" s="4">
        <v>1.4</v>
      </c>
      <c r="DU88" s="4">
        <v>6.35</v>
      </c>
      <c r="DV88" s="4">
        <v>6.28</v>
      </c>
      <c r="DW88" s="4">
        <v>6.34</v>
      </c>
      <c r="DX88" s="4">
        <v>6.59</v>
      </c>
      <c r="DY88" s="4">
        <v>6.88</v>
      </c>
      <c r="DZ88" s="4">
        <v>7.03</v>
      </c>
      <c r="EA88" s="4">
        <v>0</v>
      </c>
      <c r="EB88" s="100">
        <v>1.4</v>
      </c>
      <c r="EC88" s="122">
        <v>42.8</v>
      </c>
      <c r="ED88" s="122">
        <v>43.3</v>
      </c>
      <c r="EE88" s="122">
        <v>43.1</v>
      </c>
      <c r="EF88" s="122">
        <v>145.69999999999999</v>
      </c>
      <c r="EG88" s="122">
        <v>0.5</v>
      </c>
      <c r="EH88" s="122">
        <v>-6.3</v>
      </c>
      <c r="EI88" s="122">
        <v>-6.4</v>
      </c>
      <c r="EJ88" s="122">
        <v>-6.4</v>
      </c>
      <c r="EK88" s="122">
        <v>173.1</v>
      </c>
      <c r="EL88" s="122">
        <v>0.2</v>
      </c>
      <c r="EM88" s="122">
        <v>4.4000000000000004</v>
      </c>
      <c r="EN88" s="122">
        <v>12.9</v>
      </c>
      <c r="EO88" s="122">
        <v>27.6</v>
      </c>
      <c r="EP88" s="122">
        <v>66.7</v>
      </c>
      <c r="EQ88" s="126">
        <v>8</v>
      </c>
      <c r="ER88" s="94">
        <v>7.77</v>
      </c>
      <c r="ES88" s="4">
        <v>7.7</v>
      </c>
      <c r="ET88" s="4">
        <v>144.30000000000001</v>
      </c>
      <c r="EU88" s="4">
        <v>-0.4</v>
      </c>
      <c r="EV88" s="4">
        <v>0.59</v>
      </c>
      <c r="EW88" s="4">
        <v>0.59</v>
      </c>
      <c r="EX88" s="4">
        <v>4.2</v>
      </c>
      <c r="EY88" s="4">
        <v>4.79</v>
      </c>
      <c r="EZ88" s="4">
        <v>590</v>
      </c>
      <c r="FA88" s="4">
        <v>590</v>
      </c>
      <c r="FB88" s="4">
        <v>740</v>
      </c>
      <c r="FC88" s="4">
        <v>660</v>
      </c>
      <c r="FD88" s="4">
        <v>718</v>
      </c>
      <c r="FE88" s="4">
        <v>642</v>
      </c>
      <c r="FF88" s="4">
        <v>584</v>
      </c>
      <c r="FG88" s="4">
        <v>-0.96</v>
      </c>
      <c r="FH88" s="4">
        <v>-0.34</v>
      </c>
      <c r="FI88" s="4">
        <v>7.75</v>
      </c>
      <c r="FJ88" s="4">
        <v>7.72</v>
      </c>
      <c r="FK88" s="4">
        <v>7.81</v>
      </c>
      <c r="FL88" s="4">
        <v>8</v>
      </c>
      <c r="FM88" s="4">
        <v>8.17</v>
      </c>
      <c r="FN88" s="4">
        <v>8.24</v>
      </c>
      <c r="FO88" s="4">
        <v>0</v>
      </c>
      <c r="FP88" s="4">
        <v>1.5</v>
      </c>
      <c r="FQ88" s="4">
        <v>6.17</v>
      </c>
      <c r="FR88" s="4">
        <v>6.14</v>
      </c>
      <c r="FS88" s="4">
        <v>6.22</v>
      </c>
      <c r="FT88" s="4">
        <v>6.43</v>
      </c>
      <c r="FU88" s="4">
        <v>6.53</v>
      </c>
      <c r="FV88" s="4">
        <v>0</v>
      </c>
      <c r="FW88" s="4">
        <v>0</v>
      </c>
      <c r="FX88" s="97">
        <v>1.5</v>
      </c>
      <c r="FY88" s="122">
        <v>43.4</v>
      </c>
      <c r="FZ88" s="122">
        <v>43.9</v>
      </c>
      <c r="GA88" s="122">
        <v>43.6</v>
      </c>
      <c r="GB88" s="122">
        <v>144.30000000000001</v>
      </c>
      <c r="GC88" s="122">
        <v>0.4</v>
      </c>
      <c r="GD88" s="122">
        <v>-6.4</v>
      </c>
      <c r="GE88" s="122">
        <v>-6.7</v>
      </c>
      <c r="GF88" s="122">
        <v>-6.5</v>
      </c>
      <c r="GG88" s="122">
        <v>171.6</v>
      </c>
      <c r="GH88" s="122">
        <v>0.3</v>
      </c>
      <c r="GI88" s="122">
        <v>4.3</v>
      </c>
      <c r="GJ88" s="122">
        <v>12.6</v>
      </c>
      <c r="GK88" s="122">
        <v>27.2</v>
      </c>
      <c r="GL88" s="122">
        <v>67.900000000000006</v>
      </c>
      <c r="GM88" s="131">
        <v>21</v>
      </c>
      <c r="GN88" s="94">
        <v>7.76</v>
      </c>
      <c r="GO88" s="4">
        <v>7.85</v>
      </c>
      <c r="GP88" s="4">
        <v>125.2</v>
      </c>
      <c r="GQ88" s="4">
        <v>0.5</v>
      </c>
      <c r="GR88" s="4">
        <v>0.46</v>
      </c>
      <c r="GS88" s="4">
        <v>0.59</v>
      </c>
      <c r="GT88" s="4">
        <v>4.2699999999999996</v>
      </c>
      <c r="GU88" s="4">
        <v>4.84</v>
      </c>
      <c r="GV88" s="4">
        <v>575</v>
      </c>
      <c r="GW88" s="4">
        <v>574</v>
      </c>
      <c r="GX88" s="4">
        <v>734</v>
      </c>
      <c r="GY88" s="4">
        <v>674</v>
      </c>
      <c r="GZ88" s="4">
        <v>712</v>
      </c>
      <c r="HA88" s="4">
        <v>627</v>
      </c>
      <c r="HB88" s="4">
        <v>566</v>
      </c>
      <c r="HC88" s="4">
        <v>-0.92</v>
      </c>
      <c r="HD88" s="4">
        <v>-0.18</v>
      </c>
      <c r="HE88" s="4">
        <v>7.81</v>
      </c>
      <c r="HF88" s="4">
        <v>7.8</v>
      </c>
      <c r="HG88" s="4">
        <v>7.81</v>
      </c>
      <c r="HH88" s="4">
        <v>7.96</v>
      </c>
      <c r="HI88" s="4">
        <v>8.1</v>
      </c>
      <c r="HJ88" s="4">
        <v>0</v>
      </c>
      <c r="HK88" s="4">
        <v>0</v>
      </c>
      <c r="HL88" s="4">
        <v>1.6</v>
      </c>
      <c r="HM88" s="4">
        <v>6.11</v>
      </c>
      <c r="HN88" s="4">
        <v>6.12</v>
      </c>
      <c r="HO88" s="4">
        <v>6.29</v>
      </c>
      <c r="HP88" s="4">
        <v>6.45</v>
      </c>
      <c r="HQ88" s="4">
        <v>6.36</v>
      </c>
      <c r="HR88" s="4">
        <v>0</v>
      </c>
      <c r="HS88" s="4">
        <v>0</v>
      </c>
      <c r="HT88" s="104">
        <v>1.6</v>
      </c>
      <c r="HU88" s="122">
        <v>43</v>
      </c>
      <c r="HV88" s="122">
        <v>43.5</v>
      </c>
      <c r="HW88" s="122">
        <v>43.2</v>
      </c>
      <c r="HX88" s="122">
        <v>125.2</v>
      </c>
      <c r="HY88" s="122">
        <v>0.5</v>
      </c>
      <c r="HZ88" s="122">
        <v>-6.4</v>
      </c>
      <c r="IA88" s="122">
        <v>-6.8</v>
      </c>
      <c r="IB88" s="122">
        <v>-6.6</v>
      </c>
      <c r="IC88" s="122">
        <v>179.3</v>
      </c>
      <c r="ID88" s="122">
        <v>0.4</v>
      </c>
      <c r="IE88" s="122">
        <v>4.2</v>
      </c>
      <c r="IF88" s="122">
        <v>12.4</v>
      </c>
      <c r="IG88" s="122">
        <v>26.8</v>
      </c>
      <c r="IH88" s="122">
        <v>66</v>
      </c>
      <c r="II88" s="133">
        <v>12</v>
      </c>
      <c r="IJ88" s="94">
        <f t="shared" si="295"/>
        <v>7.76</v>
      </c>
      <c r="IK88" s="4">
        <f t="shared" si="296"/>
        <v>7.85</v>
      </c>
      <c r="IL88" s="4">
        <f t="shared" si="297"/>
        <v>125.2</v>
      </c>
      <c r="IM88" s="4">
        <f t="shared" si="298"/>
        <v>0.5</v>
      </c>
      <c r="IN88" s="4">
        <f t="shared" si="299"/>
        <v>0.46</v>
      </c>
      <c r="IO88" s="4">
        <f t="shared" si="300"/>
        <v>0.59</v>
      </c>
      <c r="IP88" s="4">
        <f t="shared" si="301"/>
        <v>4.2699999999999996</v>
      </c>
      <c r="IQ88" s="4">
        <f t="shared" si="302"/>
        <v>4.84</v>
      </c>
      <c r="IR88" s="4">
        <f t="shared" si="303"/>
        <v>575</v>
      </c>
      <c r="IS88" s="4">
        <f t="shared" si="304"/>
        <v>574</v>
      </c>
      <c r="IT88" s="4">
        <f t="shared" si="305"/>
        <v>734</v>
      </c>
      <c r="IU88" s="4">
        <f t="shared" si="306"/>
        <v>674</v>
      </c>
      <c r="IV88" s="4">
        <f t="shared" si="307"/>
        <v>712</v>
      </c>
      <c r="IW88" s="4">
        <f t="shared" si="308"/>
        <v>627</v>
      </c>
      <c r="IX88" s="4">
        <f t="shared" si="309"/>
        <v>566</v>
      </c>
      <c r="IY88" s="4">
        <f t="shared" si="310"/>
        <v>-0.92</v>
      </c>
      <c r="IZ88" s="4">
        <f t="shared" si="311"/>
        <v>-0.18</v>
      </c>
      <c r="JA88" s="4">
        <f t="shared" si="312"/>
        <v>7.81</v>
      </c>
      <c r="JB88" s="4">
        <f t="shared" si="313"/>
        <v>7.8</v>
      </c>
      <c r="JC88" s="4">
        <f t="shared" si="314"/>
        <v>7.81</v>
      </c>
      <c r="JD88" s="4">
        <f t="shared" si="315"/>
        <v>7.96</v>
      </c>
      <c r="JE88" s="4">
        <f t="shared" si="316"/>
        <v>8.1</v>
      </c>
      <c r="JF88" s="4">
        <f t="shared" si="317"/>
        <v>0</v>
      </c>
      <c r="JG88" s="4">
        <f t="shared" si="318"/>
        <v>0</v>
      </c>
      <c r="JH88" s="4">
        <f t="shared" si="319"/>
        <v>1.6</v>
      </c>
      <c r="JI88" s="4">
        <f t="shared" si="320"/>
        <v>6.11</v>
      </c>
      <c r="JJ88" s="4">
        <f t="shared" si="321"/>
        <v>6.12</v>
      </c>
      <c r="JK88" s="4">
        <f t="shared" si="322"/>
        <v>6.29</v>
      </c>
      <c r="JL88" s="4">
        <f t="shared" si="323"/>
        <v>6.45</v>
      </c>
      <c r="JM88" s="4">
        <f t="shared" si="324"/>
        <v>6.36</v>
      </c>
      <c r="JN88" s="4">
        <f t="shared" si="325"/>
        <v>0</v>
      </c>
      <c r="JO88" s="129">
        <f t="shared" si="326"/>
        <v>0</v>
      </c>
      <c r="JP88" s="122">
        <f t="shared" si="327"/>
        <v>1.6</v>
      </c>
      <c r="JQ88" s="122">
        <f t="shared" si="328"/>
        <v>43</v>
      </c>
      <c r="JR88" s="122">
        <f t="shared" si="329"/>
        <v>43.5</v>
      </c>
      <c r="JS88" s="122">
        <f t="shared" si="330"/>
        <v>43.2</v>
      </c>
      <c r="JT88" s="122">
        <f t="shared" si="331"/>
        <v>125.2</v>
      </c>
      <c r="JU88" s="122">
        <f t="shared" si="332"/>
        <v>0.5</v>
      </c>
      <c r="JV88" s="122">
        <f t="shared" si="333"/>
        <v>-6.4</v>
      </c>
      <c r="JW88" s="122">
        <f t="shared" si="334"/>
        <v>-6.8</v>
      </c>
      <c r="JX88" s="122">
        <f t="shared" si="335"/>
        <v>-6.6</v>
      </c>
      <c r="JY88" s="122">
        <f t="shared" si="336"/>
        <v>179.3</v>
      </c>
      <c r="JZ88" s="122">
        <f t="shared" si="337"/>
        <v>0.4</v>
      </c>
      <c r="KA88" s="122">
        <f t="shared" si="338"/>
        <v>4.2</v>
      </c>
      <c r="KB88" s="122">
        <f t="shared" si="339"/>
        <v>12.4</v>
      </c>
      <c r="KC88" s="122">
        <f t="shared" si="340"/>
        <v>26.8</v>
      </c>
      <c r="KD88" s="122">
        <f t="shared" si="341"/>
        <v>66</v>
      </c>
      <c r="KE88" s="133">
        <f t="shared" si="342"/>
        <v>12</v>
      </c>
      <c r="KF88" s="94">
        <f t="shared" si="343"/>
        <v>-0.12999999999999989</v>
      </c>
      <c r="KG88" s="4">
        <f t="shared" si="344"/>
        <v>5.9999999999999609E-2</v>
      </c>
      <c r="KH88" s="4">
        <f t="shared" si="345"/>
        <v>-20.499999999999986</v>
      </c>
      <c r="KI88" s="4">
        <f t="shared" si="346"/>
        <v>1</v>
      </c>
      <c r="KJ88" s="4">
        <f t="shared" si="347"/>
        <v>0.55000000000000004</v>
      </c>
      <c r="KK88" s="4">
        <f t="shared" si="348"/>
        <v>0.22999999999999998</v>
      </c>
      <c r="KL88" s="4">
        <f t="shared" si="349"/>
        <v>1.4799999999999995</v>
      </c>
      <c r="KM88" s="4">
        <f t="shared" si="350"/>
        <v>1.44</v>
      </c>
      <c r="KN88" s="4">
        <f t="shared" si="351"/>
        <v>-36</v>
      </c>
      <c r="KO88" s="4">
        <f t="shared" si="352"/>
        <v>-36</v>
      </c>
      <c r="KP88" s="4">
        <f t="shared" si="353"/>
        <v>-2</v>
      </c>
      <c r="KQ88" s="4">
        <f t="shared" si="354"/>
        <v>8</v>
      </c>
      <c r="KR88" s="4">
        <f t="shared" si="355"/>
        <v>-8</v>
      </c>
      <c r="KS88" s="4">
        <f t="shared" si="356"/>
        <v>-45</v>
      </c>
      <c r="KT88" s="4">
        <f t="shared" si="357"/>
        <v>-40</v>
      </c>
      <c r="KU88" s="4">
        <f t="shared" si="358"/>
        <v>-0.18000000000000005</v>
      </c>
      <c r="KV88" s="4">
        <f t="shared" si="359"/>
        <v>4.0000000000000008E-2</v>
      </c>
      <c r="KW88" s="4">
        <f t="shared" si="360"/>
        <v>-5.0000000000000711E-2</v>
      </c>
      <c r="KX88" s="4">
        <f t="shared" si="361"/>
        <v>0</v>
      </c>
      <c r="KY88" s="4">
        <f t="shared" si="362"/>
        <v>4.0000000000000036E-2</v>
      </c>
      <c r="KZ88" s="4">
        <f t="shared" si="363"/>
        <v>8.9999999999999858E-2</v>
      </c>
      <c r="LA88" s="4">
        <f t="shared" si="364"/>
        <v>-6.0000000000000497E-2</v>
      </c>
      <c r="LB88" s="4">
        <f t="shared" si="365"/>
        <v>-8.3699999999999992</v>
      </c>
      <c r="LC88" s="4">
        <f t="shared" si="366"/>
        <v>-8.41</v>
      </c>
      <c r="LD88" s="4">
        <f t="shared" si="367"/>
        <v>0.20000000000000018</v>
      </c>
      <c r="LE88" s="4">
        <f t="shared" si="368"/>
        <v>-0.23999999999999932</v>
      </c>
      <c r="LF88" s="4">
        <f t="shared" si="369"/>
        <v>-0.16000000000000014</v>
      </c>
      <c r="LG88" s="4">
        <f t="shared" si="370"/>
        <v>-4.9999999999999822E-2</v>
      </c>
      <c r="LH88" s="4">
        <f t="shared" si="371"/>
        <v>-0.13999999999999968</v>
      </c>
      <c r="LI88" s="4">
        <f t="shared" si="372"/>
        <v>-0.51999999999999957</v>
      </c>
      <c r="LJ88" s="4">
        <f t="shared" si="373"/>
        <v>-7.03</v>
      </c>
      <c r="LK88" s="4">
        <f t="shared" si="374"/>
        <v>0</v>
      </c>
      <c r="LL88" s="4">
        <f t="shared" si="375"/>
        <v>0.20000000000000018</v>
      </c>
      <c r="LM88" s="4">
        <f t="shared" si="376"/>
        <v>0.20000000000000284</v>
      </c>
      <c r="LN88" s="4">
        <f t="shared" si="377"/>
        <v>0.20000000000000284</v>
      </c>
      <c r="LO88" s="4">
        <f t="shared" si="378"/>
        <v>0.10000000000000142</v>
      </c>
      <c r="LP88" s="4">
        <f t="shared" si="379"/>
        <v>-20.499999999999986</v>
      </c>
      <c r="LQ88" s="4">
        <f t="shared" si="380"/>
        <v>0</v>
      </c>
      <c r="LR88" s="4">
        <f t="shared" si="381"/>
        <v>-0.10000000000000053</v>
      </c>
      <c r="LS88" s="4">
        <f t="shared" si="382"/>
        <v>-0.39999999999999947</v>
      </c>
      <c r="LT88" s="4">
        <f t="shared" si="383"/>
        <v>-0.19999999999999929</v>
      </c>
      <c r="LU88" s="4">
        <f t="shared" si="384"/>
        <v>6.2000000000000171</v>
      </c>
      <c r="LV88" s="4">
        <f t="shared" si="385"/>
        <v>0.2</v>
      </c>
      <c r="LW88" s="4">
        <f t="shared" si="386"/>
        <v>-0.20000000000000018</v>
      </c>
      <c r="LX88" s="4">
        <f t="shared" si="387"/>
        <v>-0.5</v>
      </c>
      <c r="LY88" s="4">
        <f t="shared" si="388"/>
        <v>-0.80000000000000071</v>
      </c>
      <c r="LZ88" s="4">
        <f t="shared" si="389"/>
        <v>-0.70000000000000284</v>
      </c>
      <c r="MA88" s="4">
        <f t="shared" si="390"/>
        <v>4</v>
      </c>
      <c r="MB88" s="4">
        <f t="shared" si="391"/>
        <v>-0.39999999999999858</v>
      </c>
      <c r="MC88" s="4">
        <f t="shared" si="392"/>
        <v>-0.39999999999999858</v>
      </c>
      <c r="MD88" s="4">
        <f t="shared" si="393"/>
        <v>0</v>
      </c>
      <c r="ME88" s="4">
        <f t="shared" si="394"/>
        <v>-9.9999999999999645E-2</v>
      </c>
    </row>
    <row r="89" spans="1:343" ht="26.25" customHeight="1" thickBot="1" x14ac:dyDescent="0.25">
      <c r="A89" s="35">
        <v>41283</v>
      </c>
      <c r="B89" s="36" t="s">
        <v>122</v>
      </c>
      <c r="C89" s="36" t="s">
        <v>24</v>
      </c>
      <c r="D89" s="31" t="s">
        <v>111</v>
      </c>
      <c r="E89" s="4">
        <v>54</v>
      </c>
      <c r="F89" s="3">
        <v>21448</v>
      </c>
      <c r="G89" s="4" t="s">
        <v>87</v>
      </c>
      <c r="H89" s="4" t="s">
        <v>112</v>
      </c>
      <c r="I89" s="4">
        <v>1835985</v>
      </c>
      <c r="J89" s="36"/>
      <c r="K89" s="158"/>
      <c r="L89" s="158"/>
      <c r="M89" s="158"/>
      <c r="N89" s="158"/>
      <c r="O89" s="158"/>
      <c r="P89" s="4">
        <v>-0.5</v>
      </c>
      <c r="Q89" s="4">
        <v>-0.47</v>
      </c>
      <c r="R89" s="39" t="s">
        <v>249</v>
      </c>
      <c r="S89" s="70">
        <v>17.75</v>
      </c>
      <c r="T89" s="136">
        <v>41253</v>
      </c>
      <c r="U89" s="67">
        <v>-3.5</v>
      </c>
      <c r="V89" s="67">
        <v>3.25</v>
      </c>
      <c r="W89" s="4">
        <v>175</v>
      </c>
      <c r="X89" s="4">
        <v>50</v>
      </c>
      <c r="Y89" s="4">
        <v>14</v>
      </c>
      <c r="Z89" s="4">
        <v>656</v>
      </c>
      <c r="AA89" s="4">
        <v>24.97</v>
      </c>
      <c r="AB89" s="4">
        <v>12</v>
      </c>
      <c r="AC89" s="4">
        <v>4.72</v>
      </c>
      <c r="AD89" s="4">
        <v>4.07</v>
      </c>
      <c r="AE89" s="4">
        <v>41.67</v>
      </c>
      <c r="AF89" s="4">
        <v>86</v>
      </c>
      <c r="AG89" s="4">
        <v>44.06</v>
      </c>
      <c r="AH89" s="4">
        <v>176</v>
      </c>
      <c r="AI89" s="4">
        <v>0</v>
      </c>
      <c r="AJ89" s="4" t="b">
        <f t="shared" si="267"/>
        <v>0</v>
      </c>
      <c r="AL89" s="3">
        <v>41485</v>
      </c>
      <c r="AN89" s="67">
        <v>-1.25</v>
      </c>
      <c r="AO89" s="67">
        <v>2.5</v>
      </c>
      <c r="AP89" s="4">
        <v>15</v>
      </c>
      <c r="AQ89" s="4">
        <v>20</v>
      </c>
      <c r="AR89" s="4">
        <v>16</v>
      </c>
      <c r="AS89" s="4">
        <v>537</v>
      </c>
      <c r="AT89" s="4">
        <v>2392</v>
      </c>
      <c r="BA89" s="4">
        <f t="shared" si="268"/>
        <v>0</v>
      </c>
      <c r="BB89" s="4">
        <f t="shared" si="265"/>
        <v>0.47</v>
      </c>
      <c r="BC89" s="4">
        <f t="shared" si="269"/>
        <v>-119</v>
      </c>
      <c r="BD89" s="3">
        <v>41674</v>
      </c>
      <c r="BF89" s="67">
        <v>-1</v>
      </c>
      <c r="BG89" s="67">
        <v>2.5</v>
      </c>
      <c r="BH89" s="4">
        <v>15</v>
      </c>
      <c r="BI89" s="4">
        <v>25</v>
      </c>
      <c r="BJ89" s="4">
        <v>15</v>
      </c>
      <c r="BK89" s="4">
        <v>552</v>
      </c>
      <c r="BL89" s="4">
        <v>2000</v>
      </c>
      <c r="BS89" s="4">
        <f t="shared" si="266"/>
        <v>0.25</v>
      </c>
      <c r="BT89" s="4">
        <f t="shared" si="270"/>
        <v>0.72</v>
      </c>
      <c r="BU89" s="4">
        <f t="shared" si="271"/>
        <v>-104</v>
      </c>
      <c r="BV89" s="4">
        <f>IF(AND(ISBLANK(SPH_6),ISBLANK(SPH_12)),0,1)</f>
        <v>1</v>
      </c>
      <c r="BW89" s="4">
        <f t="shared" si="272"/>
        <v>1</v>
      </c>
      <c r="BX89" s="4">
        <f t="shared" si="273"/>
        <v>-1.875</v>
      </c>
      <c r="BY89" s="4">
        <f t="shared" si="274"/>
        <v>0</v>
      </c>
      <c r="BZ89" s="4">
        <f t="shared" si="275"/>
        <v>0.25</v>
      </c>
      <c r="CA89" s="53">
        <f t="shared" si="276"/>
        <v>391</v>
      </c>
      <c r="CB89" s="55">
        <f t="shared" si="277"/>
        <v>13.033333333333333</v>
      </c>
      <c r="CC89" s="4">
        <f t="shared" si="278"/>
        <v>0.25</v>
      </c>
      <c r="CD89" s="4" t="str">
        <f t="shared" si="279"/>
        <v/>
      </c>
      <c r="CE89" s="4" t="str">
        <f t="shared" si="280"/>
        <v/>
      </c>
      <c r="CF89" s="4" t="str">
        <f t="shared" si="281"/>
        <v/>
      </c>
      <c r="CG89" s="4">
        <f t="shared" si="395"/>
        <v>-1.875</v>
      </c>
      <c r="CH89" s="4">
        <f t="shared" si="282"/>
        <v>0.25</v>
      </c>
      <c r="CI89" s="104">
        <f t="shared" si="283"/>
        <v>0.72</v>
      </c>
      <c r="CJ89" s="94">
        <f t="shared" si="284"/>
        <v>-104</v>
      </c>
      <c r="CK89" s="4" t="str">
        <f t="shared" si="285"/>
        <v/>
      </c>
      <c r="CL89" s="107">
        <f t="shared" si="286"/>
        <v>-0.47</v>
      </c>
      <c r="CM89" s="107">
        <f t="shared" si="396"/>
        <v>0.3010299956639812</v>
      </c>
      <c r="CN89" s="139">
        <f t="shared" si="287"/>
        <v>2.5</v>
      </c>
      <c r="CO89" s="139">
        <f t="shared" si="288"/>
        <v>-0.75</v>
      </c>
      <c r="CP89" s="149">
        <f t="shared" si="289"/>
        <v>25</v>
      </c>
      <c r="CQ89" s="149">
        <f t="shared" si="290"/>
        <v>50</v>
      </c>
      <c r="CR89" s="148" t="str">
        <f t="shared" si="291"/>
        <v/>
      </c>
      <c r="CS89" s="152">
        <f t="shared" si="292"/>
        <v>1</v>
      </c>
      <c r="CT89" s="107">
        <f t="shared" si="293"/>
        <v>1</v>
      </c>
      <c r="CU89" s="155" t="b">
        <f t="shared" si="294"/>
        <v>0</v>
      </c>
      <c r="CV89">
        <v>7.68</v>
      </c>
      <c r="CW89" s="4">
        <v>7.98</v>
      </c>
      <c r="CX89" s="4">
        <v>98.1</v>
      </c>
      <c r="CY89" s="4">
        <v>1.6</v>
      </c>
      <c r="CZ89" s="4">
        <v>0.06</v>
      </c>
      <c r="DA89" s="4">
        <v>0.43</v>
      </c>
      <c r="DB89" s="4">
        <v>3.24</v>
      </c>
      <c r="DC89" s="4">
        <v>3.88</v>
      </c>
      <c r="DD89" s="4">
        <v>644</v>
      </c>
      <c r="DE89" s="4">
        <v>645</v>
      </c>
      <c r="DF89" s="4">
        <v>721</v>
      </c>
      <c r="DG89" s="4">
        <v>647</v>
      </c>
      <c r="DH89" s="4">
        <v>685</v>
      </c>
      <c r="DI89" s="4">
        <v>689</v>
      </c>
      <c r="DJ89" s="4">
        <v>635</v>
      </c>
      <c r="DK89" s="4">
        <v>0.94</v>
      </c>
      <c r="DL89" s="4">
        <v>-0.43</v>
      </c>
      <c r="DM89" s="4">
        <v>7.83</v>
      </c>
      <c r="DN89" s="4">
        <v>7.8</v>
      </c>
      <c r="DO89" s="4">
        <v>7.79</v>
      </c>
      <c r="DP89" s="4">
        <v>7.91</v>
      </c>
      <c r="DQ89" s="4">
        <v>8.26</v>
      </c>
      <c r="DR89" s="4">
        <v>8.48</v>
      </c>
      <c r="DS89" s="4">
        <v>0</v>
      </c>
      <c r="DT89" s="4">
        <v>0.8</v>
      </c>
      <c r="DU89" s="4">
        <v>6.92</v>
      </c>
      <c r="DV89" s="4">
        <v>6.71</v>
      </c>
      <c r="DW89" s="4">
        <v>6.52</v>
      </c>
      <c r="DX89" s="4">
        <v>6.54</v>
      </c>
      <c r="DY89" s="4">
        <v>6.84</v>
      </c>
      <c r="DZ89" s="4">
        <v>7.16</v>
      </c>
      <c r="EA89" s="4">
        <v>0</v>
      </c>
      <c r="EB89" s="100">
        <v>0.8</v>
      </c>
      <c r="EC89" s="124">
        <v>42.3</v>
      </c>
      <c r="ED89" s="124">
        <v>43.9</v>
      </c>
      <c r="EE89" s="122">
        <v>43.1</v>
      </c>
      <c r="EF89" s="122">
        <v>98.1</v>
      </c>
      <c r="EG89" s="122">
        <v>1.6</v>
      </c>
      <c r="EH89" s="122">
        <v>-5.6</v>
      </c>
      <c r="EI89" s="122">
        <v>-6.1</v>
      </c>
      <c r="EJ89" s="122">
        <v>-5.9</v>
      </c>
      <c r="EK89" s="122">
        <v>106.9</v>
      </c>
      <c r="EL89" s="122">
        <v>0.5</v>
      </c>
      <c r="EM89" s="122">
        <v>4.5999999999999996</v>
      </c>
      <c r="EN89" s="122">
        <v>13.2</v>
      </c>
      <c r="EO89" s="122">
        <v>27.6</v>
      </c>
      <c r="EP89" s="122">
        <v>66.3</v>
      </c>
      <c r="EQ89" s="126">
        <v>15</v>
      </c>
      <c r="IJ89" s="94" t="str">
        <f t="shared" si="295"/>
        <v/>
      </c>
      <c r="IK89" s="4" t="str">
        <f t="shared" si="296"/>
        <v/>
      </c>
      <c r="IL89" s="4" t="str">
        <f t="shared" si="297"/>
        <v/>
      </c>
      <c r="IM89" s="4" t="str">
        <f t="shared" si="298"/>
        <v/>
      </c>
      <c r="IN89" s="4" t="str">
        <f t="shared" si="299"/>
        <v/>
      </c>
      <c r="IO89" s="4" t="str">
        <f t="shared" si="300"/>
        <v/>
      </c>
      <c r="IP89" s="4" t="str">
        <f t="shared" si="301"/>
        <v/>
      </c>
      <c r="IQ89" s="4" t="str">
        <f t="shared" si="302"/>
        <v/>
      </c>
      <c r="IR89" s="4" t="str">
        <f t="shared" si="303"/>
        <v/>
      </c>
      <c r="IS89" s="4" t="str">
        <f t="shared" si="304"/>
        <v/>
      </c>
      <c r="IT89" s="4" t="str">
        <f t="shared" si="305"/>
        <v/>
      </c>
      <c r="IU89" s="4" t="str">
        <f t="shared" si="306"/>
        <v/>
      </c>
      <c r="IV89" s="4" t="str">
        <f t="shared" si="307"/>
        <v/>
      </c>
      <c r="IW89" s="4" t="str">
        <f t="shared" si="308"/>
        <v/>
      </c>
      <c r="IX89" s="4" t="str">
        <f t="shared" si="309"/>
        <v/>
      </c>
      <c r="IY89" s="4" t="str">
        <f t="shared" si="310"/>
        <v/>
      </c>
      <c r="IZ89" s="4" t="str">
        <f t="shared" si="311"/>
        <v/>
      </c>
      <c r="JA89" s="4" t="str">
        <f t="shared" si="312"/>
        <v/>
      </c>
      <c r="JB89" s="4" t="str">
        <f t="shared" si="313"/>
        <v/>
      </c>
      <c r="JC89" s="4" t="str">
        <f t="shared" si="314"/>
        <v/>
      </c>
      <c r="JD89" s="4" t="str">
        <f t="shared" si="315"/>
        <v/>
      </c>
      <c r="JE89" s="4" t="str">
        <f t="shared" si="316"/>
        <v/>
      </c>
      <c r="JF89" s="4" t="str">
        <f t="shared" si="317"/>
        <v/>
      </c>
      <c r="JG89" s="4" t="str">
        <f t="shared" si="318"/>
        <v/>
      </c>
      <c r="JH89" s="4" t="str">
        <f t="shared" si="319"/>
        <v/>
      </c>
      <c r="JI89" s="4" t="str">
        <f t="shared" si="320"/>
        <v/>
      </c>
      <c r="JJ89" s="4" t="str">
        <f t="shared" si="321"/>
        <v/>
      </c>
      <c r="JK89" s="4" t="str">
        <f t="shared" si="322"/>
        <v/>
      </c>
      <c r="JL89" s="4" t="str">
        <f t="shared" si="323"/>
        <v/>
      </c>
      <c r="JM89" s="4" t="str">
        <f t="shared" si="324"/>
        <v/>
      </c>
      <c r="JN89" s="4" t="str">
        <f t="shared" si="325"/>
        <v/>
      </c>
      <c r="JO89" s="129" t="str">
        <f t="shared" si="326"/>
        <v/>
      </c>
      <c r="JP89" s="122" t="str">
        <f t="shared" si="327"/>
        <v/>
      </c>
      <c r="JQ89" s="122" t="str">
        <f t="shared" si="328"/>
        <v/>
      </c>
      <c r="JR89" s="122" t="str">
        <f t="shared" si="329"/>
        <v/>
      </c>
      <c r="JS89" s="122" t="str">
        <f t="shared" si="330"/>
        <v/>
      </c>
      <c r="JT89" s="122" t="str">
        <f t="shared" si="331"/>
        <v/>
      </c>
      <c r="JU89" s="122" t="str">
        <f t="shared" si="332"/>
        <v/>
      </c>
      <c r="JV89" s="122" t="str">
        <f t="shared" si="333"/>
        <v/>
      </c>
      <c r="JW89" s="122" t="str">
        <f t="shared" si="334"/>
        <v/>
      </c>
      <c r="JX89" s="122" t="str">
        <f t="shared" si="335"/>
        <v/>
      </c>
      <c r="JY89" s="122" t="str">
        <f t="shared" si="336"/>
        <v/>
      </c>
      <c r="JZ89" s="122" t="str">
        <f t="shared" si="337"/>
        <v/>
      </c>
      <c r="KA89" s="122" t="str">
        <f t="shared" si="338"/>
        <v/>
      </c>
      <c r="KB89" s="122" t="str">
        <f t="shared" si="339"/>
        <v/>
      </c>
      <c r="KC89" s="122" t="str">
        <f t="shared" si="340"/>
        <v/>
      </c>
      <c r="KD89" s="122" t="str">
        <f t="shared" si="341"/>
        <v/>
      </c>
      <c r="KE89" s="133" t="str">
        <f t="shared" si="342"/>
        <v/>
      </c>
      <c r="KF89" s="94" t="str">
        <f t="shared" si="343"/>
        <v/>
      </c>
      <c r="KG89" s="4" t="str">
        <f t="shared" si="344"/>
        <v/>
      </c>
      <c r="KH89" s="4" t="str">
        <f t="shared" si="345"/>
        <v/>
      </c>
      <c r="KI89" s="4" t="str">
        <f t="shared" si="346"/>
        <v/>
      </c>
      <c r="KJ89" s="4" t="str">
        <f t="shared" si="347"/>
        <v/>
      </c>
      <c r="KK89" s="4" t="str">
        <f t="shared" si="348"/>
        <v/>
      </c>
      <c r="KL89" s="4" t="str">
        <f t="shared" si="349"/>
        <v/>
      </c>
      <c r="KM89" s="4" t="str">
        <f t="shared" si="350"/>
        <v/>
      </c>
      <c r="KN89" s="4" t="str">
        <f t="shared" si="351"/>
        <v/>
      </c>
      <c r="KO89" s="4" t="str">
        <f t="shared" si="352"/>
        <v/>
      </c>
      <c r="KP89" s="4" t="str">
        <f t="shared" si="353"/>
        <v/>
      </c>
      <c r="KQ89" s="4" t="str">
        <f t="shared" si="354"/>
        <v/>
      </c>
      <c r="KR89" s="4" t="str">
        <f t="shared" si="355"/>
        <v/>
      </c>
      <c r="KS89" s="4" t="str">
        <f t="shared" si="356"/>
        <v/>
      </c>
      <c r="KT89" s="4" t="str">
        <f t="shared" si="357"/>
        <v/>
      </c>
      <c r="KU89" s="4" t="str">
        <f t="shared" si="358"/>
        <v/>
      </c>
      <c r="KV89" s="4" t="str">
        <f t="shared" si="359"/>
        <v/>
      </c>
      <c r="KW89" s="4" t="str">
        <f t="shared" si="360"/>
        <v/>
      </c>
      <c r="KX89" s="4" t="str">
        <f t="shared" si="361"/>
        <v/>
      </c>
      <c r="KY89" s="4" t="str">
        <f t="shared" si="362"/>
        <v/>
      </c>
      <c r="KZ89" s="4" t="str">
        <f t="shared" si="363"/>
        <v/>
      </c>
      <c r="LA89" s="4" t="str">
        <f t="shared" si="364"/>
        <v/>
      </c>
      <c r="LB89" s="4" t="str">
        <f t="shared" si="365"/>
        <v/>
      </c>
      <c r="LC89" s="4" t="str">
        <f t="shared" si="366"/>
        <v/>
      </c>
      <c r="LD89" s="4" t="str">
        <f t="shared" si="367"/>
        <v/>
      </c>
      <c r="LE89" s="4" t="str">
        <f t="shared" si="368"/>
        <v/>
      </c>
      <c r="LF89" s="4" t="str">
        <f t="shared" si="369"/>
        <v/>
      </c>
      <c r="LG89" s="4" t="str">
        <f t="shared" si="370"/>
        <v/>
      </c>
      <c r="LH89" s="4" t="str">
        <f t="shared" si="371"/>
        <v/>
      </c>
      <c r="LI89" s="4" t="str">
        <f t="shared" si="372"/>
        <v/>
      </c>
      <c r="LJ89" s="4" t="str">
        <f t="shared" si="373"/>
        <v/>
      </c>
      <c r="LK89" s="4" t="str">
        <f t="shared" si="374"/>
        <v/>
      </c>
      <c r="LL89" s="4" t="str">
        <f t="shared" si="375"/>
        <v/>
      </c>
      <c r="LM89" s="4" t="str">
        <f t="shared" si="376"/>
        <v/>
      </c>
      <c r="LN89" s="4" t="str">
        <f t="shared" si="377"/>
        <v/>
      </c>
      <c r="LO89" s="4" t="str">
        <f t="shared" si="378"/>
        <v/>
      </c>
      <c r="LP89" s="4" t="str">
        <f t="shared" si="379"/>
        <v/>
      </c>
      <c r="LQ89" s="4" t="str">
        <f t="shared" si="380"/>
        <v/>
      </c>
      <c r="LR89" s="4" t="str">
        <f t="shared" si="381"/>
        <v/>
      </c>
      <c r="LS89" s="4" t="str">
        <f t="shared" si="382"/>
        <v/>
      </c>
      <c r="LT89" s="4" t="str">
        <f t="shared" si="383"/>
        <v/>
      </c>
      <c r="LU89" s="4" t="str">
        <f t="shared" si="384"/>
        <v/>
      </c>
      <c r="LV89" s="4" t="str">
        <f t="shared" si="385"/>
        <v/>
      </c>
      <c r="LW89" s="4" t="str">
        <f t="shared" si="386"/>
        <v/>
      </c>
      <c r="LX89" s="4" t="str">
        <f t="shared" si="387"/>
        <v/>
      </c>
      <c r="LY89" s="4" t="str">
        <f t="shared" si="388"/>
        <v/>
      </c>
      <c r="LZ89" s="4" t="str">
        <f t="shared" si="389"/>
        <v/>
      </c>
      <c r="MA89" s="4" t="str">
        <f t="shared" si="390"/>
        <v/>
      </c>
      <c r="MB89" s="4" t="str">
        <f t="shared" si="391"/>
        <v/>
      </c>
      <c r="MC89" s="4" t="str">
        <f t="shared" si="392"/>
        <v/>
      </c>
      <c r="MD89" s="4" t="str">
        <f t="shared" si="393"/>
        <v/>
      </c>
      <c r="ME89" s="4">
        <f t="shared" si="394"/>
        <v>0</v>
      </c>
    </row>
    <row r="90" spans="1:343" ht="26.25" customHeight="1" thickBot="1" x14ac:dyDescent="0.25">
      <c r="A90" s="35">
        <v>41318</v>
      </c>
      <c r="B90" s="36" t="s">
        <v>122</v>
      </c>
      <c r="C90" s="36" t="s">
        <v>24</v>
      </c>
      <c r="D90" s="31" t="s">
        <v>110</v>
      </c>
      <c r="E90" s="4">
        <v>54</v>
      </c>
      <c r="F90" s="3">
        <v>21448</v>
      </c>
      <c r="G90" s="4" t="s">
        <v>87</v>
      </c>
      <c r="H90" s="4" t="s">
        <v>112</v>
      </c>
      <c r="I90" s="4">
        <v>1835985</v>
      </c>
      <c r="K90" s="80"/>
      <c r="L90" s="81"/>
      <c r="M90" s="81"/>
      <c r="N90" s="81"/>
      <c r="O90" s="81"/>
      <c r="P90" s="33">
        <v>-0.5</v>
      </c>
      <c r="Q90" s="4">
        <v>-0.64</v>
      </c>
      <c r="R90" s="33" t="s">
        <v>249</v>
      </c>
      <c r="S90" s="67">
        <v>16</v>
      </c>
      <c r="T90" s="136">
        <v>41253</v>
      </c>
      <c r="U90" s="67">
        <v>-4.5</v>
      </c>
      <c r="V90" s="67">
        <v>1.75</v>
      </c>
      <c r="W90" s="4">
        <v>160</v>
      </c>
      <c r="X90" s="4">
        <v>30</v>
      </c>
      <c r="Y90" s="4">
        <v>15</v>
      </c>
      <c r="Z90" s="4">
        <v>624</v>
      </c>
      <c r="AA90" s="4">
        <v>25.29</v>
      </c>
      <c r="AB90" s="4">
        <v>12.4</v>
      </c>
      <c r="AC90" s="4">
        <v>4.74</v>
      </c>
      <c r="AD90" s="4">
        <v>4.09</v>
      </c>
      <c r="AE90" s="4">
        <v>43.16</v>
      </c>
      <c r="AF90" s="4">
        <v>75</v>
      </c>
      <c r="AG90" s="4">
        <v>43.72</v>
      </c>
      <c r="AH90" s="4">
        <v>165</v>
      </c>
      <c r="AI90" s="4">
        <v>1</v>
      </c>
      <c r="AJ90" s="4" t="b">
        <f t="shared" si="267"/>
        <v>1</v>
      </c>
      <c r="AK90" s="54"/>
      <c r="AL90" s="32">
        <v>41485</v>
      </c>
      <c r="AM90" s="60"/>
      <c r="AN90" s="67">
        <v>-0.75</v>
      </c>
      <c r="AO90" s="67">
        <v>1.5</v>
      </c>
      <c r="AP90" s="4">
        <v>175</v>
      </c>
      <c r="AQ90" s="4">
        <v>20</v>
      </c>
      <c r="AR90" s="4">
        <v>19</v>
      </c>
      <c r="AS90" s="4">
        <v>545</v>
      </c>
      <c r="AT90" s="4">
        <v>2404</v>
      </c>
      <c r="BA90" s="4">
        <f t="shared" si="268"/>
        <v>0</v>
      </c>
      <c r="BB90" s="4">
        <f t="shared" si="265"/>
        <v>0.64</v>
      </c>
      <c r="BC90" s="4">
        <f t="shared" si="269"/>
        <v>-79</v>
      </c>
      <c r="BD90" s="37" t="s">
        <v>282</v>
      </c>
      <c r="BF90" s="67">
        <v>0</v>
      </c>
      <c r="BG90" s="67">
        <v>2</v>
      </c>
      <c r="BH90" s="4">
        <v>172</v>
      </c>
      <c r="BI90" s="4">
        <v>20</v>
      </c>
      <c r="BJ90" s="4">
        <v>13</v>
      </c>
      <c r="BK90" s="4">
        <v>567</v>
      </c>
      <c r="BL90" s="4">
        <v>2370</v>
      </c>
      <c r="BS90" s="4">
        <f t="shared" si="266"/>
        <v>1</v>
      </c>
      <c r="BT90" s="4">
        <f t="shared" si="270"/>
        <v>1.6400000000000001</v>
      </c>
      <c r="BU90" s="4">
        <f t="shared" si="271"/>
        <v>-57</v>
      </c>
      <c r="BV90" s="4">
        <f>IF(AND(ISBLANK(SPH_6),ISBLANK(SPH_12)),0,1)</f>
        <v>1</v>
      </c>
      <c r="BW90" s="4">
        <f t="shared" si="272"/>
        <v>1</v>
      </c>
      <c r="BX90" s="4">
        <f t="shared" si="273"/>
        <v>-3.625</v>
      </c>
      <c r="BY90" s="4">
        <f t="shared" si="274"/>
        <v>0</v>
      </c>
      <c r="BZ90" s="4">
        <f t="shared" si="275"/>
        <v>1</v>
      </c>
      <c r="CA90" s="53">
        <f t="shared" si="276"/>
        <v>167</v>
      </c>
      <c r="CB90" s="55">
        <f t="shared" si="277"/>
        <v>5.5666666666666664</v>
      </c>
      <c r="CC90" s="4">
        <f t="shared" si="278"/>
        <v>1</v>
      </c>
      <c r="CD90" s="4" t="str">
        <f t="shared" si="279"/>
        <v/>
      </c>
      <c r="CE90" s="4" t="str">
        <f t="shared" si="280"/>
        <v/>
      </c>
      <c r="CF90" s="4" t="str">
        <f t="shared" si="281"/>
        <v/>
      </c>
      <c r="CG90" s="4">
        <f t="shared" si="395"/>
        <v>-3.625</v>
      </c>
      <c r="CH90" s="4">
        <f t="shared" si="282"/>
        <v>1</v>
      </c>
      <c r="CI90" s="104">
        <f t="shared" si="283"/>
        <v>1.6400000000000001</v>
      </c>
      <c r="CJ90" s="94">
        <f t="shared" si="284"/>
        <v>-57</v>
      </c>
      <c r="CK90" s="4" t="str">
        <f t="shared" si="285"/>
        <v/>
      </c>
      <c r="CL90" s="107">
        <f t="shared" si="286"/>
        <v>-0.64</v>
      </c>
      <c r="CM90" s="107">
        <f t="shared" si="396"/>
        <v>0.17609125905568127</v>
      </c>
      <c r="CN90" s="139">
        <f t="shared" si="287"/>
        <v>2</v>
      </c>
      <c r="CO90" s="139">
        <f t="shared" si="288"/>
        <v>0.25</v>
      </c>
      <c r="CP90" s="149">
        <f t="shared" si="289"/>
        <v>20</v>
      </c>
      <c r="CQ90" s="149">
        <f t="shared" si="290"/>
        <v>30</v>
      </c>
      <c r="CR90" s="148" t="str">
        <f t="shared" si="291"/>
        <v/>
      </c>
      <c r="CS90" s="152">
        <f t="shared" si="292"/>
        <v>1</v>
      </c>
      <c r="CT90" s="107">
        <f t="shared" si="293"/>
        <v>1</v>
      </c>
      <c r="CU90" s="155" t="b">
        <f t="shared" si="294"/>
        <v>0</v>
      </c>
      <c r="CV90">
        <v>7.77</v>
      </c>
      <c r="CW90" s="4">
        <v>7.96</v>
      </c>
      <c r="CX90" s="4">
        <v>83</v>
      </c>
      <c r="CY90" s="4">
        <v>1.1000000000000001</v>
      </c>
      <c r="CZ90" s="4">
        <v>-0.03</v>
      </c>
      <c r="DA90" s="4">
        <v>0.34</v>
      </c>
      <c r="DB90" s="4">
        <v>3.29</v>
      </c>
      <c r="DC90" s="4">
        <v>3.91</v>
      </c>
      <c r="DD90" s="4">
        <v>623</v>
      </c>
      <c r="DE90" s="4">
        <v>623</v>
      </c>
      <c r="DF90" s="4">
        <v>718</v>
      </c>
      <c r="DG90" s="4">
        <v>644</v>
      </c>
      <c r="DH90" s="4">
        <v>691</v>
      </c>
      <c r="DI90" s="4">
        <v>686</v>
      </c>
      <c r="DJ90" s="4">
        <v>619</v>
      </c>
      <c r="DK90" s="4">
        <v>-0.64</v>
      </c>
      <c r="DL90" s="4">
        <v>0</v>
      </c>
      <c r="DM90" s="4">
        <v>7.9</v>
      </c>
      <c r="DN90" s="4">
        <v>7.84</v>
      </c>
      <c r="DO90" s="4">
        <v>7.83</v>
      </c>
      <c r="DP90" s="4">
        <v>7.91</v>
      </c>
      <c r="DQ90" s="4">
        <v>8.19</v>
      </c>
      <c r="DR90" s="4">
        <v>8.48</v>
      </c>
      <c r="DS90" s="4">
        <v>0</v>
      </c>
      <c r="DT90" s="4">
        <v>1.3</v>
      </c>
      <c r="DU90" s="4">
        <v>6.55</v>
      </c>
      <c r="DV90" s="4">
        <v>6.58</v>
      </c>
      <c r="DW90" s="4">
        <v>6.46</v>
      </c>
      <c r="DX90" s="4">
        <v>6.49</v>
      </c>
      <c r="DY90" s="4">
        <v>6.87</v>
      </c>
      <c r="DZ90" s="4">
        <v>7.09</v>
      </c>
      <c r="EA90" s="4">
        <v>0</v>
      </c>
      <c r="EB90" s="100">
        <v>1.3</v>
      </c>
      <c r="EC90" s="122">
        <v>42.4</v>
      </c>
      <c r="ED90" s="122">
        <v>43.4</v>
      </c>
      <c r="EE90" s="122">
        <v>42.9</v>
      </c>
      <c r="EF90" s="122">
        <v>83</v>
      </c>
      <c r="EG90" s="122">
        <v>1.1000000000000001</v>
      </c>
      <c r="EH90" s="122">
        <v>-5.9</v>
      </c>
      <c r="EI90" s="122">
        <v>-6.4</v>
      </c>
      <c r="EJ90" s="122">
        <v>-6.1</v>
      </c>
      <c r="EK90" s="122">
        <v>64.2</v>
      </c>
      <c r="EL90" s="122">
        <v>0.4</v>
      </c>
      <c r="EM90" s="122">
        <v>4.5</v>
      </c>
      <c r="EN90" s="122">
        <v>13</v>
      </c>
      <c r="EO90" s="122">
        <v>27.5</v>
      </c>
      <c r="EP90" s="122">
        <v>66.599999999999994</v>
      </c>
      <c r="EQ90" s="126">
        <v>18</v>
      </c>
      <c r="IJ90" s="94" t="str">
        <f t="shared" si="295"/>
        <v/>
      </c>
      <c r="IK90" s="4" t="str">
        <f t="shared" si="296"/>
        <v/>
      </c>
      <c r="IL90" s="4" t="str">
        <f t="shared" si="297"/>
        <v/>
      </c>
      <c r="IM90" s="4" t="str">
        <f t="shared" si="298"/>
        <v/>
      </c>
      <c r="IN90" s="4" t="str">
        <f t="shared" si="299"/>
        <v/>
      </c>
      <c r="IO90" s="4" t="str">
        <f t="shared" si="300"/>
        <v/>
      </c>
      <c r="IP90" s="4" t="str">
        <f t="shared" si="301"/>
        <v/>
      </c>
      <c r="IQ90" s="4" t="str">
        <f t="shared" si="302"/>
        <v/>
      </c>
      <c r="IR90" s="4" t="str">
        <f t="shared" si="303"/>
        <v/>
      </c>
      <c r="IS90" s="4" t="str">
        <f t="shared" si="304"/>
        <v/>
      </c>
      <c r="IT90" s="4" t="str">
        <f t="shared" si="305"/>
        <v/>
      </c>
      <c r="IU90" s="4" t="str">
        <f t="shared" si="306"/>
        <v/>
      </c>
      <c r="IV90" s="4" t="str">
        <f t="shared" si="307"/>
        <v/>
      </c>
      <c r="IW90" s="4" t="str">
        <f t="shared" si="308"/>
        <v/>
      </c>
      <c r="IX90" s="4" t="str">
        <f t="shared" si="309"/>
        <v/>
      </c>
      <c r="IY90" s="4" t="str">
        <f t="shared" si="310"/>
        <v/>
      </c>
      <c r="IZ90" s="4" t="str">
        <f t="shared" si="311"/>
        <v/>
      </c>
      <c r="JA90" s="4" t="str">
        <f t="shared" si="312"/>
        <v/>
      </c>
      <c r="JB90" s="4" t="str">
        <f t="shared" si="313"/>
        <v/>
      </c>
      <c r="JC90" s="4" t="str">
        <f t="shared" si="314"/>
        <v/>
      </c>
      <c r="JD90" s="4" t="str">
        <f t="shared" si="315"/>
        <v/>
      </c>
      <c r="JE90" s="4" t="str">
        <f t="shared" si="316"/>
        <v/>
      </c>
      <c r="JF90" s="4" t="str">
        <f t="shared" si="317"/>
        <v/>
      </c>
      <c r="JG90" s="4" t="str">
        <f t="shared" si="318"/>
        <v/>
      </c>
      <c r="JH90" s="4" t="str">
        <f t="shared" si="319"/>
        <v/>
      </c>
      <c r="JI90" s="4" t="str">
        <f t="shared" si="320"/>
        <v/>
      </c>
      <c r="JJ90" s="4" t="str">
        <f t="shared" si="321"/>
        <v/>
      </c>
      <c r="JK90" s="4" t="str">
        <f t="shared" si="322"/>
        <v/>
      </c>
      <c r="JL90" s="4" t="str">
        <f t="shared" si="323"/>
        <v/>
      </c>
      <c r="JM90" s="4" t="str">
        <f t="shared" si="324"/>
        <v/>
      </c>
      <c r="JN90" s="4" t="str">
        <f t="shared" si="325"/>
        <v/>
      </c>
      <c r="JO90" s="129" t="str">
        <f t="shared" si="326"/>
        <v/>
      </c>
      <c r="JP90" s="122" t="str">
        <f t="shared" si="327"/>
        <v/>
      </c>
      <c r="JQ90" s="122" t="str">
        <f t="shared" si="328"/>
        <v/>
      </c>
      <c r="JR90" s="122" t="str">
        <f t="shared" si="329"/>
        <v/>
      </c>
      <c r="JS90" s="122" t="str">
        <f t="shared" si="330"/>
        <v/>
      </c>
      <c r="JT90" s="122" t="str">
        <f t="shared" si="331"/>
        <v/>
      </c>
      <c r="JU90" s="122" t="str">
        <f t="shared" si="332"/>
        <v/>
      </c>
      <c r="JV90" s="122" t="str">
        <f t="shared" si="333"/>
        <v/>
      </c>
      <c r="JW90" s="122" t="str">
        <f t="shared" si="334"/>
        <v/>
      </c>
      <c r="JX90" s="122" t="str">
        <f t="shared" si="335"/>
        <v/>
      </c>
      <c r="JY90" s="122" t="str">
        <f t="shared" si="336"/>
        <v/>
      </c>
      <c r="JZ90" s="122" t="str">
        <f t="shared" si="337"/>
        <v/>
      </c>
      <c r="KA90" s="122" t="str">
        <f t="shared" si="338"/>
        <v/>
      </c>
      <c r="KB90" s="122" t="str">
        <f t="shared" si="339"/>
        <v/>
      </c>
      <c r="KC90" s="122" t="str">
        <f t="shared" si="340"/>
        <v/>
      </c>
      <c r="KD90" s="122" t="str">
        <f t="shared" si="341"/>
        <v/>
      </c>
      <c r="KE90" s="133" t="str">
        <f t="shared" si="342"/>
        <v/>
      </c>
      <c r="KF90" s="94" t="str">
        <f t="shared" si="343"/>
        <v/>
      </c>
      <c r="KG90" s="4" t="str">
        <f t="shared" si="344"/>
        <v/>
      </c>
      <c r="KH90" s="4" t="str">
        <f t="shared" si="345"/>
        <v/>
      </c>
      <c r="KI90" s="4" t="str">
        <f t="shared" si="346"/>
        <v/>
      </c>
      <c r="KJ90" s="4" t="str">
        <f t="shared" si="347"/>
        <v/>
      </c>
      <c r="KK90" s="4" t="str">
        <f t="shared" si="348"/>
        <v/>
      </c>
      <c r="KL90" s="4" t="str">
        <f t="shared" si="349"/>
        <v/>
      </c>
      <c r="KM90" s="4" t="str">
        <f t="shared" si="350"/>
        <v/>
      </c>
      <c r="KN90" s="4" t="str">
        <f t="shared" si="351"/>
        <v/>
      </c>
      <c r="KO90" s="4" t="str">
        <f t="shared" si="352"/>
        <v/>
      </c>
      <c r="KP90" s="4" t="str">
        <f t="shared" si="353"/>
        <v/>
      </c>
      <c r="KQ90" s="4" t="str">
        <f t="shared" si="354"/>
        <v/>
      </c>
      <c r="KR90" s="4" t="str">
        <f t="shared" si="355"/>
        <v/>
      </c>
      <c r="KS90" s="4" t="str">
        <f t="shared" si="356"/>
        <v/>
      </c>
      <c r="KT90" s="4" t="str">
        <f t="shared" si="357"/>
        <v/>
      </c>
      <c r="KU90" s="4" t="str">
        <f t="shared" si="358"/>
        <v/>
      </c>
      <c r="KV90" s="4" t="str">
        <f t="shared" si="359"/>
        <v/>
      </c>
      <c r="KW90" s="4" t="str">
        <f t="shared" si="360"/>
        <v/>
      </c>
      <c r="KX90" s="4" t="str">
        <f t="shared" si="361"/>
        <v/>
      </c>
      <c r="KY90" s="4" t="str">
        <f t="shared" si="362"/>
        <v/>
      </c>
      <c r="KZ90" s="4" t="str">
        <f t="shared" si="363"/>
        <v/>
      </c>
      <c r="LA90" s="4" t="str">
        <f t="shared" si="364"/>
        <v/>
      </c>
      <c r="LB90" s="4" t="str">
        <f t="shared" si="365"/>
        <v/>
      </c>
      <c r="LC90" s="4" t="str">
        <f t="shared" si="366"/>
        <v/>
      </c>
      <c r="LD90" s="4" t="str">
        <f t="shared" si="367"/>
        <v/>
      </c>
      <c r="LE90" s="4" t="str">
        <f t="shared" si="368"/>
        <v/>
      </c>
      <c r="LF90" s="4" t="str">
        <f t="shared" si="369"/>
        <v/>
      </c>
      <c r="LG90" s="4" t="str">
        <f t="shared" si="370"/>
        <v/>
      </c>
      <c r="LH90" s="4" t="str">
        <f t="shared" si="371"/>
        <v/>
      </c>
      <c r="LI90" s="4" t="str">
        <f t="shared" si="372"/>
        <v/>
      </c>
      <c r="LJ90" s="4" t="str">
        <f t="shared" si="373"/>
        <v/>
      </c>
      <c r="LK90" s="4" t="str">
        <f t="shared" si="374"/>
        <v/>
      </c>
      <c r="LL90" s="4" t="str">
        <f t="shared" si="375"/>
        <v/>
      </c>
      <c r="LM90" s="4" t="str">
        <f t="shared" si="376"/>
        <v/>
      </c>
      <c r="LN90" s="4" t="str">
        <f t="shared" si="377"/>
        <v/>
      </c>
      <c r="LO90" s="4" t="str">
        <f t="shared" si="378"/>
        <v/>
      </c>
      <c r="LP90" s="4" t="str">
        <f t="shared" si="379"/>
        <v/>
      </c>
      <c r="LQ90" s="4" t="str">
        <f t="shared" si="380"/>
        <v/>
      </c>
      <c r="LR90" s="4" t="str">
        <f t="shared" si="381"/>
        <v/>
      </c>
      <c r="LS90" s="4" t="str">
        <f t="shared" si="382"/>
        <v/>
      </c>
      <c r="LT90" s="4" t="str">
        <f t="shared" si="383"/>
        <v/>
      </c>
      <c r="LU90" s="4" t="str">
        <f t="shared" si="384"/>
        <v/>
      </c>
      <c r="LV90" s="4" t="str">
        <f t="shared" si="385"/>
        <v/>
      </c>
      <c r="LW90" s="4" t="str">
        <f t="shared" si="386"/>
        <v/>
      </c>
      <c r="LX90" s="4" t="str">
        <f t="shared" si="387"/>
        <v/>
      </c>
      <c r="LY90" s="4" t="str">
        <f t="shared" si="388"/>
        <v/>
      </c>
      <c r="LZ90" s="4" t="str">
        <f t="shared" si="389"/>
        <v/>
      </c>
      <c r="MA90" s="4" t="str">
        <f t="shared" si="390"/>
        <v/>
      </c>
      <c r="MB90" s="4" t="str">
        <f t="shared" si="391"/>
        <v/>
      </c>
      <c r="MC90" s="4" t="str">
        <f t="shared" si="392"/>
        <v/>
      </c>
      <c r="MD90" s="4" t="str">
        <f t="shared" si="393"/>
        <v/>
      </c>
      <c r="ME90" s="4">
        <f t="shared" si="394"/>
        <v>0</v>
      </c>
    </row>
    <row r="91" spans="1:343" ht="26.25" customHeight="1" thickBot="1" x14ac:dyDescent="0.25">
      <c r="A91" s="35">
        <v>41311</v>
      </c>
      <c r="B91" s="36" t="s">
        <v>127</v>
      </c>
      <c r="C91" s="36" t="s">
        <v>32</v>
      </c>
      <c r="D91" s="31" t="s">
        <v>111</v>
      </c>
      <c r="E91" s="4">
        <v>67</v>
      </c>
      <c r="F91" s="3">
        <v>16648</v>
      </c>
      <c r="G91" s="4" t="s">
        <v>87</v>
      </c>
      <c r="H91" s="4" t="s">
        <v>108</v>
      </c>
      <c r="I91" s="4">
        <v>1835988</v>
      </c>
      <c r="K91" s="80"/>
      <c r="L91" s="81"/>
      <c r="M91" s="81"/>
      <c r="N91" s="81"/>
      <c r="O91" s="81"/>
      <c r="P91" s="33">
        <v>-0.5</v>
      </c>
      <c r="Q91" s="4">
        <v>-0.51</v>
      </c>
      <c r="R91" s="33" t="s">
        <v>249</v>
      </c>
      <c r="S91" s="67">
        <v>20.25</v>
      </c>
      <c r="T91" s="136">
        <v>41260</v>
      </c>
      <c r="U91" s="67">
        <v>-1</v>
      </c>
      <c r="V91" s="67">
        <v>2.75</v>
      </c>
      <c r="W91" s="4">
        <v>13</v>
      </c>
      <c r="X91" s="4">
        <v>40</v>
      </c>
      <c r="Y91" s="4">
        <v>13</v>
      </c>
      <c r="Z91" s="4">
        <v>681</v>
      </c>
      <c r="AA91" s="4">
        <v>24.34</v>
      </c>
      <c r="AD91" s="4">
        <v>2.19</v>
      </c>
      <c r="AE91" s="4">
        <v>41.67</v>
      </c>
      <c r="AF91" s="4">
        <v>93</v>
      </c>
      <c r="AG91" s="4">
        <v>43.44</v>
      </c>
      <c r="AH91" s="4">
        <v>3</v>
      </c>
      <c r="AI91" s="4">
        <v>0</v>
      </c>
      <c r="AJ91" s="4" t="b">
        <f t="shared" si="267"/>
        <v>0</v>
      </c>
      <c r="AL91" s="3">
        <v>41429</v>
      </c>
      <c r="AM91" s="56">
        <v>200</v>
      </c>
      <c r="AN91" s="67">
        <v>-2.75</v>
      </c>
      <c r="AO91" s="67">
        <v>0.5</v>
      </c>
      <c r="AP91" s="4">
        <v>178</v>
      </c>
      <c r="AQ91" s="4">
        <v>30</v>
      </c>
      <c r="AR91" s="4">
        <v>15</v>
      </c>
      <c r="AT91" s="4">
        <v>2778</v>
      </c>
      <c r="BA91" s="4">
        <f t="shared" si="268"/>
        <v>-2.5</v>
      </c>
      <c r="BB91" s="4">
        <f t="shared" si="265"/>
        <v>-1.99</v>
      </c>
      <c r="BC91" s="4" t="str">
        <f t="shared" si="269"/>
        <v/>
      </c>
      <c r="BD91" s="40">
        <v>41779</v>
      </c>
      <c r="BE91" s="58"/>
      <c r="BS91" s="4" t="str">
        <f t="shared" si="266"/>
        <v/>
      </c>
      <c r="BT91" s="4" t="str">
        <f t="shared" si="270"/>
        <v/>
      </c>
      <c r="BU91" s="4" t="str">
        <f t="shared" si="271"/>
        <v/>
      </c>
      <c r="BV91" s="4">
        <f>IF(AND(ISBLANK(SPH_6),ISBLANK(SPH_12)),0,1)</f>
        <v>1</v>
      </c>
      <c r="BW91" s="4">
        <f t="shared" si="272"/>
        <v>0</v>
      </c>
      <c r="BX91" s="4" t="str">
        <f t="shared" si="273"/>
        <v/>
      </c>
      <c r="BY91" s="4" t="str">
        <f t="shared" si="274"/>
        <v/>
      </c>
      <c r="BZ91" s="4" t="str">
        <f t="shared" si="275"/>
        <v/>
      </c>
      <c r="CA91" s="53">
        <f t="shared" si="276"/>
        <v>118</v>
      </c>
      <c r="CB91" s="55">
        <f t="shared" si="277"/>
        <v>3.9333333333333331</v>
      </c>
      <c r="CC91" s="4" t="str">
        <f t="shared" si="278"/>
        <v/>
      </c>
      <c r="CD91" s="4" t="str">
        <f t="shared" si="279"/>
        <v/>
      </c>
      <c r="CE91" s="4" t="str">
        <f t="shared" si="280"/>
        <v/>
      </c>
      <c r="CF91" s="4" t="str">
        <f t="shared" si="281"/>
        <v/>
      </c>
      <c r="CG91" s="4">
        <f t="shared" si="395"/>
        <v>0.375</v>
      </c>
      <c r="CH91" s="4">
        <f t="shared" si="282"/>
        <v>-2.5</v>
      </c>
      <c r="CI91" s="104">
        <f t="shared" si="283"/>
        <v>-1.99</v>
      </c>
      <c r="CJ91" s="94" t="str">
        <f t="shared" si="284"/>
        <v/>
      </c>
      <c r="CK91" s="4" t="str">
        <f t="shared" si="285"/>
        <v/>
      </c>
      <c r="CL91" s="107">
        <f t="shared" si="286"/>
        <v>-0.51</v>
      </c>
      <c r="CM91" s="107">
        <f t="shared" si="396"/>
        <v>0.12493873660829993</v>
      </c>
      <c r="CN91" s="139">
        <f t="shared" si="287"/>
        <v>0.5</v>
      </c>
      <c r="CO91" s="139">
        <f t="shared" si="288"/>
        <v>-2.25</v>
      </c>
      <c r="CP91" s="149">
        <f t="shared" si="289"/>
        <v>30</v>
      </c>
      <c r="CQ91" s="149">
        <f t="shared" si="290"/>
        <v>40</v>
      </c>
      <c r="CR91" s="148">
        <f t="shared" si="291"/>
        <v>200</v>
      </c>
      <c r="CS91" s="152">
        <f t="shared" si="292"/>
        <v>1</v>
      </c>
      <c r="CT91" s="107" t="str">
        <f t="shared" si="293"/>
        <v/>
      </c>
      <c r="CU91" s="155" t="b">
        <f t="shared" si="294"/>
        <v>1</v>
      </c>
      <c r="CV91">
        <v>7.9</v>
      </c>
      <c r="CW91" s="4">
        <v>8.09</v>
      </c>
      <c r="CX91" s="4">
        <v>88.4</v>
      </c>
      <c r="CY91" s="4">
        <v>1</v>
      </c>
      <c r="CZ91" s="4">
        <v>0.43</v>
      </c>
      <c r="DA91" s="4">
        <v>0.48</v>
      </c>
      <c r="DB91" s="4">
        <v>2.64</v>
      </c>
      <c r="DC91" s="4">
        <v>3.3</v>
      </c>
      <c r="DD91" s="4">
        <v>656</v>
      </c>
      <c r="DE91" s="4">
        <v>660</v>
      </c>
      <c r="DF91" s="4">
        <v>824</v>
      </c>
      <c r="DG91" s="4">
        <v>678</v>
      </c>
      <c r="DH91" s="4">
        <v>750</v>
      </c>
      <c r="DI91" s="4">
        <v>728</v>
      </c>
      <c r="DJ91" s="4">
        <v>638</v>
      </c>
      <c r="DK91" s="4">
        <v>-0.51</v>
      </c>
      <c r="DL91" s="4">
        <v>-1.39</v>
      </c>
      <c r="DM91" s="4">
        <v>7.99</v>
      </c>
      <c r="DN91" s="4">
        <v>8.02</v>
      </c>
      <c r="DO91" s="4">
        <v>8.08</v>
      </c>
      <c r="DP91" s="4">
        <v>8.18</v>
      </c>
      <c r="DQ91" s="4">
        <v>8.39</v>
      </c>
      <c r="DR91" s="4">
        <v>8.66</v>
      </c>
      <c r="DS91" s="4">
        <v>8.7200000000000006</v>
      </c>
      <c r="DT91" s="4">
        <v>1.2</v>
      </c>
      <c r="DU91" s="4">
        <v>6.54</v>
      </c>
      <c r="DV91" s="4">
        <v>6.35</v>
      </c>
      <c r="DW91" s="4">
        <v>6.4</v>
      </c>
      <c r="DX91" s="4">
        <v>6.76</v>
      </c>
      <c r="DY91" s="4">
        <v>7.04</v>
      </c>
      <c r="DZ91" s="4">
        <v>7.13</v>
      </c>
      <c r="EA91" s="4">
        <v>0</v>
      </c>
      <c r="EB91" s="100">
        <v>1.2</v>
      </c>
      <c r="EC91" s="122">
        <v>41.7</v>
      </c>
      <c r="ED91" s="122">
        <v>42.7</v>
      </c>
      <c r="EE91" s="122">
        <v>42.2</v>
      </c>
      <c r="EF91" s="122">
        <v>88.4</v>
      </c>
      <c r="EG91" s="122">
        <v>1</v>
      </c>
      <c r="EH91" s="122">
        <v>-6</v>
      </c>
      <c r="EI91" s="122">
        <v>-6.2</v>
      </c>
      <c r="EJ91" s="122">
        <v>-6.1</v>
      </c>
      <c r="EK91" s="122">
        <v>56.5</v>
      </c>
      <c r="EL91" s="122">
        <v>0.2</v>
      </c>
      <c r="EM91" s="122">
        <v>4.7</v>
      </c>
      <c r="EN91" s="122">
        <v>13.8</v>
      </c>
      <c r="EO91" s="122">
        <v>29.5</v>
      </c>
      <c r="EP91" s="122">
        <v>71</v>
      </c>
      <c r="EQ91" s="126">
        <v>15</v>
      </c>
      <c r="IJ91" s="94" t="str">
        <f t="shared" si="295"/>
        <v/>
      </c>
      <c r="IK91" s="4" t="str">
        <f t="shared" si="296"/>
        <v/>
      </c>
      <c r="IL91" s="4" t="str">
        <f t="shared" si="297"/>
        <v/>
      </c>
      <c r="IM91" s="4" t="str">
        <f t="shared" si="298"/>
        <v/>
      </c>
      <c r="IN91" s="4" t="str">
        <f t="shared" si="299"/>
        <v/>
      </c>
      <c r="IO91" s="4" t="str">
        <f t="shared" si="300"/>
        <v/>
      </c>
      <c r="IP91" s="4" t="str">
        <f t="shared" si="301"/>
        <v/>
      </c>
      <c r="IQ91" s="4" t="str">
        <f t="shared" si="302"/>
        <v/>
      </c>
      <c r="IR91" s="4" t="str">
        <f t="shared" si="303"/>
        <v/>
      </c>
      <c r="IS91" s="4" t="str">
        <f t="shared" si="304"/>
        <v/>
      </c>
      <c r="IT91" s="4" t="str">
        <f t="shared" si="305"/>
        <v/>
      </c>
      <c r="IU91" s="4" t="str">
        <f t="shared" si="306"/>
        <v/>
      </c>
      <c r="IV91" s="4" t="str">
        <f t="shared" si="307"/>
        <v/>
      </c>
      <c r="IW91" s="4" t="str">
        <f t="shared" si="308"/>
        <v/>
      </c>
      <c r="IX91" s="4" t="str">
        <f t="shared" si="309"/>
        <v/>
      </c>
      <c r="IY91" s="4" t="str">
        <f t="shared" si="310"/>
        <v/>
      </c>
      <c r="IZ91" s="4" t="str">
        <f t="shared" si="311"/>
        <v/>
      </c>
      <c r="JA91" s="4" t="str">
        <f t="shared" si="312"/>
        <v/>
      </c>
      <c r="JB91" s="4" t="str">
        <f t="shared" si="313"/>
        <v/>
      </c>
      <c r="JC91" s="4" t="str">
        <f t="shared" si="314"/>
        <v/>
      </c>
      <c r="JD91" s="4" t="str">
        <f t="shared" si="315"/>
        <v/>
      </c>
      <c r="JE91" s="4" t="str">
        <f t="shared" si="316"/>
        <v/>
      </c>
      <c r="JF91" s="4" t="str">
        <f t="shared" si="317"/>
        <v/>
      </c>
      <c r="JG91" s="4" t="str">
        <f t="shared" si="318"/>
        <v/>
      </c>
      <c r="JH91" s="4" t="str">
        <f t="shared" si="319"/>
        <v/>
      </c>
      <c r="JI91" s="4" t="str">
        <f t="shared" si="320"/>
        <v/>
      </c>
      <c r="JJ91" s="4" t="str">
        <f t="shared" si="321"/>
        <v/>
      </c>
      <c r="JK91" s="4" t="str">
        <f t="shared" si="322"/>
        <v/>
      </c>
      <c r="JL91" s="4" t="str">
        <f t="shared" si="323"/>
        <v/>
      </c>
      <c r="JM91" s="4" t="str">
        <f t="shared" si="324"/>
        <v/>
      </c>
      <c r="JN91" s="4" t="str">
        <f t="shared" si="325"/>
        <v/>
      </c>
      <c r="JO91" s="129" t="str">
        <f t="shared" si="326"/>
        <v/>
      </c>
      <c r="JP91" s="122" t="str">
        <f t="shared" si="327"/>
        <v/>
      </c>
      <c r="JQ91" s="122" t="str">
        <f t="shared" si="328"/>
        <v/>
      </c>
      <c r="JR91" s="122" t="str">
        <f t="shared" si="329"/>
        <v/>
      </c>
      <c r="JS91" s="122" t="str">
        <f t="shared" si="330"/>
        <v/>
      </c>
      <c r="JT91" s="122" t="str">
        <f t="shared" si="331"/>
        <v/>
      </c>
      <c r="JU91" s="122" t="str">
        <f t="shared" si="332"/>
        <v/>
      </c>
      <c r="JV91" s="122" t="str">
        <f t="shared" si="333"/>
        <v/>
      </c>
      <c r="JW91" s="122" t="str">
        <f t="shared" si="334"/>
        <v/>
      </c>
      <c r="JX91" s="122" t="str">
        <f t="shared" si="335"/>
        <v/>
      </c>
      <c r="JY91" s="122" t="str">
        <f t="shared" si="336"/>
        <v/>
      </c>
      <c r="JZ91" s="122" t="str">
        <f t="shared" si="337"/>
        <v/>
      </c>
      <c r="KA91" s="122" t="str">
        <f t="shared" si="338"/>
        <v/>
      </c>
      <c r="KB91" s="122" t="str">
        <f t="shared" si="339"/>
        <v/>
      </c>
      <c r="KC91" s="122" t="str">
        <f t="shared" si="340"/>
        <v/>
      </c>
      <c r="KD91" s="122" t="str">
        <f t="shared" si="341"/>
        <v/>
      </c>
      <c r="KE91" s="133" t="str">
        <f t="shared" si="342"/>
        <v/>
      </c>
      <c r="KF91" s="94" t="str">
        <f t="shared" si="343"/>
        <v/>
      </c>
      <c r="KG91" s="4" t="str">
        <f t="shared" si="344"/>
        <v/>
      </c>
      <c r="KH91" s="4" t="str">
        <f t="shared" si="345"/>
        <v/>
      </c>
      <c r="KI91" s="4" t="str">
        <f t="shared" si="346"/>
        <v/>
      </c>
      <c r="KJ91" s="4" t="str">
        <f t="shared" si="347"/>
        <v/>
      </c>
      <c r="KK91" s="4" t="str">
        <f t="shared" si="348"/>
        <v/>
      </c>
      <c r="KL91" s="4" t="str">
        <f t="shared" si="349"/>
        <v/>
      </c>
      <c r="KM91" s="4" t="str">
        <f t="shared" si="350"/>
        <v/>
      </c>
      <c r="KN91" s="4" t="str">
        <f t="shared" si="351"/>
        <v/>
      </c>
      <c r="KO91" s="4" t="str">
        <f t="shared" si="352"/>
        <v/>
      </c>
      <c r="KP91" s="4" t="str">
        <f t="shared" si="353"/>
        <v/>
      </c>
      <c r="KQ91" s="4" t="str">
        <f t="shared" si="354"/>
        <v/>
      </c>
      <c r="KR91" s="4" t="str">
        <f t="shared" si="355"/>
        <v/>
      </c>
      <c r="KS91" s="4" t="str">
        <f t="shared" si="356"/>
        <v/>
      </c>
      <c r="KT91" s="4" t="str">
        <f t="shared" si="357"/>
        <v/>
      </c>
      <c r="KU91" s="4" t="str">
        <f t="shared" si="358"/>
        <v/>
      </c>
      <c r="KV91" s="4" t="str">
        <f t="shared" si="359"/>
        <v/>
      </c>
      <c r="KW91" s="4" t="str">
        <f t="shared" si="360"/>
        <v/>
      </c>
      <c r="KX91" s="4" t="str">
        <f t="shared" si="361"/>
        <v/>
      </c>
      <c r="KY91" s="4" t="str">
        <f t="shared" si="362"/>
        <v/>
      </c>
      <c r="KZ91" s="4" t="str">
        <f t="shared" si="363"/>
        <v/>
      </c>
      <c r="LA91" s="4" t="str">
        <f t="shared" si="364"/>
        <v/>
      </c>
      <c r="LB91" s="4" t="str">
        <f t="shared" si="365"/>
        <v/>
      </c>
      <c r="LC91" s="4" t="str">
        <f t="shared" si="366"/>
        <v/>
      </c>
      <c r="LD91" s="4" t="str">
        <f t="shared" si="367"/>
        <v/>
      </c>
      <c r="LE91" s="4" t="str">
        <f t="shared" si="368"/>
        <v/>
      </c>
      <c r="LF91" s="4" t="str">
        <f t="shared" si="369"/>
        <v/>
      </c>
      <c r="LG91" s="4" t="str">
        <f t="shared" si="370"/>
        <v/>
      </c>
      <c r="LH91" s="4" t="str">
        <f t="shared" si="371"/>
        <v/>
      </c>
      <c r="LI91" s="4" t="str">
        <f t="shared" si="372"/>
        <v/>
      </c>
      <c r="LJ91" s="4" t="str">
        <f t="shared" si="373"/>
        <v/>
      </c>
      <c r="LK91" s="4" t="str">
        <f t="shared" si="374"/>
        <v/>
      </c>
      <c r="LL91" s="4" t="str">
        <f t="shared" si="375"/>
        <v/>
      </c>
      <c r="LM91" s="4" t="str">
        <f t="shared" si="376"/>
        <v/>
      </c>
      <c r="LN91" s="4" t="str">
        <f t="shared" si="377"/>
        <v/>
      </c>
      <c r="LO91" s="4" t="str">
        <f t="shared" si="378"/>
        <v/>
      </c>
      <c r="LP91" s="4" t="str">
        <f t="shared" si="379"/>
        <v/>
      </c>
      <c r="LQ91" s="4" t="str">
        <f t="shared" si="380"/>
        <v/>
      </c>
      <c r="LR91" s="4" t="str">
        <f t="shared" si="381"/>
        <v/>
      </c>
      <c r="LS91" s="4" t="str">
        <f t="shared" si="382"/>
        <v/>
      </c>
      <c r="LT91" s="4" t="str">
        <f t="shared" si="383"/>
        <v/>
      </c>
      <c r="LU91" s="4" t="str">
        <f t="shared" si="384"/>
        <v/>
      </c>
      <c r="LV91" s="4" t="str">
        <f t="shared" si="385"/>
        <v/>
      </c>
      <c r="LW91" s="4" t="str">
        <f t="shared" si="386"/>
        <v/>
      </c>
      <c r="LX91" s="4" t="str">
        <f t="shared" si="387"/>
        <v/>
      </c>
      <c r="LY91" s="4" t="str">
        <f t="shared" si="388"/>
        <v/>
      </c>
      <c r="LZ91" s="4" t="str">
        <f t="shared" si="389"/>
        <v/>
      </c>
      <c r="MA91" s="4" t="str">
        <f t="shared" si="390"/>
        <v/>
      </c>
      <c r="MB91" s="4" t="str">
        <f t="shared" si="391"/>
        <v/>
      </c>
      <c r="MC91" s="4" t="str">
        <f t="shared" si="392"/>
        <v/>
      </c>
      <c r="MD91" s="4" t="str">
        <f t="shared" si="393"/>
        <v/>
      </c>
      <c r="ME91" s="4">
        <f t="shared" si="394"/>
        <v>0</v>
      </c>
    </row>
    <row r="92" spans="1:343" ht="26.25" customHeight="1" x14ac:dyDescent="0.2">
      <c r="A92" s="35">
        <v>41395</v>
      </c>
      <c r="B92" s="36" t="s">
        <v>127</v>
      </c>
      <c r="C92" s="36" t="s">
        <v>50</v>
      </c>
      <c r="D92" s="31" t="s">
        <v>110</v>
      </c>
      <c r="E92" s="4">
        <v>67</v>
      </c>
      <c r="F92" s="3">
        <v>16648</v>
      </c>
      <c r="G92" s="4" t="s">
        <v>87</v>
      </c>
      <c r="H92" s="4" t="s">
        <v>108</v>
      </c>
      <c r="I92" s="4">
        <v>1835988</v>
      </c>
      <c r="K92" s="76"/>
      <c r="L92" s="76"/>
      <c r="M92" s="76"/>
      <c r="N92" s="76"/>
      <c r="O92" s="76"/>
      <c r="P92" s="4">
        <v>-0.5</v>
      </c>
      <c r="Q92" s="4">
        <v>-0.53</v>
      </c>
      <c r="R92" s="4" t="s">
        <v>249</v>
      </c>
      <c r="S92" s="67">
        <v>19.75</v>
      </c>
      <c r="T92" s="136">
        <v>41394</v>
      </c>
      <c r="U92" s="67">
        <v>0</v>
      </c>
      <c r="V92" s="67">
        <v>0.5</v>
      </c>
      <c r="W92" s="4">
        <v>11</v>
      </c>
      <c r="X92" s="4">
        <v>50</v>
      </c>
      <c r="Y92" s="4">
        <v>16</v>
      </c>
      <c r="Z92" s="4">
        <v>656</v>
      </c>
      <c r="AA92" s="4">
        <v>24.48</v>
      </c>
      <c r="AD92" s="4">
        <v>3.01</v>
      </c>
      <c r="AE92" s="4">
        <v>41.98</v>
      </c>
      <c r="AF92" s="4">
        <v>65</v>
      </c>
      <c r="AG92" s="4">
        <v>42.51</v>
      </c>
      <c r="AH92" s="4">
        <v>155</v>
      </c>
      <c r="AI92" s="4">
        <v>0</v>
      </c>
      <c r="AJ92" s="4" t="b">
        <f t="shared" si="267"/>
        <v>0</v>
      </c>
      <c r="AL92" s="32">
        <v>41597</v>
      </c>
      <c r="AM92" s="60">
        <v>40</v>
      </c>
      <c r="AN92" s="67">
        <v>-2.75</v>
      </c>
      <c r="AO92" s="67">
        <v>0.75</v>
      </c>
      <c r="AP92" s="4">
        <v>15</v>
      </c>
      <c r="AQ92" s="4">
        <v>40</v>
      </c>
      <c r="AR92" s="4">
        <v>12</v>
      </c>
      <c r="AS92" s="4">
        <v>548</v>
      </c>
      <c r="AT92" s="4">
        <v>2457</v>
      </c>
      <c r="AU92" s="4" t="s">
        <v>250</v>
      </c>
      <c r="AV92" s="4" t="s">
        <v>82</v>
      </c>
      <c r="AW92" s="4">
        <v>42.51</v>
      </c>
      <c r="AX92" s="4">
        <v>22</v>
      </c>
      <c r="AY92" s="4">
        <v>43.72</v>
      </c>
      <c r="AZ92" s="4">
        <v>112</v>
      </c>
      <c r="BA92" s="4">
        <f t="shared" si="268"/>
        <v>-2.375</v>
      </c>
      <c r="BB92" s="4">
        <f t="shared" ref="BB92:BB123" si="397">IF(ISNUMBER(BA92),IF(ISNUMBER(Q92),BA92-Q92,"MISSING"),"")</f>
        <v>-1.845</v>
      </c>
      <c r="BC92" s="4">
        <f t="shared" si="269"/>
        <v>-108</v>
      </c>
      <c r="BD92" s="150">
        <v>41779</v>
      </c>
      <c r="BS92" s="4" t="str">
        <f t="shared" si="266"/>
        <v/>
      </c>
      <c r="BT92" s="4" t="str">
        <f t="shared" si="270"/>
        <v/>
      </c>
      <c r="BU92" s="4" t="str">
        <f t="shared" si="271"/>
        <v/>
      </c>
      <c r="BV92" s="4">
        <f>IF(AND(ISBLANK(SPH_6),ISBLANK(SPH_12)),0,1)</f>
        <v>1</v>
      </c>
      <c r="BW92" s="4">
        <f t="shared" si="272"/>
        <v>0</v>
      </c>
      <c r="BX92" s="4" t="str">
        <f t="shared" si="273"/>
        <v/>
      </c>
      <c r="BY92" s="4" t="str">
        <f t="shared" si="274"/>
        <v/>
      </c>
      <c r="BZ92" s="4" t="str">
        <f t="shared" si="275"/>
        <v/>
      </c>
      <c r="CA92" s="53">
        <f t="shared" si="276"/>
        <v>202</v>
      </c>
      <c r="CB92" s="55">
        <f t="shared" si="277"/>
        <v>6.7333333333333334</v>
      </c>
      <c r="CC92" s="4" t="str">
        <f t="shared" si="278"/>
        <v/>
      </c>
      <c r="CD92" s="4">
        <f t="shared" si="279"/>
        <v>0.86999999999999744</v>
      </c>
      <c r="CE92" s="4" t="str">
        <f t="shared" si="280"/>
        <v/>
      </c>
      <c r="CF92" s="4">
        <f t="shared" si="281"/>
        <v>0.86999999999999744</v>
      </c>
      <c r="CG92" s="4">
        <f t="shared" si="395"/>
        <v>0.25</v>
      </c>
      <c r="CH92" s="4">
        <f t="shared" si="282"/>
        <v>-2.375</v>
      </c>
      <c r="CI92" s="104">
        <f t="shared" si="283"/>
        <v>-1.845</v>
      </c>
      <c r="CJ92" s="94">
        <f t="shared" si="284"/>
        <v>-108</v>
      </c>
      <c r="CK92" s="4" t="str">
        <f t="shared" si="285"/>
        <v/>
      </c>
      <c r="CL92" s="107">
        <f t="shared" si="286"/>
        <v>-0.53</v>
      </c>
      <c r="CM92" s="107">
        <f t="shared" si="396"/>
        <v>9.6910013008056406E-2</v>
      </c>
      <c r="CN92" s="139">
        <f t="shared" si="287"/>
        <v>0.75</v>
      </c>
      <c r="CO92" s="139">
        <f t="shared" si="288"/>
        <v>0.25</v>
      </c>
      <c r="CP92" s="149">
        <f t="shared" si="289"/>
        <v>40</v>
      </c>
      <c r="CQ92" s="149">
        <f t="shared" si="290"/>
        <v>50</v>
      </c>
      <c r="CR92" s="148">
        <f t="shared" si="291"/>
        <v>40</v>
      </c>
      <c r="CS92" s="152">
        <f t="shared" si="292"/>
        <v>0</v>
      </c>
      <c r="CT92" s="107" t="str">
        <f t="shared" si="293"/>
        <v/>
      </c>
      <c r="CU92" s="155" t="b">
        <f t="shared" si="294"/>
        <v>0</v>
      </c>
      <c r="CV92">
        <v>7.99</v>
      </c>
      <c r="CW92" s="4">
        <v>8.08</v>
      </c>
      <c r="CX92" s="4">
        <v>77.400000000000006</v>
      </c>
      <c r="CY92" s="4">
        <v>0.5</v>
      </c>
      <c r="CZ92" s="4">
        <v>0.44</v>
      </c>
      <c r="DA92" s="4">
        <v>0.49</v>
      </c>
      <c r="DB92" s="4">
        <v>2.72</v>
      </c>
      <c r="DC92" s="4">
        <v>3.31</v>
      </c>
      <c r="DD92" s="4">
        <v>597</v>
      </c>
      <c r="DE92" s="4">
        <v>597</v>
      </c>
      <c r="DF92" s="4">
        <v>794</v>
      </c>
      <c r="DG92" s="4">
        <v>674</v>
      </c>
      <c r="DH92" s="4">
        <v>702</v>
      </c>
      <c r="DI92" s="4">
        <v>695</v>
      </c>
      <c r="DJ92" s="4">
        <v>590</v>
      </c>
      <c r="DK92" s="4">
        <v>-0.13</v>
      </c>
      <c r="DL92" s="4">
        <v>-0.54</v>
      </c>
      <c r="DM92" s="4">
        <v>8.02</v>
      </c>
      <c r="DN92" s="4">
        <v>8.0399999999999991</v>
      </c>
      <c r="DO92" s="4">
        <v>8.07</v>
      </c>
      <c r="DP92" s="4">
        <v>8.19</v>
      </c>
      <c r="DQ92" s="4">
        <v>8.39</v>
      </c>
      <c r="DR92" s="4">
        <v>8.49</v>
      </c>
      <c r="DS92" s="4">
        <v>0</v>
      </c>
      <c r="DT92" s="4">
        <v>2.2999999999999998</v>
      </c>
      <c r="DU92" s="4">
        <v>5.84</v>
      </c>
      <c r="DV92" s="4">
        <v>6.23</v>
      </c>
      <c r="DW92" s="4">
        <v>6.52</v>
      </c>
      <c r="DX92" s="4">
        <v>6.76</v>
      </c>
      <c r="DY92" s="4">
        <v>6.81</v>
      </c>
      <c r="DZ92" s="4">
        <v>0</v>
      </c>
      <c r="EA92" s="4">
        <v>0</v>
      </c>
      <c r="EB92" s="100">
        <v>2.2999999999999998</v>
      </c>
      <c r="EC92" s="122">
        <v>41.8</v>
      </c>
      <c r="ED92" s="122">
        <v>42.2</v>
      </c>
      <c r="EE92" s="122">
        <v>42</v>
      </c>
      <c r="EF92" s="122">
        <v>77.400000000000006</v>
      </c>
      <c r="EG92" s="122">
        <v>0.5</v>
      </c>
      <c r="EH92" s="122">
        <v>-6.4</v>
      </c>
      <c r="EI92" s="122">
        <v>-7.1</v>
      </c>
      <c r="EJ92" s="122">
        <v>-6.8</v>
      </c>
      <c r="EK92" s="122">
        <v>20.7</v>
      </c>
      <c r="EL92" s="122">
        <v>0.7</v>
      </c>
      <c r="EM92" s="122">
        <v>4.4000000000000004</v>
      </c>
      <c r="EN92" s="122">
        <v>13.1</v>
      </c>
      <c r="EO92" s="122">
        <v>28.1</v>
      </c>
      <c r="EP92" s="122">
        <v>68.2</v>
      </c>
      <c r="EQ92" s="126">
        <v>17</v>
      </c>
      <c r="ER92" s="94">
        <v>7.98</v>
      </c>
      <c r="ES92" s="4">
        <v>7.81</v>
      </c>
      <c r="ET92" s="4">
        <v>17</v>
      </c>
      <c r="EU92" s="4">
        <v>-0.9</v>
      </c>
      <c r="EV92" s="4">
        <v>0.62</v>
      </c>
      <c r="EW92" s="4">
        <v>0.68</v>
      </c>
      <c r="EX92" s="4">
        <v>-0.56999999999999995</v>
      </c>
      <c r="EY92" s="4">
        <v>-0.05</v>
      </c>
      <c r="EZ92" s="4">
        <v>522</v>
      </c>
      <c r="FA92" s="4">
        <v>523</v>
      </c>
      <c r="FB92" s="4">
        <v>633</v>
      </c>
      <c r="FC92" s="4">
        <v>597</v>
      </c>
      <c r="FD92" s="4">
        <v>652</v>
      </c>
      <c r="FE92" s="4">
        <v>577</v>
      </c>
      <c r="FF92" s="4">
        <v>512</v>
      </c>
      <c r="FG92" s="4">
        <v>0.9</v>
      </c>
      <c r="FH92" s="4">
        <v>-0.28000000000000003</v>
      </c>
      <c r="FI92" s="4">
        <v>7.88</v>
      </c>
      <c r="FJ92" s="4">
        <v>7.91</v>
      </c>
      <c r="FK92" s="4">
        <v>7.98</v>
      </c>
      <c r="FL92" s="4">
        <v>8.18</v>
      </c>
      <c r="FM92" s="4">
        <v>8.56</v>
      </c>
      <c r="FN92" s="4">
        <v>8.8699999999999992</v>
      </c>
      <c r="FO92" s="4">
        <v>0</v>
      </c>
      <c r="FP92" s="4">
        <v>1.4</v>
      </c>
      <c r="FQ92" s="4">
        <v>6.36</v>
      </c>
      <c r="FR92" s="4">
        <v>6.39</v>
      </c>
      <c r="FS92" s="4">
        <v>6.49</v>
      </c>
      <c r="FT92" s="4">
        <v>6.61</v>
      </c>
      <c r="FU92" s="4">
        <v>6.8</v>
      </c>
      <c r="FV92" s="4">
        <v>6.87</v>
      </c>
      <c r="FW92" s="4">
        <v>0</v>
      </c>
      <c r="FX92" s="97">
        <v>1.4</v>
      </c>
      <c r="FY92" s="122">
        <v>42.3</v>
      </c>
      <c r="FZ92" s="122">
        <v>43.2</v>
      </c>
      <c r="GA92" s="122">
        <v>42.8</v>
      </c>
      <c r="GB92" s="122">
        <v>17</v>
      </c>
      <c r="GC92" s="122">
        <v>0.9</v>
      </c>
      <c r="GD92" s="122">
        <v>-6.2</v>
      </c>
      <c r="GE92" s="122">
        <v>-6.4</v>
      </c>
      <c r="GF92" s="122">
        <v>-6.3</v>
      </c>
      <c r="GG92" s="122">
        <v>168.5</v>
      </c>
      <c r="GH92" s="122">
        <v>0.2</v>
      </c>
      <c r="GI92" s="122">
        <v>3.8</v>
      </c>
      <c r="GJ92" s="122">
        <v>11.2</v>
      </c>
      <c r="GK92" s="122">
        <v>24.1</v>
      </c>
      <c r="GL92" s="122">
        <v>60.2</v>
      </c>
      <c r="GM92" s="131">
        <v>20</v>
      </c>
      <c r="IJ92" s="94">
        <f t="shared" si="295"/>
        <v>7.98</v>
      </c>
      <c r="IK92" s="4">
        <f t="shared" si="296"/>
        <v>7.81</v>
      </c>
      <c r="IL92" s="4">
        <f t="shared" si="297"/>
        <v>17</v>
      </c>
      <c r="IM92" s="4">
        <f t="shared" si="298"/>
        <v>-0.9</v>
      </c>
      <c r="IN92" s="4">
        <f t="shared" si="299"/>
        <v>0.62</v>
      </c>
      <c r="IO92" s="4">
        <f t="shared" si="300"/>
        <v>0.68</v>
      </c>
      <c r="IP92" s="4">
        <f t="shared" si="301"/>
        <v>-0.56999999999999995</v>
      </c>
      <c r="IQ92" s="4">
        <f t="shared" si="302"/>
        <v>-0.05</v>
      </c>
      <c r="IR92" s="4">
        <f t="shared" si="303"/>
        <v>522</v>
      </c>
      <c r="IS92" s="4">
        <f t="shared" si="304"/>
        <v>523</v>
      </c>
      <c r="IT92" s="4">
        <f t="shared" si="305"/>
        <v>633</v>
      </c>
      <c r="IU92" s="4">
        <f t="shared" si="306"/>
        <v>597</v>
      </c>
      <c r="IV92" s="4">
        <f t="shared" si="307"/>
        <v>652</v>
      </c>
      <c r="IW92" s="4">
        <f t="shared" si="308"/>
        <v>577</v>
      </c>
      <c r="IX92" s="4">
        <f t="shared" si="309"/>
        <v>512</v>
      </c>
      <c r="IY92" s="4">
        <f t="shared" si="310"/>
        <v>0.9</v>
      </c>
      <c r="IZ92" s="4">
        <f t="shared" si="311"/>
        <v>-0.28000000000000003</v>
      </c>
      <c r="JA92" s="4">
        <f t="shared" si="312"/>
        <v>7.88</v>
      </c>
      <c r="JB92" s="4">
        <f t="shared" si="313"/>
        <v>7.91</v>
      </c>
      <c r="JC92" s="4">
        <f t="shared" si="314"/>
        <v>7.98</v>
      </c>
      <c r="JD92" s="4">
        <f t="shared" si="315"/>
        <v>8.18</v>
      </c>
      <c r="JE92" s="4">
        <f t="shared" si="316"/>
        <v>8.56</v>
      </c>
      <c r="JF92" s="4">
        <f t="shared" si="317"/>
        <v>8.8699999999999992</v>
      </c>
      <c r="JG92" s="4">
        <f t="shared" si="318"/>
        <v>0</v>
      </c>
      <c r="JH92" s="4">
        <f t="shared" si="319"/>
        <v>1.4</v>
      </c>
      <c r="JI92" s="4">
        <f t="shared" si="320"/>
        <v>6.36</v>
      </c>
      <c r="JJ92" s="4">
        <f t="shared" si="321"/>
        <v>6.39</v>
      </c>
      <c r="JK92" s="4">
        <f t="shared" si="322"/>
        <v>6.49</v>
      </c>
      <c r="JL92" s="4">
        <f t="shared" si="323"/>
        <v>6.61</v>
      </c>
      <c r="JM92" s="4">
        <f t="shared" si="324"/>
        <v>6.8</v>
      </c>
      <c r="JN92" s="4">
        <f t="shared" si="325"/>
        <v>6.87</v>
      </c>
      <c r="JO92" s="129">
        <f t="shared" si="326"/>
        <v>0</v>
      </c>
      <c r="JP92" s="122">
        <f t="shared" si="327"/>
        <v>1.4</v>
      </c>
      <c r="JQ92" s="122">
        <f t="shared" si="328"/>
        <v>42.3</v>
      </c>
      <c r="JR92" s="122">
        <f t="shared" si="329"/>
        <v>43.2</v>
      </c>
      <c r="JS92" s="122">
        <f t="shared" si="330"/>
        <v>42.8</v>
      </c>
      <c r="JT92" s="122">
        <f t="shared" si="331"/>
        <v>17</v>
      </c>
      <c r="JU92" s="122">
        <f t="shared" si="332"/>
        <v>0.9</v>
      </c>
      <c r="JV92" s="122">
        <f t="shared" si="333"/>
        <v>-6.2</v>
      </c>
      <c r="JW92" s="122">
        <f t="shared" si="334"/>
        <v>-6.4</v>
      </c>
      <c r="JX92" s="122">
        <f t="shared" si="335"/>
        <v>-6.3</v>
      </c>
      <c r="JY92" s="122">
        <f t="shared" si="336"/>
        <v>168.5</v>
      </c>
      <c r="JZ92" s="122">
        <f t="shared" si="337"/>
        <v>0.2</v>
      </c>
      <c r="KA92" s="122">
        <f t="shared" si="338"/>
        <v>3.8</v>
      </c>
      <c r="KB92" s="122">
        <f t="shared" si="339"/>
        <v>11.2</v>
      </c>
      <c r="KC92" s="122">
        <f t="shared" si="340"/>
        <v>24.1</v>
      </c>
      <c r="KD92" s="122">
        <f t="shared" si="341"/>
        <v>60.2</v>
      </c>
      <c r="KE92" s="133">
        <f t="shared" si="342"/>
        <v>20</v>
      </c>
      <c r="KF92" s="94">
        <f t="shared" si="343"/>
        <v>-9.9999999999997868E-3</v>
      </c>
      <c r="KG92" s="4">
        <f t="shared" si="344"/>
        <v>-0.27000000000000046</v>
      </c>
      <c r="KH92" s="4">
        <f t="shared" si="345"/>
        <v>-60.400000000000006</v>
      </c>
      <c r="KI92" s="4">
        <f t="shared" si="346"/>
        <v>-1.4</v>
      </c>
      <c r="KJ92" s="4">
        <f t="shared" si="347"/>
        <v>0.18</v>
      </c>
      <c r="KK92" s="4">
        <f t="shared" si="348"/>
        <v>0.19000000000000006</v>
      </c>
      <c r="KL92" s="4">
        <f t="shared" si="349"/>
        <v>-3.29</v>
      </c>
      <c r="KM92" s="4">
        <f t="shared" si="350"/>
        <v>-3.36</v>
      </c>
      <c r="KN92" s="4">
        <f t="shared" si="351"/>
        <v>-75</v>
      </c>
      <c r="KO92" s="4">
        <f t="shared" si="352"/>
        <v>-74</v>
      </c>
      <c r="KP92" s="4">
        <f t="shared" si="353"/>
        <v>-161</v>
      </c>
      <c r="KQ92" s="4">
        <f t="shared" si="354"/>
        <v>-77</v>
      </c>
      <c r="KR92" s="4">
        <f t="shared" si="355"/>
        <v>-50</v>
      </c>
      <c r="KS92" s="4">
        <f t="shared" si="356"/>
        <v>-118</v>
      </c>
      <c r="KT92" s="4">
        <f t="shared" si="357"/>
        <v>-78</v>
      </c>
      <c r="KU92" s="4">
        <f t="shared" si="358"/>
        <v>1.03</v>
      </c>
      <c r="KV92" s="4">
        <f t="shared" si="359"/>
        <v>0.26</v>
      </c>
      <c r="KW92" s="4">
        <f t="shared" si="360"/>
        <v>-0.13999999999999968</v>
      </c>
      <c r="KX92" s="4">
        <f t="shared" si="361"/>
        <v>-0.12999999999999901</v>
      </c>
      <c r="KY92" s="4">
        <f t="shared" si="362"/>
        <v>-8.9999999999999858E-2</v>
      </c>
      <c r="KZ92" s="4">
        <f t="shared" si="363"/>
        <v>-9.9999999999997868E-3</v>
      </c>
      <c r="LA92" s="4">
        <f t="shared" si="364"/>
        <v>0.16999999999999993</v>
      </c>
      <c r="LB92" s="4">
        <f t="shared" si="365"/>
        <v>0.37999999999999901</v>
      </c>
      <c r="LC92" s="4">
        <f t="shared" si="366"/>
        <v>0</v>
      </c>
      <c r="LD92" s="4">
        <f t="shared" si="367"/>
        <v>-0.89999999999999991</v>
      </c>
      <c r="LE92" s="4">
        <f t="shared" si="368"/>
        <v>0.52000000000000046</v>
      </c>
      <c r="LF92" s="4">
        <f t="shared" si="369"/>
        <v>0.15999999999999925</v>
      </c>
      <c r="LG92" s="4">
        <f t="shared" si="370"/>
        <v>-2.9999999999999361E-2</v>
      </c>
      <c r="LH92" s="4">
        <f t="shared" si="371"/>
        <v>-0.14999999999999947</v>
      </c>
      <c r="LI92" s="4">
        <f t="shared" si="372"/>
        <v>-9.9999999999997868E-3</v>
      </c>
      <c r="LJ92" s="4">
        <f t="shared" si="373"/>
        <v>6.87</v>
      </c>
      <c r="LK92" s="4">
        <f t="shared" si="374"/>
        <v>0</v>
      </c>
      <c r="LL92" s="4">
        <f t="shared" si="375"/>
        <v>-0.89999999999999991</v>
      </c>
      <c r="LM92" s="4">
        <f t="shared" si="376"/>
        <v>0.5</v>
      </c>
      <c r="LN92" s="4">
        <f t="shared" si="377"/>
        <v>1</v>
      </c>
      <c r="LO92" s="4">
        <f t="shared" si="378"/>
        <v>0.79999999999999716</v>
      </c>
      <c r="LP92" s="4">
        <f t="shared" si="379"/>
        <v>-60.400000000000006</v>
      </c>
      <c r="LQ92" s="4">
        <f t="shared" si="380"/>
        <v>0.4</v>
      </c>
      <c r="LR92" s="4">
        <f t="shared" si="381"/>
        <v>0.20000000000000018</v>
      </c>
      <c r="LS92" s="4">
        <f t="shared" si="382"/>
        <v>0.69999999999999929</v>
      </c>
      <c r="LT92" s="4">
        <f t="shared" si="383"/>
        <v>0.5</v>
      </c>
      <c r="LU92" s="4">
        <f t="shared" si="384"/>
        <v>147.80000000000001</v>
      </c>
      <c r="LV92" s="4">
        <f t="shared" si="385"/>
        <v>-0.49999999999999994</v>
      </c>
      <c r="LW92" s="4">
        <f t="shared" si="386"/>
        <v>-0.60000000000000053</v>
      </c>
      <c r="LX92" s="4">
        <f t="shared" si="387"/>
        <v>-1.9000000000000004</v>
      </c>
      <c r="LY92" s="4">
        <f t="shared" si="388"/>
        <v>-4</v>
      </c>
      <c r="LZ92" s="4">
        <f t="shared" si="389"/>
        <v>-8</v>
      </c>
      <c r="MA92" s="4">
        <f t="shared" si="390"/>
        <v>3</v>
      </c>
      <c r="MB92" s="4" t="str">
        <f t="shared" si="391"/>
        <v/>
      </c>
      <c r="MC92" s="4" t="str">
        <f t="shared" si="392"/>
        <v/>
      </c>
      <c r="MD92" s="4" t="str">
        <f t="shared" si="393"/>
        <v/>
      </c>
      <c r="ME92" s="4">
        <f t="shared" si="394"/>
        <v>6.4</v>
      </c>
    </row>
    <row r="93" spans="1:343" ht="26.25" customHeight="1" x14ac:dyDescent="0.2">
      <c r="A93" s="35">
        <v>41283</v>
      </c>
      <c r="B93" s="36" t="s">
        <v>222</v>
      </c>
      <c r="C93" s="36" t="s">
        <v>26</v>
      </c>
      <c r="D93" s="31" t="s">
        <v>110</v>
      </c>
      <c r="E93" s="4">
        <v>65</v>
      </c>
      <c r="F93" s="3">
        <v>17217</v>
      </c>
      <c r="G93" s="4" t="s">
        <v>244</v>
      </c>
      <c r="H93" s="4" t="s">
        <v>108</v>
      </c>
      <c r="I93" s="4">
        <v>1836026</v>
      </c>
      <c r="K93" s="76"/>
      <c r="L93" s="76"/>
      <c r="M93" s="76"/>
      <c r="N93" s="76"/>
      <c r="O93" s="76"/>
      <c r="P93" s="33">
        <v>-0.5</v>
      </c>
      <c r="Q93" s="33">
        <v>-0.56999999999999995</v>
      </c>
      <c r="R93" s="33" t="s">
        <v>249</v>
      </c>
      <c r="S93" s="67">
        <v>26</v>
      </c>
      <c r="T93" s="136">
        <v>41253</v>
      </c>
      <c r="U93" s="67">
        <v>-1</v>
      </c>
      <c r="V93" s="67">
        <v>1</v>
      </c>
      <c r="W93" s="4">
        <v>35</v>
      </c>
      <c r="X93" s="4">
        <v>100</v>
      </c>
      <c r="Y93" s="4">
        <v>15</v>
      </c>
      <c r="Z93" s="4">
        <v>1000</v>
      </c>
      <c r="AA93" s="4">
        <v>22.25</v>
      </c>
      <c r="AB93" s="4">
        <v>11.4</v>
      </c>
      <c r="AC93" s="4">
        <v>5.33</v>
      </c>
      <c r="AD93" s="4">
        <v>3.04</v>
      </c>
      <c r="AE93" s="4">
        <v>44.94</v>
      </c>
      <c r="AF93" s="4">
        <v>166</v>
      </c>
      <c r="AG93" s="4">
        <v>46.11</v>
      </c>
      <c r="AH93" s="4">
        <v>76</v>
      </c>
      <c r="AI93" s="4">
        <v>1</v>
      </c>
      <c r="AJ93" s="4" t="b">
        <f t="shared" si="267"/>
        <v>1</v>
      </c>
      <c r="AK93" s="54" t="s">
        <v>502</v>
      </c>
      <c r="AL93" s="37">
        <v>41407</v>
      </c>
      <c r="AM93" s="59">
        <v>200</v>
      </c>
      <c r="AN93" s="67">
        <v>-3.5</v>
      </c>
      <c r="AO93" s="67">
        <v>1</v>
      </c>
      <c r="AP93" s="4">
        <v>57</v>
      </c>
      <c r="AQ93" s="4">
        <v>20</v>
      </c>
      <c r="AR93" s="4">
        <v>15</v>
      </c>
      <c r="AS93" s="4">
        <v>583</v>
      </c>
      <c r="AT93" s="4">
        <v>2398</v>
      </c>
      <c r="BA93" s="4">
        <f t="shared" si="268"/>
        <v>-3</v>
      </c>
      <c r="BB93" s="4">
        <f t="shared" si="397"/>
        <v>-2.4300000000000002</v>
      </c>
      <c r="BC93" s="4">
        <f t="shared" si="269"/>
        <v>-417</v>
      </c>
      <c r="BD93" s="51" t="s">
        <v>505</v>
      </c>
      <c r="BS93" s="4" t="str">
        <f t="shared" si="266"/>
        <v/>
      </c>
      <c r="BT93" s="4" t="str">
        <f t="shared" si="270"/>
        <v/>
      </c>
      <c r="BU93" s="4" t="str">
        <f t="shared" si="271"/>
        <v/>
      </c>
      <c r="BV93" s="4">
        <f>IF(AND(ISBLANK(SPH_6),ISBLANK(SPH_12)),0,1)</f>
        <v>1</v>
      </c>
      <c r="BW93" s="4">
        <f t="shared" si="272"/>
        <v>0</v>
      </c>
      <c r="BX93" s="4" t="str">
        <f t="shared" si="273"/>
        <v/>
      </c>
      <c r="BY93" s="4" t="str">
        <f t="shared" si="274"/>
        <v/>
      </c>
      <c r="BZ93" s="4" t="str">
        <f t="shared" si="275"/>
        <v/>
      </c>
      <c r="CA93" s="53">
        <f t="shared" si="276"/>
        <v>124</v>
      </c>
      <c r="CB93" s="55">
        <f t="shared" si="277"/>
        <v>4.1333333333333337</v>
      </c>
      <c r="CC93" s="4" t="str">
        <f t="shared" si="278"/>
        <v/>
      </c>
      <c r="CD93" s="4" t="str">
        <f t="shared" si="279"/>
        <v/>
      </c>
      <c r="CE93" s="4" t="str">
        <f t="shared" si="280"/>
        <v/>
      </c>
      <c r="CF93" s="4" t="str">
        <f t="shared" si="281"/>
        <v/>
      </c>
      <c r="CG93" s="4">
        <f t="shared" si="395"/>
        <v>-0.5</v>
      </c>
      <c r="CH93" s="4">
        <f t="shared" si="282"/>
        <v>-3</v>
      </c>
      <c r="CI93" s="104">
        <f t="shared" si="283"/>
        <v>-2.4300000000000002</v>
      </c>
      <c r="CJ93" s="94">
        <f t="shared" si="284"/>
        <v>-417</v>
      </c>
      <c r="CK93" s="4" t="str">
        <f t="shared" si="285"/>
        <v/>
      </c>
      <c r="CL93" s="107">
        <f t="shared" si="286"/>
        <v>-0.56999999999999995</v>
      </c>
      <c r="CM93" s="107">
        <f t="shared" si="396"/>
        <v>0.69897000433601875</v>
      </c>
      <c r="CN93" s="139">
        <f t="shared" si="287"/>
        <v>1</v>
      </c>
      <c r="CO93" s="139">
        <f t="shared" si="288"/>
        <v>0</v>
      </c>
      <c r="CP93" s="149">
        <f t="shared" si="289"/>
        <v>20</v>
      </c>
      <c r="CQ93" s="149">
        <f t="shared" si="290"/>
        <v>100</v>
      </c>
      <c r="CR93" s="148">
        <f t="shared" si="291"/>
        <v>200</v>
      </c>
      <c r="CS93" s="152">
        <f t="shared" si="292"/>
        <v>1</v>
      </c>
      <c r="CT93" s="107" t="str">
        <f t="shared" si="293"/>
        <v/>
      </c>
      <c r="CU93" s="155" t="b">
        <f t="shared" si="294"/>
        <v>1</v>
      </c>
      <c r="CV93">
        <v>7.37</v>
      </c>
      <c r="CW93" s="4">
        <v>7.65</v>
      </c>
      <c r="CX93" s="4">
        <v>127.2</v>
      </c>
      <c r="CY93" s="4">
        <v>1.7</v>
      </c>
      <c r="CZ93" s="4">
        <v>0.24</v>
      </c>
      <c r="DA93" s="4">
        <v>0.55000000000000004</v>
      </c>
      <c r="DB93" s="4">
        <v>0.82</v>
      </c>
      <c r="DC93" s="4">
        <v>1.85</v>
      </c>
      <c r="DD93" s="4">
        <v>1032</v>
      </c>
      <c r="DE93" s="4">
        <v>1030</v>
      </c>
      <c r="DF93" s="4">
        <v>1101</v>
      </c>
      <c r="DG93" s="4">
        <v>1047</v>
      </c>
      <c r="DH93" s="4">
        <v>1098</v>
      </c>
      <c r="DI93" s="4">
        <v>1159</v>
      </c>
      <c r="DJ93" s="4">
        <v>1019</v>
      </c>
      <c r="DK93" s="4">
        <v>0.28000000000000003</v>
      </c>
      <c r="DL93" s="4">
        <v>0.9</v>
      </c>
      <c r="DM93" s="4">
        <v>7.54</v>
      </c>
      <c r="DN93" s="4">
        <v>7.52</v>
      </c>
      <c r="DO93" s="4">
        <v>7.58</v>
      </c>
      <c r="DP93" s="4">
        <v>7.75</v>
      </c>
      <c r="DQ93" s="4">
        <v>8.02</v>
      </c>
      <c r="DR93" s="4">
        <v>8.14</v>
      </c>
      <c r="DS93" s="4">
        <v>0</v>
      </c>
      <c r="DT93" s="4">
        <v>1.5</v>
      </c>
      <c r="DU93" s="4">
        <v>5.98</v>
      </c>
      <c r="DV93" s="4">
        <v>5.84</v>
      </c>
      <c r="DW93" s="4">
        <v>6.33</v>
      </c>
      <c r="DX93" s="4">
        <v>7.62</v>
      </c>
      <c r="DY93" s="4">
        <v>8</v>
      </c>
      <c r="DZ93" s="4">
        <v>0</v>
      </c>
      <c r="EA93" s="4">
        <v>0</v>
      </c>
      <c r="EB93" s="100">
        <v>1.5</v>
      </c>
      <c r="EC93" s="122">
        <v>44.1</v>
      </c>
      <c r="ED93" s="122">
        <v>45.8</v>
      </c>
      <c r="EE93" s="122">
        <v>45</v>
      </c>
      <c r="EF93" s="122">
        <v>127.2</v>
      </c>
      <c r="EG93" s="122">
        <v>1.7</v>
      </c>
      <c r="EH93" s="122">
        <v>-6.3</v>
      </c>
      <c r="EI93" s="122">
        <v>-7.3</v>
      </c>
      <c r="EJ93" s="122">
        <v>-6.8</v>
      </c>
      <c r="EK93" s="122">
        <v>78.2</v>
      </c>
      <c r="EL93" s="122">
        <v>1</v>
      </c>
      <c r="EM93" s="122">
        <v>7.4</v>
      </c>
      <c r="EN93" s="122">
        <v>21.4</v>
      </c>
      <c r="EO93" s="122">
        <v>44.6</v>
      </c>
      <c r="EP93" s="122">
        <v>97.6</v>
      </c>
      <c r="EQ93" s="126">
        <v>19</v>
      </c>
      <c r="IJ93" s="94" t="str">
        <f t="shared" si="295"/>
        <v/>
      </c>
      <c r="IK93" s="4" t="str">
        <f t="shared" si="296"/>
        <v/>
      </c>
      <c r="IL93" s="4" t="str">
        <f t="shared" si="297"/>
        <v/>
      </c>
      <c r="IM93" s="4" t="str">
        <f t="shared" si="298"/>
        <v/>
      </c>
      <c r="IN93" s="4" t="str">
        <f t="shared" si="299"/>
        <v/>
      </c>
      <c r="IO93" s="4" t="str">
        <f t="shared" si="300"/>
        <v/>
      </c>
      <c r="IP93" s="4" t="str">
        <f t="shared" si="301"/>
        <v/>
      </c>
      <c r="IQ93" s="4" t="str">
        <f t="shared" si="302"/>
        <v/>
      </c>
      <c r="IR93" s="4" t="str">
        <f t="shared" si="303"/>
        <v/>
      </c>
      <c r="IS93" s="4" t="str">
        <f t="shared" si="304"/>
        <v/>
      </c>
      <c r="IT93" s="4" t="str">
        <f t="shared" si="305"/>
        <v/>
      </c>
      <c r="IU93" s="4" t="str">
        <f t="shared" si="306"/>
        <v/>
      </c>
      <c r="IV93" s="4" t="str">
        <f t="shared" si="307"/>
        <v/>
      </c>
      <c r="IW93" s="4" t="str">
        <f t="shared" si="308"/>
        <v/>
      </c>
      <c r="IX93" s="4" t="str">
        <f t="shared" si="309"/>
        <v/>
      </c>
      <c r="IY93" s="4" t="str">
        <f t="shared" si="310"/>
        <v/>
      </c>
      <c r="IZ93" s="4" t="str">
        <f t="shared" si="311"/>
        <v/>
      </c>
      <c r="JA93" s="4" t="str">
        <f t="shared" si="312"/>
        <v/>
      </c>
      <c r="JB93" s="4" t="str">
        <f t="shared" si="313"/>
        <v/>
      </c>
      <c r="JC93" s="4" t="str">
        <f t="shared" si="314"/>
        <v/>
      </c>
      <c r="JD93" s="4" t="str">
        <f t="shared" si="315"/>
        <v/>
      </c>
      <c r="JE93" s="4" t="str">
        <f t="shared" si="316"/>
        <v/>
      </c>
      <c r="JF93" s="4" t="str">
        <f t="shared" si="317"/>
        <v/>
      </c>
      <c r="JG93" s="4" t="str">
        <f t="shared" si="318"/>
        <v/>
      </c>
      <c r="JH93" s="4" t="str">
        <f t="shared" si="319"/>
        <v/>
      </c>
      <c r="JI93" s="4" t="str">
        <f t="shared" si="320"/>
        <v/>
      </c>
      <c r="JJ93" s="4" t="str">
        <f t="shared" si="321"/>
        <v/>
      </c>
      <c r="JK93" s="4" t="str">
        <f t="shared" si="322"/>
        <v/>
      </c>
      <c r="JL93" s="4" t="str">
        <f t="shared" si="323"/>
        <v/>
      </c>
      <c r="JM93" s="4" t="str">
        <f t="shared" si="324"/>
        <v/>
      </c>
      <c r="JN93" s="4" t="str">
        <f t="shared" si="325"/>
        <v/>
      </c>
      <c r="JO93" s="129" t="str">
        <f t="shared" si="326"/>
        <v/>
      </c>
      <c r="JP93" s="122" t="str">
        <f t="shared" si="327"/>
        <v/>
      </c>
      <c r="JQ93" s="122" t="str">
        <f t="shared" si="328"/>
        <v/>
      </c>
      <c r="JR93" s="122" t="str">
        <f t="shared" si="329"/>
        <v/>
      </c>
      <c r="JS93" s="122" t="str">
        <f t="shared" si="330"/>
        <v/>
      </c>
      <c r="JT93" s="122" t="str">
        <f t="shared" si="331"/>
        <v/>
      </c>
      <c r="JU93" s="122" t="str">
        <f t="shared" si="332"/>
        <v/>
      </c>
      <c r="JV93" s="122" t="str">
        <f t="shared" si="333"/>
        <v/>
      </c>
      <c r="JW93" s="122" t="str">
        <f t="shared" si="334"/>
        <v/>
      </c>
      <c r="JX93" s="122" t="str">
        <f t="shared" si="335"/>
        <v/>
      </c>
      <c r="JY93" s="122" t="str">
        <f t="shared" si="336"/>
        <v/>
      </c>
      <c r="JZ93" s="122" t="str">
        <f t="shared" si="337"/>
        <v/>
      </c>
      <c r="KA93" s="122" t="str">
        <f t="shared" si="338"/>
        <v/>
      </c>
      <c r="KB93" s="122" t="str">
        <f t="shared" si="339"/>
        <v/>
      </c>
      <c r="KC93" s="122" t="str">
        <f t="shared" si="340"/>
        <v/>
      </c>
      <c r="KD93" s="122" t="str">
        <f t="shared" si="341"/>
        <v/>
      </c>
      <c r="KE93" s="133" t="str">
        <f t="shared" si="342"/>
        <v/>
      </c>
      <c r="KF93" s="94" t="str">
        <f t="shared" si="343"/>
        <v/>
      </c>
      <c r="KG93" s="4" t="str">
        <f t="shared" si="344"/>
        <v/>
      </c>
      <c r="KH93" s="4" t="str">
        <f t="shared" si="345"/>
        <v/>
      </c>
      <c r="KI93" s="4" t="str">
        <f t="shared" si="346"/>
        <v/>
      </c>
      <c r="KJ93" s="4" t="str">
        <f t="shared" si="347"/>
        <v/>
      </c>
      <c r="KK93" s="4" t="str">
        <f t="shared" si="348"/>
        <v/>
      </c>
      <c r="KL93" s="4" t="str">
        <f t="shared" si="349"/>
        <v/>
      </c>
      <c r="KM93" s="4" t="str">
        <f t="shared" si="350"/>
        <v/>
      </c>
      <c r="KN93" s="4" t="str">
        <f t="shared" si="351"/>
        <v/>
      </c>
      <c r="KO93" s="4" t="str">
        <f t="shared" si="352"/>
        <v/>
      </c>
      <c r="KP93" s="4" t="str">
        <f t="shared" si="353"/>
        <v/>
      </c>
      <c r="KQ93" s="4" t="str">
        <f t="shared" si="354"/>
        <v/>
      </c>
      <c r="KR93" s="4" t="str">
        <f t="shared" si="355"/>
        <v/>
      </c>
      <c r="KS93" s="4" t="str">
        <f t="shared" si="356"/>
        <v/>
      </c>
      <c r="KT93" s="4" t="str">
        <f t="shared" si="357"/>
        <v/>
      </c>
      <c r="KU93" s="4" t="str">
        <f t="shared" si="358"/>
        <v/>
      </c>
      <c r="KV93" s="4" t="str">
        <f t="shared" si="359"/>
        <v/>
      </c>
      <c r="KW93" s="4" t="str">
        <f t="shared" si="360"/>
        <v/>
      </c>
      <c r="KX93" s="4" t="str">
        <f t="shared" si="361"/>
        <v/>
      </c>
      <c r="KY93" s="4" t="str">
        <f t="shared" si="362"/>
        <v/>
      </c>
      <c r="KZ93" s="4" t="str">
        <f t="shared" si="363"/>
        <v/>
      </c>
      <c r="LA93" s="4" t="str">
        <f t="shared" si="364"/>
        <v/>
      </c>
      <c r="LB93" s="4" t="str">
        <f t="shared" si="365"/>
        <v/>
      </c>
      <c r="LC93" s="4" t="str">
        <f t="shared" si="366"/>
        <v/>
      </c>
      <c r="LD93" s="4" t="str">
        <f t="shared" si="367"/>
        <v/>
      </c>
      <c r="LE93" s="4" t="str">
        <f t="shared" si="368"/>
        <v/>
      </c>
      <c r="LF93" s="4" t="str">
        <f t="shared" si="369"/>
        <v/>
      </c>
      <c r="LG93" s="4" t="str">
        <f t="shared" si="370"/>
        <v/>
      </c>
      <c r="LH93" s="4" t="str">
        <f t="shared" si="371"/>
        <v/>
      </c>
      <c r="LI93" s="4" t="str">
        <f t="shared" si="372"/>
        <v/>
      </c>
      <c r="LJ93" s="4" t="str">
        <f t="shared" si="373"/>
        <v/>
      </c>
      <c r="LK93" s="4" t="str">
        <f t="shared" si="374"/>
        <v/>
      </c>
      <c r="LL93" s="4" t="str">
        <f t="shared" si="375"/>
        <v/>
      </c>
      <c r="LM93" s="4" t="str">
        <f t="shared" si="376"/>
        <v/>
      </c>
      <c r="LN93" s="4" t="str">
        <f t="shared" si="377"/>
        <v/>
      </c>
      <c r="LO93" s="4" t="str">
        <f t="shared" si="378"/>
        <v/>
      </c>
      <c r="LP93" s="4" t="str">
        <f t="shared" si="379"/>
        <v/>
      </c>
      <c r="LQ93" s="4" t="str">
        <f t="shared" si="380"/>
        <v/>
      </c>
      <c r="LR93" s="4" t="str">
        <f t="shared" si="381"/>
        <v/>
      </c>
      <c r="LS93" s="4" t="str">
        <f t="shared" si="382"/>
        <v/>
      </c>
      <c r="LT93" s="4" t="str">
        <f t="shared" si="383"/>
        <v/>
      </c>
      <c r="LU93" s="4" t="str">
        <f t="shared" si="384"/>
        <v/>
      </c>
      <c r="LV93" s="4" t="str">
        <f t="shared" si="385"/>
        <v/>
      </c>
      <c r="LW93" s="4" t="str">
        <f t="shared" si="386"/>
        <v/>
      </c>
      <c r="LX93" s="4" t="str">
        <f t="shared" si="387"/>
        <v/>
      </c>
      <c r="LY93" s="4" t="str">
        <f t="shared" si="388"/>
        <v/>
      </c>
      <c r="LZ93" s="4" t="str">
        <f t="shared" si="389"/>
        <v/>
      </c>
      <c r="MA93" s="4" t="str">
        <f t="shared" si="390"/>
        <v/>
      </c>
      <c r="MB93" s="4" t="str">
        <f t="shared" si="391"/>
        <v/>
      </c>
      <c r="MC93" s="4" t="str">
        <f t="shared" si="392"/>
        <v/>
      </c>
      <c r="MD93" s="4" t="str">
        <f t="shared" si="393"/>
        <v/>
      </c>
      <c r="ME93" s="4">
        <f t="shared" si="394"/>
        <v>0</v>
      </c>
    </row>
    <row r="94" spans="1:343" ht="26.25" customHeight="1" thickBot="1" x14ac:dyDescent="0.25">
      <c r="A94" s="35">
        <v>41276</v>
      </c>
      <c r="B94" s="36" t="s">
        <v>199</v>
      </c>
      <c r="C94" s="36" t="s">
        <v>23</v>
      </c>
      <c r="D94" s="31" t="s">
        <v>110</v>
      </c>
      <c r="E94" s="4">
        <v>74</v>
      </c>
      <c r="F94" s="3">
        <v>13955</v>
      </c>
      <c r="G94" s="4" t="s">
        <v>244</v>
      </c>
      <c r="H94" s="4" t="s">
        <v>112</v>
      </c>
      <c r="I94" s="4">
        <v>1836066</v>
      </c>
      <c r="K94" s="76"/>
      <c r="L94" s="76"/>
      <c r="M94" s="76"/>
      <c r="N94" s="76"/>
      <c r="O94" s="76"/>
      <c r="P94" s="33">
        <v>-0.5</v>
      </c>
      <c r="Q94" s="33">
        <v>-0.42</v>
      </c>
      <c r="R94" s="33" t="s">
        <v>249</v>
      </c>
      <c r="S94" s="67">
        <v>22</v>
      </c>
      <c r="T94" s="136">
        <v>41270</v>
      </c>
      <c r="U94" s="67">
        <v>0</v>
      </c>
      <c r="V94" s="67">
        <v>0</v>
      </c>
      <c r="W94" s="4">
        <v>0</v>
      </c>
      <c r="X94" s="4">
        <v>2000</v>
      </c>
      <c r="Y94" s="4">
        <v>14</v>
      </c>
      <c r="Z94" s="4">
        <v>1000</v>
      </c>
      <c r="AA94" s="4">
        <v>22.58</v>
      </c>
      <c r="AB94" s="4">
        <v>11.4</v>
      </c>
      <c r="AC94" s="4">
        <v>5.1509999999999998</v>
      </c>
      <c r="AD94" s="4">
        <v>2.68</v>
      </c>
      <c r="AE94" s="4">
        <v>45.49</v>
      </c>
      <c r="AF94" s="4">
        <v>90</v>
      </c>
      <c r="AG94" s="4">
        <v>46.17</v>
      </c>
      <c r="AH94" s="4">
        <v>0</v>
      </c>
      <c r="AI94" s="4">
        <v>0</v>
      </c>
      <c r="AJ94" s="4" t="b">
        <f t="shared" si="267"/>
        <v>0</v>
      </c>
      <c r="AK94" s="43" t="s">
        <v>313</v>
      </c>
      <c r="AL94" s="3">
        <v>41526</v>
      </c>
      <c r="AM94" s="56">
        <v>40</v>
      </c>
      <c r="AN94" s="67">
        <v>0</v>
      </c>
      <c r="AO94" s="67">
        <v>1.25</v>
      </c>
      <c r="AP94" s="4">
        <v>30</v>
      </c>
      <c r="AQ94" s="4">
        <v>40</v>
      </c>
      <c r="AR94" s="4">
        <v>13</v>
      </c>
      <c r="AS94" s="4">
        <v>468</v>
      </c>
      <c r="AT94" s="4">
        <v>2092</v>
      </c>
      <c r="AU94" s="4" t="s">
        <v>282</v>
      </c>
      <c r="AV94" s="4" t="s">
        <v>282</v>
      </c>
      <c r="AW94" s="4" t="s">
        <v>282</v>
      </c>
      <c r="AX94" s="4" t="s">
        <v>282</v>
      </c>
      <c r="AY94" s="4" t="s">
        <v>282</v>
      </c>
      <c r="AZ94" s="4" t="s">
        <v>282</v>
      </c>
      <c r="BA94" s="4">
        <f t="shared" si="268"/>
        <v>0.625</v>
      </c>
      <c r="BB94" s="4">
        <f t="shared" si="397"/>
        <v>1.0449999999999999</v>
      </c>
      <c r="BC94" s="4">
        <f t="shared" si="269"/>
        <v>-532</v>
      </c>
      <c r="BD94" s="51" t="s">
        <v>505</v>
      </c>
      <c r="BS94" s="4" t="str">
        <f t="shared" si="266"/>
        <v/>
      </c>
      <c r="BT94" s="4" t="str">
        <f t="shared" si="270"/>
        <v/>
      </c>
      <c r="BU94" s="4" t="str">
        <f t="shared" si="271"/>
        <v/>
      </c>
      <c r="BV94" s="4">
        <f>IF(AND(ISBLANK(SPH_6),ISBLANK(SPH_12)),0,1)</f>
        <v>1</v>
      </c>
      <c r="BW94" s="4">
        <f t="shared" si="272"/>
        <v>0</v>
      </c>
      <c r="BX94" s="4" t="str">
        <f t="shared" si="273"/>
        <v/>
      </c>
      <c r="BY94" s="4" t="str">
        <f t="shared" si="274"/>
        <v/>
      </c>
      <c r="BZ94" s="4" t="str">
        <f t="shared" si="275"/>
        <v/>
      </c>
      <c r="CA94" s="53">
        <f t="shared" si="276"/>
        <v>250</v>
      </c>
      <c r="CB94" s="55">
        <f t="shared" si="277"/>
        <v>8.3333333333333339</v>
      </c>
      <c r="CC94" s="4" t="str">
        <f t="shared" si="278"/>
        <v/>
      </c>
      <c r="CD94" s="4" t="str">
        <f t="shared" si="279"/>
        <v/>
      </c>
      <c r="CE94" s="4" t="str">
        <f t="shared" si="280"/>
        <v/>
      </c>
      <c r="CF94" s="4" t="str">
        <f t="shared" si="281"/>
        <v/>
      </c>
      <c r="CG94" s="4">
        <f t="shared" si="395"/>
        <v>0</v>
      </c>
      <c r="CH94" s="4">
        <f t="shared" si="282"/>
        <v>0.625</v>
      </c>
      <c r="CI94" s="104">
        <f t="shared" si="283"/>
        <v>1.0449999999999999</v>
      </c>
      <c r="CJ94" s="94">
        <f t="shared" si="284"/>
        <v>-532</v>
      </c>
      <c r="CK94" s="4" t="str">
        <f t="shared" si="285"/>
        <v/>
      </c>
      <c r="CL94" s="107">
        <f t="shared" si="286"/>
        <v>-0.42</v>
      </c>
      <c r="CM94" s="107">
        <f t="shared" si="396"/>
        <v>1.6989700043360187</v>
      </c>
      <c r="CN94" s="139">
        <f t="shared" si="287"/>
        <v>1.25</v>
      </c>
      <c r="CO94" s="139">
        <f t="shared" si="288"/>
        <v>1.25</v>
      </c>
      <c r="CP94" s="149">
        <f t="shared" si="289"/>
        <v>40</v>
      </c>
      <c r="CQ94" s="149">
        <f t="shared" si="290"/>
        <v>2000</v>
      </c>
      <c r="CR94" s="148">
        <f t="shared" si="291"/>
        <v>40</v>
      </c>
      <c r="CS94" s="152" t="str">
        <f t="shared" si="292"/>
        <v/>
      </c>
      <c r="CT94" s="107" t="str">
        <f t="shared" si="293"/>
        <v/>
      </c>
      <c r="CU94" s="155" t="str">
        <f t="shared" si="294"/>
        <v/>
      </c>
      <c r="IJ94" s="94" t="str">
        <f t="shared" si="295"/>
        <v/>
      </c>
      <c r="IK94" s="4" t="str">
        <f t="shared" si="296"/>
        <v/>
      </c>
      <c r="IL94" s="4" t="str">
        <f t="shared" si="297"/>
        <v/>
      </c>
      <c r="IM94" s="4" t="str">
        <f t="shared" si="298"/>
        <v/>
      </c>
      <c r="IN94" s="4" t="str">
        <f t="shared" si="299"/>
        <v/>
      </c>
      <c r="IO94" s="4" t="str">
        <f t="shared" si="300"/>
        <v/>
      </c>
      <c r="IP94" s="4" t="str">
        <f t="shared" si="301"/>
        <v/>
      </c>
      <c r="IQ94" s="4" t="str">
        <f t="shared" si="302"/>
        <v/>
      </c>
      <c r="IR94" s="4" t="str">
        <f t="shared" si="303"/>
        <v/>
      </c>
      <c r="IS94" s="4" t="str">
        <f t="shared" si="304"/>
        <v/>
      </c>
      <c r="IT94" s="4" t="str">
        <f t="shared" si="305"/>
        <v/>
      </c>
      <c r="IU94" s="4" t="str">
        <f t="shared" si="306"/>
        <v/>
      </c>
      <c r="IV94" s="4" t="str">
        <f t="shared" si="307"/>
        <v/>
      </c>
      <c r="IW94" s="4" t="str">
        <f t="shared" si="308"/>
        <v/>
      </c>
      <c r="IX94" s="4" t="str">
        <f t="shared" si="309"/>
        <v/>
      </c>
      <c r="IY94" s="4" t="str">
        <f t="shared" si="310"/>
        <v/>
      </c>
      <c r="IZ94" s="4" t="str">
        <f t="shared" si="311"/>
        <v/>
      </c>
      <c r="JA94" s="4" t="str">
        <f t="shared" si="312"/>
        <v/>
      </c>
      <c r="JB94" s="4" t="str">
        <f t="shared" si="313"/>
        <v/>
      </c>
      <c r="JC94" s="4" t="str">
        <f t="shared" si="314"/>
        <v/>
      </c>
      <c r="JD94" s="4" t="str">
        <f t="shared" si="315"/>
        <v/>
      </c>
      <c r="JE94" s="4" t="str">
        <f t="shared" si="316"/>
        <v/>
      </c>
      <c r="JF94" s="4" t="str">
        <f t="shared" si="317"/>
        <v/>
      </c>
      <c r="JG94" s="4" t="str">
        <f t="shared" si="318"/>
        <v/>
      </c>
      <c r="JH94" s="4" t="str">
        <f t="shared" si="319"/>
        <v/>
      </c>
      <c r="JI94" s="4" t="str">
        <f t="shared" si="320"/>
        <v/>
      </c>
      <c r="JJ94" s="4" t="str">
        <f t="shared" si="321"/>
        <v/>
      </c>
      <c r="JK94" s="4" t="str">
        <f t="shared" si="322"/>
        <v/>
      </c>
      <c r="JL94" s="4" t="str">
        <f t="shared" si="323"/>
        <v/>
      </c>
      <c r="JM94" s="4" t="str">
        <f t="shared" si="324"/>
        <v/>
      </c>
      <c r="JN94" s="4" t="str">
        <f t="shared" si="325"/>
        <v/>
      </c>
      <c r="JO94" s="129" t="str">
        <f t="shared" si="326"/>
        <v/>
      </c>
      <c r="JP94" s="122" t="str">
        <f t="shared" si="327"/>
        <v/>
      </c>
      <c r="JQ94" s="122" t="str">
        <f t="shared" si="328"/>
        <v/>
      </c>
      <c r="JR94" s="122" t="str">
        <f t="shared" si="329"/>
        <v/>
      </c>
      <c r="JS94" s="122" t="str">
        <f t="shared" si="330"/>
        <v/>
      </c>
      <c r="JT94" s="122" t="str">
        <f t="shared" si="331"/>
        <v/>
      </c>
      <c r="JU94" s="122" t="str">
        <f t="shared" si="332"/>
        <v/>
      </c>
      <c r="JV94" s="122" t="str">
        <f t="shared" si="333"/>
        <v/>
      </c>
      <c r="JW94" s="122" t="str">
        <f t="shared" si="334"/>
        <v/>
      </c>
      <c r="JX94" s="122" t="str">
        <f t="shared" si="335"/>
        <v/>
      </c>
      <c r="JY94" s="122" t="str">
        <f t="shared" si="336"/>
        <v/>
      </c>
      <c r="JZ94" s="122" t="str">
        <f t="shared" si="337"/>
        <v/>
      </c>
      <c r="KA94" s="122" t="str">
        <f t="shared" si="338"/>
        <v/>
      </c>
      <c r="KB94" s="122" t="str">
        <f t="shared" si="339"/>
        <v/>
      </c>
      <c r="KC94" s="122" t="str">
        <f t="shared" si="340"/>
        <v/>
      </c>
      <c r="KD94" s="122" t="str">
        <f t="shared" si="341"/>
        <v/>
      </c>
      <c r="KE94" s="133" t="str">
        <f t="shared" si="342"/>
        <v/>
      </c>
      <c r="KF94" s="94" t="str">
        <f t="shared" si="343"/>
        <v/>
      </c>
      <c r="KG94" s="4" t="str">
        <f t="shared" si="344"/>
        <v/>
      </c>
      <c r="KH94" s="4" t="str">
        <f t="shared" si="345"/>
        <v/>
      </c>
      <c r="KI94" s="4" t="str">
        <f t="shared" si="346"/>
        <v/>
      </c>
      <c r="KJ94" s="4" t="str">
        <f t="shared" si="347"/>
        <v/>
      </c>
      <c r="KK94" s="4" t="str">
        <f t="shared" si="348"/>
        <v/>
      </c>
      <c r="KL94" s="4" t="str">
        <f t="shared" si="349"/>
        <v/>
      </c>
      <c r="KM94" s="4" t="str">
        <f t="shared" si="350"/>
        <v/>
      </c>
      <c r="KN94" s="4" t="str">
        <f t="shared" si="351"/>
        <v/>
      </c>
      <c r="KO94" s="4" t="str">
        <f t="shared" si="352"/>
        <v/>
      </c>
      <c r="KP94" s="4" t="str">
        <f t="shared" si="353"/>
        <v/>
      </c>
      <c r="KQ94" s="4" t="str">
        <f t="shared" si="354"/>
        <v/>
      </c>
      <c r="KR94" s="4" t="str">
        <f t="shared" si="355"/>
        <v/>
      </c>
      <c r="KS94" s="4" t="str">
        <f t="shared" si="356"/>
        <v/>
      </c>
      <c r="KT94" s="4" t="str">
        <f t="shared" si="357"/>
        <v/>
      </c>
      <c r="KU94" s="4" t="str">
        <f t="shared" si="358"/>
        <v/>
      </c>
      <c r="KV94" s="4" t="str">
        <f t="shared" si="359"/>
        <v/>
      </c>
      <c r="KW94" s="4" t="str">
        <f t="shared" si="360"/>
        <v/>
      </c>
      <c r="KX94" s="4" t="str">
        <f t="shared" si="361"/>
        <v/>
      </c>
      <c r="KY94" s="4" t="str">
        <f t="shared" si="362"/>
        <v/>
      </c>
      <c r="KZ94" s="4" t="str">
        <f t="shared" si="363"/>
        <v/>
      </c>
      <c r="LA94" s="4" t="str">
        <f t="shared" si="364"/>
        <v/>
      </c>
      <c r="LB94" s="4" t="str">
        <f t="shared" si="365"/>
        <v/>
      </c>
      <c r="LC94" s="4" t="str">
        <f t="shared" si="366"/>
        <v/>
      </c>
      <c r="LD94" s="4" t="str">
        <f t="shared" si="367"/>
        <v/>
      </c>
      <c r="LE94" s="4" t="str">
        <f t="shared" si="368"/>
        <v/>
      </c>
      <c r="LF94" s="4" t="str">
        <f t="shared" si="369"/>
        <v/>
      </c>
      <c r="LG94" s="4" t="str">
        <f t="shared" si="370"/>
        <v/>
      </c>
      <c r="LH94" s="4" t="str">
        <f t="shared" si="371"/>
        <v/>
      </c>
      <c r="LI94" s="4" t="str">
        <f t="shared" si="372"/>
        <v/>
      </c>
      <c r="LJ94" s="4" t="str">
        <f t="shared" si="373"/>
        <v/>
      </c>
      <c r="LK94" s="4" t="str">
        <f t="shared" si="374"/>
        <v/>
      </c>
      <c r="LL94" s="4" t="str">
        <f t="shared" si="375"/>
        <v/>
      </c>
      <c r="LM94" s="4" t="str">
        <f t="shared" si="376"/>
        <v/>
      </c>
      <c r="LN94" s="4" t="str">
        <f t="shared" si="377"/>
        <v/>
      </c>
      <c r="LO94" s="4" t="str">
        <f t="shared" si="378"/>
        <v/>
      </c>
      <c r="LP94" s="4" t="str">
        <f t="shared" si="379"/>
        <v/>
      </c>
      <c r="LQ94" s="4" t="str">
        <f t="shared" si="380"/>
        <v/>
      </c>
      <c r="LR94" s="4" t="str">
        <f t="shared" si="381"/>
        <v/>
      </c>
      <c r="LS94" s="4" t="str">
        <f t="shared" si="382"/>
        <v/>
      </c>
      <c r="LT94" s="4" t="str">
        <f t="shared" si="383"/>
        <v/>
      </c>
      <c r="LU94" s="4" t="str">
        <f t="shared" si="384"/>
        <v/>
      </c>
      <c r="LV94" s="4" t="str">
        <f t="shared" si="385"/>
        <v/>
      </c>
      <c r="LW94" s="4" t="str">
        <f t="shared" si="386"/>
        <v/>
      </c>
      <c r="LX94" s="4" t="str">
        <f t="shared" si="387"/>
        <v/>
      </c>
      <c r="LY94" s="4" t="str">
        <f t="shared" si="388"/>
        <v/>
      </c>
      <c r="LZ94" s="4" t="str">
        <f t="shared" si="389"/>
        <v/>
      </c>
      <c r="MA94" s="4" t="str">
        <f t="shared" si="390"/>
        <v/>
      </c>
      <c r="MB94" s="4" t="str">
        <f t="shared" si="391"/>
        <v/>
      </c>
      <c r="MC94" s="4" t="str">
        <f t="shared" si="392"/>
        <v/>
      </c>
      <c r="MD94" s="4" t="str">
        <f t="shared" si="393"/>
        <v/>
      </c>
      <c r="ME94" s="4">
        <f t="shared" si="394"/>
        <v>0</v>
      </c>
    </row>
    <row r="95" spans="1:343" ht="26.25" customHeight="1" thickBot="1" x14ac:dyDescent="0.25">
      <c r="A95" s="35">
        <v>41311</v>
      </c>
      <c r="B95" s="36" t="s">
        <v>146</v>
      </c>
      <c r="C95" s="36" t="s">
        <v>29</v>
      </c>
      <c r="D95" s="31" t="s">
        <v>110</v>
      </c>
      <c r="E95" s="4">
        <v>61</v>
      </c>
      <c r="F95" s="3">
        <v>18777</v>
      </c>
      <c r="G95" s="4" t="s">
        <v>87</v>
      </c>
      <c r="H95" s="4" t="s">
        <v>108</v>
      </c>
      <c r="I95" s="4">
        <v>1836088</v>
      </c>
      <c r="K95" s="80"/>
      <c r="L95" s="81"/>
      <c r="M95" s="81"/>
      <c r="N95" s="81"/>
      <c r="O95" s="81"/>
      <c r="P95" s="4">
        <v>-0.5</v>
      </c>
      <c r="Q95" s="4">
        <v>-0.59</v>
      </c>
      <c r="R95" s="39" t="s">
        <v>249</v>
      </c>
      <c r="S95" s="70">
        <v>19.5</v>
      </c>
      <c r="T95" s="136">
        <v>41281</v>
      </c>
      <c r="U95" s="67">
        <v>-1.5</v>
      </c>
      <c r="V95" s="67">
        <v>0</v>
      </c>
      <c r="W95" s="4">
        <v>0</v>
      </c>
      <c r="X95" s="4">
        <v>25</v>
      </c>
      <c r="Y95" s="4">
        <v>16</v>
      </c>
      <c r="Z95" s="4">
        <v>602</v>
      </c>
      <c r="AA95" s="4">
        <v>22.38</v>
      </c>
      <c r="AD95" s="4">
        <v>3.31</v>
      </c>
      <c r="AE95" s="4">
        <v>48.35</v>
      </c>
      <c r="AF95" s="4">
        <v>161</v>
      </c>
      <c r="AG95" s="4">
        <v>48.77</v>
      </c>
      <c r="AH95" s="4">
        <v>71</v>
      </c>
      <c r="AI95" s="4">
        <v>0</v>
      </c>
      <c r="AJ95" s="4" t="b">
        <f t="shared" si="267"/>
        <v>0</v>
      </c>
      <c r="AL95" s="32">
        <v>41569</v>
      </c>
      <c r="AM95" s="60">
        <v>30</v>
      </c>
      <c r="AN95" s="67">
        <v>-0.5</v>
      </c>
      <c r="AO95" s="67">
        <v>0.25</v>
      </c>
      <c r="AP95" s="4">
        <v>30</v>
      </c>
      <c r="AQ95" s="4">
        <v>25</v>
      </c>
      <c r="AR95" s="4">
        <v>16</v>
      </c>
      <c r="AS95" s="4">
        <v>533</v>
      </c>
      <c r="AT95" s="4">
        <v>2740</v>
      </c>
      <c r="AU95" s="4">
        <v>22.42</v>
      </c>
      <c r="AV95" s="4">
        <v>1.48</v>
      </c>
      <c r="AW95" s="4">
        <v>47.7</v>
      </c>
      <c r="AX95" s="4">
        <v>154</v>
      </c>
      <c r="AY95" s="4">
        <v>47.8</v>
      </c>
      <c r="AZ95" s="4">
        <v>64</v>
      </c>
      <c r="BA95" s="4">
        <f t="shared" si="268"/>
        <v>-0.375</v>
      </c>
      <c r="BB95" s="4">
        <f t="shared" si="397"/>
        <v>0.21499999999999997</v>
      </c>
      <c r="BC95" s="4">
        <f t="shared" si="269"/>
        <v>-69</v>
      </c>
      <c r="BD95" s="40">
        <v>41717</v>
      </c>
      <c r="BE95" s="58"/>
      <c r="BS95" s="4" t="str">
        <f t="shared" si="266"/>
        <v/>
      </c>
      <c r="BT95" s="4" t="str">
        <f t="shared" si="270"/>
        <v/>
      </c>
      <c r="BU95" s="4" t="str">
        <f t="shared" si="271"/>
        <v/>
      </c>
      <c r="BV95" s="4">
        <f>IF(AND(ISBLANK(SPH_6),ISBLANK(SPH_12)),0,1)</f>
        <v>1</v>
      </c>
      <c r="BW95" s="4">
        <f t="shared" si="272"/>
        <v>0</v>
      </c>
      <c r="BX95" s="4" t="str">
        <f t="shared" si="273"/>
        <v/>
      </c>
      <c r="BY95" s="4" t="str">
        <f t="shared" si="274"/>
        <v/>
      </c>
      <c r="BZ95" s="4" t="str">
        <f t="shared" si="275"/>
        <v/>
      </c>
      <c r="CA95" s="53">
        <f t="shared" si="276"/>
        <v>258</v>
      </c>
      <c r="CB95" s="55">
        <f t="shared" si="277"/>
        <v>8.6</v>
      </c>
      <c r="CC95" s="4" t="str">
        <f t="shared" si="278"/>
        <v/>
      </c>
      <c r="CD95" s="4">
        <f t="shared" si="279"/>
        <v>-0.81000000000000227</v>
      </c>
      <c r="CE95" s="4" t="str">
        <f t="shared" si="280"/>
        <v/>
      </c>
      <c r="CF95" s="4">
        <f t="shared" si="281"/>
        <v>-0.81000000000000227</v>
      </c>
      <c r="CG95" s="4">
        <f t="shared" si="395"/>
        <v>-1.5</v>
      </c>
      <c r="CH95" s="4">
        <f t="shared" si="282"/>
        <v>-0.375</v>
      </c>
      <c r="CI95" s="104">
        <f t="shared" si="283"/>
        <v>0.21499999999999997</v>
      </c>
      <c r="CJ95" s="94">
        <f t="shared" si="284"/>
        <v>-69</v>
      </c>
      <c r="CK95" s="4">
        <f t="shared" si="285"/>
        <v>4.00000000000027E-2</v>
      </c>
      <c r="CL95" s="107">
        <f t="shared" si="286"/>
        <v>-0.59</v>
      </c>
      <c r="CM95" s="107">
        <f t="shared" si="396"/>
        <v>0</v>
      </c>
      <c r="CN95" s="139">
        <f t="shared" si="287"/>
        <v>0.25</v>
      </c>
      <c r="CO95" s="139">
        <f t="shared" si="288"/>
        <v>0.25</v>
      </c>
      <c r="CP95" s="149">
        <f t="shared" si="289"/>
        <v>25</v>
      </c>
      <c r="CQ95" s="149">
        <f t="shared" si="290"/>
        <v>25</v>
      </c>
      <c r="CR95" s="148">
        <f t="shared" si="291"/>
        <v>30</v>
      </c>
      <c r="CS95" s="152">
        <f t="shared" si="292"/>
        <v>0</v>
      </c>
      <c r="CT95" s="107" t="str">
        <f t="shared" si="293"/>
        <v/>
      </c>
      <c r="CU95" s="155" t="b">
        <f t="shared" si="294"/>
        <v>0</v>
      </c>
      <c r="CV95">
        <v>7.12</v>
      </c>
      <c r="CW95" s="4">
        <v>7.16</v>
      </c>
      <c r="CX95" s="4">
        <v>122.4</v>
      </c>
      <c r="CY95" s="4">
        <v>0.3</v>
      </c>
      <c r="CZ95" s="4">
        <v>0.44</v>
      </c>
      <c r="DA95" s="4">
        <v>0.65</v>
      </c>
      <c r="DB95" s="4">
        <v>2.78</v>
      </c>
      <c r="DC95" s="4">
        <v>3.37</v>
      </c>
      <c r="DD95" s="4">
        <v>592</v>
      </c>
      <c r="DE95" s="4">
        <v>594</v>
      </c>
      <c r="DF95" s="4">
        <v>651</v>
      </c>
      <c r="DG95" s="4">
        <v>633</v>
      </c>
      <c r="DH95" s="4">
        <v>649</v>
      </c>
      <c r="DI95" s="4">
        <v>609</v>
      </c>
      <c r="DJ95" s="4">
        <v>582</v>
      </c>
      <c r="DK95" s="4">
        <v>-0.86</v>
      </c>
      <c r="DL95" s="4">
        <v>-0.73</v>
      </c>
      <c r="DM95" s="4">
        <v>7.15</v>
      </c>
      <c r="DN95" s="4">
        <v>7.13</v>
      </c>
      <c r="DO95" s="4">
        <v>7.22</v>
      </c>
      <c r="DP95" s="4">
        <v>7.46</v>
      </c>
      <c r="DQ95" s="4">
        <v>7.77</v>
      </c>
      <c r="DR95" s="4">
        <v>8.0399999999999991</v>
      </c>
      <c r="DS95" s="4">
        <v>0</v>
      </c>
      <c r="DT95" s="4">
        <v>0.5</v>
      </c>
      <c r="DU95" s="4">
        <v>6.57</v>
      </c>
      <c r="DV95" s="4">
        <v>6.09</v>
      </c>
      <c r="DW95" s="4">
        <v>5.93</v>
      </c>
      <c r="DX95" s="4">
        <v>6.19</v>
      </c>
      <c r="DY95" s="4">
        <v>6.47</v>
      </c>
      <c r="DZ95" s="4">
        <v>0</v>
      </c>
      <c r="EA95" s="4">
        <v>0</v>
      </c>
      <c r="EB95" s="100">
        <v>0.5</v>
      </c>
      <c r="EC95" s="122">
        <v>47.1</v>
      </c>
      <c r="ED95" s="122">
        <v>47.4</v>
      </c>
      <c r="EE95" s="122">
        <v>47.3</v>
      </c>
      <c r="EF95" s="122">
        <v>122.4</v>
      </c>
      <c r="EG95" s="122">
        <v>0.3</v>
      </c>
      <c r="EH95" s="122">
        <v>-6.2</v>
      </c>
      <c r="EI95" s="122">
        <v>-6.3</v>
      </c>
      <c r="EJ95" s="122">
        <v>-6.3</v>
      </c>
      <c r="EK95" s="122">
        <v>40.299999999999997</v>
      </c>
      <c r="EL95" s="122">
        <v>0.2</v>
      </c>
      <c r="EM95" s="122">
        <v>4.2</v>
      </c>
      <c r="EN95" s="122">
        <v>12.1</v>
      </c>
      <c r="EO95" s="122">
        <v>25.9</v>
      </c>
      <c r="EP95" s="122">
        <v>64.5</v>
      </c>
      <c r="EQ95" s="126">
        <v>16</v>
      </c>
      <c r="ER95" s="94">
        <v>7.15</v>
      </c>
      <c r="ES95" s="4">
        <v>7.19</v>
      </c>
      <c r="ET95" s="4">
        <v>92.2</v>
      </c>
      <c r="EU95" s="4">
        <v>0.2</v>
      </c>
      <c r="EV95" s="4">
        <v>0.48</v>
      </c>
      <c r="EW95" s="4">
        <v>0.63</v>
      </c>
      <c r="EX95" s="4">
        <v>4.7699999999999996</v>
      </c>
      <c r="EY95" s="4">
        <v>5.3</v>
      </c>
      <c r="EZ95" s="4">
        <v>531</v>
      </c>
      <c r="FA95" s="4">
        <v>529</v>
      </c>
      <c r="FB95" s="4">
        <v>664</v>
      </c>
      <c r="FC95" s="4">
        <v>613</v>
      </c>
      <c r="FD95" s="4">
        <v>639</v>
      </c>
      <c r="FE95" s="4">
        <v>608</v>
      </c>
      <c r="FF95" s="4">
        <v>523</v>
      </c>
      <c r="FG95" s="4">
        <v>0.83</v>
      </c>
      <c r="FH95" s="4">
        <v>-0.39</v>
      </c>
      <c r="FI95" s="4">
        <v>7.17</v>
      </c>
      <c r="FJ95" s="4">
        <v>7.16</v>
      </c>
      <c r="FK95" s="4">
        <v>7.22</v>
      </c>
      <c r="FL95" s="4">
        <v>7.46</v>
      </c>
      <c r="FM95" s="4">
        <v>7.73</v>
      </c>
      <c r="FN95" s="4">
        <v>7.91</v>
      </c>
      <c r="FO95" s="4">
        <v>0</v>
      </c>
      <c r="FP95" s="4">
        <v>1.4</v>
      </c>
      <c r="FQ95" s="4">
        <v>5.86</v>
      </c>
      <c r="FR95" s="4">
        <v>5.73</v>
      </c>
      <c r="FS95" s="4">
        <v>5.85</v>
      </c>
      <c r="FT95" s="4">
        <v>6.11</v>
      </c>
      <c r="FU95" s="4">
        <v>6.24</v>
      </c>
      <c r="FV95" s="4">
        <v>0</v>
      </c>
      <c r="FW95" s="4">
        <v>0</v>
      </c>
      <c r="FX95" s="97">
        <v>1.4</v>
      </c>
      <c r="FY95" s="122">
        <v>46.9</v>
      </c>
      <c r="FZ95" s="122">
        <v>47.2</v>
      </c>
      <c r="GA95" s="122">
        <v>47.1</v>
      </c>
      <c r="GB95" s="122">
        <v>92.2</v>
      </c>
      <c r="GC95" s="122">
        <v>0.2</v>
      </c>
      <c r="GD95" s="122">
        <v>-6.8</v>
      </c>
      <c r="GE95" s="122">
        <v>-7</v>
      </c>
      <c r="GF95" s="122">
        <v>-6.9</v>
      </c>
      <c r="GG95" s="122">
        <v>171.7</v>
      </c>
      <c r="GH95" s="122">
        <v>0.2</v>
      </c>
      <c r="GI95" s="122">
        <v>3.9</v>
      </c>
      <c r="GJ95" s="122">
        <v>11.4</v>
      </c>
      <c r="GK95" s="122">
        <v>25.1</v>
      </c>
      <c r="GL95" s="122">
        <v>64</v>
      </c>
      <c r="GM95" s="131">
        <v>15</v>
      </c>
      <c r="IJ95" s="94">
        <f t="shared" si="295"/>
        <v>7.15</v>
      </c>
      <c r="IK95" s="4">
        <f t="shared" si="296"/>
        <v>7.19</v>
      </c>
      <c r="IL95" s="4">
        <f t="shared" si="297"/>
        <v>92.2</v>
      </c>
      <c r="IM95" s="4">
        <f t="shared" si="298"/>
        <v>0.2</v>
      </c>
      <c r="IN95" s="4">
        <f t="shared" si="299"/>
        <v>0.48</v>
      </c>
      <c r="IO95" s="4">
        <f t="shared" si="300"/>
        <v>0.63</v>
      </c>
      <c r="IP95" s="4">
        <f t="shared" si="301"/>
        <v>4.7699999999999996</v>
      </c>
      <c r="IQ95" s="4">
        <f t="shared" si="302"/>
        <v>5.3</v>
      </c>
      <c r="IR95" s="4">
        <f t="shared" si="303"/>
        <v>531</v>
      </c>
      <c r="IS95" s="4">
        <f t="shared" si="304"/>
        <v>529</v>
      </c>
      <c r="IT95" s="4">
        <f t="shared" si="305"/>
        <v>664</v>
      </c>
      <c r="IU95" s="4">
        <f t="shared" si="306"/>
        <v>613</v>
      </c>
      <c r="IV95" s="4">
        <f t="shared" si="307"/>
        <v>639</v>
      </c>
      <c r="IW95" s="4">
        <f t="shared" si="308"/>
        <v>608</v>
      </c>
      <c r="IX95" s="4">
        <f t="shared" si="309"/>
        <v>523</v>
      </c>
      <c r="IY95" s="4">
        <f t="shared" si="310"/>
        <v>0.83</v>
      </c>
      <c r="IZ95" s="4">
        <f t="shared" si="311"/>
        <v>-0.39</v>
      </c>
      <c r="JA95" s="4">
        <f t="shared" si="312"/>
        <v>7.17</v>
      </c>
      <c r="JB95" s="4">
        <f t="shared" si="313"/>
        <v>7.16</v>
      </c>
      <c r="JC95" s="4">
        <f t="shared" si="314"/>
        <v>7.22</v>
      </c>
      <c r="JD95" s="4">
        <f t="shared" si="315"/>
        <v>7.46</v>
      </c>
      <c r="JE95" s="4">
        <f t="shared" si="316"/>
        <v>7.73</v>
      </c>
      <c r="JF95" s="4">
        <f t="shared" si="317"/>
        <v>7.91</v>
      </c>
      <c r="JG95" s="4">
        <f t="shared" si="318"/>
        <v>0</v>
      </c>
      <c r="JH95" s="4">
        <f t="shared" si="319"/>
        <v>1.4</v>
      </c>
      <c r="JI95" s="4">
        <f t="shared" si="320"/>
        <v>5.86</v>
      </c>
      <c r="JJ95" s="4">
        <f t="shared" si="321"/>
        <v>5.73</v>
      </c>
      <c r="JK95" s="4">
        <f t="shared" si="322"/>
        <v>5.85</v>
      </c>
      <c r="JL95" s="4">
        <f t="shared" si="323"/>
        <v>6.11</v>
      </c>
      <c r="JM95" s="4">
        <f t="shared" si="324"/>
        <v>6.24</v>
      </c>
      <c r="JN95" s="4">
        <f t="shared" si="325"/>
        <v>0</v>
      </c>
      <c r="JO95" s="129">
        <f t="shared" si="326"/>
        <v>0</v>
      </c>
      <c r="JP95" s="122">
        <f t="shared" si="327"/>
        <v>1.4</v>
      </c>
      <c r="JQ95" s="122">
        <f t="shared" si="328"/>
        <v>46.9</v>
      </c>
      <c r="JR95" s="122">
        <f t="shared" si="329"/>
        <v>47.2</v>
      </c>
      <c r="JS95" s="122">
        <f t="shared" si="330"/>
        <v>47.1</v>
      </c>
      <c r="JT95" s="122">
        <f t="shared" si="331"/>
        <v>92.2</v>
      </c>
      <c r="JU95" s="122">
        <f t="shared" si="332"/>
        <v>0.2</v>
      </c>
      <c r="JV95" s="122">
        <f t="shared" si="333"/>
        <v>-6.8</v>
      </c>
      <c r="JW95" s="122">
        <f t="shared" si="334"/>
        <v>-7</v>
      </c>
      <c r="JX95" s="122">
        <f t="shared" si="335"/>
        <v>-6.9</v>
      </c>
      <c r="JY95" s="122">
        <f t="shared" si="336"/>
        <v>171.7</v>
      </c>
      <c r="JZ95" s="122">
        <f t="shared" si="337"/>
        <v>0.2</v>
      </c>
      <c r="KA95" s="122">
        <f t="shared" si="338"/>
        <v>3.9</v>
      </c>
      <c r="KB95" s="122">
        <f t="shared" si="339"/>
        <v>11.4</v>
      </c>
      <c r="KC95" s="122">
        <f t="shared" si="340"/>
        <v>25.1</v>
      </c>
      <c r="KD95" s="122">
        <f t="shared" si="341"/>
        <v>64</v>
      </c>
      <c r="KE95" s="133">
        <f t="shared" si="342"/>
        <v>15</v>
      </c>
      <c r="KF95" s="94">
        <f t="shared" si="343"/>
        <v>3.0000000000000249E-2</v>
      </c>
      <c r="KG95" s="4">
        <f t="shared" si="344"/>
        <v>3.0000000000000249E-2</v>
      </c>
      <c r="KH95" s="4">
        <f t="shared" si="345"/>
        <v>-30.200000000000003</v>
      </c>
      <c r="KI95" s="4">
        <f t="shared" si="346"/>
        <v>-9.9999999999999978E-2</v>
      </c>
      <c r="KJ95" s="4">
        <f t="shared" si="347"/>
        <v>3.999999999999998E-2</v>
      </c>
      <c r="KK95" s="4">
        <f t="shared" si="348"/>
        <v>-2.0000000000000018E-2</v>
      </c>
      <c r="KL95" s="4">
        <f t="shared" si="349"/>
        <v>1.9899999999999998</v>
      </c>
      <c r="KM95" s="4">
        <f t="shared" si="350"/>
        <v>1.9299999999999997</v>
      </c>
      <c r="KN95" s="4">
        <f t="shared" si="351"/>
        <v>-61</v>
      </c>
      <c r="KO95" s="4">
        <f t="shared" si="352"/>
        <v>-65</v>
      </c>
      <c r="KP95" s="4">
        <f t="shared" si="353"/>
        <v>13</v>
      </c>
      <c r="KQ95" s="4">
        <f t="shared" si="354"/>
        <v>-20</v>
      </c>
      <c r="KR95" s="4">
        <f t="shared" si="355"/>
        <v>-10</v>
      </c>
      <c r="KS95" s="4">
        <f t="shared" si="356"/>
        <v>-1</v>
      </c>
      <c r="KT95" s="4">
        <f t="shared" si="357"/>
        <v>-59</v>
      </c>
      <c r="KU95" s="4">
        <f t="shared" si="358"/>
        <v>1.69</v>
      </c>
      <c r="KV95" s="4">
        <f t="shared" si="359"/>
        <v>0.33999999999999997</v>
      </c>
      <c r="KW95" s="4">
        <f t="shared" si="360"/>
        <v>1.9999999999999574E-2</v>
      </c>
      <c r="KX95" s="4">
        <f t="shared" si="361"/>
        <v>3.0000000000000249E-2</v>
      </c>
      <c r="KY95" s="4">
        <f t="shared" si="362"/>
        <v>0</v>
      </c>
      <c r="KZ95" s="4">
        <f t="shared" si="363"/>
        <v>0</v>
      </c>
      <c r="LA95" s="4">
        <f t="shared" si="364"/>
        <v>-3.9999999999999147E-2</v>
      </c>
      <c r="LB95" s="4">
        <f t="shared" si="365"/>
        <v>-0.12999999999999901</v>
      </c>
      <c r="LC95" s="4">
        <f t="shared" si="366"/>
        <v>0</v>
      </c>
      <c r="LD95" s="4">
        <f t="shared" si="367"/>
        <v>0.89999999999999991</v>
      </c>
      <c r="LE95" s="4">
        <f t="shared" si="368"/>
        <v>-0.71</v>
      </c>
      <c r="LF95" s="4">
        <f t="shared" si="369"/>
        <v>-0.35999999999999943</v>
      </c>
      <c r="LG95" s="4">
        <f t="shared" si="370"/>
        <v>-8.0000000000000071E-2</v>
      </c>
      <c r="LH95" s="4">
        <f t="shared" si="371"/>
        <v>-8.0000000000000071E-2</v>
      </c>
      <c r="LI95" s="4">
        <f t="shared" si="372"/>
        <v>-0.22999999999999954</v>
      </c>
      <c r="LJ95" s="4">
        <f t="shared" si="373"/>
        <v>0</v>
      </c>
      <c r="LK95" s="4">
        <f t="shared" si="374"/>
        <v>0</v>
      </c>
      <c r="LL95" s="4">
        <f t="shared" si="375"/>
        <v>0.89999999999999991</v>
      </c>
      <c r="LM95" s="4">
        <f t="shared" si="376"/>
        <v>-0.20000000000000284</v>
      </c>
      <c r="LN95" s="4">
        <f t="shared" si="377"/>
        <v>-0.19999999999999574</v>
      </c>
      <c r="LO95" s="4">
        <f t="shared" si="378"/>
        <v>-0.19999999999999574</v>
      </c>
      <c r="LP95" s="4">
        <f t="shared" si="379"/>
        <v>-30.200000000000003</v>
      </c>
      <c r="LQ95" s="4">
        <f t="shared" si="380"/>
        <v>-9.9999999999999978E-2</v>
      </c>
      <c r="LR95" s="4">
        <f t="shared" si="381"/>
        <v>-0.59999999999999964</v>
      </c>
      <c r="LS95" s="4">
        <f t="shared" si="382"/>
        <v>-0.70000000000000018</v>
      </c>
      <c r="LT95" s="4">
        <f t="shared" si="383"/>
        <v>-0.60000000000000053</v>
      </c>
      <c r="LU95" s="4">
        <f t="shared" si="384"/>
        <v>131.39999999999998</v>
      </c>
      <c r="LV95" s="4">
        <f t="shared" si="385"/>
        <v>0</v>
      </c>
      <c r="LW95" s="4">
        <f t="shared" si="386"/>
        <v>-0.30000000000000027</v>
      </c>
      <c r="LX95" s="4">
        <f t="shared" si="387"/>
        <v>-0.69999999999999929</v>
      </c>
      <c r="LY95" s="4">
        <f t="shared" si="388"/>
        <v>-0.79999999999999716</v>
      </c>
      <c r="LZ95" s="4">
        <f t="shared" si="389"/>
        <v>-0.5</v>
      </c>
      <c r="MA95" s="4">
        <f t="shared" si="390"/>
        <v>-1</v>
      </c>
      <c r="MB95" s="4" t="str">
        <f t="shared" si="391"/>
        <v/>
      </c>
      <c r="MC95" s="4" t="str">
        <f t="shared" si="392"/>
        <v/>
      </c>
      <c r="MD95" s="4" t="str">
        <f t="shared" si="393"/>
        <v/>
      </c>
      <c r="ME95" s="4">
        <f t="shared" si="394"/>
        <v>7</v>
      </c>
    </row>
    <row r="96" spans="1:343" ht="26.25" customHeight="1" x14ac:dyDescent="0.2">
      <c r="A96" s="35">
        <v>41374</v>
      </c>
      <c r="B96" s="36" t="s">
        <v>146</v>
      </c>
      <c r="C96" s="36" t="s">
        <v>29</v>
      </c>
      <c r="D96" s="31" t="s">
        <v>111</v>
      </c>
      <c r="E96" s="4">
        <v>61</v>
      </c>
      <c r="F96" s="3">
        <v>18777</v>
      </c>
      <c r="G96" s="4" t="s">
        <v>87</v>
      </c>
      <c r="H96" s="4" t="s">
        <v>108</v>
      </c>
      <c r="I96" s="4">
        <v>1836088</v>
      </c>
      <c r="K96" s="76"/>
      <c r="L96" s="76"/>
      <c r="M96" s="76"/>
      <c r="N96" s="76"/>
      <c r="O96" s="76"/>
      <c r="P96" s="33">
        <v>-0.5</v>
      </c>
      <c r="Q96" s="4">
        <v>-0.55000000000000004</v>
      </c>
      <c r="R96" s="33" t="s">
        <v>249</v>
      </c>
      <c r="S96" s="67">
        <v>19.75</v>
      </c>
      <c r="T96" s="136">
        <v>41339</v>
      </c>
      <c r="U96" s="67">
        <v>-0.75</v>
      </c>
      <c r="V96" s="67">
        <v>0</v>
      </c>
      <c r="W96" s="4">
        <v>0</v>
      </c>
      <c r="X96" s="4">
        <v>25</v>
      </c>
      <c r="Y96" s="4">
        <v>10</v>
      </c>
      <c r="Z96" s="4">
        <v>598</v>
      </c>
      <c r="AA96" s="4">
        <v>22.56</v>
      </c>
      <c r="AD96" s="4">
        <v>2.19</v>
      </c>
      <c r="AE96" s="4">
        <v>47.6</v>
      </c>
      <c r="AF96" s="4">
        <v>166</v>
      </c>
      <c r="AG96" s="4">
        <v>48.15</v>
      </c>
      <c r="AH96" s="4">
        <v>76</v>
      </c>
      <c r="AI96" s="4">
        <v>0</v>
      </c>
      <c r="AJ96" s="4" t="b">
        <f t="shared" si="267"/>
        <v>0</v>
      </c>
      <c r="AL96" s="32">
        <v>41569</v>
      </c>
      <c r="AM96" s="60"/>
      <c r="AN96" s="67">
        <v>-0.25</v>
      </c>
      <c r="AO96" s="67">
        <v>1</v>
      </c>
      <c r="AP96" s="4">
        <v>50</v>
      </c>
      <c r="AQ96" s="4">
        <v>25</v>
      </c>
      <c r="AR96" s="4">
        <v>15</v>
      </c>
      <c r="AS96" s="4">
        <v>533</v>
      </c>
      <c r="AT96" s="4">
        <v>2053</v>
      </c>
      <c r="AU96" s="4">
        <v>22.63</v>
      </c>
      <c r="AV96" s="4">
        <v>3.76</v>
      </c>
      <c r="AW96" s="4">
        <v>46.55</v>
      </c>
      <c r="AX96" s="4">
        <v>121</v>
      </c>
      <c r="AY96" s="4">
        <v>46.94</v>
      </c>
      <c r="AZ96" s="4">
        <v>31</v>
      </c>
      <c r="BA96" s="4">
        <f t="shared" si="268"/>
        <v>0.25</v>
      </c>
      <c r="BB96" s="4">
        <f t="shared" si="397"/>
        <v>0.8</v>
      </c>
      <c r="BC96" s="4">
        <f t="shared" si="269"/>
        <v>-65</v>
      </c>
      <c r="BD96" s="40">
        <v>41717</v>
      </c>
      <c r="BE96" s="58"/>
      <c r="BS96" s="4" t="str">
        <f t="shared" si="266"/>
        <v/>
      </c>
      <c r="BT96" s="4" t="str">
        <f t="shared" si="270"/>
        <v/>
      </c>
      <c r="BU96" s="4" t="str">
        <f t="shared" si="271"/>
        <v/>
      </c>
      <c r="BV96" s="4">
        <f>IF(AND(ISBLANK(SPH_6),ISBLANK(SPH_12)),0,1)</f>
        <v>1</v>
      </c>
      <c r="BW96" s="4">
        <f t="shared" si="272"/>
        <v>0</v>
      </c>
      <c r="BX96" s="4" t="str">
        <f t="shared" si="273"/>
        <v/>
      </c>
      <c r="BY96" s="4" t="str">
        <f t="shared" si="274"/>
        <v/>
      </c>
      <c r="BZ96" s="4" t="str">
        <f t="shared" si="275"/>
        <v/>
      </c>
      <c r="CA96" s="53">
        <f t="shared" si="276"/>
        <v>195</v>
      </c>
      <c r="CB96" s="55">
        <f t="shared" si="277"/>
        <v>6.5</v>
      </c>
      <c r="CC96" s="4" t="str">
        <f t="shared" si="278"/>
        <v/>
      </c>
      <c r="CD96" s="4">
        <f t="shared" si="279"/>
        <v>-1.1300000000000026</v>
      </c>
      <c r="CE96" s="4" t="str">
        <f t="shared" si="280"/>
        <v/>
      </c>
      <c r="CF96" s="4">
        <f t="shared" si="281"/>
        <v>-1.1300000000000026</v>
      </c>
      <c r="CG96" s="4">
        <f t="shared" si="395"/>
        <v>-0.75</v>
      </c>
      <c r="CH96" s="4">
        <f t="shared" si="282"/>
        <v>0.25</v>
      </c>
      <c r="CI96" s="104">
        <f t="shared" si="283"/>
        <v>0.8</v>
      </c>
      <c r="CJ96" s="94">
        <f t="shared" si="284"/>
        <v>-65</v>
      </c>
      <c r="CK96" s="4">
        <f t="shared" si="285"/>
        <v>7.0000000000000284E-2</v>
      </c>
      <c r="CL96" s="107">
        <f t="shared" si="286"/>
        <v>-0.55000000000000004</v>
      </c>
      <c r="CM96" s="107">
        <f t="shared" si="396"/>
        <v>0</v>
      </c>
      <c r="CN96" s="139">
        <f t="shared" si="287"/>
        <v>1</v>
      </c>
      <c r="CO96" s="139">
        <f t="shared" si="288"/>
        <v>1</v>
      </c>
      <c r="CP96" s="149">
        <f t="shared" si="289"/>
        <v>25</v>
      </c>
      <c r="CQ96" s="149">
        <f t="shared" si="290"/>
        <v>25</v>
      </c>
      <c r="CR96" s="148" t="str">
        <f t="shared" si="291"/>
        <v/>
      </c>
      <c r="CS96" s="152">
        <f t="shared" si="292"/>
        <v>0</v>
      </c>
      <c r="CT96" s="107" t="str">
        <f t="shared" si="293"/>
        <v/>
      </c>
      <c r="CU96" s="155" t="b">
        <f t="shared" si="294"/>
        <v>0</v>
      </c>
      <c r="CV96">
        <v>7.25</v>
      </c>
      <c r="CW96" s="4">
        <v>7.21</v>
      </c>
      <c r="CX96" s="4">
        <v>139.5</v>
      </c>
      <c r="CY96" s="4">
        <v>-0.3</v>
      </c>
      <c r="CZ96" s="4">
        <v>0.28000000000000003</v>
      </c>
      <c r="DA96" s="4">
        <v>0.6</v>
      </c>
      <c r="DB96" s="4">
        <v>2.85</v>
      </c>
      <c r="DC96" s="4">
        <v>3.46</v>
      </c>
      <c r="DD96" s="4">
        <v>613</v>
      </c>
      <c r="DE96" s="4">
        <v>616</v>
      </c>
      <c r="DF96" s="4">
        <v>658</v>
      </c>
      <c r="DG96" s="4">
        <v>620</v>
      </c>
      <c r="DH96" s="4">
        <v>641</v>
      </c>
      <c r="DI96" s="4">
        <v>634</v>
      </c>
      <c r="DJ96" s="4">
        <v>593</v>
      </c>
      <c r="DK96" s="4">
        <v>1.37</v>
      </c>
      <c r="DL96" s="4">
        <v>-0.75</v>
      </c>
      <c r="DM96" s="4">
        <v>7.25</v>
      </c>
      <c r="DN96" s="4">
        <v>7.22</v>
      </c>
      <c r="DO96" s="4">
        <v>7.26</v>
      </c>
      <c r="DP96" s="4">
        <v>7.48</v>
      </c>
      <c r="DQ96" s="4">
        <v>7.85</v>
      </c>
      <c r="DR96" s="4">
        <v>8.1999999999999993</v>
      </c>
      <c r="DS96" s="4">
        <v>0</v>
      </c>
      <c r="DT96" s="4">
        <v>0.3</v>
      </c>
      <c r="DU96" s="4">
        <v>7.01</v>
      </c>
      <c r="DV96" s="4">
        <v>6.27</v>
      </c>
      <c r="DW96" s="4">
        <v>6.01</v>
      </c>
      <c r="DX96" s="4">
        <v>6.26</v>
      </c>
      <c r="DY96" s="4">
        <v>6.63</v>
      </c>
      <c r="DZ96" s="4">
        <v>0</v>
      </c>
      <c r="EA96" s="4">
        <v>0</v>
      </c>
      <c r="EB96" s="100">
        <v>0.3</v>
      </c>
      <c r="EC96" s="122">
        <v>46.5</v>
      </c>
      <c r="ED96" s="122">
        <v>46.8</v>
      </c>
      <c r="EE96" s="122">
        <v>46.7</v>
      </c>
      <c r="EF96" s="122">
        <v>139.5</v>
      </c>
      <c r="EG96" s="122">
        <v>0.3</v>
      </c>
      <c r="EH96" s="122">
        <v>-5.8</v>
      </c>
      <c r="EI96" s="122">
        <v>-6.1</v>
      </c>
      <c r="EJ96" s="122">
        <v>-6</v>
      </c>
      <c r="EK96" s="122">
        <v>128</v>
      </c>
      <c r="EL96" s="122">
        <v>0.3</v>
      </c>
      <c r="EM96" s="122">
        <v>4.3</v>
      </c>
      <c r="EN96" s="122">
        <v>12.3</v>
      </c>
      <c r="EO96" s="122">
        <v>26.2</v>
      </c>
      <c r="EP96" s="122">
        <v>64.5</v>
      </c>
      <c r="EQ96" s="126">
        <v>14</v>
      </c>
      <c r="ER96" s="94">
        <v>7.24</v>
      </c>
      <c r="ES96" s="4">
        <v>7.31</v>
      </c>
      <c r="ET96" s="4">
        <v>116.7</v>
      </c>
      <c r="EU96" s="4">
        <v>0.4</v>
      </c>
      <c r="EV96" s="4">
        <v>0.41</v>
      </c>
      <c r="EW96" s="4">
        <v>0.55000000000000004</v>
      </c>
      <c r="EX96" s="4">
        <v>3.29</v>
      </c>
      <c r="EY96" s="4">
        <v>3.8</v>
      </c>
      <c r="EZ96" s="4">
        <v>516</v>
      </c>
      <c r="FA96" s="4">
        <v>513</v>
      </c>
      <c r="FB96" s="4">
        <v>655</v>
      </c>
      <c r="FC96" s="4">
        <v>647</v>
      </c>
      <c r="FD96" s="4">
        <v>628</v>
      </c>
      <c r="FE96" s="4">
        <v>612</v>
      </c>
      <c r="FF96" s="4">
        <v>512</v>
      </c>
      <c r="FG96" s="4">
        <v>-0.57999999999999996</v>
      </c>
      <c r="FH96" s="4">
        <v>-0.19</v>
      </c>
      <c r="FI96" s="4">
        <v>7.32</v>
      </c>
      <c r="FJ96" s="4">
        <v>7.25</v>
      </c>
      <c r="FK96" s="4">
        <v>7.27</v>
      </c>
      <c r="FL96" s="4">
        <v>7.48</v>
      </c>
      <c r="FM96" s="4">
        <v>7.77</v>
      </c>
      <c r="FN96" s="4">
        <v>8.0399999999999991</v>
      </c>
      <c r="FO96" s="4">
        <v>0</v>
      </c>
      <c r="FP96" s="4">
        <v>2</v>
      </c>
      <c r="FQ96" s="4">
        <v>5.57</v>
      </c>
      <c r="FR96" s="4">
        <v>5.7</v>
      </c>
      <c r="FS96" s="4">
        <v>5.91</v>
      </c>
      <c r="FT96" s="4">
        <v>6.14</v>
      </c>
      <c r="FU96" s="4">
        <v>6.26</v>
      </c>
      <c r="FV96" s="4">
        <v>0</v>
      </c>
      <c r="FW96" s="4">
        <v>0</v>
      </c>
      <c r="FX96" s="97">
        <v>2</v>
      </c>
      <c r="FY96" s="122">
        <v>46.2</v>
      </c>
      <c r="FZ96" s="122">
        <v>46.6</v>
      </c>
      <c r="GA96" s="122">
        <v>46.4</v>
      </c>
      <c r="GB96" s="122">
        <v>116.7</v>
      </c>
      <c r="GC96" s="122">
        <v>0.4</v>
      </c>
      <c r="GD96" s="122">
        <v>-7</v>
      </c>
      <c r="GE96" s="122">
        <v>-7.3</v>
      </c>
      <c r="GF96" s="122">
        <v>-7.1</v>
      </c>
      <c r="GG96" s="122">
        <v>3.3</v>
      </c>
      <c r="GH96" s="122">
        <v>0.2</v>
      </c>
      <c r="GI96" s="122">
        <v>3.8</v>
      </c>
      <c r="GJ96" s="122">
        <v>11.4</v>
      </c>
      <c r="GK96" s="122">
        <v>25.1</v>
      </c>
      <c r="GL96" s="122">
        <v>63.7</v>
      </c>
      <c r="GM96" s="131">
        <v>17</v>
      </c>
      <c r="IJ96" s="94">
        <f t="shared" si="295"/>
        <v>7.24</v>
      </c>
      <c r="IK96" s="4">
        <f t="shared" si="296"/>
        <v>7.31</v>
      </c>
      <c r="IL96" s="4">
        <f t="shared" si="297"/>
        <v>116.7</v>
      </c>
      <c r="IM96" s="4">
        <f t="shared" si="298"/>
        <v>0.4</v>
      </c>
      <c r="IN96" s="4">
        <f t="shared" si="299"/>
        <v>0.41</v>
      </c>
      <c r="IO96" s="4">
        <f t="shared" si="300"/>
        <v>0.55000000000000004</v>
      </c>
      <c r="IP96" s="4">
        <f t="shared" si="301"/>
        <v>3.29</v>
      </c>
      <c r="IQ96" s="4">
        <f t="shared" si="302"/>
        <v>3.8</v>
      </c>
      <c r="IR96" s="4">
        <f t="shared" si="303"/>
        <v>516</v>
      </c>
      <c r="IS96" s="4">
        <f t="shared" si="304"/>
        <v>513</v>
      </c>
      <c r="IT96" s="4">
        <f t="shared" si="305"/>
        <v>655</v>
      </c>
      <c r="IU96" s="4">
        <f t="shared" si="306"/>
        <v>647</v>
      </c>
      <c r="IV96" s="4">
        <f t="shared" si="307"/>
        <v>628</v>
      </c>
      <c r="IW96" s="4">
        <f t="shared" si="308"/>
        <v>612</v>
      </c>
      <c r="IX96" s="4">
        <f t="shared" si="309"/>
        <v>512</v>
      </c>
      <c r="IY96" s="4">
        <f t="shared" si="310"/>
        <v>-0.57999999999999996</v>
      </c>
      <c r="IZ96" s="4">
        <f t="shared" si="311"/>
        <v>-0.19</v>
      </c>
      <c r="JA96" s="4">
        <f t="shared" si="312"/>
        <v>7.32</v>
      </c>
      <c r="JB96" s="4">
        <f t="shared" si="313"/>
        <v>7.25</v>
      </c>
      <c r="JC96" s="4">
        <f t="shared" si="314"/>
        <v>7.27</v>
      </c>
      <c r="JD96" s="4">
        <f t="shared" si="315"/>
        <v>7.48</v>
      </c>
      <c r="JE96" s="4">
        <f t="shared" si="316"/>
        <v>7.77</v>
      </c>
      <c r="JF96" s="4">
        <f t="shared" si="317"/>
        <v>8.0399999999999991</v>
      </c>
      <c r="JG96" s="4">
        <f t="shared" si="318"/>
        <v>0</v>
      </c>
      <c r="JH96" s="4">
        <f t="shared" si="319"/>
        <v>2</v>
      </c>
      <c r="JI96" s="4">
        <f t="shared" si="320"/>
        <v>5.57</v>
      </c>
      <c r="JJ96" s="4">
        <f t="shared" si="321"/>
        <v>5.7</v>
      </c>
      <c r="JK96" s="4">
        <f t="shared" si="322"/>
        <v>5.91</v>
      </c>
      <c r="JL96" s="4">
        <f t="shared" si="323"/>
        <v>6.14</v>
      </c>
      <c r="JM96" s="4">
        <f t="shared" si="324"/>
        <v>6.26</v>
      </c>
      <c r="JN96" s="4">
        <f t="shared" si="325"/>
        <v>0</v>
      </c>
      <c r="JO96" s="129">
        <f t="shared" si="326"/>
        <v>0</v>
      </c>
      <c r="JP96" s="122">
        <f t="shared" si="327"/>
        <v>2</v>
      </c>
      <c r="JQ96" s="122">
        <f t="shared" si="328"/>
        <v>46.2</v>
      </c>
      <c r="JR96" s="122">
        <f t="shared" si="329"/>
        <v>46.6</v>
      </c>
      <c r="JS96" s="122">
        <f t="shared" si="330"/>
        <v>46.4</v>
      </c>
      <c r="JT96" s="122">
        <f t="shared" si="331"/>
        <v>116.7</v>
      </c>
      <c r="JU96" s="122">
        <f t="shared" si="332"/>
        <v>0.4</v>
      </c>
      <c r="JV96" s="122">
        <f t="shared" si="333"/>
        <v>-7</v>
      </c>
      <c r="JW96" s="122">
        <f t="shared" si="334"/>
        <v>-7.3</v>
      </c>
      <c r="JX96" s="122">
        <f t="shared" si="335"/>
        <v>-7.1</v>
      </c>
      <c r="JY96" s="122">
        <f t="shared" si="336"/>
        <v>3.3</v>
      </c>
      <c r="JZ96" s="122">
        <f t="shared" si="337"/>
        <v>0.2</v>
      </c>
      <c r="KA96" s="122">
        <f t="shared" si="338"/>
        <v>3.8</v>
      </c>
      <c r="KB96" s="122">
        <f t="shared" si="339"/>
        <v>11.4</v>
      </c>
      <c r="KC96" s="122">
        <f t="shared" si="340"/>
        <v>25.1</v>
      </c>
      <c r="KD96" s="122">
        <f t="shared" si="341"/>
        <v>63.7</v>
      </c>
      <c r="KE96" s="133">
        <f t="shared" si="342"/>
        <v>17</v>
      </c>
      <c r="KF96" s="94">
        <f t="shared" si="343"/>
        <v>-9.9999999999997868E-3</v>
      </c>
      <c r="KG96" s="4">
        <f t="shared" si="344"/>
        <v>9.9999999999999645E-2</v>
      </c>
      <c r="KH96" s="4">
        <f t="shared" si="345"/>
        <v>-22.799999999999997</v>
      </c>
      <c r="KI96" s="4">
        <f t="shared" si="346"/>
        <v>0.7</v>
      </c>
      <c r="KJ96" s="4">
        <f t="shared" si="347"/>
        <v>0.12999999999999995</v>
      </c>
      <c r="KK96" s="4">
        <f t="shared" si="348"/>
        <v>-4.9999999999999933E-2</v>
      </c>
      <c r="KL96" s="4">
        <f t="shared" si="349"/>
        <v>0.43999999999999995</v>
      </c>
      <c r="KM96" s="4">
        <f t="shared" si="350"/>
        <v>0.33999999999999986</v>
      </c>
      <c r="KN96" s="4">
        <f t="shared" si="351"/>
        <v>-97</v>
      </c>
      <c r="KO96" s="4">
        <f t="shared" si="352"/>
        <v>-103</v>
      </c>
      <c r="KP96" s="4">
        <f t="shared" si="353"/>
        <v>-3</v>
      </c>
      <c r="KQ96" s="4">
        <f t="shared" si="354"/>
        <v>27</v>
      </c>
      <c r="KR96" s="4">
        <f t="shared" si="355"/>
        <v>-13</v>
      </c>
      <c r="KS96" s="4">
        <f t="shared" si="356"/>
        <v>-22</v>
      </c>
      <c r="KT96" s="4">
        <f t="shared" si="357"/>
        <v>-81</v>
      </c>
      <c r="KU96" s="4">
        <f t="shared" si="358"/>
        <v>-1.9500000000000002</v>
      </c>
      <c r="KV96" s="4">
        <f t="shared" si="359"/>
        <v>0.56000000000000005</v>
      </c>
      <c r="KW96" s="4">
        <f t="shared" si="360"/>
        <v>7.0000000000000284E-2</v>
      </c>
      <c r="KX96" s="4">
        <f t="shared" si="361"/>
        <v>3.0000000000000249E-2</v>
      </c>
      <c r="KY96" s="4">
        <f t="shared" si="362"/>
        <v>9.9999999999997868E-3</v>
      </c>
      <c r="KZ96" s="4">
        <f t="shared" si="363"/>
        <v>0</v>
      </c>
      <c r="LA96" s="4">
        <f t="shared" si="364"/>
        <v>-8.0000000000000071E-2</v>
      </c>
      <c r="LB96" s="4">
        <f t="shared" si="365"/>
        <v>-0.16000000000000014</v>
      </c>
      <c r="LC96" s="4">
        <f t="shared" si="366"/>
        <v>0</v>
      </c>
      <c r="LD96" s="4">
        <f t="shared" si="367"/>
        <v>1.7</v>
      </c>
      <c r="LE96" s="4">
        <f t="shared" si="368"/>
        <v>-1.4399999999999995</v>
      </c>
      <c r="LF96" s="4">
        <f t="shared" si="369"/>
        <v>-0.5699999999999994</v>
      </c>
      <c r="LG96" s="4">
        <f t="shared" si="370"/>
        <v>-9.9999999999999645E-2</v>
      </c>
      <c r="LH96" s="4">
        <f t="shared" si="371"/>
        <v>-0.12000000000000011</v>
      </c>
      <c r="LI96" s="4">
        <f t="shared" si="372"/>
        <v>-0.37000000000000011</v>
      </c>
      <c r="LJ96" s="4">
        <f t="shared" si="373"/>
        <v>0</v>
      </c>
      <c r="LK96" s="4">
        <f t="shared" si="374"/>
        <v>0</v>
      </c>
      <c r="LL96" s="4">
        <f t="shared" si="375"/>
        <v>1.7</v>
      </c>
      <c r="LM96" s="4">
        <f t="shared" si="376"/>
        <v>-0.29999999999999716</v>
      </c>
      <c r="LN96" s="4">
        <f t="shared" si="377"/>
        <v>-0.19999999999999574</v>
      </c>
      <c r="LO96" s="4">
        <f t="shared" si="378"/>
        <v>-0.30000000000000426</v>
      </c>
      <c r="LP96" s="4">
        <f t="shared" si="379"/>
        <v>-22.799999999999997</v>
      </c>
      <c r="LQ96" s="4">
        <f t="shared" si="380"/>
        <v>0.10000000000000003</v>
      </c>
      <c r="LR96" s="4">
        <f t="shared" si="381"/>
        <v>-1.2000000000000002</v>
      </c>
      <c r="LS96" s="4">
        <f t="shared" si="382"/>
        <v>-1.2000000000000002</v>
      </c>
      <c r="LT96" s="4">
        <f t="shared" si="383"/>
        <v>-1.0999999999999996</v>
      </c>
      <c r="LU96" s="4">
        <f t="shared" si="384"/>
        <v>-124.7</v>
      </c>
      <c r="LV96" s="4">
        <f t="shared" si="385"/>
        <v>-9.9999999999999978E-2</v>
      </c>
      <c r="LW96" s="4">
        <f t="shared" si="386"/>
        <v>-0.5</v>
      </c>
      <c r="LX96" s="4">
        <f t="shared" si="387"/>
        <v>-0.90000000000000036</v>
      </c>
      <c r="LY96" s="4">
        <f t="shared" si="388"/>
        <v>-1.0999999999999979</v>
      </c>
      <c r="LZ96" s="4">
        <f t="shared" si="389"/>
        <v>-0.79999999999999716</v>
      </c>
      <c r="MA96" s="4">
        <f t="shared" si="390"/>
        <v>3</v>
      </c>
      <c r="MB96" s="4" t="str">
        <f t="shared" si="391"/>
        <v/>
      </c>
      <c r="MC96" s="4" t="str">
        <f t="shared" si="392"/>
        <v/>
      </c>
      <c r="MD96" s="4" t="str">
        <f t="shared" si="393"/>
        <v/>
      </c>
      <c r="ME96" s="4">
        <f t="shared" si="394"/>
        <v>7.3</v>
      </c>
    </row>
    <row r="97" spans="1:343" ht="26.25" customHeight="1" x14ac:dyDescent="0.2">
      <c r="A97" s="35">
        <v>41400</v>
      </c>
      <c r="B97" s="36" t="s">
        <v>183</v>
      </c>
      <c r="C97" s="36" t="s">
        <v>240</v>
      </c>
      <c r="D97" s="31" t="s">
        <v>111</v>
      </c>
      <c r="E97" s="36">
        <v>73</v>
      </c>
      <c r="F97" s="35">
        <v>14594</v>
      </c>
      <c r="G97" s="36" t="s">
        <v>87</v>
      </c>
      <c r="H97" s="36" t="s">
        <v>108</v>
      </c>
      <c r="I97" s="36">
        <v>1836165</v>
      </c>
      <c r="K97" s="76"/>
      <c r="L97" s="76"/>
      <c r="M97" s="76"/>
      <c r="N97" s="76"/>
      <c r="O97" s="76"/>
      <c r="P97" s="33">
        <v>-0.5</v>
      </c>
      <c r="Q97" s="4">
        <v>-0.46</v>
      </c>
      <c r="R97" s="39" t="s">
        <v>249</v>
      </c>
      <c r="S97" s="70">
        <v>24.5</v>
      </c>
      <c r="T97" s="136">
        <v>41394</v>
      </c>
      <c r="U97" s="70">
        <v>3.5</v>
      </c>
      <c r="V97" s="70">
        <v>1.25</v>
      </c>
      <c r="W97" s="36">
        <v>45</v>
      </c>
      <c r="X97" s="36">
        <v>25</v>
      </c>
      <c r="Y97" s="36">
        <v>11</v>
      </c>
      <c r="Z97" s="36">
        <v>517</v>
      </c>
      <c r="AA97" s="4">
        <v>23.37</v>
      </c>
      <c r="AB97" s="4">
        <v>11.2</v>
      </c>
      <c r="AC97" s="4">
        <v>4.6900000000000004</v>
      </c>
      <c r="AD97" s="4">
        <v>2.77</v>
      </c>
      <c r="AE97" s="4">
        <v>41.56</v>
      </c>
      <c r="AF97" s="4">
        <v>144</v>
      </c>
      <c r="AG97" s="4">
        <v>42.35</v>
      </c>
      <c r="AH97" s="4">
        <v>54</v>
      </c>
      <c r="AI97" s="4">
        <v>1</v>
      </c>
      <c r="AJ97" s="4" t="b">
        <f t="shared" si="267"/>
        <v>1</v>
      </c>
      <c r="AL97" s="42">
        <v>41591</v>
      </c>
      <c r="AM97" s="62"/>
      <c r="AN97" s="67">
        <v>-3</v>
      </c>
      <c r="AO97" s="67">
        <v>1.25</v>
      </c>
      <c r="AP97" s="4">
        <v>5</v>
      </c>
      <c r="AQ97" s="4">
        <v>20</v>
      </c>
      <c r="AR97" s="4">
        <v>20</v>
      </c>
      <c r="AS97" s="4">
        <v>475</v>
      </c>
      <c r="AT97" s="4">
        <v>2227</v>
      </c>
      <c r="BA97" s="4">
        <f t="shared" si="268"/>
        <v>-2.375</v>
      </c>
      <c r="BB97" s="4">
        <f t="shared" si="397"/>
        <v>-1.915</v>
      </c>
      <c r="BC97" s="4">
        <f t="shared" si="269"/>
        <v>-42</v>
      </c>
      <c r="BD97" s="3">
        <v>41796</v>
      </c>
      <c r="BS97" s="4" t="str">
        <f t="shared" si="266"/>
        <v/>
      </c>
      <c r="BT97" s="4" t="str">
        <f t="shared" si="270"/>
        <v/>
      </c>
      <c r="BU97" s="4" t="str">
        <f t="shared" si="271"/>
        <v/>
      </c>
      <c r="BV97" s="4">
        <f>IF(AND(ISBLANK(SPH_6),ISBLANK(SPH_12)),0,1)</f>
        <v>1</v>
      </c>
      <c r="BW97" s="4">
        <f t="shared" si="272"/>
        <v>0</v>
      </c>
      <c r="BX97" s="4" t="str">
        <f t="shared" si="273"/>
        <v/>
      </c>
      <c r="BY97" s="4" t="str">
        <f t="shared" si="274"/>
        <v/>
      </c>
      <c r="BZ97" s="4" t="str">
        <f t="shared" si="275"/>
        <v/>
      </c>
      <c r="CA97" s="53">
        <f t="shared" si="276"/>
        <v>191</v>
      </c>
      <c r="CB97" s="55">
        <f t="shared" si="277"/>
        <v>6.3666666666666663</v>
      </c>
      <c r="CC97" s="4" t="str">
        <f t="shared" si="278"/>
        <v/>
      </c>
      <c r="CD97" s="4" t="str">
        <f t="shared" si="279"/>
        <v/>
      </c>
      <c r="CE97" s="4" t="str">
        <f t="shared" si="280"/>
        <v/>
      </c>
      <c r="CF97" s="4" t="str">
        <f t="shared" si="281"/>
        <v/>
      </c>
      <c r="CG97" s="4">
        <f t="shared" si="395"/>
        <v>4.125</v>
      </c>
      <c r="CH97" s="4">
        <f t="shared" si="282"/>
        <v>-2.375</v>
      </c>
      <c r="CI97" s="104">
        <f t="shared" si="283"/>
        <v>-1.915</v>
      </c>
      <c r="CJ97" s="94">
        <f t="shared" si="284"/>
        <v>-42</v>
      </c>
      <c r="CK97" s="4" t="str">
        <f t="shared" si="285"/>
        <v/>
      </c>
      <c r="CL97" s="107">
        <f t="shared" si="286"/>
        <v>-0.46</v>
      </c>
      <c r="CM97" s="107">
        <f t="shared" si="396"/>
        <v>9.6910013008056392E-2</v>
      </c>
      <c r="CN97" s="139">
        <f t="shared" si="287"/>
        <v>1.25</v>
      </c>
      <c r="CO97" s="139">
        <f t="shared" si="288"/>
        <v>0</v>
      </c>
      <c r="CP97" s="149">
        <f t="shared" si="289"/>
        <v>20</v>
      </c>
      <c r="CQ97" s="149">
        <f t="shared" si="290"/>
        <v>25</v>
      </c>
      <c r="CR97" s="148" t="str">
        <f t="shared" si="291"/>
        <v/>
      </c>
      <c r="CS97" s="152">
        <f t="shared" si="292"/>
        <v>1</v>
      </c>
      <c r="CT97" s="107" t="str">
        <f t="shared" si="293"/>
        <v/>
      </c>
      <c r="CU97" s="155" t="b">
        <f t="shared" si="294"/>
        <v>1</v>
      </c>
      <c r="CV97">
        <v>8.09</v>
      </c>
      <c r="CW97" s="4">
        <v>7.95</v>
      </c>
      <c r="CX97" s="4">
        <v>173.5</v>
      </c>
      <c r="CY97" s="4">
        <v>-0.7</v>
      </c>
      <c r="CZ97" s="4">
        <v>0.56999999999999995</v>
      </c>
      <c r="DA97" s="4">
        <v>0.67</v>
      </c>
      <c r="DB97" s="4">
        <v>2.2400000000000002</v>
      </c>
      <c r="DC97" s="4">
        <v>2.78</v>
      </c>
      <c r="DD97" s="4">
        <v>533</v>
      </c>
      <c r="DE97" s="4">
        <v>530</v>
      </c>
      <c r="DF97" s="4">
        <v>602</v>
      </c>
      <c r="DG97" s="4">
        <v>592</v>
      </c>
      <c r="DH97" s="4">
        <v>618</v>
      </c>
      <c r="DI97" s="4">
        <v>608</v>
      </c>
      <c r="DJ97" s="4">
        <v>527</v>
      </c>
      <c r="DK97" s="4">
        <v>-0.66</v>
      </c>
      <c r="DL97" s="4">
        <v>-0.33</v>
      </c>
      <c r="DM97" s="4">
        <v>8.0500000000000007</v>
      </c>
      <c r="DN97" s="4">
        <v>7.97</v>
      </c>
      <c r="DO97" s="4">
        <v>8.1</v>
      </c>
      <c r="DP97" s="4">
        <v>8.1999999999999993</v>
      </c>
      <c r="DQ97" s="4">
        <v>8.36</v>
      </c>
      <c r="DR97" s="4">
        <v>8.58</v>
      </c>
      <c r="DS97" s="4">
        <v>0</v>
      </c>
      <c r="DT97" s="4">
        <v>1.5</v>
      </c>
      <c r="DU97" s="4">
        <v>6.48</v>
      </c>
      <c r="DV97" s="4">
        <v>6.7</v>
      </c>
      <c r="DW97" s="4">
        <v>7.01</v>
      </c>
      <c r="DX97" s="4">
        <v>6.98</v>
      </c>
      <c r="DY97" s="4">
        <v>6.99</v>
      </c>
      <c r="DZ97" s="4">
        <v>0</v>
      </c>
      <c r="EA97" s="4">
        <v>0</v>
      </c>
      <c r="EB97" s="100">
        <v>1.5</v>
      </c>
      <c r="EC97" s="122">
        <v>41.7</v>
      </c>
      <c r="ED97" s="122">
        <v>42.5</v>
      </c>
      <c r="EE97" s="122">
        <v>42.1</v>
      </c>
      <c r="EF97" s="122">
        <v>173.5</v>
      </c>
      <c r="EG97" s="122">
        <v>0.7</v>
      </c>
      <c r="EH97" s="122">
        <v>-6.1</v>
      </c>
      <c r="EI97" s="122">
        <v>-6.2</v>
      </c>
      <c r="EJ97" s="122">
        <v>-6.1</v>
      </c>
      <c r="EK97" s="122">
        <v>11.9</v>
      </c>
      <c r="EL97" s="122">
        <v>0</v>
      </c>
      <c r="EM97" s="122">
        <v>3.9</v>
      </c>
      <c r="EN97" s="122">
        <v>11.3</v>
      </c>
      <c r="EO97" s="122">
        <v>23.8</v>
      </c>
      <c r="EP97" s="122">
        <v>55.7</v>
      </c>
      <c r="EQ97" s="126">
        <v>25</v>
      </c>
      <c r="IJ97" s="94" t="str">
        <f t="shared" si="295"/>
        <v/>
      </c>
      <c r="IK97" s="4" t="str">
        <f t="shared" si="296"/>
        <v/>
      </c>
      <c r="IL97" s="4" t="str">
        <f t="shared" si="297"/>
        <v/>
      </c>
      <c r="IM97" s="4" t="str">
        <f t="shared" si="298"/>
        <v/>
      </c>
      <c r="IN97" s="4" t="str">
        <f t="shared" si="299"/>
        <v/>
      </c>
      <c r="IO97" s="4" t="str">
        <f t="shared" si="300"/>
        <v/>
      </c>
      <c r="IP97" s="4" t="str">
        <f t="shared" si="301"/>
        <v/>
      </c>
      <c r="IQ97" s="4" t="str">
        <f t="shared" si="302"/>
        <v/>
      </c>
      <c r="IR97" s="4" t="str">
        <f t="shared" si="303"/>
        <v/>
      </c>
      <c r="IS97" s="4" t="str">
        <f t="shared" si="304"/>
        <v/>
      </c>
      <c r="IT97" s="4" t="str">
        <f t="shared" si="305"/>
        <v/>
      </c>
      <c r="IU97" s="4" t="str">
        <f t="shared" si="306"/>
        <v/>
      </c>
      <c r="IV97" s="4" t="str">
        <f t="shared" si="307"/>
        <v/>
      </c>
      <c r="IW97" s="4" t="str">
        <f t="shared" si="308"/>
        <v/>
      </c>
      <c r="IX97" s="4" t="str">
        <f t="shared" si="309"/>
        <v/>
      </c>
      <c r="IY97" s="4" t="str">
        <f t="shared" si="310"/>
        <v/>
      </c>
      <c r="IZ97" s="4" t="str">
        <f t="shared" si="311"/>
        <v/>
      </c>
      <c r="JA97" s="4" t="str">
        <f t="shared" si="312"/>
        <v/>
      </c>
      <c r="JB97" s="4" t="str">
        <f t="shared" si="313"/>
        <v/>
      </c>
      <c r="JC97" s="4" t="str">
        <f t="shared" si="314"/>
        <v/>
      </c>
      <c r="JD97" s="4" t="str">
        <f t="shared" si="315"/>
        <v/>
      </c>
      <c r="JE97" s="4" t="str">
        <f t="shared" si="316"/>
        <v/>
      </c>
      <c r="JF97" s="4" t="str">
        <f t="shared" si="317"/>
        <v/>
      </c>
      <c r="JG97" s="4" t="str">
        <f t="shared" si="318"/>
        <v/>
      </c>
      <c r="JH97" s="4" t="str">
        <f t="shared" si="319"/>
        <v/>
      </c>
      <c r="JI97" s="4" t="str">
        <f t="shared" si="320"/>
        <v/>
      </c>
      <c r="JJ97" s="4" t="str">
        <f t="shared" si="321"/>
        <v/>
      </c>
      <c r="JK97" s="4" t="str">
        <f t="shared" si="322"/>
        <v/>
      </c>
      <c r="JL97" s="4" t="str">
        <f t="shared" si="323"/>
        <v/>
      </c>
      <c r="JM97" s="4" t="str">
        <f t="shared" si="324"/>
        <v/>
      </c>
      <c r="JN97" s="4" t="str">
        <f t="shared" si="325"/>
        <v/>
      </c>
      <c r="JO97" s="129" t="str">
        <f t="shared" si="326"/>
        <v/>
      </c>
      <c r="JP97" s="122" t="str">
        <f t="shared" si="327"/>
        <v/>
      </c>
      <c r="JQ97" s="122" t="str">
        <f t="shared" si="328"/>
        <v/>
      </c>
      <c r="JR97" s="122" t="str">
        <f t="shared" si="329"/>
        <v/>
      </c>
      <c r="JS97" s="122" t="str">
        <f t="shared" si="330"/>
        <v/>
      </c>
      <c r="JT97" s="122" t="str">
        <f t="shared" si="331"/>
        <v/>
      </c>
      <c r="JU97" s="122" t="str">
        <f t="shared" si="332"/>
        <v/>
      </c>
      <c r="JV97" s="122" t="str">
        <f t="shared" si="333"/>
        <v/>
      </c>
      <c r="JW97" s="122" t="str">
        <f t="shared" si="334"/>
        <v/>
      </c>
      <c r="JX97" s="122" t="str">
        <f t="shared" si="335"/>
        <v/>
      </c>
      <c r="JY97" s="122" t="str">
        <f t="shared" si="336"/>
        <v/>
      </c>
      <c r="JZ97" s="122" t="str">
        <f t="shared" si="337"/>
        <v/>
      </c>
      <c r="KA97" s="122" t="str">
        <f t="shared" si="338"/>
        <v/>
      </c>
      <c r="KB97" s="122" t="str">
        <f t="shared" si="339"/>
        <v/>
      </c>
      <c r="KC97" s="122" t="str">
        <f t="shared" si="340"/>
        <v/>
      </c>
      <c r="KD97" s="122" t="str">
        <f t="shared" si="341"/>
        <v/>
      </c>
      <c r="KE97" s="133" t="str">
        <f t="shared" si="342"/>
        <v/>
      </c>
      <c r="KF97" s="94" t="str">
        <f t="shared" si="343"/>
        <v/>
      </c>
      <c r="KG97" s="4" t="str">
        <f t="shared" si="344"/>
        <v/>
      </c>
      <c r="KH97" s="4" t="str">
        <f t="shared" si="345"/>
        <v/>
      </c>
      <c r="KI97" s="4" t="str">
        <f t="shared" si="346"/>
        <v/>
      </c>
      <c r="KJ97" s="4" t="str">
        <f t="shared" si="347"/>
        <v/>
      </c>
      <c r="KK97" s="4" t="str">
        <f t="shared" si="348"/>
        <v/>
      </c>
      <c r="KL97" s="4" t="str">
        <f t="shared" si="349"/>
        <v/>
      </c>
      <c r="KM97" s="4" t="str">
        <f t="shared" si="350"/>
        <v/>
      </c>
      <c r="KN97" s="4" t="str">
        <f t="shared" si="351"/>
        <v/>
      </c>
      <c r="KO97" s="4" t="str">
        <f t="shared" si="352"/>
        <v/>
      </c>
      <c r="KP97" s="4" t="str">
        <f t="shared" si="353"/>
        <v/>
      </c>
      <c r="KQ97" s="4" t="str">
        <f t="shared" si="354"/>
        <v/>
      </c>
      <c r="KR97" s="4" t="str">
        <f t="shared" si="355"/>
        <v/>
      </c>
      <c r="KS97" s="4" t="str">
        <f t="shared" si="356"/>
        <v/>
      </c>
      <c r="KT97" s="4" t="str">
        <f t="shared" si="357"/>
        <v/>
      </c>
      <c r="KU97" s="4" t="str">
        <f t="shared" si="358"/>
        <v/>
      </c>
      <c r="KV97" s="4" t="str">
        <f t="shared" si="359"/>
        <v/>
      </c>
      <c r="KW97" s="4" t="str">
        <f t="shared" si="360"/>
        <v/>
      </c>
      <c r="KX97" s="4" t="str">
        <f t="shared" si="361"/>
        <v/>
      </c>
      <c r="KY97" s="4" t="str">
        <f t="shared" si="362"/>
        <v/>
      </c>
      <c r="KZ97" s="4" t="str">
        <f t="shared" si="363"/>
        <v/>
      </c>
      <c r="LA97" s="4" t="str">
        <f t="shared" si="364"/>
        <v/>
      </c>
      <c r="LB97" s="4" t="str">
        <f t="shared" si="365"/>
        <v/>
      </c>
      <c r="LC97" s="4" t="str">
        <f t="shared" si="366"/>
        <v/>
      </c>
      <c r="LD97" s="4" t="str">
        <f t="shared" si="367"/>
        <v/>
      </c>
      <c r="LE97" s="4" t="str">
        <f t="shared" si="368"/>
        <v/>
      </c>
      <c r="LF97" s="4" t="str">
        <f t="shared" si="369"/>
        <v/>
      </c>
      <c r="LG97" s="4" t="str">
        <f t="shared" si="370"/>
        <v/>
      </c>
      <c r="LH97" s="4" t="str">
        <f t="shared" si="371"/>
        <v/>
      </c>
      <c r="LI97" s="4" t="str">
        <f t="shared" si="372"/>
        <v/>
      </c>
      <c r="LJ97" s="4" t="str">
        <f t="shared" si="373"/>
        <v/>
      </c>
      <c r="LK97" s="4" t="str">
        <f t="shared" si="374"/>
        <v/>
      </c>
      <c r="LL97" s="4" t="str">
        <f t="shared" si="375"/>
        <v/>
      </c>
      <c r="LM97" s="4" t="str">
        <f t="shared" si="376"/>
        <v/>
      </c>
      <c r="LN97" s="4" t="str">
        <f t="shared" si="377"/>
        <v/>
      </c>
      <c r="LO97" s="4" t="str">
        <f t="shared" si="378"/>
        <v/>
      </c>
      <c r="LP97" s="4" t="str">
        <f t="shared" si="379"/>
        <v/>
      </c>
      <c r="LQ97" s="4" t="str">
        <f t="shared" si="380"/>
        <v/>
      </c>
      <c r="LR97" s="4" t="str">
        <f t="shared" si="381"/>
        <v/>
      </c>
      <c r="LS97" s="4" t="str">
        <f t="shared" si="382"/>
        <v/>
      </c>
      <c r="LT97" s="4" t="str">
        <f t="shared" si="383"/>
        <v/>
      </c>
      <c r="LU97" s="4" t="str">
        <f t="shared" si="384"/>
        <v/>
      </c>
      <c r="LV97" s="4" t="str">
        <f t="shared" si="385"/>
        <v/>
      </c>
      <c r="LW97" s="4" t="str">
        <f t="shared" si="386"/>
        <v/>
      </c>
      <c r="LX97" s="4" t="str">
        <f t="shared" si="387"/>
        <v/>
      </c>
      <c r="LY97" s="4" t="str">
        <f t="shared" si="388"/>
        <v/>
      </c>
      <c r="LZ97" s="4" t="str">
        <f t="shared" si="389"/>
        <v/>
      </c>
      <c r="MA97" s="4" t="str">
        <f t="shared" si="390"/>
        <v/>
      </c>
      <c r="MB97" s="4" t="str">
        <f t="shared" si="391"/>
        <v/>
      </c>
      <c r="MC97" s="4" t="str">
        <f t="shared" si="392"/>
        <v/>
      </c>
      <c r="MD97" s="4" t="str">
        <f t="shared" si="393"/>
        <v/>
      </c>
      <c r="ME97" s="4">
        <f t="shared" si="394"/>
        <v>0</v>
      </c>
    </row>
    <row r="98" spans="1:343" ht="26.25" customHeight="1" x14ac:dyDescent="0.2">
      <c r="A98" s="35">
        <v>41339</v>
      </c>
      <c r="B98" s="36" t="s">
        <v>234</v>
      </c>
      <c r="C98" s="36" t="s">
        <v>39</v>
      </c>
      <c r="D98" s="31" t="s">
        <v>111</v>
      </c>
      <c r="E98" s="4">
        <v>71</v>
      </c>
      <c r="F98" s="3">
        <v>15292</v>
      </c>
      <c r="G98" s="4" t="s">
        <v>87</v>
      </c>
      <c r="H98" s="4" t="s">
        <v>112</v>
      </c>
      <c r="I98" s="4">
        <v>1836234</v>
      </c>
      <c r="K98" s="76"/>
      <c r="L98" s="76"/>
      <c r="M98" s="76"/>
      <c r="N98" s="76"/>
      <c r="O98" s="76"/>
      <c r="P98" s="33">
        <v>-0.5</v>
      </c>
      <c r="Q98" s="4">
        <v>-0.44</v>
      </c>
      <c r="R98" s="39" t="s">
        <v>249</v>
      </c>
      <c r="S98" s="70">
        <v>19.75</v>
      </c>
      <c r="T98" s="136">
        <v>41316</v>
      </c>
      <c r="U98" s="67">
        <v>0.75</v>
      </c>
      <c r="V98" s="67">
        <v>1.75</v>
      </c>
      <c r="W98" s="4">
        <v>35</v>
      </c>
      <c r="X98" s="4">
        <v>50</v>
      </c>
      <c r="Y98" s="4">
        <v>13</v>
      </c>
      <c r="Z98" s="4">
        <v>696</v>
      </c>
      <c r="AA98" s="4">
        <v>24.2</v>
      </c>
      <c r="AD98" s="4">
        <v>3.33</v>
      </c>
      <c r="AE98" s="4">
        <v>43.05</v>
      </c>
      <c r="AF98" s="4">
        <v>176</v>
      </c>
      <c r="AG98" s="4">
        <v>43.72</v>
      </c>
      <c r="AH98" s="4">
        <v>86</v>
      </c>
      <c r="AI98" s="4">
        <v>0</v>
      </c>
      <c r="AJ98" s="4" t="b">
        <f t="shared" ref="AJ98:AJ125" si="398">IF(AND(ISNUMBER(SK),SK&gt;0),TRUE,FALSE)</f>
        <v>0</v>
      </c>
      <c r="AL98" s="32">
        <v>41541</v>
      </c>
      <c r="AM98" s="60">
        <v>40</v>
      </c>
      <c r="AN98" s="67">
        <v>0.5</v>
      </c>
      <c r="AO98" s="67">
        <v>0.75</v>
      </c>
      <c r="AP98" s="4">
        <v>37</v>
      </c>
      <c r="AQ98" s="4">
        <v>30</v>
      </c>
      <c r="AR98" s="4">
        <v>16</v>
      </c>
      <c r="AS98" s="4">
        <v>584</v>
      </c>
      <c r="AT98" s="4">
        <v>911</v>
      </c>
      <c r="AU98" s="4">
        <v>24.25</v>
      </c>
      <c r="AV98" s="4">
        <v>3.49</v>
      </c>
      <c r="AW98" s="4">
        <v>41.93</v>
      </c>
      <c r="AX98" s="4">
        <v>133</v>
      </c>
      <c r="AY98" s="4">
        <v>42.67</v>
      </c>
      <c r="AZ98" s="4">
        <v>43</v>
      </c>
      <c r="BA98" s="4">
        <f t="shared" ref="BA98:BA118" si="399">IF(ISNUMBER(AN98),AN98+0.5*AO98,"")</f>
        <v>0.875</v>
      </c>
      <c r="BB98" s="4">
        <f t="shared" si="397"/>
        <v>1.3149999999999999</v>
      </c>
      <c r="BC98" s="4">
        <f t="shared" ref="BC98:BC125" si="400">IF(AND(ISNUMBER(AS98),ISNUMBER(Z98)),AS98-Z98,IF(ISNUMBER(AS98),"MISSING",""))</f>
        <v>-112</v>
      </c>
      <c r="BD98" s="150">
        <v>41696</v>
      </c>
      <c r="BS98" s="4" t="str">
        <f t="shared" si="266"/>
        <v/>
      </c>
      <c r="BT98" s="4" t="str">
        <f t="shared" ref="BT98:BT129" si="401">IF(ISNUMBER(BS98),IF(ISNUMBER($Q98),BS98-$Q98,"MISSING"),"")</f>
        <v/>
      </c>
      <c r="BU98" s="4" t="str">
        <f t="shared" ref="BU98:BU125" si="402">IF(AND(ISNUMBER(BK98),ISNUMBER($Z98)),BK98-$Z98,IF(ISNUMBER(BK98),"MISSING",""))</f>
        <v/>
      </c>
      <c r="BV98" s="4">
        <f>IF(AND(ISBLANK(SPH_6),ISBLANK(SPH_12)),0,1)</f>
        <v>1</v>
      </c>
      <c r="BW98" s="4">
        <f t="shared" ref="BW98:BW126" si="403">IF(AND(ISNUMBER($AN98),ISNUMBER($BF98)),1,0)</f>
        <v>0</v>
      </c>
      <c r="BX98" s="4" t="str">
        <f t="shared" ref="BX98:BX129" si="404">IF(BW98,SE_PREOP,"")</f>
        <v/>
      </c>
      <c r="BY98" s="4" t="str">
        <f t="shared" ref="BY98:BY126" si="405">IF(FU_6_AND_12,SE_6,"")</f>
        <v/>
      </c>
      <c r="BZ98" s="4" t="str">
        <f t="shared" ref="BZ98:BZ126" si="406">IF(FU_6_AND_12,SE_12,"")</f>
        <v/>
      </c>
      <c r="CA98" s="53">
        <f t="shared" ref="CA98:CA125" si="407">IF(AND(ISNUMBER(BD98),ISNUMBER(BF98)),BD98-A98,IF(ISNUMBER(AL98),AL98-A98,0))</f>
        <v>202</v>
      </c>
      <c r="CB98" s="55">
        <f t="shared" ref="CB98:CB129" si="408">IF(CA98&gt;0,CA98/30,"")</f>
        <v>6.7333333333333334</v>
      </c>
      <c r="CC98" s="4" t="str">
        <f t="shared" ref="CC98:CC125" si="409">IF(AND(ISNUMBER(BA98),ISNUMBER(BS98)),(BS98-BA98),"")</f>
        <v/>
      </c>
      <c r="CD98" s="4">
        <f t="shared" ref="CD98:CD125" si="410">IF(AND(ISNUMBER(AY98), ISNUMBER(AE98)), AVERAGE(AY98,AW98)-AVERAGE(AE98,AG98),"")</f>
        <v>-1.0850000000000009</v>
      </c>
      <c r="CE98" s="4" t="str">
        <f t="shared" ref="CE98:CE125" si="411">IF(AND(ISNUMBER(BO98), ISNUMBER(AE98)), AVERAGE(BO98,BQ98)-AVERAGE(AE98,AG98),"")</f>
        <v/>
      </c>
      <c r="CF98" s="4">
        <f t="shared" ref="CF98:CF129" si="412">IF(ISNUMBER(CE98),CE98,IF(ISNUMBER(CD98),CD98,""))</f>
        <v>-1.0850000000000009</v>
      </c>
      <c r="CG98" s="4">
        <f t="shared" si="395"/>
        <v>1.625</v>
      </c>
      <c r="CH98" s="4">
        <f t="shared" ref="CH98:CH126" si="413">IF(ISNUMBER(SE_12),SE_12,IF(ISNUMBER(SE_6),SE_6,""))</f>
        <v>0.875</v>
      </c>
      <c r="CI98" s="104">
        <f t="shared" ref="CI98:CI126" si="414">IF(AND(ISNUMBER(SE_LAST_),ISNUMBER(REF_TARGET)),SE_LAST_-REF_TARGET,"")</f>
        <v>1.3149999999999999</v>
      </c>
      <c r="CJ98" s="94">
        <f t="shared" ref="CJ98:CJ125" si="415">IF(ISNUMBER(Z98),IF(ISNUMBER(BK98),BK98-Z98,IF(ISNUMBER(AS98),AS98-Z98,"")),"")</f>
        <v>-112</v>
      </c>
      <c r="CK98" s="4">
        <f t="shared" ref="CK98:CK125" si="416">IF(ISNUMBER(AA98),IF(ISNUMBER(AU98),AU98-AA98,IF(ISNUMBER(BM98),BM98-AA98,"")),"")</f>
        <v>5.0000000000000711E-2</v>
      </c>
      <c r="CL98" s="107">
        <f t="shared" ref="CL98:CL126" si="417">IF(ISNUMBER(LAST_SE_ERROR),REF_TARGET,"")</f>
        <v>-0.44</v>
      </c>
      <c r="CM98" s="107">
        <f t="shared" si="396"/>
        <v>0.22184874961635634</v>
      </c>
      <c r="CN98" s="139">
        <f t="shared" ref="CN98:CN125" si="418">IF(ISNUMBER(BG98),BG98,IF(ISNUMBER(AO98),AO98,""))</f>
        <v>0.75</v>
      </c>
      <c r="CO98" s="139">
        <f t="shared" ref="CO98:CO129" si="419">IF(AND(ISNUMBER(CN98),ISNUMBER(V98)),CN98-V98,"")</f>
        <v>-1</v>
      </c>
      <c r="CP98" s="149">
        <f t="shared" ref="CP98:CP126" si="420">IF(ISNUMBER(BCVA_12),BCVA_12,IF(ISNUMBER(BCVA_6),BCVA_6,""))</f>
        <v>30</v>
      </c>
      <c r="CQ98" s="149">
        <f t="shared" ref="CQ98:CQ129" si="421">IF(ISNUMBER(CP98),PREOP_BCVA,"")</f>
        <v>50</v>
      </c>
      <c r="CR98" s="148">
        <f t="shared" ref="CR98:CR126" si="422">IF(AND(REF_TARGET&lt;=0,REF_TARGET&gt;-1),IF(ISNUMBER(UDVA_12),UDVA_12,IF(ISNUMBER(UDVA_6),UDVA_6,"")),"")</f>
        <v>40</v>
      </c>
      <c r="CS98" s="152">
        <f t="shared" ref="CS98:CS128" si="423">IF(ISNUMBER(PREOP_PENTACAM_RV),IF(ISNUMBER(SPH_6),IF(ISNUMBER($ER98),0,1),""),"")</f>
        <v>1</v>
      </c>
      <c r="CT98" s="107" t="str">
        <f t="shared" ref="CT98:CT133" si="424">IF(ISNUMBER(PREOP_PENTACAM_RV),IF(ISNUMBER(SPH_12),IF(ISNUMBER($GN98),0,1),""),"")</f>
        <v/>
      </c>
      <c r="CU98" s="155" t="b">
        <f t="shared" ref="CU98:CU126" si="425">IF(OR(ISNUMBER(MISSING_PENT_6),ISNUMBER(MISSING_PENT_12)),IF(AND(ISNUMBER(MISSING_PENT_6),ISNUMBER(MISSING_PENT_12)),AND(MISSING_PENT_6,MISSING_PENT_12),IF(ISNUMBER(MISSING_PENT_6),INT(MISSING_PENT_6)&gt;0,INT(MISSING_PENT_12)&gt;0)),"")</f>
        <v>1</v>
      </c>
      <c r="CV98">
        <v>7.98</v>
      </c>
      <c r="CW98" s="4">
        <v>7.89</v>
      </c>
      <c r="CX98" s="4">
        <v>32.799999999999997</v>
      </c>
      <c r="CY98" s="4">
        <v>-0.5</v>
      </c>
      <c r="CZ98" s="4">
        <v>-0.02</v>
      </c>
      <c r="DA98" s="4">
        <v>0.47</v>
      </c>
      <c r="DB98" s="4">
        <v>2.5099999999999998</v>
      </c>
      <c r="DC98" s="4">
        <v>3.23</v>
      </c>
      <c r="DD98" s="4">
        <v>721</v>
      </c>
      <c r="DE98" s="4">
        <v>724</v>
      </c>
      <c r="DF98" s="4">
        <v>779</v>
      </c>
      <c r="DG98" s="4">
        <v>632</v>
      </c>
      <c r="DH98" s="4">
        <v>713</v>
      </c>
      <c r="DI98" s="4">
        <v>748</v>
      </c>
      <c r="DJ98" s="4">
        <v>629</v>
      </c>
      <c r="DK98" s="4">
        <v>0.14000000000000001</v>
      </c>
      <c r="DL98" s="4">
        <v>-3.19</v>
      </c>
      <c r="DM98" s="4">
        <v>7.99</v>
      </c>
      <c r="DN98" s="4">
        <v>7.89</v>
      </c>
      <c r="DO98" s="4">
        <v>7.83</v>
      </c>
      <c r="DP98" s="4">
        <v>8</v>
      </c>
      <c r="DQ98" s="4">
        <v>8.4600000000000009</v>
      </c>
      <c r="DR98" s="4">
        <v>8.8699999999999992</v>
      </c>
      <c r="DS98" s="4">
        <v>0</v>
      </c>
      <c r="DT98" s="4">
        <v>0.3</v>
      </c>
      <c r="DU98" s="4">
        <v>8.07</v>
      </c>
      <c r="DV98" s="4">
        <v>7.18</v>
      </c>
      <c r="DW98" s="4">
        <v>6.7</v>
      </c>
      <c r="DX98" s="4">
        <v>6.67</v>
      </c>
      <c r="DY98" s="4">
        <v>6.87</v>
      </c>
      <c r="DZ98" s="4">
        <v>7.2</v>
      </c>
      <c r="EA98" s="4">
        <v>0</v>
      </c>
      <c r="EB98" s="100">
        <v>0.3</v>
      </c>
      <c r="EC98" s="122">
        <v>42.3</v>
      </c>
      <c r="ED98" s="122">
        <v>42.8</v>
      </c>
      <c r="EE98" s="122">
        <v>42.5</v>
      </c>
      <c r="EF98" s="122">
        <v>32.799999999999997</v>
      </c>
      <c r="EG98" s="122">
        <v>0.5</v>
      </c>
      <c r="EH98" s="122">
        <v>-5</v>
      </c>
      <c r="EI98" s="122">
        <v>-5.5</v>
      </c>
      <c r="EJ98" s="122">
        <v>-5.2</v>
      </c>
      <c r="EK98" s="122">
        <v>97.2</v>
      </c>
      <c r="EL98" s="122">
        <v>0.5</v>
      </c>
      <c r="EM98" s="122">
        <v>5.0999999999999996</v>
      </c>
      <c r="EN98" s="122">
        <v>14.2</v>
      </c>
      <c r="EO98" s="122">
        <v>29.2</v>
      </c>
      <c r="EP98" s="122">
        <v>68</v>
      </c>
      <c r="EQ98" s="126">
        <v>12</v>
      </c>
      <c r="IJ98" s="94" t="str">
        <f t="shared" ref="IJ98:IJ125" si="426">IF(ISNUMBER(GN98),GN98,IF(ISNUMBER(ER98),ER98,""))</f>
        <v/>
      </c>
      <c r="IK98" s="4" t="str">
        <f t="shared" ref="IK98:IK125" si="427">IF(ISNUMBER(GO98),GO98,IF(ISNUMBER(ES98),ES98,""))</f>
        <v/>
      </c>
      <c r="IL98" s="4" t="str">
        <f t="shared" ref="IL98:IL125" si="428">IF(ISNUMBER(GP98),GP98,IF(ISNUMBER(ET98),ET98,""))</f>
        <v/>
      </c>
      <c r="IM98" s="4" t="str">
        <f t="shared" ref="IM98:IM125" si="429">IF(ISNUMBER(GQ98),GQ98,IF(ISNUMBER(EU98),EU98,""))</f>
        <v/>
      </c>
      <c r="IN98" s="4" t="str">
        <f t="shared" ref="IN98:IN125" si="430">IF(ISNUMBER(GR98),GR98,IF(ISNUMBER(EV98),EV98,""))</f>
        <v/>
      </c>
      <c r="IO98" s="4" t="str">
        <f t="shared" ref="IO98:IO125" si="431">IF(ISNUMBER(GS98),GS98,IF(ISNUMBER(EW98),EW98,""))</f>
        <v/>
      </c>
      <c r="IP98" s="4" t="str">
        <f t="shared" ref="IP98:IP125" si="432">IF(ISNUMBER(GT98),GT98,IF(ISNUMBER(EX98),EX98,""))</f>
        <v/>
      </c>
      <c r="IQ98" s="4" t="str">
        <f t="shared" ref="IQ98:IQ125" si="433">IF(ISNUMBER(GU98),GU98,IF(ISNUMBER(EY98),EY98,""))</f>
        <v/>
      </c>
      <c r="IR98" s="4" t="str">
        <f t="shared" ref="IR98:IR125" si="434">IF(ISNUMBER(GV98),GV98,IF(ISNUMBER(EZ98),EZ98,""))</f>
        <v/>
      </c>
      <c r="IS98" s="4" t="str">
        <f t="shared" ref="IS98:IS125" si="435">IF(ISNUMBER(GW98),GW98,IF(ISNUMBER(FA98),FA98,""))</f>
        <v/>
      </c>
      <c r="IT98" s="4" t="str">
        <f t="shared" ref="IT98:IT125" si="436">IF(ISNUMBER(GX98),GX98,IF(ISNUMBER(FB98),FB98,""))</f>
        <v/>
      </c>
      <c r="IU98" s="4" t="str">
        <f t="shared" ref="IU98:IU125" si="437">IF(ISNUMBER(GY98),GY98,IF(ISNUMBER(FC98),FC98,""))</f>
        <v/>
      </c>
      <c r="IV98" s="4" t="str">
        <f t="shared" ref="IV98:IV125" si="438">IF(ISNUMBER(GZ98),GZ98,IF(ISNUMBER(FD98),FD98,""))</f>
        <v/>
      </c>
      <c r="IW98" s="4" t="str">
        <f t="shared" ref="IW98:IW125" si="439">IF(ISNUMBER(HA98),HA98,IF(ISNUMBER(FE98),FE98,""))</f>
        <v/>
      </c>
      <c r="IX98" s="4" t="str">
        <f t="shared" ref="IX98:IX125" si="440">IF(ISNUMBER(HB98),HB98,IF(ISNUMBER(FF98),FF98,""))</f>
        <v/>
      </c>
      <c r="IY98" s="4" t="str">
        <f t="shared" ref="IY98:IY125" si="441">IF(ISNUMBER(HC98),HC98,IF(ISNUMBER(FG98),FG98,""))</f>
        <v/>
      </c>
      <c r="IZ98" s="4" t="str">
        <f t="shared" ref="IZ98:IZ125" si="442">IF(ISNUMBER(HD98),HD98,IF(ISNUMBER(FH98),FH98,""))</f>
        <v/>
      </c>
      <c r="JA98" s="4" t="str">
        <f t="shared" ref="JA98:JA125" si="443">IF(ISNUMBER(HE98),HE98,IF(ISNUMBER(FI98),FI98,""))</f>
        <v/>
      </c>
      <c r="JB98" s="4" t="str">
        <f t="shared" ref="JB98:JB125" si="444">IF(ISNUMBER(HF98),HF98,IF(ISNUMBER(FJ98),FJ98,""))</f>
        <v/>
      </c>
      <c r="JC98" s="4" t="str">
        <f t="shared" ref="JC98:JC125" si="445">IF(ISNUMBER(HG98),HG98,IF(ISNUMBER(FK98),FK98,""))</f>
        <v/>
      </c>
      <c r="JD98" s="4" t="str">
        <f t="shared" ref="JD98:JD125" si="446">IF(ISNUMBER(HH98),HH98,IF(ISNUMBER(FL98),FL98,""))</f>
        <v/>
      </c>
      <c r="JE98" s="4" t="str">
        <f t="shared" ref="JE98:JE125" si="447">IF(ISNUMBER(HI98),HI98,IF(ISNUMBER(FM98),FM98,""))</f>
        <v/>
      </c>
      <c r="JF98" s="4" t="str">
        <f t="shared" ref="JF98:JF125" si="448">IF(ISNUMBER(HJ98),HJ98,IF(ISNUMBER(FN98),FN98,""))</f>
        <v/>
      </c>
      <c r="JG98" s="4" t="str">
        <f t="shared" ref="JG98:JG125" si="449">IF(ISNUMBER(HK98),HK98,IF(ISNUMBER(FO98),FO98,""))</f>
        <v/>
      </c>
      <c r="JH98" s="4" t="str">
        <f t="shared" ref="JH98:JH125" si="450">IF(ISNUMBER(HL98),HL98,IF(ISNUMBER(FP98),FP98,""))</f>
        <v/>
      </c>
      <c r="JI98" s="4" t="str">
        <f t="shared" ref="JI98:JI125" si="451">IF(ISNUMBER(HM98),HM98,IF(ISNUMBER(FQ98),FQ98,""))</f>
        <v/>
      </c>
      <c r="JJ98" s="4" t="str">
        <f t="shared" ref="JJ98:JJ125" si="452">IF(ISNUMBER(HN98),HN98,IF(ISNUMBER(FR98),FR98,""))</f>
        <v/>
      </c>
      <c r="JK98" s="4" t="str">
        <f t="shared" ref="JK98:JK125" si="453">IF(ISNUMBER(HO98),HO98,IF(ISNUMBER(FS98),FS98,""))</f>
        <v/>
      </c>
      <c r="JL98" s="4" t="str">
        <f t="shared" ref="JL98:JL125" si="454">IF(ISNUMBER(HP98),HP98,IF(ISNUMBER(FT98),FT98,""))</f>
        <v/>
      </c>
      <c r="JM98" s="4" t="str">
        <f t="shared" ref="JM98:JM125" si="455">IF(ISNUMBER(HQ98),HQ98,IF(ISNUMBER(FU98),FU98,""))</f>
        <v/>
      </c>
      <c r="JN98" s="4" t="str">
        <f t="shared" ref="JN98:JN125" si="456">IF(ISNUMBER(HR98),HR98,IF(ISNUMBER(FV98),FV98,""))</f>
        <v/>
      </c>
      <c r="JO98" s="129" t="str">
        <f t="shared" ref="JO98:JO125" si="457">IF(ISNUMBER(HS98),HS98,IF(ISNUMBER(FW98),FW98,""))</f>
        <v/>
      </c>
      <c r="JP98" s="122" t="str">
        <f t="shared" ref="JP98:JP125" si="458">IF(ISNUMBER(HT98),HT98,IF(ISNUMBER(FX98),FX98,""))</f>
        <v/>
      </c>
      <c r="JQ98" s="122" t="str">
        <f t="shared" ref="JQ98:JQ125" si="459">IF(ISNUMBER(HU98),HU98,IF(ISNUMBER(FY98),FY98,""))</f>
        <v/>
      </c>
      <c r="JR98" s="122" t="str">
        <f t="shared" ref="JR98:JR125" si="460">IF(ISNUMBER(HV98),HV98,IF(ISNUMBER(FZ98),FZ98,""))</f>
        <v/>
      </c>
      <c r="JS98" s="122" t="str">
        <f t="shared" ref="JS98:JS125" si="461">IF(ISNUMBER(HW98),HW98,IF(ISNUMBER(GA98),GA98,""))</f>
        <v/>
      </c>
      <c r="JT98" s="122" t="str">
        <f t="shared" ref="JT98:JT125" si="462">IF(ISNUMBER(HX98),HX98,IF(ISNUMBER(GB98),GB98,""))</f>
        <v/>
      </c>
      <c r="JU98" s="122" t="str">
        <f t="shared" ref="JU98:JU125" si="463">IF(ISNUMBER(HY98),HY98,IF(ISNUMBER(GC98),GC98,""))</f>
        <v/>
      </c>
      <c r="JV98" s="122" t="str">
        <f t="shared" ref="JV98:JV125" si="464">IF(ISNUMBER(HZ98),HZ98,IF(ISNUMBER(GD98),GD98,""))</f>
        <v/>
      </c>
      <c r="JW98" s="122" t="str">
        <f t="shared" ref="JW98:JW125" si="465">IF(ISNUMBER(IA98),IA98,IF(ISNUMBER(GE98),GE98,""))</f>
        <v/>
      </c>
      <c r="JX98" s="122" t="str">
        <f t="shared" ref="JX98:JX125" si="466">IF(ISNUMBER(IB98),IB98,IF(ISNUMBER(GF98),GF98,""))</f>
        <v/>
      </c>
      <c r="JY98" s="122" t="str">
        <f t="shared" ref="JY98:JY125" si="467">IF(ISNUMBER(IC98),IC98,IF(ISNUMBER(GG98),GG98,""))</f>
        <v/>
      </c>
      <c r="JZ98" s="122" t="str">
        <f t="shared" ref="JZ98:JZ125" si="468">IF(ISNUMBER(ID98),ID98,IF(ISNUMBER(GH98),GH98,""))</f>
        <v/>
      </c>
      <c r="KA98" s="122" t="str">
        <f t="shared" ref="KA98:KA125" si="469">IF(ISNUMBER(IE98),IE98,IF(ISNUMBER(GI98),GI98,""))</f>
        <v/>
      </c>
      <c r="KB98" s="122" t="str">
        <f t="shared" ref="KB98:KB125" si="470">IF(ISNUMBER(IF98),IF98,IF(ISNUMBER(GJ98),GJ98,""))</f>
        <v/>
      </c>
      <c r="KC98" s="122" t="str">
        <f t="shared" ref="KC98:KC125" si="471">IF(ISNUMBER(IG98),IG98,IF(ISNUMBER(GK98),GK98,""))</f>
        <v/>
      </c>
      <c r="KD98" s="122" t="str">
        <f t="shared" ref="KD98:KD125" si="472">IF(ISNUMBER(IH98),IH98,IF(ISNUMBER(GL98),GL98,""))</f>
        <v/>
      </c>
      <c r="KE98" s="133" t="str">
        <f t="shared" ref="KE98:KE125" si="473">IF(ISNUMBER(II98),II98,IF(ISNUMBER(GM98),GM98,""))</f>
        <v/>
      </c>
      <c r="KF98" s="94" t="str">
        <f t="shared" ref="KF98:KF125" si="474">IF(AND(ISNUMBER(IJ98),ISNUMBER(CV98)),IJ98-CV98,"")</f>
        <v/>
      </c>
      <c r="KG98" s="4" t="str">
        <f t="shared" ref="KG98:KG125" si="475">IF(AND(ISNUMBER(IK98),ISNUMBER(CW98)),IK98-CW98,"")</f>
        <v/>
      </c>
      <c r="KH98" s="4" t="str">
        <f t="shared" ref="KH98:KH125" si="476">IF(AND(ISNUMBER(IL98),ISNUMBER(CX98)),IL98-CX98,"")</f>
        <v/>
      </c>
      <c r="KI98" s="4" t="str">
        <f t="shared" ref="KI98:KI125" si="477">IF(AND(ISNUMBER(IM98),ISNUMBER(CY98)),IM98-CY98,"")</f>
        <v/>
      </c>
      <c r="KJ98" s="4" t="str">
        <f t="shared" ref="KJ98:KJ125" si="478">IF(AND(ISNUMBER(IN98),ISNUMBER(CZ98)),IN98-CZ98,"")</f>
        <v/>
      </c>
      <c r="KK98" s="4" t="str">
        <f t="shared" ref="KK98:KK125" si="479">IF(AND(ISNUMBER(IO98),ISNUMBER(DA98)),IO98-DA98,"")</f>
        <v/>
      </c>
      <c r="KL98" s="4" t="str">
        <f t="shared" ref="KL98:KL125" si="480">IF(AND(ISNUMBER(IP98),ISNUMBER(DB98)),IP98-DB98,"")</f>
        <v/>
      </c>
      <c r="KM98" s="4" t="str">
        <f t="shared" ref="KM98:KM125" si="481">IF(AND(ISNUMBER(IQ98),ISNUMBER(DC98)),IQ98-DC98,"")</f>
        <v/>
      </c>
      <c r="KN98" s="4" t="str">
        <f t="shared" ref="KN98:KN125" si="482">IF(AND(ISNUMBER(IR98),ISNUMBER(DD98)),IR98-DD98,"")</f>
        <v/>
      </c>
      <c r="KO98" s="4" t="str">
        <f t="shared" ref="KO98:KO125" si="483">IF(AND(ISNUMBER(IS98),ISNUMBER(DE98)),IS98-DE98,"")</f>
        <v/>
      </c>
      <c r="KP98" s="4" t="str">
        <f t="shared" ref="KP98:KP125" si="484">IF(AND(ISNUMBER(IT98),ISNUMBER(DF98)),IT98-DF98,"")</f>
        <v/>
      </c>
      <c r="KQ98" s="4" t="str">
        <f t="shared" ref="KQ98:KQ125" si="485">IF(AND(ISNUMBER(IU98),ISNUMBER(DG98)),IU98-DG98,"")</f>
        <v/>
      </c>
      <c r="KR98" s="4" t="str">
        <f t="shared" ref="KR98:KR125" si="486">IF(AND(ISNUMBER(IV98),ISNUMBER(DH98)),IV98-DH98,"")</f>
        <v/>
      </c>
      <c r="KS98" s="4" t="str">
        <f t="shared" ref="KS98:KS125" si="487">IF(AND(ISNUMBER(IW98),ISNUMBER(DI98)),IW98-DI98,"")</f>
        <v/>
      </c>
      <c r="KT98" s="4" t="str">
        <f t="shared" ref="KT98:KT125" si="488">IF(AND(ISNUMBER(IX98),ISNUMBER(DJ98)),IX98-DJ98,"")</f>
        <v/>
      </c>
      <c r="KU98" s="4" t="str">
        <f t="shared" ref="KU98:KU125" si="489">IF(AND(ISNUMBER(IY98),ISNUMBER(DK98)),IY98-DK98,"")</f>
        <v/>
      </c>
      <c r="KV98" s="4" t="str">
        <f t="shared" ref="KV98:KV125" si="490">IF(AND(ISNUMBER(IZ98),ISNUMBER(DL98)),IZ98-DL98,"")</f>
        <v/>
      </c>
      <c r="KW98" s="4" t="str">
        <f t="shared" ref="KW98:KW125" si="491">IF(AND(ISNUMBER(JA98),ISNUMBER(DM98)),JA98-DM98,"")</f>
        <v/>
      </c>
      <c r="KX98" s="4" t="str">
        <f t="shared" ref="KX98:KX125" si="492">IF(AND(ISNUMBER(JB98),ISNUMBER(DN98)),JB98-DN98,"")</f>
        <v/>
      </c>
      <c r="KY98" s="4" t="str">
        <f t="shared" ref="KY98:KY125" si="493">IF(AND(ISNUMBER(JC98),ISNUMBER(DO98)),JC98-DO98,"")</f>
        <v/>
      </c>
      <c r="KZ98" s="4" t="str">
        <f t="shared" ref="KZ98:KZ125" si="494">IF(AND(ISNUMBER(JD98),ISNUMBER(DP98)),JD98-DP98,"")</f>
        <v/>
      </c>
      <c r="LA98" s="4" t="str">
        <f t="shared" ref="LA98:LA125" si="495">IF(AND(ISNUMBER(JE98),ISNUMBER(DQ98)),JE98-DQ98,"")</f>
        <v/>
      </c>
      <c r="LB98" s="4" t="str">
        <f t="shared" ref="LB98:LB125" si="496">IF(AND(ISNUMBER(JF98),ISNUMBER(DR98)),JF98-DR98,"")</f>
        <v/>
      </c>
      <c r="LC98" s="4" t="str">
        <f t="shared" ref="LC98:LC125" si="497">IF(AND(ISNUMBER(JG98),ISNUMBER(DS98)),JG98-DS98,"")</f>
        <v/>
      </c>
      <c r="LD98" s="4" t="str">
        <f t="shared" ref="LD98:LD125" si="498">IF(AND(ISNUMBER(JH98),ISNUMBER(DT98)),JH98-DT98,"")</f>
        <v/>
      </c>
      <c r="LE98" s="4" t="str">
        <f t="shared" ref="LE98:LE125" si="499">IF(AND(ISNUMBER(JI98),ISNUMBER(DU98)),JI98-DU98,"")</f>
        <v/>
      </c>
      <c r="LF98" s="4" t="str">
        <f t="shared" ref="LF98:LF125" si="500">IF(AND(ISNUMBER(JJ98),ISNUMBER(DV98)),JJ98-DV98,"")</f>
        <v/>
      </c>
      <c r="LG98" s="4" t="str">
        <f t="shared" ref="LG98:LG125" si="501">IF(AND(ISNUMBER(JK98),ISNUMBER(DW98)),JK98-DW98,"")</f>
        <v/>
      </c>
      <c r="LH98" s="4" t="str">
        <f t="shared" ref="LH98:LH125" si="502">IF(AND(ISNUMBER(JL98),ISNUMBER(DX98)),JL98-DX98,"")</f>
        <v/>
      </c>
      <c r="LI98" s="4" t="str">
        <f t="shared" ref="LI98:LI125" si="503">IF(AND(ISNUMBER(JM98),ISNUMBER(DY98)),JM98-DY98,"")</f>
        <v/>
      </c>
      <c r="LJ98" s="4" t="str">
        <f t="shared" ref="LJ98:LJ125" si="504">IF(AND(ISNUMBER(JN98),ISNUMBER(DZ98)),JN98-DZ98,"")</f>
        <v/>
      </c>
      <c r="LK98" s="4" t="str">
        <f t="shared" ref="LK98:LK125" si="505">IF(AND(ISNUMBER(JO98),ISNUMBER(EA98)),JO98-EA98,"")</f>
        <v/>
      </c>
      <c r="LL98" s="4" t="str">
        <f t="shared" ref="LL98:LL125" si="506">IF(AND(ISNUMBER(JP98),ISNUMBER(EB98)),JP98-EB98,"")</f>
        <v/>
      </c>
      <c r="LM98" s="4" t="str">
        <f t="shared" ref="LM98:LM125" si="507">IF(AND(ISNUMBER(JQ98),ISNUMBER(EC98)),JQ98-EC98,"")</f>
        <v/>
      </c>
      <c r="LN98" s="4" t="str">
        <f t="shared" ref="LN98:LN125" si="508">IF(AND(ISNUMBER(JR98),ISNUMBER(ED98)),JR98-ED98,"")</f>
        <v/>
      </c>
      <c r="LO98" s="4" t="str">
        <f t="shared" ref="LO98:LO125" si="509">IF(AND(ISNUMBER(JS98),ISNUMBER(EE98)),JS98-EE98,"")</f>
        <v/>
      </c>
      <c r="LP98" s="4" t="str">
        <f t="shared" ref="LP98:LP125" si="510">IF(AND(ISNUMBER(JT98),ISNUMBER(EF98)),JT98-EF98,"")</f>
        <v/>
      </c>
      <c r="LQ98" s="4" t="str">
        <f t="shared" ref="LQ98:LQ125" si="511">IF(AND(ISNUMBER(JU98),ISNUMBER(EG98)),JU98-EG98,"")</f>
        <v/>
      </c>
      <c r="LR98" s="4" t="str">
        <f t="shared" ref="LR98:LR125" si="512">IF(AND(ISNUMBER(JV98),ISNUMBER(EH98)),JV98-EH98,"")</f>
        <v/>
      </c>
      <c r="LS98" s="4" t="str">
        <f t="shared" ref="LS98:LS125" si="513">IF(AND(ISNUMBER(JW98),ISNUMBER(EI98)),JW98-EI98,"")</f>
        <v/>
      </c>
      <c r="LT98" s="4" t="str">
        <f t="shared" ref="LT98:LT125" si="514">IF(AND(ISNUMBER(JX98),ISNUMBER(EJ98)),JX98-EJ98,"")</f>
        <v/>
      </c>
      <c r="LU98" s="4" t="str">
        <f t="shared" ref="LU98:LU125" si="515">IF(AND(ISNUMBER(JY98),ISNUMBER(EK98)),JY98-EK98,"")</f>
        <v/>
      </c>
      <c r="LV98" s="4" t="str">
        <f t="shared" ref="LV98:LV125" si="516">IF(AND(ISNUMBER(JZ98),ISNUMBER(EL98)),JZ98-EL98,"")</f>
        <v/>
      </c>
      <c r="LW98" s="4" t="str">
        <f t="shared" ref="LW98:LW125" si="517">IF(AND(ISNUMBER(KA98),ISNUMBER(EM98)),KA98-EM98,"")</f>
        <v/>
      </c>
      <c r="LX98" s="4" t="str">
        <f t="shared" ref="LX98:LX125" si="518">IF(AND(ISNUMBER(KB98),ISNUMBER(EN98)),KB98-EN98,"")</f>
        <v/>
      </c>
      <c r="LY98" s="4" t="str">
        <f t="shared" ref="LY98:LY125" si="519">IF(AND(ISNUMBER(KC98),ISNUMBER(EO98)),KC98-EO98,"")</f>
        <v/>
      </c>
      <c r="LZ98" s="4" t="str">
        <f t="shared" ref="LZ98:LZ125" si="520">IF(AND(ISNUMBER(KD98),ISNUMBER(EP98)),KD98-EP98,"")</f>
        <v/>
      </c>
      <c r="MA98" s="4" t="str">
        <f t="shared" ref="MA98:MA125" si="521">IF(AND(ISNUMBER(KE98),ISNUMBER(EQ98)),KE98-EQ98,"")</f>
        <v/>
      </c>
      <c r="MB98" s="4" t="str">
        <f t="shared" ref="MB98:MB125" si="522">IF(AND(ISNUMBER(HU98),ISNUMBER(FY98)),HU98-FY98,"")</f>
        <v/>
      </c>
      <c r="MC98" s="4" t="str">
        <f t="shared" ref="MC98:MC125" si="523">IF(AND(ISNUMBER(HV98),ISNUMBER(FZ98)),HV98-FZ98,"")</f>
        <v/>
      </c>
      <c r="MD98" s="4" t="str">
        <f t="shared" ref="MD98:MD125" si="524">IF(AND(ISNUMBER(HZ98),ISNUMBER(GD98)),HZ98-GD98,"")</f>
        <v/>
      </c>
      <c r="ME98" s="4">
        <f t="shared" ref="ME98:ME125" si="525">IA98-GE98</f>
        <v>0</v>
      </c>
    </row>
    <row r="99" spans="1:343" ht="26.25" customHeight="1" x14ac:dyDescent="0.2">
      <c r="A99" s="35">
        <v>41332</v>
      </c>
      <c r="B99" s="36" t="s">
        <v>236</v>
      </c>
      <c r="C99" s="36" t="s">
        <v>226</v>
      </c>
      <c r="D99" s="31" t="s">
        <v>110</v>
      </c>
      <c r="E99" s="4">
        <v>58</v>
      </c>
      <c r="F99" s="3">
        <v>20124</v>
      </c>
      <c r="G99" s="4" t="s">
        <v>87</v>
      </c>
      <c r="H99" s="4" t="s">
        <v>108</v>
      </c>
      <c r="I99" s="4">
        <v>1836239</v>
      </c>
      <c r="J99" s="4" t="s">
        <v>310</v>
      </c>
      <c r="P99" s="33">
        <v>-0.5</v>
      </c>
      <c r="Q99" s="4">
        <v>-0.68</v>
      </c>
      <c r="R99" s="4" t="s">
        <v>249</v>
      </c>
      <c r="S99" s="67">
        <v>22.25</v>
      </c>
      <c r="T99" s="136">
        <v>41284</v>
      </c>
      <c r="U99" s="67">
        <v>-0.25</v>
      </c>
      <c r="V99" s="67">
        <v>1</v>
      </c>
      <c r="W99" s="4">
        <v>115</v>
      </c>
      <c r="X99" s="4">
        <v>50</v>
      </c>
      <c r="Y99" s="4">
        <v>21</v>
      </c>
      <c r="Z99" s="4">
        <v>625</v>
      </c>
      <c r="AA99" s="4">
        <v>22.3</v>
      </c>
      <c r="AB99" s="4">
        <v>12.4</v>
      </c>
      <c r="AD99" s="4">
        <v>3.16</v>
      </c>
      <c r="AE99" s="4">
        <v>46.04</v>
      </c>
      <c r="AF99" s="4">
        <v>0</v>
      </c>
      <c r="AG99" s="4">
        <v>46.81</v>
      </c>
      <c r="AH99" s="4">
        <v>90</v>
      </c>
      <c r="AI99" s="4">
        <v>0</v>
      </c>
      <c r="AJ99" s="4" t="b">
        <f t="shared" si="398"/>
        <v>0</v>
      </c>
      <c r="AL99" s="32">
        <v>41501</v>
      </c>
      <c r="AM99" s="60"/>
      <c r="AN99" s="67">
        <v>-0.5</v>
      </c>
      <c r="AO99" s="67">
        <v>1.5</v>
      </c>
      <c r="AP99" s="4">
        <v>105</v>
      </c>
      <c r="AQ99" s="4">
        <v>40</v>
      </c>
      <c r="AR99" s="4">
        <v>11</v>
      </c>
      <c r="AS99" s="4">
        <v>566</v>
      </c>
      <c r="AT99" s="4">
        <v>1179</v>
      </c>
      <c r="BA99" s="4">
        <f t="shared" si="399"/>
        <v>0.25</v>
      </c>
      <c r="BB99" s="4">
        <f t="shared" si="397"/>
        <v>0.93</v>
      </c>
      <c r="BC99" s="4">
        <f t="shared" si="400"/>
        <v>-59</v>
      </c>
      <c r="BD99" s="3">
        <v>41611</v>
      </c>
      <c r="BE99" s="56">
        <v>40</v>
      </c>
      <c r="BF99" s="67">
        <v>0</v>
      </c>
      <c r="BG99" s="67">
        <v>1.25</v>
      </c>
      <c r="BH99" s="4">
        <v>110</v>
      </c>
      <c r="BI99" s="4">
        <v>40</v>
      </c>
      <c r="BJ99" s="4">
        <v>16</v>
      </c>
      <c r="BK99" s="4">
        <v>568</v>
      </c>
      <c r="BL99" s="4">
        <v>852</v>
      </c>
      <c r="BM99" s="4">
        <v>22.37</v>
      </c>
      <c r="BN99" s="4">
        <v>2.79</v>
      </c>
      <c r="BO99" s="4">
        <v>44.88</v>
      </c>
      <c r="BP99" s="4">
        <v>7</v>
      </c>
      <c r="BQ99" s="4">
        <v>45.42</v>
      </c>
      <c r="BR99" s="4">
        <v>97</v>
      </c>
      <c r="BS99" s="4">
        <f t="shared" si="266"/>
        <v>0.625</v>
      </c>
      <c r="BT99" s="4">
        <f t="shared" si="401"/>
        <v>1.3050000000000002</v>
      </c>
      <c r="BU99" s="4">
        <f t="shared" si="402"/>
        <v>-57</v>
      </c>
      <c r="BV99" s="4">
        <f>IF(AND(ISBLANK(SPH_6),ISBLANK(SPH_12)),0,1)</f>
        <v>1</v>
      </c>
      <c r="BW99" s="4">
        <f t="shared" si="403"/>
        <v>1</v>
      </c>
      <c r="BX99" s="4">
        <f t="shared" si="404"/>
        <v>0.25</v>
      </c>
      <c r="BY99" s="4">
        <f t="shared" si="405"/>
        <v>0.25</v>
      </c>
      <c r="BZ99" s="4">
        <f t="shared" si="406"/>
        <v>0.625</v>
      </c>
      <c r="CA99" s="53">
        <f t="shared" si="407"/>
        <v>279</v>
      </c>
      <c r="CB99" s="55">
        <f t="shared" si="408"/>
        <v>9.3000000000000007</v>
      </c>
      <c r="CC99" s="4">
        <f t="shared" si="409"/>
        <v>0.375</v>
      </c>
      <c r="CD99" s="4" t="str">
        <f t="shared" si="410"/>
        <v/>
      </c>
      <c r="CE99" s="4">
        <f t="shared" si="411"/>
        <v>-1.2749999999999915</v>
      </c>
      <c r="CF99" s="4">
        <f t="shared" si="412"/>
        <v>-1.2749999999999915</v>
      </c>
      <c r="CG99" s="4">
        <f t="shared" si="395"/>
        <v>0.25</v>
      </c>
      <c r="CH99" s="4">
        <f t="shared" si="413"/>
        <v>0.625</v>
      </c>
      <c r="CI99" s="104">
        <f t="shared" si="414"/>
        <v>1.3050000000000002</v>
      </c>
      <c r="CJ99" s="94">
        <f t="shared" si="415"/>
        <v>-57</v>
      </c>
      <c r="CK99" s="4">
        <f t="shared" si="416"/>
        <v>7.0000000000000284E-2</v>
      </c>
      <c r="CL99" s="107">
        <f t="shared" si="417"/>
        <v>-0.68</v>
      </c>
      <c r="CM99" s="107">
        <f t="shared" si="396"/>
        <v>9.6910013008056406E-2</v>
      </c>
      <c r="CN99" s="139">
        <f t="shared" si="418"/>
        <v>1.25</v>
      </c>
      <c r="CO99" s="139">
        <f t="shared" si="419"/>
        <v>0.25</v>
      </c>
      <c r="CP99" s="149">
        <f t="shared" si="420"/>
        <v>40</v>
      </c>
      <c r="CQ99" s="149">
        <f t="shared" si="421"/>
        <v>50</v>
      </c>
      <c r="CR99" s="148">
        <f t="shared" si="422"/>
        <v>40</v>
      </c>
      <c r="CS99" s="152">
        <f t="shared" si="423"/>
        <v>0</v>
      </c>
      <c r="CT99" s="107">
        <f t="shared" si="424"/>
        <v>0</v>
      </c>
      <c r="CU99" s="155" t="b">
        <f t="shared" si="425"/>
        <v>0</v>
      </c>
      <c r="CV99">
        <v>7.49</v>
      </c>
      <c r="CW99" s="4">
        <v>7.37</v>
      </c>
      <c r="CX99" s="4">
        <v>177.7</v>
      </c>
      <c r="CY99" s="4">
        <v>-0.7</v>
      </c>
      <c r="CZ99" s="4">
        <v>0.09</v>
      </c>
      <c r="DA99" s="4">
        <v>0.45</v>
      </c>
      <c r="DB99" s="4">
        <v>2.93</v>
      </c>
      <c r="DC99" s="4">
        <v>3.56</v>
      </c>
      <c r="DD99" s="4">
        <v>636</v>
      </c>
      <c r="DE99" s="4">
        <v>640</v>
      </c>
      <c r="DF99" s="4">
        <v>668</v>
      </c>
      <c r="DG99" s="4">
        <v>660</v>
      </c>
      <c r="DH99" s="4">
        <v>647</v>
      </c>
      <c r="DI99" s="4">
        <v>632</v>
      </c>
      <c r="DJ99" s="4">
        <v>617</v>
      </c>
      <c r="DK99" s="4">
        <v>-1.74</v>
      </c>
      <c r="DL99" s="4">
        <v>-1.1100000000000001</v>
      </c>
      <c r="DM99" s="4">
        <v>7.44</v>
      </c>
      <c r="DN99" s="4">
        <v>7.4</v>
      </c>
      <c r="DO99" s="4">
        <v>7.38</v>
      </c>
      <c r="DP99" s="4">
        <v>7.51</v>
      </c>
      <c r="DQ99" s="4">
        <v>7.96</v>
      </c>
      <c r="DR99" s="4">
        <v>8.1999999999999993</v>
      </c>
      <c r="DS99" s="4">
        <v>0</v>
      </c>
      <c r="DT99" s="4">
        <v>0.5</v>
      </c>
      <c r="DU99" s="4">
        <v>7.14</v>
      </c>
      <c r="DV99" s="4">
        <v>6.58</v>
      </c>
      <c r="DW99" s="4">
        <v>6.35</v>
      </c>
      <c r="DX99" s="4">
        <v>6.67</v>
      </c>
      <c r="DY99" s="4">
        <v>7.21</v>
      </c>
      <c r="DZ99" s="4">
        <v>7.21</v>
      </c>
      <c r="EA99" s="4">
        <v>0</v>
      </c>
      <c r="EB99" s="100">
        <v>0.5</v>
      </c>
      <c r="EC99" s="122">
        <v>45</v>
      </c>
      <c r="ED99" s="122">
        <v>45.8</v>
      </c>
      <c r="EE99" s="122">
        <v>45.4</v>
      </c>
      <c r="EF99" s="122">
        <v>177.7</v>
      </c>
      <c r="EG99" s="122">
        <v>0.7</v>
      </c>
      <c r="EH99" s="122">
        <v>-5.6</v>
      </c>
      <c r="EI99" s="122">
        <v>-5.9</v>
      </c>
      <c r="EJ99" s="122">
        <v>-5.8</v>
      </c>
      <c r="EK99" s="122">
        <v>21.7</v>
      </c>
      <c r="EL99" s="122">
        <v>0.3</v>
      </c>
      <c r="EM99" s="122">
        <v>4.5</v>
      </c>
      <c r="EN99" s="122">
        <v>12.8</v>
      </c>
      <c r="EO99" s="122">
        <v>26.6</v>
      </c>
      <c r="EP99" s="122">
        <v>61.7</v>
      </c>
      <c r="EQ99" s="126">
        <v>13</v>
      </c>
      <c r="ER99" s="94">
        <v>7.55</v>
      </c>
      <c r="ES99" s="4">
        <v>7.27</v>
      </c>
      <c r="ET99" s="4">
        <v>1</v>
      </c>
      <c r="EU99" s="4">
        <v>-1.8</v>
      </c>
      <c r="EV99" s="4">
        <v>0.43</v>
      </c>
      <c r="EW99" s="4">
        <v>0.51</v>
      </c>
      <c r="EX99" s="4">
        <v>5.5</v>
      </c>
      <c r="EY99" s="4">
        <v>6.1</v>
      </c>
      <c r="EZ99" s="4">
        <v>603</v>
      </c>
      <c r="FA99" s="4">
        <v>598</v>
      </c>
      <c r="FB99" s="4">
        <v>698</v>
      </c>
      <c r="FC99" s="4">
        <v>665</v>
      </c>
      <c r="FD99" s="4">
        <v>704</v>
      </c>
      <c r="FE99" s="4">
        <v>646</v>
      </c>
      <c r="FF99" s="4">
        <v>592</v>
      </c>
      <c r="FG99" s="4">
        <v>0.98</v>
      </c>
      <c r="FH99" s="4">
        <v>-0.52</v>
      </c>
      <c r="FI99" s="4">
        <v>7.46</v>
      </c>
      <c r="FJ99" s="4">
        <v>7.37</v>
      </c>
      <c r="FK99" s="4">
        <v>7.42</v>
      </c>
      <c r="FL99" s="4">
        <v>7.57</v>
      </c>
      <c r="FM99" s="4">
        <v>7.9</v>
      </c>
      <c r="FN99" s="4">
        <v>8.1300000000000008</v>
      </c>
      <c r="FO99" s="4">
        <v>0</v>
      </c>
      <c r="FP99" s="4">
        <v>1.4</v>
      </c>
      <c r="FQ99" s="4">
        <v>6.08</v>
      </c>
      <c r="FR99" s="4">
        <v>5.98</v>
      </c>
      <c r="FS99" s="4">
        <v>6.04</v>
      </c>
      <c r="FT99" s="4">
        <v>6.33</v>
      </c>
      <c r="FU99" s="4">
        <v>6.48</v>
      </c>
      <c r="FV99" s="4">
        <v>0</v>
      </c>
      <c r="FW99" s="4">
        <v>0</v>
      </c>
      <c r="FX99" s="97">
        <v>1.4</v>
      </c>
      <c r="FY99" s="122">
        <v>44.7</v>
      </c>
      <c r="FZ99" s="122">
        <v>46.4</v>
      </c>
      <c r="GA99" s="122">
        <v>45.6</v>
      </c>
      <c r="GB99" s="122">
        <v>1</v>
      </c>
      <c r="GC99" s="122">
        <v>1.8</v>
      </c>
      <c r="GD99" s="122">
        <v>-6.4</v>
      </c>
      <c r="GE99" s="122">
        <v>-6.8</v>
      </c>
      <c r="GF99" s="122">
        <v>-6.6</v>
      </c>
      <c r="GG99" s="122">
        <v>8.9</v>
      </c>
      <c r="GH99" s="122">
        <v>0.4</v>
      </c>
      <c r="GI99" s="122">
        <v>4.4000000000000004</v>
      </c>
      <c r="GJ99" s="122">
        <v>12.8</v>
      </c>
      <c r="GK99" s="122">
        <v>27.5</v>
      </c>
      <c r="GL99" s="122">
        <v>67.400000000000006</v>
      </c>
      <c r="GM99" s="131">
        <v>20</v>
      </c>
      <c r="GN99" s="94">
        <v>7.6</v>
      </c>
      <c r="GO99" s="4">
        <v>7.43</v>
      </c>
      <c r="GP99" s="4">
        <v>5</v>
      </c>
      <c r="GQ99" s="4">
        <v>-1</v>
      </c>
      <c r="GR99" s="4">
        <v>0.25</v>
      </c>
      <c r="GS99" s="4">
        <v>0.42</v>
      </c>
      <c r="GT99" s="4">
        <v>4.83</v>
      </c>
      <c r="GU99" s="4">
        <v>5.37</v>
      </c>
      <c r="GV99" s="4">
        <v>540</v>
      </c>
      <c r="GW99" s="4">
        <v>539</v>
      </c>
      <c r="GX99" s="4">
        <v>634</v>
      </c>
      <c r="GY99" s="4">
        <v>647</v>
      </c>
      <c r="GZ99" s="4">
        <v>631</v>
      </c>
      <c r="HA99" s="4">
        <v>614</v>
      </c>
      <c r="HB99" s="4">
        <v>538</v>
      </c>
      <c r="HC99" s="4">
        <v>0.52</v>
      </c>
      <c r="HD99" s="4">
        <v>-0.33</v>
      </c>
      <c r="HE99" s="4">
        <v>7.54</v>
      </c>
      <c r="HF99" s="4">
        <v>7.44</v>
      </c>
      <c r="HG99" s="4">
        <v>7.43</v>
      </c>
      <c r="HH99" s="4">
        <v>7.58</v>
      </c>
      <c r="HI99" s="4">
        <v>7.83</v>
      </c>
      <c r="HJ99" s="4">
        <v>7.96</v>
      </c>
      <c r="HK99" s="4">
        <v>0</v>
      </c>
      <c r="HL99" s="4">
        <v>1.5</v>
      </c>
      <c r="HM99" s="4">
        <v>6.08</v>
      </c>
      <c r="HN99" s="4">
        <v>6</v>
      </c>
      <c r="HO99" s="4">
        <v>6.05</v>
      </c>
      <c r="HP99" s="4">
        <v>6.42</v>
      </c>
      <c r="HQ99" s="4">
        <v>6.76</v>
      </c>
      <c r="HR99" s="4">
        <v>0</v>
      </c>
      <c r="HS99" s="4">
        <v>0</v>
      </c>
      <c r="HT99" s="104">
        <v>1.5</v>
      </c>
      <c r="HU99" s="122">
        <v>44.4</v>
      </c>
      <c r="HV99" s="122">
        <v>45.4</v>
      </c>
      <c r="HW99" s="122">
        <v>44.9</v>
      </c>
      <c r="HX99" s="122">
        <v>5</v>
      </c>
      <c r="HY99" s="122">
        <v>1</v>
      </c>
      <c r="HZ99" s="122">
        <v>-6.4</v>
      </c>
      <c r="IA99" s="122">
        <v>-6.9</v>
      </c>
      <c r="IB99" s="122">
        <v>-6.6</v>
      </c>
      <c r="IC99" s="122">
        <v>1.6</v>
      </c>
      <c r="ID99" s="122">
        <v>0.5</v>
      </c>
      <c r="IE99" s="122">
        <v>3.9</v>
      </c>
      <c r="IF99" s="122">
        <v>11.6</v>
      </c>
      <c r="IG99" s="122">
        <v>25.2</v>
      </c>
      <c r="IH99" s="122">
        <v>62.2</v>
      </c>
      <c r="II99" s="133">
        <v>16</v>
      </c>
      <c r="IJ99" s="94">
        <f t="shared" si="426"/>
        <v>7.6</v>
      </c>
      <c r="IK99" s="4">
        <f t="shared" si="427"/>
        <v>7.43</v>
      </c>
      <c r="IL99" s="4">
        <f t="shared" si="428"/>
        <v>5</v>
      </c>
      <c r="IM99" s="4">
        <f t="shared" si="429"/>
        <v>-1</v>
      </c>
      <c r="IN99" s="4">
        <f t="shared" si="430"/>
        <v>0.25</v>
      </c>
      <c r="IO99" s="4">
        <f t="shared" si="431"/>
        <v>0.42</v>
      </c>
      <c r="IP99" s="4">
        <f t="shared" si="432"/>
        <v>4.83</v>
      </c>
      <c r="IQ99" s="4">
        <f t="shared" si="433"/>
        <v>5.37</v>
      </c>
      <c r="IR99" s="4">
        <f t="shared" si="434"/>
        <v>540</v>
      </c>
      <c r="IS99" s="4">
        <f t="shared" si="435"/>
        <v>539</v>
      </c>
      <c r="IT99" s="4">
        <f t="shared" si="436"/>
        <v>634</v>
      </c>
      <c r="IU99" s="4">
        <f t="shared" si="437"/>
        <v>647</v>
      </c>
      <c r="IV99" s="4">
        <f t="shared" si="438"/>
        <v>631</v>
      </c>
      <c r="IW99" s="4">
        <f t="shared" si="439"/>
        <v>614</v>
      </c>
      <c r="IX99" s="4">
        <f t="shared" si="440"/>
        <v>538</v>
      </c>
      <c r="IY99" s="4">
        <f t="shared" si="441"/>
        <v>0.52</v>
      </c>
      <c r="IZ99" s="4">
        <f t="shared" si="442"/>
        <v>-0.33</v>
      </c>
      <c r="JA99" s="4">
        <f t="shared" si="443"/>
        <v>7.54</v>
      </c>
      <c r="JB99" s="4">
        <f t="shared" si="444"/>
        <v>7.44</v>
      </c>
      <c r="JC99" s="4">
        <f t="shared" si="445"/>
        <v>7.43</v>
      </c>
      <c r="JD99" s="4">
        <f t="shared" si="446"/>
        <v>7.58</v>
      </c>
      <c r="JE99" s="4">
        <f t="shared" si="447"/>
        <v>7.83</v>
      </c>
      <c r="JF99" s="4">
        <f t="shared" si="448"/>
        <v>7.96</v>
      </c>
      <c r="JG99" s="4">
        <f t="shared" si="449"/>
        <v>0</v>
      </c>
      <c r="JH99" s="4">
        <f t="shared" si="450"/>
        <v>1.5</v>
      </c>
      <c r="JI99" s="4">
        <f t="shared" si="451"/>
        <v>6.08</v>
      </c>
      <c r="JJ99" s="4">
        <f t="shared" si="452"/>
        <v>6</v>
      </c>
      <c r="JK99" s="4">
        <f t="shared" si="453"/>
        <v>6.05</v>
      </c>
      <c r="JL99" s="4">
        <f t="shared" si="454"/>
        <v>6.42</v>
      </c>
      <c r="JM99" s="4">
        <f t="shared" si="455"/>
        <v>6.76</v>
      </c>
      <c r="JN99" s="4">
        <f t="shared" si="456"/>
        <v>0</v>
      </c>
      <c r="JO99" s="129">
        <f t="shared" si="457"/>
        <v>0</v>
      </c>
      <c r="JP99" s="122">
        <f t="shared" si="458"/>
        <v>1.5</v>
      </c>
      <c r="JQ99" s="122">
        <f t="shared" si="459"/>
        <v>44.4</v>
      </c>
      <c r="JR99" s="122">
        <f t="shared" si="460"/>
        <v>45.4</v>
      </c>
      <c r="JS99" s="122">
        <f t="shared" si="461"/>
        <v>44.9</v>
      </c>
      <c r="JT99" s="122">
        <f t="shared" si="462"/>
        <v>5</v>
      </c>
      <c r="JU99" s="122">
        <f t="shared" si="463"/>
        <v>1</v>
      </c>
      <c r="JV99" s="122">
        <f t="shared" si="464"/>
        <v>-6.4</v>
      </c>
      <c r="JW99" s="122">
        <f t="shared" si="465"/>
        <v>-6.9</v>
      </c>
      <c r="JX99" s="122">
        <f t="shared" si="466"/>
        <v>-6.6</v>
      </c>
      <c r="JY99" s="122">
        <f t="shared" si="467"/>
        <v>1.6</v>
      </c>
      <c r="JZ99" s="122">
        <f t="shared" si="468"/>
        <v>0.5</v>
      </c>
      <c r="KA99" s="122">
        <f t="shared" si="469"/>
        <v>3.9</v>
      </c>
      <c r="KB99" s="122">
        <f t="shared" si="470"/>
        <v>11.6</v>
      </c>
      <c r="KC99" s="122">
        <f t="shared" si="471"/>
        <v>25.2</v>
      </c>
      <c r="KD99" s="122">
        <f t="shared" si="472"/>
        <v>62.2</v>
      </c>
      <c r="KE99" s="133">
        <f t="shared" si="473"/>
        <v>16</v>
      </c>
      <c r="KF99" s="94">
        <f t="shared" si="474"/>
        <v>0.10999999999999943</v>
      </c>
      <c r="KG99" s="4">
        <f t="shared" si="475"/>
        <v>5.9999999999999609E-2</v>
      </c>
      <c r="KH99" s="4">
        <f t="shared" si="476"/>
        <v>-172.7</v>
      </c>
      <c r="KI99" s="4">
        <f t="shared" si="477"/>
        <v>-0.30000000000000004</v>
      </c>
      <c r="KJ99" s="4">
        <f t="shared" si="478"/>
        <v>0.16</v>
      </c>
      <c r="KK99" s="4">
        <f t="shared" si="479"/>
        <v>-3.0000000000000027E-2</v>
      </c>
      <c r="KL99" s="4">
        <f t="shared" si="480"/>
        <v>1.9</v>
      </c>
      <c r="KM99" s="4">
        <f t="shared" si="481"/>
        <v>1.81</v>
      </c>
      <c r="KN99" s="4">
        <f t="shared" si="482"/>
        <v>-96</v>
      </c>
      <c r="KO99" s="4">
        <f t="shared" si="483"/>
        <v>-101</v>
      </c>
      <c r="KP99" s="4">
        <f t="shared" si="484"/>
        <v>-34</v>
      </c>
      <c r="KQ99" s="4">
        <f t="shared" si="485"/>
        <v>-13</v>
      </c>
      <c r="KR99" s="4">
        <f t="shared" si="486"/>
        <v>-16</v>
      </c>
      <c r="KS99" s="4">
        <f t="shared" si="487"/>
        <v>-18</v>
      </c>
      <c r="KT99" s="4">
        <f t="shared" si="488"/>
        <v>-79</v>
      </c>
      <c r="KU99" s="4">
        <f t="shared" si="489"/>
        <v>2.2599999999999998</v>
      </c>
      <c r="KV99" s="4">
        <f t="shared" si="490"/>
        <v>0.78</v>
      </c>
      <c r="KW99" s="4">
        <f t="shared" si="491"/>
        <v>9.9999999999999645E-2</v>
      </c>
      <c r="KX99" s="4">
        <f t="shared" si="492"/>
        <v>4.0000000000000036E-2</v>
      </c>
      <c r="KY99" s="4">
        <f t="shared" si="493"/>
        <v>4.9999999999999822E-2</v>
      </c>
      <c r="KZ99" s="4">
        <f t="shared" si="494"/>
        <v>7.0000000000000284E-2</v>
      </c>
      <c r="LA99" s="4">
        <f t="shared" si="495"/>
        <v>-0.12999999999999989</v>
      </c>
      <c r="LB99" s="4">
        <f t="shared" si="496"/>
        <v>-0.23999999999999932</v>
      </c>
      <c r="LC99" s="4">
        <f t="shared" si="497"/>
        <v>0</v>
      </c>
      <c r="LD99" s="4">
        <f t="shared" si="498"/>
        <v>1</v>
      </c>
      <c r="LE99" s="4">
        <f t="shared" si="499"/>
        <v>-1.0599999999999996</v>
      </c>
      <c r="LF99" s="4">
        <f t="shared" si="500"/>
        <v>-0.58000000000000007</v>
      </c>
      <c r="LG99" s="4">
        <f t="shared" si="501"/>
        <v>-0.29999999999999982</v>
      </c>
      <c r="LH99" s="4">
        <f t="shared" si="502"/>
        <v>-0.25</v>
      </c>
      <c r="LI99" s="4">
        <f t="shared" si="503"/>
        <v>-0.45000000000000018</v>
      </c>
      <c r="LJ99" s="4">
        <f t="shared" si="504"/>
        <v>-7.21</v>
      </c>
      <c r="LK99" s="4">
        <f t="shared" si="505"/>
        <v>0</v>
      </c>
      <c r="LL99" s="4">
        <f t="shared" si="506"/>
        <v>1</v>
      </c>
      <c r="LM99" s="4">
        <f t="shared" si="507"/>
        <v>-0.60000000000000142</v>
      </c>
      <c r="LN99" s="4">
        <f t="shared" si="508"/>
        <v>-0.39999999999999858</v>
      </c>
      <c r="LO99" s="4">
        <f t="shared" si="509"/>
        <v>-0.5</v>
      </c>
      <c r="LP99" s="4">
        <f t="shared" si="510"/>
        <v>-172.7</v>
      </c>
      <c r="LQ99" s="4">
        <f t="shared" si="511"/>
        <v>0.30000000000000004</v>
      </c>
      <c r="LR99" s="4">
        <f t="shared" si="512"/>
        <v>-0.80000000000000071</v>
      </c>
      <c r="LS99" s="4">
        <f t="shared" si="513"/>
        <v>-1</v>
      </c>
      <c r="LT99" s="4">
        <f t="shared" si="514"/>
        <v>-0.79999999999999982</v>
      </c>
      <c r="LU99" s="4">
        <f t="shared" si="515"/>
        <v>-20.099999999999998</v>
      </c>
      <c r="LV99" s="4">
        <f t="shared" si="516"/>
        <v>0.2</v>
      </c>
      <c r="LW99" s="4">
        <f t="shared" si="517"/>
        <v>-0.60000000000000009</v>
      </c>
      <c r="LX99" s="4">
        <f t="shared" si="518"/>
        <v>-1.2000000000000011</v>
      </c>
      <c r="LY99" s="4">
        <f t="shared" si="519"/>
        <v>-1.4000000000000021</v>
      </c>
      <c r="LZ99" s="4">
        <f t="shared" si="520"/>
        <v>0.5</v>
      </c>
      <c r="MA99" s="4">
        <f t="shared" si="521"/>
        <v>3</v>
      </c>
      <c r="MB99" s="4">
        <f t="shared" si="522"/>
        <v>-0.30000000000000426</v>
      </c>
      <c r="MC99" s="4">
        <f t="shared" si="523"/>
        <v>-1</v>
      </c>
      <c r="MD99" s="4">
        <f t="shared" si="524"/>
        <v>0</v>
      </c>
      <c r="ME99" s="4">
        <f t="shared" si="525"/>
        <v>-0.10000000000000053</v>
      </c>
    </row>
    <row r="100" spans="1:343" ht="26.25" customHeight="1" x14ac:dyDescent="0.2">
      <c r="A100" s="35">
        <v>41360</v>
      </c>
      <c r="B100" s="36" t="s">
        <v>146</v>
      </c>
      <c r="C100" s="36" t="s">
        <v>43</v>
      </c>
      <c r="D100" s="31" t="s">
        <v>111</v>
      </c>
      <c r="E100" s="4">
        <v>64</v>
      </c>
      <c r="F100" s="3">
        <v>17834</v>
      </c>
      <c r="G100" s="4" t="s">
        <v>87</v>
      </c>
      <c r="H100" s="4" t="s">
        <v>108</v>
      </c>
      <c r="I100" s="4">
        <v>1836300</v>
      </c>
      <c r="K100" s="76"/>
      <c r="L100" s="76"/>
      <c r="M100" s="76"/>
      <c r="N100" s="76"/>
      <c r="O100" s="76"/>
      <c r="P100" s="33">
        <v>-0.5</v>
      </c>
      <c r="Q100" s="33">
        <v>-0.51</v>
      </c>
      <c r="R100" s="33" t="s">
        <v>249</v>
      </c>
      <c r="S100" s="67">
        <v>19.75</v>
      </c>
      <c r="T100" s="136">
        <v>41309</v>
      </c>
      <c r="U100" s="67">
        <v>1</v>
      </c>
      <c r="V100" s="67">
        <v>0</v>
      </c>
      <c r="W100" s="4">
        <v>0</v>
      </c>
      <c r="X100" s="4">
        <v>30</v>
      </c>
      <c r="Y100" s="4">
        <v>15</v>
      </c>
      <c r="Z100" s="4">
        <v>594</v>
      </c>
      <c r="AA100" s="4">
        <v>24.91</v>
      </c>
      <c r="AD100" s="4">
        <v>3.61</v>
      </c>
      <c r="AE100" s="4">
        <v>41.51</v>
      </c>
      <c r="AF100" s="4">
        <v>104</v>
      </c>
      <c r="AG100" s="4">
        <v>41.67</v>
      </c>
      <c r="AH100" s="4">
        <v>14</v>
      </c>
      <c r="AI100" s="4">
        <v>1</v>
      </c>
      <c r="AJ100" s="4" t="b">
        <f t="shared" si="398"/>
        <v>1</v>
      </c>
      <c r="AK100" s="54"/>
      <c r="AL100" s="32">
        <v>41570</v>
      </c>
      <c r="AM100" s="60"/>
      <c r="AN100" s="67">
        <v>-1.5</v>
      </c>
      <c r="AO100" s="67">
        <v>1.5</v>
      </c>
      <c r="AP100" s="4">
        <v>43</v>
      </c>
      <c r="AQ100" s="4">
        <v>25</v>
      </c>
      <c r="AR100" s="4">
        <v>14</v>
      </c>
      <c r="AS100" s="4">
        <v>465</v>
      </c>
      <c r="AT100" s="4">
        <v>656</v>
      </c>
      <c r="AU100" s="4">
        <v>24.94</v>
      </c>
      <c r="AV100" s="4">
        <v>5</v>
      </c>
      <c r="AW100" s="4">
        <v>41.77</v>
      </c>
      <c r="AX100" s="4">
        <v>152</v>
      </c>
      <c r="AY100" s="4">
        <v>42.56</v>
      </c>
      <c r="AZ100" s="4">
        <v>62</v>
      </c>
      <c r="BA100" s="4">
        <f t="shared" si="399"/>
        <v>-0.75</v>
      </c>
      <c r="BB100" s="4">
        <f t="shared" si="397"/>
        <v>-0.24</v>
      </c>
      <c r="BC100" s="4">
        <f t="shared" si="400"/>
        <v>-129</v>
      </c>
      <c r="BD100" s="40">
        <v>41717</v>
      </c>
      <c r="BE100" s="58"/>
      <c r="BS100" s="4" t="str">
        <f t="shared" si="266"/>
        <v/>
      </c>
      <c r="BT100" s="4" t="str">
        <f t="shared" si="401"/>
        <v/>
      </c>
      <c r="BU100" s="4" t="str">
        <f t="shared" si="402"/>
        <v/>
      </c>
      <c r="BV100" s="4">
        <f>IF(AND(ISBLANK(SPH_6),ISBLANK(SPH_12)),0,1)</f>
        <v>1</v>
      </c>
      <c r="BW100" s="4">
        <f t="shared" si="403"/>
        <v>0</v>
      </c>
      <c r="BX100" s="4" t="str">
        <f t="shared" si="404"/>
        <v/>
      </c>
      <c r="BY100" s="4" t="str">
        <f t="shared" si="405"/>
        <v/>
      </c>
      <c r="BZ100" s="4" t="str">
        <f t="shared" si="406"/>
        <v/>
      </c>
      <c r="CA100" s="53">
        <f t="shared" si="407"/>
        <v>210</v>
      </c>
      <c r="CB100" s="55">
        <f t="shared" si="408"/>
        <v>7</v>
      </c>
      <c r="CC100" s="4" t="str">
        <f t="shared" si="409"/>
        <v/>
      </c>
      <c r="CD100" s="4">
        <f t="shared" si="410"/>
        <v>0.57500000000000284</v>
      </c>
      <c r="CE100" s="4" t="str">
        <f t="shared" si="411"/>
        <v/>
      </c>
      <c r="CF100" s="4">
        <f t="shared" si="412"/>
        <v>0.57500000000000284</v>
      </c>
      <c r="CG100" s="4">
        <f t="shared" ref="CG100:CG121" si="526">IF(AND(ISNUMBER(SPH_PREOP),ISNUMBER(SE_LAST_)),SPH_PREOP+CYL_PREOP/2,"")</f>
        <v>1</v>
      </c>
      <c r="CH100" s="4">
        <f t="shared" si="413"/>
        <v>-0.75</v>
      </c>
      <c r="CI100" s="104">
        <f t="shared" si="414"/>
        <v>-0.24</v>
      </c>
      <c r="CJ100" s="94">
        <f t="shared" si="415"/>
        <v>-129</v>
      </c>
      <c r="CK100" s="4">
        <f t="shared" si="416"/>
        <v>3.0000000000001137E-2</v>
      </c>
      <c r="CL100" s="107">
        <f t="shared" si="417"/>
        <v>-0.51</v>
      </c>
      <c r="CM100" s="107">
        <f t="shared" si="396"/>
        <v>7.9181246047624873E-2</v>
      </c>
      <c r="CN100" s="139">
        <f t="shared" si="418"/>
        <v>1.5</v>
      </c>
      <c r="CO100" s="139">
        <f t="shared" si="419"/>
        <v>1.5</v>
      </c>
      <c r="CP100" s="149">
        <f t="shared" si="420"/>
        <v>25</v>
      </c>
      <c r="CQ100" s="149">
        <f t="shared" si="421"/>
        <v>30</v>
      </c>
      <c r="CR100" s="148" t="str">
        <f t="shared" si="422"/>
        <v/>
      </c>
      <c r="CS100" s="152">
        <f t="shared" si="423"/>
        <v>0</v>
      </c>
      <c r="CT100" s="107" t="str">
        <f t="shared" si="424"/>
        <v/>
      </c>
      <c r="CU100" s="155" t="b">
        <f t="shared" si="425"/>
        <v>0</v>
      </c>
      <c r="CV100">
        <v>8.2200000000000006</v>
      </c>
      <c r="CW100" s="4">
        <v>8.1999999999999993</v>
      </c>
      <c r="CX100" s="4">
        <v>138.6</v>
      </c>
      <c r="CY100" s="4">
        <v>-0.1</v>
      </c>
      <c r="CZ100" s="4">
        <v>-0.1</v>
      </c>
      <c r="DA100" s="4">
        <v>0.4</v>
      </c>
      <c r="DB100" s="4">
        <v>3.26</v>
      </c>
      <c r="DC100" s="4">
        <v>3.86</v>
      </c>
      <c r="DD100" s="4">
        <v>600</v>
      </c>
      <c r="DE100" s="4">
        <v>596</v>
      </c>
      <c r="DF100" s="4">
        <v>698</v>
      </c>
      <c r="DG100" s="4">
        <v>651</v>
      </c>
      <c r="DH100" s="4">
        <v>662</v>
      </c>
      <c r="DI100" s="4">
        <v>643</v>
      </c>
      <c r="DJ100" s="4">
        <v>595</v>
      </c>
      <c r="DK100" s="4">
        <v>-0.21</v>
      </c>
      <c r="DL100" s="4">
        <v>-0.71</v>
      </c>
      <c r="DM100" s="4">
        <v>8.26</v>
      </c>
      <c r="DN100" s="4">
        <v>8.1300000000000008</v>
      </c>
      <c r="DO100" s="4">
        <v>8.09</v>
      </c>
      <c r="DP100" s="4">
        <v>8.2200000000000006</v>
      </c>
      <c r="DQ100" s="4">
        <v>8.51</v>
      </c>
      <c r="DR100" s="4">
        <v>8.91</v>
      </c>
      <c r="DS100" s="4">
        <v>0</v>
      </c>
      <c r="DT100" s="4">
        <v>1.4</v>
      </c>
      <c r="DU100" s="4">
        <v>6.69</v>
      </c>
      <c r="DV100" s="4">
        <v>6.77</v>
      </c>
      <c r="DW100" s="4">
        <v>7.01</v>
      </c>
      <c r="DX100" s="4">
        <v>7.32</v>
      </c>
      <c r="DY100" s="4">
        <v>7.57</v>
      </c>
      <c r="DZ100" s="4">
        <v>7.87</v>
      </c>
      <c r="EA100" s="4">
        <v>0</v>
      </c>
      <c r="EB100" s="100">
        <v>1.4</v>
      </c>
      <c r="EC100" s="122">
        <v>41.2</v>
      </c>
      <c r="ED100" s="122">
        <v>42</v>
      </c>
      <c r="EE100" s="122">
        <v>41.6</v>
      </c>
      <c r="EF100" s="122">
        <v>164.8</v>
      </c>
      <c r="EG100" s="122">
        <v>0.9</v>
      </c>
      <c r="EH100" s="122">
        <v>-5.4</v>
      </c>
      <c r="EI100" s="122">
        <v>-5.8</v>
      </c>
      <c r="EJ100" s="122">
        <v>-5.6</v>
      </c>
      <c r="EK100" s="122">
        <v>97.2</v>
      </c>
      <c r="EL100" s="122">
        <v>0.4</v>
      </c>
      <c r="EM100" s="122">
        <v>4.8</v>
      </c>
      <c r="EN100" s="122">
        <v>13.7</v>
      </c>
      <c r="EO100" s="122">
        <v>28.2</v>
      </c>
      <c r="EP100" s="122">
        <v>62.5</v>
      </c>
      <c r="EQ100" s="126">
        <v>18</v>
      </c>
      <c r="ER100" s="94">
        <v>8.1300000000000008</v>
      </c>
      <c r="ES100" s="4">
        <v>7.97</v>
      </c>
      <c r="ET100" s="4">
        <v>147.4</v>
      </c>
      <c r="EU100" s="4">
        <v>-0.8</v>
      </c>
      <c r="EV100" s="4">
        <v>0.6</v>
      </c>
      <c r="EW100" s="4">
        <v>0.63</v>
      </c>
      <c r="EX100" s="4">
        <v>-0.57999999999999996</v>
      </c>
      <c r="EY100" s="4">
        <v>-0.02</v>
      </c>
      <c r="EZ100" s="4">
        <v>560</v>
      </c>
      <c r="FA100" s="4">
        <v>559</v>
      </c>
      <c r="FB100" s="4">
        <v>689</v>
      </c>
      <c r="FC100" s="4">
        <v>620</v>
      </c>
      <c r="FD100" s="4">
        <v>629</v>
      </c>
      <c r="FE100" s="4">
        <v>636</v>
      </c>
      <c r="FF100" s="4">
        <v>554</v>
      </c>
      <c r="FG100" s="4">
        <v>-0.74</v>
      </c>
      <c r="FH100" s="4">
        <v>-0.94</v>
      </c>
      <c r="FI100" s="4">
        <v>8.02</v>
      </c>
      <c r="FJ100" s="4">
        <v>8.11</v>
      </c>
      <c r="FK100" s="4">
        <v>8.19</v>
      </c>
      <c r="FL100" s="4">
        <v>8.2899999999999991</v>
      </c>
      <c r="FM100" s="4">
        <v>8.6199999999999992</v>
      </c>
      <c r="FN100" s="4">
        <v>8.89</v>
      </c>
      <c r="FO100" s="4">
        <v>0</v>
      </c>
      <c r="FP100" s="4">
        <v>1.2</v>
      </c>
      <c r="FQ100" s="4">
        <v>6.65</v>
      </c>
      <c r="FR100" s="4">
        <v>6.6</v>
      </c>
      <c r="FS100" s="4">
        <v>6.75</v>
      </c>
      <c r="FT100" s="4">
        <v>7.06</v>
      </c>
      <c r="FU100" s="4">
        <v>7.61</v>
      </c>
      <c r="FV100" s="4">
        <v>0</v>
      </c>
      <c r="FW100" s="4">
        <v>0</v>
      </c>
      <c r="FX100" s="97">
        <v>1.2</v>
      </c>
      <c r="FY100" s="122">
        <v>41.3</v>
      </c>
      <c r="FZ100" s="122">
        <v>42.1</v>
      </c>
      <c r="GA100" s="122">
        <v>41.7</v>
      </c>
      <c r="GB100" s="122">
        <v>11.7</v>
      </c>
      <c r="GC100" s="122">
        <v>0.9</v>
      </c>
      <c r="GD100" s="122">
        <v>-5.7</v>
      </c>
      <c r="GE100" s="122">
        <v>-6.1</v>
      </c>
      <c r="GF100" s="122">
        <v>-5.9</v>
      </c>
      <c r="GG100" s="122">
        <v>175.3</v>
      </c>
      <c r="GH100" s="122">
        <v>0.4</v>
      </c>
      <c r="GI100" s="122">
        <v>4</v>
      </c>
      <c r="GJ100" s="122">
        <v>11.7</v>
      </c>
      <c r="GK100" s="122">
        <v>24.7</v>
      </c>
      <c r="GL100" s="122">
        <v>57.5</v>
      </c>
      <c r="GM100" s="131">
        <v>21</v>
      </c>
      <c r="IJ100" s="94">
        <f t="shared" si="426"/>
        <v>8.1300000000000008</v>
      </c>
      <c r="IK100" s="4">
        <f t="shared" si="427"/>
        <v>7.97</v>
      </c>
      <c r="IL100" s="4">
        <f t="shared" si="428"/>
        <v>147.4</v>
      </c>
      <c r="IM100" s="4">
        <f t="shared" si="429"/>
        <v>-0.8</v>
      </c>
      <c r="IN100" s="4">
        <f t="shared" si="430"/>
        <v>0.6</v>
      </c>
      <c r="IO100" s="4">
        <f t="shared" si="431"/>
        <v>0.63</v>
      </c>
      <c r="IP100" s="4">
        <f t="shared" si="432"/>
        <v>-0.57999999999999996</v>
      </c>
      <c r="IQ100" s="4">
        <f t="shared" si="433"/>
        <v>-0.02</v>
      </c>
      <c r="IR100" s="4">
        <f t="shared" si="434"/>
        <v>560</v>
      </c>
      <c r="IS100" s="4">
        <f t="shared" si="435"/>
        <v>559</v>
      </c>
      <c r="IT100" s="4">
        <f t="shared" si="436"/>
        <v>689</v>
      </c>
      <c r="IU100" s="4">
        <f t="shared" si="437"/>
        <v>620</v>
      </c>
      <c r="IV100" s="4">
        <f t="shared" si="438"/>
        <v>629</v>
      </c>
      <c r="IW100" s="4">
        <f t="shared" si="439"/>
        <v>636</v>
      </c>
      <c r="IX100" s="4">
        <f t="shared" si="440"/>
        <v>554</v>
      </c>
      <c r="IY100" s="4">
        <f t="shared" si="441"/>
        <v>-0.74</v>
      </c>
      <c r="IZ100" s="4">
        <f t="shared" si="442"/>
        <v>-0.94</v>
      </c>
      <c r="JA100" s="4">
        <f t="shared" si="443"/>
        <v>8.02</v>
      </c>
      <c r="JB100" s="4">
        <f t="shared" si="444"/>
        <v>8.11</v>
      </c>
      <c r="JC100" s="4">
        <f t="shared" si="445"/>
        <v>8.19</v>
      </c>
      <c r="JD100" s="4">
        <f t="shared" si="446"/>
        <v>8.2899999999999991</v>
      </c>
      <c r="JE100" s="4">
        <f t="shared" si="447"/>
        <v>8.6199999999999992</v>
      </c>
      <c r="JF100" s="4">
        <f t="shared" si="448"/>
        <v>8.89</v>
      </c>
      <c r="JG100" s="4">
        <f t="shared" si="449"/>
        <v>0</v>
      </c>
      <c r="JH100" s="4">
        <f t="shared" si="450"/>
        <v>1.2</v>
      </c>
      <c r="JI100" s="4">
        <f t="shared" si="451"/>
        <v>6.65</v>
      </c>
      <c r="JJ100" s="4">
        <f t="shared" si="452"/>
        <v>6.6</v>
      </c>
      <c r="JK100" s="4">
        <f t="shared" si="453"/>
        <v>6.75</v>
      </c>
      <c r="JL100" s="4">
        <f t="shared" si="454"/>
        <v>7.06</v>
      </c>
      <c r="JM100" s="4">
        <f t="shared" si="455"/>
        <v>7.61</v>
      </c>
      <c r="JN100" s="4">
        <f t="shared" si="456"/>
        <v>0</v>
      </c>
      <c r="JO100" s="129">
        <f t="shared" si="457"/>
        <v>0</v>
      </c>
      <c r="JP100" s="122">
        <f t="shared" si="458"/>
        <v>1.2</v>
      </c>
      <c r="JQ100" s="122">
        <f t="shared" si="459"/>
        <v>41.3</v>
      </c>
      <c r="JR100" s="122">
        <f t="shared" si="460"/>
        <v>42.1</v>
      </c>
      <c r="JS100" s="122">
        <f t="shared" si="461"/>
        <v>41.7</v>
      </c>
      <c r="JT100" s="122">
        <f t="shared" si="462"/>
        <v>11.7</v>
      </c>
      <c r="JU100" s="122">
        <f t="shared" si="463"/>
        <v>0.9</v>
      </c>
      <c r="JV100" s="122">
        <f t="shared" si="464"/>
        <v>-5.7</v>
      </c>
      <c r="JW100" s="122">
        <f t="shared" si="465"/>
        <v>-6.1</v>
      </c>
      <c r="JX100" s="122">
        <f t="shared" si="466"/>
        <v>-5.9</v>
      </c>
      <c r="JY100" s="122">
        <f t="shared" si="467"/>
        <v>175.3</v>
      </c>
      <c r="JZ100" s="122">
        <f t="shared" si="468"/>
        <v>0.4</v>
      </c>
      <c r="KA100" s="122">
        <f t="shared" si="469"/>
        <v>4</v>
      </c>
      <c r="KB100" s="122">
        <f t="shared" si="470"/>
        <v>11.7</v>
      </c>
      <c r="KC100" s="122">
        <f t="shared" si="471"/>
        <v>24.7</v>
      </c>
      <c r="KD100" s="122">
        <f t="shared" si="472"/>
        <v>57.5</v>
      </c>
      <c r="KE100" s="133">
        <f t="shared" si="473"/>
        <v>21</v>
      </c>
      <c r="KF100" s="94">
        <f t="shared" si="474"/>
        <v>-8.9999999999999858E-2</v>
      </c>
      <c r="KG100" s="4">
        <f t="shared" si="475"/>
        <v>-0.22999999999999954</v>
      </c>
      <c r="KH100" s="4">
        <f t="shared" si="476"/>
        <v>8.8000000000000114</v>
      </c>
      <c r="KI100" s="4">
        <f t="shared" si="477"/>
        <v>-0.70000000000000007</v>
      </c>
      <c r="KJ100" s="4">
        <f t="shared" si="478"/>
        <v>0.7</v>
      </c>
      <c r="KK100" s="4">
        <f t="shared" si="479"/>
        <v>0.22999999999999998</v>
      </c>
      <c r="KL100" s="4">
        <f t="shared" si="480"/>
        <v>-3.84</v>
      </c>
      <c r="KM100" s="4">
        <f t="shared" si="481"/>
        <v>-3.88</v>
      </c>
      <c r="KN100" s="4">
        <f t="shared" si="482"/>
        <v>-40</v>
      </c>
      <c r="KO100" s="4">
        <f t="shared" si="483"/>
        <v>-37</v>
      </c>
      <c r="KP100" s="4">
        <f t="shared" si="484"/>
        <v>-9</v>
      </c>
      <c r="KQ100" s="4">
        <f t="shared" si="485"/>
        <v>-31</v>
      </c>
      <c r="KR100" s="4">
        <f t="shared" si="486"/>
        <v>-33</v>
      </c>
      <c r="KS100" s="4">
        <f t="shared" si="487"/>
        <v>-7</v>
      </c>
      <c r="KT100" s="4">
        <f t="shared" si="488"/>
        <v>-41</v>
      </c>
      <c r="KU100" s="4">
        <f t="shared" si="489"/>
        <v>-0.53</v>
      </c>
      <c r="KV100" s="4">
        <f t="shared" si="490"/>
        <v>-0.22999999999999998</v>
      </c>
      <c r="KW100" s="4">
        <f t="shared" si="491"/>
        <v>-0.24000000000000021</v>
      </c>
      <c r="KX100" s="4">
        <f t="shared" si="492"/>
        <v>-2.000000000000135E-2</v>
      </c>
      <c r="KY100" s="4">
        <f t="shared" si="493"/>
        <v>9.9999999999999645E-2</v>
      </c>
      <c r="KZ100" s="4">
        <f t="shared" si="494"/>
        <v>6.9999999999998508E-2</v>
      </c>
      <c r="LA100" s="4">
        <f t="shared" si="495"/>
        <v>0.10999999999999943</v>
      </c>
      <c r="LB100" s="4">
        <f t="shared" si="496"/>
        <v>-1.9999999999999574E-2</v>
      </c>
      <c r="LC100" s="4">
        <f t="shared" si="497"/>
        <v>0</v>
      </c>
      <c r="LD100" s="4">
        <f t="shared" si="498"/>
        <v>-0.19999999999999996</v>
      </c>
      <c r="LE100" s="4">
        <f t="shared" si="499"/>
        <v>-4.0000000000000036E-2</v>
      </c>
      <c r="LF100" s="4">
        <f t="shared" si="500"/>
        <v>-0.16999999999999993</v>
      </c>
      <c r="LG100" s="4">
        <f t="shared" si="501"/>
        <v>-0.25999999999999979</v>
      </c>
      <c r="LH100" s="4">
        <f t="shared" si="502"/>
        <v>-0.26000000000000068</v>
      </c>
      <c r="LI100" s="4">
        <f t="shared" si="503"/>
        <v>4.0000000000000036E-2</v>
      </c>
      <c r="LJ100" s="4">
        <f t="shared" si="504"/>
        <v>-7.87</v>
      </c>
      <c r="LK100" s="4">
        <f t="shared" si="505"/>
        <v>0</v>
      </c>
      <c r="LL100" s="4">
        <f t="shared" si="506"/>
        <v>-0.19999999999999996</v>
      </c>
      <c r="LM100" s="4">
        <f t="shared" si="507"/>
        <v>9.9999999999994316E-2</v>
      </c>
      <c r="LN100" s="4">
        <f t="shared" si="508"/>
        <v>0.10000000000000142</v>
      </c>
      <c r="LO100" s="4">
        <f t="shared" si="509"/>
        <v>0.10000000000000142</v>
      </c>
      <c r="LP100" s="4">
        <f t="shared" si="510"/>
        <v>-153.10000000000002</v>
      </c>
      <c r="LQ100" s="4">
        <f t="shared" si="511"/>
        <v>0</v>
      </c>
      <c r="LR100" s="4">
        <f t="shared" si="512"/>
        <v>-0.29999999999999982</v>
      </c>
      <c r="LS100" s="4">
        <f t="shared" si="513"/>
        <v>-0.29999999999999982</v>
      </c>
      <c r="LT100" s="4">
        <f t="shared" si="514"/>
        <v>-0.30000000000000071</v>
      </c>
      <c r="LU100" s="4">
        <f t="shared" si="515"/>
        <v>78.100000000000009</v>
      </c>
      <c r="LV100" s="4">
        <f t="shared" si="516"/>
        <v>0</v>
      </c>
      <c r="LW100" s="4">
        <f t="shared" si="517"/>
        <v>-0.79999999999999982</v>
      </c>
      <c r="LX100" s="4">
        <f t="shared" si="518"/>
        <v>-2</v>
      </c>
      <c r="LY100" s="4">
        <f t="shared" si="519"/>
        <v>-3.5</v>
      </c>
      <c r="LZ100" s="4">
        <f t="shared" si="520"/>
        <v>-5</v>
      </c>
      <c r="MA100" s="4">
        <f t="shared" si="521"/>
        <v>3</v>
      </c>
      <c r="MB100" s="4" t="str">
        <f t="shared" si="522"/>
        <v/>
      </c>
      <c r="MC100" s="4" t="str">
        <f t="shared" si="523"/>
        <v/>
      </c>
      <c r="MD100" s="4" t="str">
        <f t="shared" si="524"/>
        <v/>
      </c>
      <c r="ME100" s="4">
        <f t="shared" si="525"/>
        <v>6.1</v>
      </c>
    </row>
    <row r="101" spans="1:343" ht="26.25" customHeight="1" thickBot="1" x14ac:dyDescent="0.25">
      <c r="A101" s="35">
        <v>41332</v>
      </c>
      <c r="B101" s="36" t="s">
        <v>120</v>
      </c>
      <c r="C101" s="36" t="s">
        <v>38</v>
      </c>
      <c r="D101" s="31" t="s">
        <v>111</v>
      </c>
      <c r="E101" s="4">
        <v>67</v>
      </c>
      <c r="F101" s="3">
        <v>16619</v>
      </c>
      <c r="G101" s="4" t="s">
        <v>87</v>
      </c>
      <c r="H101" s="4" t="s">
        <v>112</v>
      </c>
      <c r="I101" s="4">
        <v>1836315</v>
      </c>
      <c r="J101" s="36"/>
      <c r="K101" s="158"/>
      <c r="L101" s="158"/>
      <c r="M101" s="158"/>
      <c r="N101" s="158"/>
      <c r="O101" s="158"/>
      <c r="P101" s="39">
        <v>-1.5</v>
      </c>
      <c r="Q101" s="39">
        <v>-1.49</v>
      </c>
      <c r="R101" s="39" t="s">
        <v>249</v>
      </c>
      <c r="S101" s="70">
        <v>17.75</v>
      </c>
      <c r="T101" s="136">
        <v>41330</v>
      </c>
      <c r="U101" s="67">
        <v>-4.5</v>
      </c>
      <c r="V101" s="67">
        <v>2</v>
      </c>
      <c r="W101" s="4">
        <v>165</v>
      </c>
      <c r="X101" s="4">
        <v>25</v>
      </c>
      <c r="Y101" s="4">
        <v>15</v>
      </c>
      <c r="Z101" s="4">
        <v>599</v>
      </c>
      <c r="AA101" s="4">
        <v>24.55</v>
      </c>
      <c r="AB101" s="4">
        <v>11.4</v>
      </c>
      <c r="AC101" s="4">
        <v>4.54</v>
      </c>
      <c r="AD101" s="4">
        <v>3.74</v>
      </c>
      <c r="AE101" s="4">
        <v>45.67</v>
      </c>
      <c r="AF101" s="4">
        <v>57</v>
      </c>
      <c r="AG101" s="4">
        <v>46.55</v>
      </c>
      <c r="AH101" s="4">
        <v>147</v>
      </c>
      <c r="AI101" s="4">
        <v>1</v>
      </c>
      <c r="AJ101" s="4" t="b">
        <f t="shared" si="398"/>
        <v>1</v>
      </c>
      <c r="AK101" s="54"/>
      <c r="AL101" s="32">
        <v>41470</v>
      </c>
      <c r="AM101" s="60">
        <v>40</v>
      </c>
      <c r="AN101" s="67">
        <v>-3</v>
      </c>
      <c r="AO101" s="67">
        <v>0.75</v>
      </c>
      <c r="AP101" s="4">
        <v>5</v>
      </c>
      <c r="AQ101" s="4">
        <v>20</v>
      </c>
      <c r="AR101" s="4">
        <v>16</v>
      </c>
      <c r="AS101" s="4">
        <v>513</v>
      </c>
      <c r="AT101" s="4">
        <v>2458</v>
      </c>
      <c r="BA101" s="4">
        <f t="shared" si="399"/>
        <v>-2.625</v>
      </c>
      <c r="BB101" s="4">
        <f t="shared" si="397"/>
        <v>-1.135</v>
      </c>
      <c r="BC101" s="4">
        <f t="shared" si="400"/>
        <v>-86</v>
      </c>
      <c r="BD101" s="51" t="s">
        <v>505</v>
      </c>
      <c r="BS101" s="4" t="str">
        <f t="shared" si="266"/>
        <v/>
      </c>
      <c r="BT101" s="4" t="str">
        <f t="shared" si="401"/>
        <v/>
      </c>
      <c r="BU101" s="4" t="str">
        <f t="shared" si="402"/>
        <v/>
      </c>
      <c r="BV101" s="4">
        <f>IF(AND(ISBLANK(SPH_6),ISBLANK(SPH_12)),0,1)</f>
        <v>1</v>
      </c>
      <c r="BW101" s="4">
        <f t="shared" si="403"/>
        <v>0</v>
      </c>
      <c r="BX101" s="4" t="str">
        <f t="shared" si="404"/>
        <v/>
      </c>
      <c r="BY101" s="4" t="str">
        <f t="shared" si="405"/>
        <v/>
      </c>
      <c r="BZ101" s="4" t="str">
        <f t="shared" si="406"/>
        <v/>
      </c>
      <c r="CA101" s="53">
        <f t="shared" si="407"/>
        <v>138</v>
      </c>
      <c r="CB101" s="55">
        <f t="shared" si="408"/>
        <v>4.5999999999999996</v>
      </c>
      <c r="CC101" s="4" t="str">
        <f t="shared" si="409"/>
        <v/>
      </c>
      <c r="CD101" s="4" t="str">
        <f t="shared" si="410"/>
        <v/>
      </c>
      <c r="CE101" s="4" t="str">
        <f t="shared" si="411"/>
        <v/>
      </c>
      <c r="CF101" s="4" t="str">
        <f t="shared" si="412"/>
        <v/>
      </c>
      <c r="CG101" s="4">
        <f t="shared" si="526"/>
        <v>-3.5</v>
      </c>
      <c r="CH101" s="4">
        <f t="shared" si="413"/>
        <v>-2.625</v>
      </c>
      <c r="CI101" s="104">
        <f t="shared" si="414"/>
        <v>-1.135</v>
      </c>
      <c r="CJ101" s="94">
        <f t="shared" si="415"/>
        <v>-86</v>
      </c>
      <c r="CK101" s="4" t="str">
        <f t="shared" si="416"/>
        <v/>
      </c>
      <c r="CL101" s="107">
        <f t="shared" si="417"/>
        <v>-1.49</v>
      </c>
      <c r="CM101" s="107">
        <f t="shared" si="396"/>
        <v>9.6910013008056392E-2</v>
      </c>
      <c r="CN101" s="139">
        <f t="shared" si="418"/>
        <v>0.75</v>
      </c>
      <c r="CO101" s="139">
        <f t="shared" si="419"/>
        <v>-1.25</v>
      </c>
      <c r="CP101" s="149">
        <f t="shared" si="420"/>
        <v>20</v>
      </c>
      <c r="CQ101" s="149">
        <f t="shared" si="421"/>
        <v>25</v>
      </c>
      <c r="CR101" s="148" t="str">
        <f t="shared" si="422"/>
        <v/>
      </c>
      <c r="CS101" s="152" t="str">
        <f t="shared" si="423"/>
        <v/>
      </c>
      <c r="CT101" s="107" t="str">
        <f t="shared" si="424"/>
        <v/>
      </c>
      <c r="CU101" s="155" t="str">
        <f t="shared" si="425"/>
        <v/>
      </c>
      <c r="ER101" s="94">
        <v>7.34</v>
      </c>
      <c r="ES101" s="4">
        <v>7.46</v>
      </c>
      <c r="ET101" s="4">
        <v>61.8</v>
      </c>
      <c r="EU101" s="4">
        <v>0.7</v>
      </c>
      <c r="EV101" s="4">
        <v>0.77</v>
      </c>
      <c r="EW101" s="4">
        <v>0.81</v>
      </c>
      <c r="EX101" s="4">
        <v>3.85</v>
      </c>
      <c r="EY101" s="4">
        <v>4.3600000000000003</v>
      </c>
      <c r="EZ101" s="4">
        <v>510</v>
      </c>
      <c r="FA101" s="4">
        <v>509</v>
      </c>
      <c r="FB101" s="4">
        <v>611</v>
      </c>
      <c r="FC101" s="4">
        <v>583</v>
      </c>
      <c r="FD101" s="4">
        <v>576</v>
      </c>
      <c r="FE101" s="4">
        <v>583</v>
      </c>
      <c r="FF101" s="4">
        <v>506</v>
      </c>
      <c r="FG101" s="4">
        <v>-0.52</v>
      </c>
      <c r="FH101" s="4">
        <v>-0.45</v>
      </c>
      <c r="FI101" s="4">
        <v>7.42</v>
      </c>
      <c r="FJ101" s="4">
        <v>7.41</v>
      </c>
      <c r="FK101" s="4">
        <v>7.52</v>
      </c>
      <c r="FL101" s="4">
        <v>7.89</v>
      </c>
      <c r="FM101" s="4">
        <v>8.26</v>
      </c>
      <c r="FN101" s="4">
        <v>8.61</v>
      </c>
      <c r="FO101" s="4">
        <v>0</v>
      </c>
      <c r="FP101" s="4">
        <v>1.4</v>
      </c>
      <c r="FQ101" s="4">
        <v>6.12</v>
      </c>
      <c r="FR101" s="4">
        <v>6.17</v>
      </c>
      <c r="FS101" s="4">
        <v>6.32</v>
      </c>
      <c r="FT101" s="4">
        <v>6.53</v>
      </c>
      <c r="FU101" s="4">
        <v>6.82</v>
      </c>
      <c r="FV101" s="4">
        <v>0</v>
      </c>
      <c r="FW101" s="4">
        <v>0</v>
      </c>
      <c r="FX101" s="97">
        <v>1.4</v>
      </c>
      <c r="IJ101" s="94">
        <f t="shared" si="426"/>
        <v>7.34</v>
      </c>
      <c r="IK101" s="4">
        <f t="shared" si="427"/>
        <v>7.46</v>
      </c>
      <c r="IL101" s="4">
        <f t="shared" si="428"/>
        <v>61.8</v>
      </c>
      <c r="IM101" s="4">
        <f t="shared" si="429"/>
        <v>0.7</v>
      </c>
      <c r="IN101" s="4">
        <f t="shared" si="430"/>
        <v>0.77</v>
      </c>
      <c r="IO101" s="4">
        <f t="shared" si="431"/>
        <v>0.81</v>
      </c>
      <c r="IP101" s="4">
        <f t="shared" si="432"/>
        <v>3.85</v>
      </c>
      <c r="IQ101" s="4">
        <f t="shared" si="433"/>
        <v>4.3600000000000003</v>
      </c>
      <c r="IR101" s="4">
        <f t="shared" si="434"/>
        <v>510</v>
      </c>
      <c r="IS101" s="4">
        <f t="shared" si="435"/>
        <v>509</v>
      </c>
      <c r="IT101" s="4">
        <f t="shared" si="436"/>
        <v>611</v>
      </c>
      <c r="IU101" s="4">
        <f t="shared" si="437"/>
        <v>583</v>
      </c>
      <c r="IV101" s="4">
        <f t="shared" si="438"/>
        <v>576</v>
      </c>
      <c r="IW101" s="4">
        <f t="shared" si="439"/>
        <v>583</v>
      </c>
      <c r="IX101" s="4">
        <f t="shared" si="440"/>
        <v>506</v>
      </c>
      <c r="IY101" s="4">
        <f t="shared" si="441"/>
        <v>-0.52</v>
      </c>
      <c r="IZ101" s="4">
        <f t="shared" si="442"/>
        <v>-0.45</v>
      </c>
      <c r="JA101" s="4">
        <f t="shared" si="443"/>
        <v>7.42</v>
      </c>
      <c r="JB101" s="4">
        <f t="shared" si="444"/>
        <v>7.41</v>
      </c>
      <c r="JC101" s="4">
        <f t="shared" si="445"/>
        <v>7.52</v>
      </c>
      <c r="JD101" s="4">
        <f t="shared" si="446"/>
        <v>7.89</v>
      </c>
      <c r="JE101" s="4">
        <f t="shared" si="447"/>
        <v>8.26</v>
      </c>
      <c r="JF101" s="4">
        <f t="shared" si="448"/>
        <v>8.61</v>
      </c>
      <c r="JG101" s="4">
        <f t="shared" si="449"/>
        <v>0</v>
      </c>
      <c r="JH101" s="4">
        <f t="shared" si="450"/>
        <v>1.4</v>
      </c>
      <c r="JI101" s="4">
        <f t="shared" si="451"/>
        <v>6.12</v>
      </c>
      <c r="JJ101" s="4">
        <f t="shared" si="452"/>
        <v>6.17</v>
      </c>
      <c r="JK101" s="4">
        <f t="shared" si="453"/>
        <v>6.32</v>
      </c>
      <c r="JL101" s="4">
        <f t="shared" si="454"/>
        <v>6.53</v>
      </c>
      <c r="JM101" s="4">
        <f t="shared" si="455"/>
        <v>6.82</v>
      </c>
      <c r="JN101" s="4">
        <f t="shared" si="456"/>
        <v>0</v>
      </c>
      <c r="JO101" s="129">
        <f t="shared" si="457"/>
        <v>0</v>
      </c>
      <c r="JP101" s="122">
        <f t="shared" si="458"/>
        <v>1.4</v>
      </c>
      <c r="JQ101" s="122" t="str">
        <f t="shared" si="459"/>
        <v/>
      </c>
      <c r="JR101" s="122" t="str">
        <f t="shared" si="460"/>
        <v/>
      </c>
      <c r="JS101" s="122" t="str">
        <f t="shared" si="461"/>
        <v/>
      </c>
      <c r="JT101" s="122" t="str">
        <f t="shared" si="462"/>
        <v/>
      </c>
      <c r="JU101" s="122" t="str">
        <f t="shared" si="463"/>
        <v/>
      </c>
      <c r="JV101" s="122" t="str">
        <f t="shared" si="464"/>
        <v/>
      </c>
      <c r="JW101" s="122" t="str">
        <f t="shared" si="465"/>
        <v/>
      </c>
      <c r="JX101" s="122" t="str">
        <f t="shared" si="466"/>
        <v/>
      </c>
      <c r="JY101" s="122" t="str">
        <f t="shared" si="467"/>
        <v/>
      </c>
      <c r="JZ101" s="122" t="str">
        <f t="shared" si="468"/>
        <v/>
      </c>
      <c r="KA101" s="122" t="str">
        <f t="shared" si="469"/>
        <v/>
      </c>
      <c r="KB101" s="122" t="str">
        <f t="shared" si="470"/>
        <v/>
      </c>
      <c r="KC101" s="122" t="str">
        <f t="shared" si="471"/>
        <v/>
      </c>
      <c r="KD101" s="122" t="str">
        <f t="shared" si="472"/>
        <v/>
      </c>
      <c r="KE101" s="133" t="str">
        <f t="shared" si="473"/>
        <v/>
      </c>
      <c r="KF101" s="94" t="str">
        <f t="shared" si="474"/>
        <v/>
      </c>
      <c r="KG101" s="4" t="str">
        <f t="shared" si="475"/>
        <v/>
      </c>
      <c r="KH101" s="4" t="str">
        <f t="shared" si="476"/>
        <v/>
      </c>
      <c r="KI101" s="4" t="str">
        <f t="shared" si="477"/>
        <v/>
      </c>
      <c r="KJ101" s="4" t="str">
        <f t="shared" si="478"/>
        <v/>
      </c>
      <c r="KK101" s="4" t="str">
        <f t="shared" si="479"/>
        <v/>
      </c>
      <c r="KL101" s="4" t="str">
        <f t="shared" si="480"/>
        <v/>
      </c>
      <c r="KM101" s="4" t="str">
        <f t="shared" si="481"/>
        <v/>
      </c>
      <c r="KN101" s="4" t="str">
        <f t="shared" si="482"/>
        <v/>
      </c>
      <c r="KO101" s="4" t="str">
        <f t="shared" si="483"/>
        <v/>
      </c>
      <c r="KP101" s="4" t="str">
        <f t="shared" si="484"/>
        <v/>
      </c>
      <c r="KQ101" s="4" t="str">
        <f t="shared" si="485"/>
        <v/>
      </c>
      <c r="KR101" s="4" t="str">
        <f t="shared" si="486"/>
        <v/>
      </c>
      <c r="KS101" s="4" t="str">
        <f t="shared" si="487"/>
        <v/>
      </c>
      <c r="KT101" s="4" t="str">
        <f t="shared" si="488"/>
        <v/>
      </c>
      <c r="KU101" s="4" t="str">
        <f t="shared" si="489"/>
        <v/>
      </c>
      <c r="KV101" s="4" t="str">
        <f t="shared" si="490"/>
        <v/>
      </c>
      <c r="KW101" s="4" t="str">
        <f t="shared" si="491"/>
        <v/>
      </c>
      <c r="KX101" s="4" t="str">
        <f t="shared" si="492"/>
        <v/>
      </c>
      <c r="KY101" s="4" t="str">
        <f t="shared" si="493"/>
        <v/>
      </c>
      <c r="KZ101" s="4" t="str">
        <f t="shared" si="494"/>
        <v/>
      </c>
      <c r="LA101" s="4" t="str">
        <f t="shared" si="495"/>
        <v/>
      </c>
      <c r="LB101" s="4" t="str">
        <f t="shared" si="496"/>
        <v/>
      </c>
      <c r="LC101" s="4" t="str">
        <f t="shared" si="497"/>
        <v/>
      </c>
      <c r="LD101" s="4" t="str">
        <f t="shared" si="498"/>
        <v/>
      </c>
      <c r="LE101" s="4" t="str">
        <f t="shared" si="499"/>
        <v/>
      </c>
      <c r="LF101" s="4" t="str">
        <f t="shared" si="500"/>
        <v/>
      </c>
      <c r="LG101" s="4" t="str">
        <f t="shared" si="501"/>
        <v/>
      </c>
      <c r="LH101" s="4" t="str">
        <f t="shared" si="502"/>
        <v/>
      </c>
      <c r="LI101" s="4" t="str">
        <f t="shared" si="503"/>
        <v/>
      </c>
      <c r="LJ101" s="4" t="str">
        <f t="shared" si="504"/>
        <v/>
      </c>
      <c r="LK101" s="4" t="str">
        <f t="shared" si="505"/>
        <v/>
      </c>
      <c r="LL101" s="4" t="str">
        <f t="shared" si="506"/>
        <v/>
      </c>
      <c r="LM101" s="4" t="str">
        <f t="shared" si="507"/>
        <v/>
      </c>
      <c r="LN101" s="4" t="str">
        <f t="shared" si="508"/>
        <v/>
      </c>
      <c r="LO101" s="4" t="str">
        <f t="shared" si="509"/>
        <v/>
      </c>
      <c r="LP101" s="4" t="str">
        <f t="shared" si="510"/>
        <v/>
      </c>
      <c r="LQ101" s="4" t="str">
        <f t="shared" si="511"/>
        <v/>
      </c>
      <c r="LR101" s="4" t="str">
        <f t="shared" si="512"/>
        <v/>
      </c>
      <c r="LS101" s="4" t="str">
        <f t="shared" si="513"/>
        <v/>
      </c>
      <c r="LT101" s="4" t="str">
        <f t="shared" si="514"/>
        <v/>
      </c>
      <c r="LU101" s="4" t="str">
        <f t="shared" si="515"/>
        <v/>
      </c>
      <c r="LV101" s="4" t="str">
        <f t="shared" si="516"/>
        <v/>
      </c>
      <c r="LW101" s="4" t="str">
        <f t="shared" si="517"/>
        <v/>
      </c>
      <c r="LX101" s="4" t="str">
        <f t="shared" si="518"/>
        <v/>
      </c>
      <c r="LY101" s="4" t="str">
        <f t="shared" si="519"/>
        <v/>
      </c>
      <c r="LZ101" s="4" t="str">
        <f t="shared" si="520"/>
        <v/>
      </c>
      <c r="MA101" s="4" t="str">
        <f t="shared" si="521"/>
        <v/>
      </c>
      <c r="MB101" s="4" t="str">
        <f t="shared" si="522"/>
        <v/>
      </c>
      <c r="MC101" s="4" t="str">
        <f t="shared" si="523"/>
        <v/>
      </c>
      <c r="MD101" s="4" t="str">
        <f t="shared" si="524"/>
        <v/>
      </c>
      <c r="ME101" s="4">
        <f t="shared" si="525"/>
        <v>0</v>
      </c>
    </row>
    <row r="102" spans="1:343" ht="26.25" customHeight="1" thickBot="1" x14ac:dyDescent="0.25">
      <c r="A102" s="35">
        <v>41374</v>
      </c>
      <c r="B102" s="36" t="s">
        <v>140</v>
      </c>
      <c r="C102" s="36" t="s">
        <v>47</v>
      </c>
      <c r="D102" s="31" t="s">
        <v>111</v>
      </c>
      <c r="E102" s="4">
        <v>73</v>
      </c>
      <c r="F102" s="3">
        <v>14501</v>
      </c>
      <c r="G102" s="4" t="s">
        <v>87</v>
      </c>
      <c r="H102" s="4" t="s">
        <v>108</v>
      </c>
      <c r="I102" s="4">
        <v>1836345</v>
      </c>
      <c r="K102" s="74"/>
      <c r="L102" s="75"/>
      <c r="M102" s="75"/>
      <c r="N102" s="75"/>
      <c r="O102" s="75"/>
      <c r="P102" s="4">
        <v>-0.5</v>
      </c>
      <c r="Q102" s="4">
        <v>-0.59</v>
      </c>
      <c r="R102" s="4" t="s">
        <v>249</v>
      </c>
      <c r="S102" s="67">
        <v>16.25</v>
      </c>
      <c r="T102" s="136">
        <v>41351</v>
      </c>
      <c r="U102" s="67">
        <v>-2</v>
      </c>
      <c r="V102" s="67">
        <v>1</v>
      </c>
      <c r="W102" s="4">
        <v>155</v>
      </c>
      <c r="X102" s="4">
        <v>50</v>
      </c>
      <c r="Y102" s="4">
        <v>16</v>
      </c>
      <c r="Z102" s="4">
        <v>657</v>
      </c>
      <c r="AA102" s="4">
        <v>24.86</v>
      </c>
      <c r="AB102" s="4">
        <v>12</v>
      </c>
      <c r="AC102" s="4">
        <v>4.59</v>
      </c>
      <c r="AD102" s="4">
        <v>3.28</v>
      </c>
      <c r="AE102" s="4">
        <v>44.18</v>
      </c>
      <c r="AF102" s="4">
        <v>99</v>
      </c>
      <c r="AG102" s="4">
        <v>44.29</v>
      </c>
      <c r="AH102" s="4">
        <v>9</v>
      </c>
      <c r="AI102" s="4">
        <v>1</v>
      </c>
      <c r="AJ102" s="4" t="b">
        <f t="shared" si="398"/>
        <v>1</v>
      </c>
      <c r="AK102" s="54"/>
      <c r="AL102" s="3">
        <v>41556</v>
      </c>
      <c r="AM102" s="51" t="s">
        <v>282</v>
      </c>
      <c r="AN102" s="67">
        <v>-1.25</v>
      </c>
      <c r="AO102" s="67">
        <v>1.25</v>
      </c>
      <c r="AP102" s="4">
        <v>168</v>
      </c>
      <c r="AQ102" s="4">
        <v>25</v>
      </c>
      <c r="AR102" s="4">
        <v>15</v>
      </c>
      <c r="AS102" s="4">
        <v>551</v>
      </c>
      <c r="AT102" s="4">
        <v>2169</v>
      </c>
      <c r="AU102" s="51" t="s">
        <v>282</v>
      </c>
      <c r="AV102" s="51" t="s">
        <v>282</v>
      </c>
      <c r="AW102" s="51" t="s">
        <v>282</v>
      </c>
      <c r="AX102" s="51" t="s">
        <v>282</v>
      </c>
      <c r="AY102" s="51" t="s">
        <v>282</v>
      </c>
      <c r="AZ102" s="51" t="s">
        <v>282</v>
      </c>
      <c r="BA102" s="4">
        <f t="shared" si="399"/>
        <v>-0.625</v>
      </c>
      <c r="BB102" s="4">
        <f t="shared" si="397"/>
        <v>-3.5000000000000031E-2</v>
      </c>
      <c r="BC102" s="4">
        <f t="shared" si="400"/>
        <v>-106</v>
      </c>
      <c r="BD102" s="150">
        <v>41773</v>
      </c>
      <c r="BS102" s="4" t="str">
        <f t="shared" si="266"/>
        <v/>
      </c>
      <c r="BT102" s="4" t="str">
        <f t="shared" si="401"/>
        <v/>
      </c>
      <c r="BU102" s="4" t="str">
        <f t="shared" si="402"/>
        <v/>
      </c>
      <c r="BV102" s="4">
        <f>IF(AND(ISBLANK(SPH_6),ISBLANK(SPH_12)),0,1)</f>
        <v>1</v>
      </c>
      <c r="BW102" s="4">
        <f t="shared" si="403"/>
        <v>0</v>
      </c>
      <c r="BX102" s="4" t="str">
        <f t="shared" si="404"/>
        <v/>
      </c>
      <c r="BY102" s="4" t="str">
        <f t="shared" si="405"/>
        <v/>
      </c>
      <c r="BZ102" s="4" t="str">
        <f t="shared" si="406"/>
        <v/>
      </c>
      <c r="CA102" s="53">
        <f t="shared" si="407"/>
        <v>182</v>
      </c>
      <c r="CB102" s="55">
        <f t="shared" si="408"/>
        <v>6.0666666666666664</v>
      </c>
      <c r="CC102" s="4" t="str">
        <f t="shared" si="409"/>
        <v/>
      </c>
      <c r="CD102" s="4" t="str">
        <f t="shared" si="410"/>
        <v/>
      </c>
      <c r="CE102" s="4" t="str">
        <f t="shared" si="411"/>
        <v/>
      </c>
      <c r="CF102" s="4" t="str">
        <f t="shared" si="412"/>
        <v/>
      </c>
      <c r="CG102" s="4">
        <f t="shared" si="526"/>
        <v>-1.5</v>
      </c>
      <c r="CH102" s="4">
        <f t="shared" si="413"/>
        <v>-0.625</v>
      </c>
      <c r="CI102" s="104">
        <f t="shared" si="414"/>
        <v>-3.5000000000000031E-2</v>
      </c>
      <c r="CJ102" s="94">
        <f t="shared" si="415"/>
        <v>-106</v>
      </c>
      <c r="CK102" s="4" t="str">
        <f t="shared" si="416"/>
        <v/>
      </c>
      <c r="CL102" s="107">
        <f t="shared" si="417"/>
        <v>-0.59</v>
      </c>
      <c r="CM102" s="107">
        <f t="shared" si="396"/>
        <v>0.3010299956639812</v>
      </c>
      <c r="CN102" s="139">
        <f t="shared" si="418"/>
        <v>1.25</v>
      </c>
      <c r="CO102" s="139">
        <f t="shared" si="419"/>
        <v>0.25</v>
      </c>
      <c r="CP102" s="149">
        <f t="shared" si="420"/>
        <v>25</v>
      </c>
      <c r="CQ102" s="149">
        <f t="shared" si="421"/>
        <v>50</v>
      </c>
      <c r="CR102" s="148" t="str">
        <f t="shared" si="422"/>
        <v/>
      </c>
      <c r="CS102" s="152">
        <f t="shared" si="423"/>
        <v>1</v>
      </c>
      <c r="CT102" s="107" t="str">
        <f t="shared" si="424"/>
        <v/>
      </c>
      <c r="CU102" s="155" t="b">
        <f t="shared" si="425"/>
        <v>1</v>
      </c>
      <c r="CV102">
        <v>7.75</v>
      </c>
      <c r="CW102" s="4">
        <v>7.87</v>
      </c>
      <c r="CX102" s="4">
        <v>110.1</v>
      </c>
      <c r="CY102" s="4">
        <v>0.7</v>
      </c>
      <c r="CZ102" s="4">
        <v>-0.03</v>
      </c>
      <c r="DA102" s="4">
        <v>0.56000000000000005</v>
      </c>
      <c r="DB102" s="4">
        <v>2.58</v>
      </c>
      <c r="DC102" s="4">
        <v>3.25</v>
      </c>
      <c r="DD102" s="4">
        <v>668</v>
      </c>
      <c r="DE102" s="4">
        <v>666</v>
      </c>
      <c r="DF102" s="4">
        <v>749</v>
      </c>
      <c r="DG102" s="4">
        <v>697</v>
      </c>
      <c r="DH102" s="4">
        <v>737</v>
      </c>
      <c r="DI102" s="4">
        <v>678</v>
      </c>
      <c r="DJ102" s="4">
        <v>640</v>
      </c>
      <c r="DK102" s="4">
        <v>-4.47</v>
      </c>
      <c r="DL102" s="4">
        <v>-1.47</v>
      </c>
      <c r="DM102" s="4">
        <v>7.84</v>
      </c>
      <c r="DN102" s="4">
        <v>7.74</v>
      </c>
      <c r="DO102" s="4">
        <v>7.71</v>
      </c>
      <c r="DP102" s="4">
        <v>7.93</v>
      </c>
      <c r="DQ102" s="4">
        <v>8.51</v>
      </c>
      <c r="DR102" s="4">
        <v>9.08</v>
      </c>
      <c r="DS102" s="4">
        <v>0</v>
      </c>
      <c r="DT102" s="4">
        <v>1.1000000000000001</v>
      </c>
      <c r="DU102" s="4">
        <v>6.66</v>
      </c>
      <c r="DV102" s="4">
        <v>6.68</v>
      </c>
      <c r="DW102" s="4">
        <v>6.95</v>
      </c>
      <c r="DX102" s="4">
        <v>7.38</v>
      </c>
      <c r="DY102" s="4">
        <v>7.57</v>
      </c>
      <c r="DZ102" s="4">
        <v>7.58</v>
      </c>
      <c r="EA102" s="4">
        <v>0</v>
      </c>
      <c r="EB102" s="100">
        <v>1.1000000000000001</v>
      </c>
      <c r="EC102" s="122">
        <v>42.9</v>
      </c>
      <c r="ED102" s="122">
        <v>43.6</v>
      </c>
      <c r="EE102" s="122">
        <v>43.2</v>
      </c>
      <c r="EF102" s="122">
        <v>110.1</v>
      </c>
      <c r="EG102" s="122">
        <v>0.7</v>
      </c>
      <c r="EH102" s="122">
        <v>-5.8</v>
      </c>
      <c r="EI102" s="122">
        <v>-6.1</v>
      </c>
      <c r="EJ102" s="122">
        <v>-5.9</v>
      </c>
      <c r="EK102" s="122">
        <v>134.4</v>
      </c>
      <c r="EL102" s="122">
        <v>0.3</v>
      </c>
      <c r="EM102" s="122">
        <v>4.8</v>
      </c>
      <c r="EN102" s="122">
        <v>13.8</v>
      </c>
      <c r="EO102" s="122">
        <v>28.5</v>
      </c>
      <c r="EP102" s="122">
        <v>62.8</v>
      </c>
      <c r="EQ102" s="126">
        <v>19</v>
      </c>
      <c r="IJ102" s="94" t="str">
        <f t="shared" si="426"/>
        <v/>
      </c>
      <c r="IK102" s="4" t="str">
        <f t="shared" si="427"/>
        <v/>
      </c>
      <c r="IL102" s="4" t="str">
        <f t="shared" si="428"/>
        <v/>
      </c>
      <c r="IM102" s="4" t="str">
        <f t="shared" si="429"/>
        <v/>
      </c>
      <c r="IN102" s="4" t="str">
        <f t="shared" si="430"/>
        <v/>
      </c>
      <c r="IO102" s="4" t="str">
        <f t="shared" si="431"/>
        <v/>
      </c>
      <c r="IP102" s="4" t="str">
        <f t="shared" si="432"/>
        <v/>
      </c>
      <c r="IQ102" s="4" t="str">
        <f t="shared" si="433"/>
        <v/>
      </c>
      <c r="IR102" s="4" t="str">
        <f t="shared" si="434"/>
        <v/>
      </c>
      <c r="IS102" s="4" t="str">
        <f t="shared" si="435"/>
        <v/>
      </c>
      <c r="IT102" s="4" t="str">
        <f t="shared" si="436"/>
        <v/>
      </c>
      <c r="IU102" s="4" t="str">
        <f t="shared" si="437"/>
        <v/>
      </c>
      <c r="IV102" s="4" t="str">
        <f t="shared" si="438"/>
        <v/>
      </c>
      <c r="IW102" s="4" t="str">
        <f t="shared" si="439"/>
        <v/>
      </c>
      <c r="IX102" s="4" t="str">
        <f t="shared" si="440"/>
        <v/>
      </c>
      <c r="IY102" s="4" t="str">
        <f t="shared" si="441"/>
        <v/>
      </c>
      <c r="IZ102" s="4" t="str">
        <f t="shared" si="442"/>
        <v/>
      </c>
      <c r="JA102" s="4" t="str">
        <f t="shared" si="443"/>
        <v/>
      </c>
      <c r="JB102" s="4" t="str">
        <f t="shared" si="444"/>
        <v/>
      </c>
      <c r="JC102" s="4" t="str">
        <f t="shared" si="445"/>
        <v/>
      </c>
      <c r="JD102" s="4" t="str">
        <f t="shared" si="446"/>
        <v/>
      </c>
      <c r="JE102" s="4" t="str">
        <f t="shared" si="447"/>
        <v/>
      </c>
      <c r="JF102" s="4" t="str">
        <f t="shared" si="448"/>
        <v/>
      </c>
      <c r="JG102" s="4" t="str">
        <f t="shared" si="449"/>
        <v/>
      </c>
      <c r="JH102" s="4" t="str">
        <f t="shared" si="450"/>
        <v/>
      </c>
      <c r="JI102" s="4" t="str">
        <f t="shared" si="451"/>
        <v/>
      </c>
      <c r="JJ102" s="4" t="str">
        <f t="shared" si="452"/>
        <v/>
      </c>
      <c r="JK102" s="4" t="str">
        <f t="shared" si="453"/>
        <v/>
      </c>
      <c r="JL102" s="4" t="str">
        <f t="shared" si="454"/>
        <v/>
      </c>
      <c r="JM102" s="4" t="str">
        <f t="shared" si="455"/>
        <v/>
      </c>
      <c r="JN102" s="4" t="str">
        <f t="shared" si="456"/>
        <v/>
      </c>
      <c r="JO102" s="129" t="str">
        <f t="shared" si="457"/>
        <v/>
      </c>
      <c r="JP102" s="122" t="str">
        <f t="shared" si="458"/>
        <v/>
      </c>
      <c r="JQ102" s="122" t="str">
        <f t="shared" si="459"/>
        <v/>
      </c>
      <c r="JR102" s="122" t="str">
        <f t="shared" si="460"/>
        <v/>
      </c>
      <c r="JS102" s="122" t="str">
        <f t="shared" si="461"/>
        <v/>
      </c>
      <c r="JT102" s="122" t="str">
        <f t="shared" si="462"/>
        <v/>
      </c>
      <c r="JU102" s="122" t="str">
        <f t="shared" si="463"/>
        <v/>
      </c>
      <c r="JV102" s="122" t="str">
        <f t="shared" si="464"/>
        <v/>
      </c>
      <c r="JW102" s="122" t="str">
        <f t="shared" si="465"/>
        <v/>
      </c>
      <c r="JX102" s="122" t="str">
        <f t="shared" si="466"/>
        <v/>
      </c>
      <c r="JY102" s="122" t="str">
        <f t="shared" si="467"/>
        <v/>
      </c>
      <c r="JZ102" s="122" t="str">
        <f t="shared" si="468"/>
        <v/>
      </c>
      <c r="KA102" s="122" t="str">
        <f t="shared" si="469"/>
        <v/>
      </c>
      <c r="KB102" s="122" t="str">
        <f t="shared" si="470"/>
        <v/>
      </c>
      <c r="KC102" s="122" t="str">
        <f t="shared" si="471"/>
        <v/>
      </c>
      <c r="KD102" s="122" t="str">
        <f t="shared" si="472"/>
        <v/>
      </c>
      <c r="KE102" s="133" t="str">
        <f t="shared" si="473"/>
        <v/>
      </c>
      <c r="KF102" s="94" t="str">
        <f t="shared" si="474"/>
        <v/>
      </c>
      <c r="KG102" s="4" t="str">
        <f t="shared" si="475"/>
        <v/>
      </c>
      <c r="KH102" s="4" t="str">
        <f t="shared" si="476"/>
        <v/>
      </c>
      <c r="KI102" s="4" t="str">
        <f t="shared" si="477"/>
        <v/>
      </c>
      <c r="KJ102" s="4" t="str">
        <f t="shared" si="478"/>
        <v/>
      </c>
      <c r="KK102" s="4" t="str">
        <f t="shared" si="479"/>
        <v/>
      </c>
      <c r="KL102" s="4" t="str">
        <f t="shared" si="480"/>
        <v/>
      </c>
      <c r="KM102" s="4" t="str">
        <f t="shared" si="481"/>
        <v/>
      </c>
      <c r="KN102" s="4" t="str">
        <f t="shared" si="482"/>
        <v/>
      </c>
      <c r="KO102" s="4" t="str">
        <f t="shared" si="483"/>
        <v/>
      </c>
      <c r="KP102" s="4" t="str">
        <f t="shared" si="484"/>
        <v/>
      </c>
      <c r="KQ102" s="4" t="str">
        <f t="shared" si="485"/>
        <v/>
      </c>
      <c r="KR102" s="4" t="str">
        <f t="shared" si="486"/>
        <v/>
      </c>
      <c r="KS102" s="4" t="str">
        <f t="shared" si="487"/>
        <v/>
      </c>
      <c r="KT102" s="4" t="str">
        <f t="shared" si="488"/>
        <v/>
      </c>
      <c r="KU102" s="4" t="str">
        <f t="shared" si="489"/>
        <v/>
      </c>
      <c r="KV102" s="4" t="str">
        <f t="shared" si="490"/>
        <v/>
      </c>
      <c r="KW102" s="4" t="str">
        <f t="shared" si="491"/>
        <v/>
      </c>
      <c r="KX102" s="4" t="str">
        <f t="shared" si="492"/>
        <v/>
      </c>
      <c r="KY102" s="4" t="str">
        <f t="shared" si="493"/>
        <v/>
      </c>
      <c r="KZ102" s="4" t="str">
        <f t="shared" si="494"/>
        <v/>
      </c>
      <c r="LA102" s="4" t="str">
        <f t="shared" si="495"/>
        <v/>
      </c>
      <c r="LB102" s="4" t="str">
        <f t="shared" si="496"/>
        <v/>
      </c>
      <c r="LC102" s="4" t="str">
        <f t="shared" si="497"/>
        <v/>
      </c>
      <c r="LD102" s="4" t="str">
        <f t="shared" si="498"/>
        <v/>
      </c>
      <c r="LE102" s="4" t="str">
        <f t="shared" si="499"/>
        <v/>
      </c>
      <c r="LF102" s="4" t="str">
        <f t="shared" si="500"/>
        <v/>
      </c>
      <c r="LG102" s="4" t="str">
        <f t="shared" si="501"/>
        <v/>
      </c>
      <c r="LH102" s="4" t="str">
        <f t="shared" si="502"/>
        <v/>
      </c>
      <c r="LI102" s="4" t="str">
        <f t="shared" si="503"/>
        <v/>
      </c>
      <c r="LJ102" s="4" t="str">
        <f t="shared" si="504"/>
        <v/>
      </c>
      <c r="LK102" s="4" t="str">
        <f t="shared" si="505"/>
        <v/>
      </c>
      <c r="LL102" s="4" t="str">
        <f t="shared" si="506"/>
        <v/>
      </c>
      <c r="LM102" s="4" t="str">
        <f t="shared" si="507"/>
        <v/>
      </c>
      <c r="LN102" s="4" t="str">
        <f t="shared" si="508"/>
        <v/>
      </c>
      <c r="LO102" s="4" t="str">
        <f t="shared" si="509"/>
        <v/>
      </c>
      <c r="LP102" s="4" t="str">
        <f t="shared" si="510"/>
        <v/>
      </c>
      <c r="LQ102" s="4" t="str">
        <f t="shared" si="511"/>
        <v/>
      </c>
      <c r="LR102" s="4" t="str">
        <f t="shared" si="512"/>
        <v/>
      </c>
      <c r="LS102" s="4" t="str">
        <f t="shared" si="513"/>
        <v/>
      </c>
      <c r="LT102" s="4" t="str">
        <f t="shared" si="514"/>
        <v/>
      </c>
      <c r="LU102" s="4" t="str">
        <f t="shared" si="515"/>
        <v/>
      </c>
      <c r="LV102" s="4" t="str">
        <f t="shared" si="516"/>
        <v/>
      </c>
      <c r="LW102" s="4" t="str">
        <f t="shared" si="517"/>
        <v/>
      </c>
      <c r="LX102" s="4" t="str">
        <f t="shared" si="518"/>
        <v/>
      </c>
      <c r="LY102" s="4" t="str">
        <f t="shared" si="519"/>
        <v/>
      </c>
      <c r="LZ102" s="4" t="str">
        <f t="shared" si="520"/>
        <v/>
      </c>
      <c r="MA102" s="4" t="str">
        <f t="shared" si="521"/>
        <v/>
      </c>
      <c r="MB102" s="4" t="str">
        <f t="shared" si="522"/>
        <v/>
      </c>
      <c r="MC102" s="4" t="str">
        <f t="shared" si="523"/>
        <v/>
      </c>
      <c r="MD102" s="4" t="str">
        <f t="shared" si="524"/>
        <v/>
      </c>
      <c r="ME102" s="4">
        <f t="shared" si="525"/>
        <v>0</v>
      </c>
    </row>
    <row r="103" spans="1:343" ht="26.25" customHeight="1" thickBot="1" x14ac:dyDescent="0.25">
      <c r="A103" s="35">
        <v>41402</v>
      </c>
      <c r="B103" s="36" t="s">
        <v>140</v>
      </c>
      <c r="C103" s="36" t="s">
        <v>97</v>
      </c>
      <c r="D103" s="31" t="s">
        <v>110</v>
      </c>
      <c r="E103" s="4">
        <v>73</v>
      </c>
      <c r="F103" s="3">
        <v>14501</v>
      </c>
      <c r="G103" s="4" t="s">
        <v>87</v>
      </c>
      <c r="H103" s="4" t="s">
        <v>108</v>
      </c>
      <c r="I103" s="4">
        <v>1836345</v>
      </c>
      <c r="K103" s="153"/>
      <c r="L103" s="75"/>
      <c r="M103" s="75"/>
      <c r="N103" s="75"/>
      <c r="O103" s="75"/>
      <c r="P103" s="33">
        <v>-0.5</v>
      </c>
      <c r="Q103" s="33">
        <v>-0.57999999999999996</v>
      </c>
      <c r="R103" s="33" t="s">
        <v>249</v>
      </c>
      <c r="S103" s="67">
        <v>15</v>
      </c>
      <c r="T103" s="136">
        <v>41351</v>
      </c>
      <c r="U103" s="67">
        <v>-3.5</v>
      </c>
      <c r="V103" s="67">
        <v>1.25</v>
      </c>
      <c r="W103" s="4">
        <v>5</v>
      </c>
      <c r="X103" s="4">
        <v>40</v>
      </c>
      <c r="Y103" s="4">
        <v>16</v>
      </c>
      <c r="Z103" s="4">
        <v>645</v>
      </c>
      <c r="AA103" s="4">
        <v>25.34</v>
      </c>
      <c r="AB103" s="4">
        <v>11.9</v>
      </c>
      <c r="AC103" s="4">
        <v>4.6399999999999997</v>
      </c>
      <c r="AD103" s="4">
        <v>3.24</v>
      </c>
      <c r="AE103" s="4">
        <v>43.89</v>
      </c>
      <c r="AF103" s="4">
        <v>55</v>
      </c>
      <c r="AG103" s="4">
        <v>44.47</v>
      </c>
      <c r="AH103" s="4">
        <v>145</v>
      </c>
      <c r="AI103" s="4">
        <v>0</v>
      </c>
      <c r="AJ103" s="4" t="b">
        <f t="shared" si="398"/>
        <v>0</v>
      </c>
      <c r="AL103" s="37">
        <v>41556</v>
      </c>
      <c r="AM103" s="51" t="s">
        <v>282</v>
      </c>
      <c r="AN103" s="67">
        <v>0.25</v>
      </c>
      <c r="AO103" s="67">
        <v>0.5</v>
      </c>
      <c r="AP103" s="4">
        <v>127</v>
      </c>
      <c r="AQ103" s="4">
        <v>25</v>
      </c>
      <c r="AR103" s="4">
        <v>24</v>
      </c>
      <c r="AS103" s="4">
        <v>562</v>
      </c>
      <c r="AT103" s="4">
        <v>2415</v>
      </c>
      <c r="AU103" s="51" t="s">
        <v>282</v>
      </c>
      <c r="AV103" s="51" t="s">
        <v>282</v>
      </c>
      <c r="AW103" s="51" t="s">
        <v>282</v>
      </c>
      <c r="AX103" s="51" t="s">
        <v>282</v>
      </c>
      <c r="AY103" s="51" t="s">
        <v>282</v>
      </c>
      <c r="AZ103" s="51" t="s">
        <v>282</v>
      </c>
      <c r="BA103" s="4">
        <f t="shared" si="399"/>
        <v>0.5</v>
      </c>
      <c r="BB103" s="4">
        <f t="shared" si="397"/>
        <v>1.08</v>
      </c>
      <c r="BC103" s="4">
        <f t="shared" si="400"/>
        <v>-83</v>
      </c>
      <c r="BD103" s="150">
        <v>41773</v>
      </c>
      <c r="BS103" s="4" t="str">
        <f t="shared" si="266"/>
        <v/>
      </c>
      <c r="BT103" s="4" t="str">
        <f t="shared" si="401"/>
        <v/>
      </c>
      <c r="BU103" s="4" t="str">
        <f t="shared" si="402"/>
        <v/>
      </c>
      <c r="BV103" s="4">
        <f>IF(AND(ISBLANK(SPH_6),ISBLANK(SPH_12)),0,1)</f>
        <v>1</v>
      </c>
      <c r="BW103" s="4">
        <f t="shared" si="403"/>
        <v>0</v>
      </c>
      <c r="BX103" s="4" t="str">
        <f t="shared" si="404"/>
        <v/>
      </c>
      <c r="BY103" s="4" t="str">
        <f t="shared" si="405"/>
        <v/>
      </c>
      <c r="BZ103" s="4" t="str">
        <f t="shared" si="406"/>
        <v/>
      </c>
      <c r="CA103" s="53">
        <f t="shared" si="407"/>
        <v>154</v>
      </c>
      <c r="CB103" s="55">
        <f t="shared" si="408"/>
        <v>5.1333333333333337</v>
      </c>
      <c r="CC103" s="4" t="str">
        <f t="shared" si="409"/>
        <v/>
      </c>
      <c r="CD103" s="4" t="str">
        <f t="shared" si="410"/>
        <v/>
      </c>
      <c r="CE103" s="4" t="str">
        <f t="shared" si="411"/>
        <v/>
      </c>
      <c r="CF103" s="4" t="str">
        <f t="shared" si="412"/>
        <v/>
      </c>
      <c r="CG103" s="4">
        <f t="shared" si="526"/>
        <v>-2.875</v>
      </c>
      <c r="CH103" s="4">
        <f t="shared" si="413"/>
        <v>0.5</v>
      </c>
      <c r="CI103" s="104">
        <f t="shared" si="414"/>
        <v>1.08</v>
      </c>
      <c r="CJ103" s="94">
        <f t="shared" si="415"/>
        <v>-83</v>
      </c>
      <c r="CK103" s="4" t="str">
        <f t="shared" si="416"/>
        <v/>
      </c>
      <c r="CL103" s="107">
        <f t="shared" si="417"/>
        <v>-0.57999999999999996</v>
      </c>
      <c r="CM103" s="107">
        <f t="shared" si="396"/>
        <v>0.20411998265592479</v>
      </c>
      <c r="CN103" s="139">
        <f t="shared" si="418"/>
        <v>0.5</v>
      </c>
      <c r="CO103" s="139">
        <f t="shared" si="419"/>
        <v>-0.75</v>
      </c>
      <c r="CP103" s="149">
        <f t="shared" si="420"/>
        <v>25</v>
      </c>
      <c r="CQ103" s="149">
        <f t="shared" si="421"/>
        <v>40</v>
      </c>
      <c r="CR103" s="148" t="str">
        <f t="shared" si="422"/>
        <v/>
      </c>
      <c r="CS103" s="152">
        <f t="shared" si="423"/>
        <v>1</v>
      </c>
      <c r="CT103" s="107" t="str">
        <f t="shared" si="424"/>
        <v/>
      </c>
      <c r="CU103" s="155" t="b">
        <f t="shared" si="425"/>
        <v>1</v>
      </c>
      <c r="CV103" s="120">
        <v>7.88</v>
      </c>
      <c r="CW103" s="4">
        <v>7.75</v>
      </c>
      <c r="CX103" s="4">
        <v>43.3</v>
      </c>
      <c r="CY103" s="4">
        <v>-0.7</v>
      </c>
      <c r="CZ103" s="4">
        <v>-0.18</v>
      </c>
      <c r="DA103" s="4">
        <v>0.57999999999999996</v>
      </c>
      <c r="DB103" s="4">
        <v>2.52</v>
      </c>
      <c r="DC103" s="4">
        <v>3.18</v>
      </c>
      <c r="DD103" s="4">
        <v>666</v>
      </c>
      <c r="DE103" s="4">
        <v>664</v>
      </c>
      <c r="DF103" s="4">
        <v>726</v>
      </c>
      <c r="DG103" s="4">
        <v>703</v>
      </c>
      <c r="DH103" s="4">
        <v>700</v>
      </c>
      <c r="DI103" s="4">
        <v>693</v>
      </c>
      <c r="DJ103" s="4">
        <v>659</v>
      </c>
      <c r="DK103" s="4">
        <v>0.77</v>
      </c>
      <c r="DL103" s="4">
        <v>0.63</v>
      </c>
      <c r="DM103" s="4">
        <v>7.89</v>
      </c>
      <c r="DN103" s="4">
        <v>7.72</v>
      </c>
      <c r="DO103" s="4">
        <v>7.66</v>
      </c>
      <c r="DP103" s="4">
        <v>7.92</v>
      </c>
      <c r="DQ103" s="4">
        <v>8.51</v>
      </c>
      <c r="DR103" s="4">
        <v>9.09</v>
      </c>
      <c r="DS103" s="4">
        <v>0</v>
      </c>
      <c r="DT103" s="4">
        <v>1</v>
      </c>
      <c r="DU103" s="4">
        <v>6.75</v>
      </c>
      <c r="DV103" s="4">
        <v>6.68</v>
      </c>
      <c r="DW103" s="4">
        <v>6.87</v>
      </c>
      <c r="DX103" s="4">
        <v>7.34</v>
      </c>
      <c r="DY103" s="4">
        <v>7.53</v>
      </c>
      <c r="DZ103" s="4">
        <v>7.66</v>
      </c>
      <c r="EA103" s="4">
        <v>0</v>
      </c>
      <c r="EB103" s="100">
        <v>1</v>
      </c>
      <c r="EC103" s="122">
        <v>42.9</v>
      </c>
      <c r="ED103" s="122">
        <v>43.6</v>
      </c>
      <c r="EE103" s="122">
        <v>43.2</v>
      </c>
      <c r="EF103" s="122">
        <v>43.3</v>
      </c>
      <c r="EG103" s="122">
        <v>0.7</v>
      </c>
      <c r="EH103" s="122">
        <v>-5.8</v>
      </c>
      <c r="EI103" s="122">
        <v>-6.1</v>
      </c>
      <c r="EJ103" s="122">
        <v>-5.9</v>
      </c>
      <c r="EK103" s="122">
        <v>23.9</v>
      </c>
      <c r="EL103" s="122">
        <v>0.3</v>
      </c>
      <c r="EM103" s="122">
        <v>4.8</v>
      </c>
      <c r="EN103" s="122">
        <v>13.7</v>
      </c>
      <c r="EO103" s="122">
        <v>28.3</v>
      </c>
      <c r="EP103" s="122">
        <v>62.7</v>
      </c>
      <c r="EQ103" s="126">
        <v>20</v>
      </c>
      <c r="IJ103" s="94" t="str">
        <f t="shared" si="426"/>
        <v/>
      </c>
      <c r="IK103" s="4" t="str">
        <f t="shared" si="427"/>
        <v/>
      </c>
      <c r="IL103" s="4" t="str">
        <f t="shared" si="428"/>
        <v/>
      </c>
      <c r="IM103" s="4" t="str">
        <f t="shared" si="429"/>
        <v/>
      </c>
      <c r="IN103" s="4" t="str">
        <f t="shared" si="430"/>
        <v/>
      </c>
      <c r="IO103" s="4" t="str">
        <f t="shared" si="431"/>
        <v/>
      </c>
      <c r="IP103" s="4" t="str">
        <f t="shared" si="432"/>
        <v/>
      </c>
      <c r="IQ103" s="4" t="str">
        <f t="shared" si="433"/>
        <v/>
      </c>
      <c r="IR103" s="4" t="str">
        <f t="shared" si="434"/>
        <v/>
      </c>
      <c r="IS103" s="4" t="str">
        <f t="shared" si="435"/>
        <v/>
      </c>
      <c r="IT103" s="4" t="str">
        <f t="shared" si="436"/>
        <v/>
      </c>
      <c r="IU103" s="4" t="str">
        <f t="shared" si="437"/>
        <v/>
      </c>
      <c r="IV103" s="4" t="str">
        <f t="shared" si="438"/>
        <v/>
      </c>
      <c r="IW103" s="4" t="str">
        <f t="shared" si="439"/>
        <v/>
      </c>
      <c r="IX103" s="4" t="str">
        <f t="shared" si="440"/>
        <v/>
      </c>
      <c r="IY103" s="4" t="str">
        <f t="shared" si="441"/>
        <v/>
      </c>
      <c r="IZ103" s="4" t="str">
        <f t="shared" si="442"/>
        <v/>
      </c>
      <c r="JA103" s="4" t="str">
        <f t="shared" si="443"/>
        <v/>
      </c>
      <c r="JB103" s="4" t="str">
        <f t="shared" si="444"/>
        <v/>
      </c>
      <c r="JC103" s="4" t="str">
        <f t="shared" si="445"/>
        <v/>
      </c>
      <c r="JD103" s="4" t="str">
        <f t="shared" si="446"/>
        <v/>
      </c>
      <c r="JE103" s="4" t="str">
        <f t="shared" si="447"/>
        <v/>
      </c>
      <c r="JF103" s="4" t="str">
        <f t="shared" si="448"/>
        <v/>
      </c>
      <c r="JG103" s="4" t="str">
        <f t="shared" si="449"/>
        <v/>
      </c>
      <c r="JH103" s="4" t="str">
        <f t="shared" si="450"/>
        <v/>
      </c>
      <c r="JI103" s="4" t="str">
        <f t="shared" si="451"/>
        <v/>
      </c>
      <c r="JJ103" s="4" t="str">
        <f t="shared" si="452"/>
        <v/>
      </c>
      <c r="JK103" s="4" t="str">
        <f t="shared" si="453"/>
        <v/>
      </c>
      <c r="JL103" s="4" t="str">
        <f t="shared" si="454"/>
        <v/>
      </c>
      <c r="JM103" s="4" t="str">
        <f t="shared" si="455"/>
        <v/>
      </c>
      <c r="JN103" s="4" t="str">
        <f t="shared" si="456"/>
        <v/>
      </c>
      <c r="JO103" s="129" t="str">
        <f t="shared" si="457"/>
        <v/>
      </c>
      <c r="JP103" s="122" t="str">
        <f t="shared" si="458"/>
        <v/>
      </c>
      <c r="JQ103" s="122" t="str">
        <f t="shared" si="459"/>
        <v/>
      </c>
      <c r="JR103" s="122" t="str">
        <f t="shared" si="460"/>
        <v/>
      </c>
      <c r="JS103" s="122" t="str">
        <f t="shared" si="461"/>
        <v/>
      </c>
      <c r="JT103" s="122" t="str">
        <f t="shared" si="462"/>
        <v/>
      </c>
      <c r="JU103" s="122" t="str">
        <f t="shared" si="463"/>
        <v/>
      </c>
      <c r="JV103" s="122" t="str">
        <f t="shared" si="464"/>
        <v/>
      </c>
      <c r="JW103" s="122" t="str">
        <f t="shared" si="465"/>
        <v/>
      </c>
      <c r="JX103" s="122" t="str">
        <f t="shared" si="466"/>
        <v/>
      </c>
      <c r="JY103" s="122" t="str">
        <f t="shared" si="467"/>
        <v/>
      </c>
      <c r="JZ103" s="122" t="str">
        <f t="shared" si="468"/>
        <v/>
      </c>
      <c r="KA103" s="122" t="str">
        <f t="shared" si="469"/>
        <v/>
      </c>
      <c r="KB103" s="122" t="str">
        <f t="shared" si="470"/>
        <v/>
      </c>
      <c r="KC103" s="122" t="str">
        <f t="shared" si="471"/>
        <v/>
      </c>
      <c r="KD103" s="122" t="str">
        <f t="shared" si="472"/>
        <v/>
      </c>
      <c r="KE103" s="133" t="str">
        <f t="shared" si="473"/>
        <v/>
      </c>
      <c r="KF103" s="94" t="str">
        <f t="shared" si="474"/>
        <v/>
      </c>
      <c r="KG103" s="4" t="str">
        <f t="shared" si="475"/>
        <v/>
      </c>
      <c r="KH103" s="4" t="str">
        <f t="shared" si="476"/>
        <v/>
      </c>
      <c r="KI103" s="4" t="str">
        <f t="shared" si="477"/>
        <v/>
      </c>
      <c r="KJ103" s="4" t="str">
        <f t="shared" si="478"/>
        <v/>
      </c>
      <c r="KK103" s="4" t="str">
        <f t="shared" si="479"/>
        <v/>
      </c>
      <c r="KL103" s="4" t="str">
        <f t="shared" si="480"/>
        <v/>
      </c>
      <c r="KM103" s="4" t="str">
        <f t="shared" si="481"/>
        <v/>
      </c>
      <c r="KN103" s="4" t="str">
        <f t="shared" si="482"/>
        <v/>
      </c>
      <c r="KO103" s="4" t="str">
        <f t="shared" si="483"/>
        <v/>
      </c>
      <c r="KP103" s="4" t="str">
        <f t="shared" si="484"/>
        <v/>
      </c>
      <c r="KQ103" s="4" t="str">
        <f t="shared" si="485"/>
        <v/>
      </c>
      <c r="KR103" s="4" t="str">
        <f t="shared" si="486"/>
        <v/>
      </c>
      <c r="KS103" s="4" t="str">
        <f t="shared" si="487"/>
        <v/>
      </c>
      <c r="KT103" s="4" t="str">
        <f t="shared" si="488"/>
        <v/>
      </c>
      <c r="KU103" s="4" t="str">
        <f t="shared" si="489"/>
        <v/>
      </c>
      <c r="KV103" s="4" t="str">
        <f t="shared" si="490"/>
        <v/>
      </c>
      <c r="KW103" s="4" t="str">
        <f t="shared" si="491"/>
        <v/>
      </c>
      <c r="KX103" s="4" t="str">
        <f t="shared" si="492"/>
        <v/>
      </c>
      <c r="KY103" s="4" t="str">
        <f t="shared" si="493"/>
        <v/>
      </c>
      <c r="KZ103" s="4" t="str">
        <f t="shared" si="494"/>
        <v/>
      </c>
      <c r="LA103" s="4" t="str">
        <f t="shared" si="495"/>
        <v/>
      </c>
      <c r="LB103" s="4" t="str">
        <f t="shared" si="496"/>
        <v/>
      </c>
      <c r="LC103" s="4" t="str">
        <f t="shared" si="497"/>
        <v/>
      </c>
      <c r="LD103" s="4" t="str">
        <f t="shared" si="498"/>
        <v/>
      </c>
      <c r="LE103" s="4" t="str">
        <f t="shared" si="499"/>
        <v/>
      </c>
      <c r="LF103" s="4" t="str">
        <f t="shared" si="500"/>
        <v/>
      </c>
      <c r="LG103" s="4" t="str">
        <f t="shared" si="501"/>
        <v/>
      </c>
      <c r="LH103" s="4" t="str">
        <f t="shared" si="502"/>
        <v/>
      </c>
      <c r="LI103" s="4" t="str">
        <f t="shared" si="503"/>
        <v/>
      </c>
      <c r="LJ103" s="4" t="str">
        <f t="shared" si="504"/>
        <v/>
      </c>
      <c r="LK103" s="4" t="str">
        <f t="shared" si="505"/>
        <v/>
      </c>
      <c r="LL103" s="4" t="str">
        <f t="shared" si="506"/>
        <v/>
      </c>
      <c r="LM103" s="4" t="str">
        <f t="shared" si="507"/>
        <v/>
      </c>
      <c r="LN103" s="4" t="str">
        <f t="shared" si="508"/>
        <v/>
      </c>
      <c r="LO103" s="4" t="str">
        <f t="shared" si="509"/>
        <v/>
      </c>
      <c r="LP103" s="4" t="str">
        <f t="shared" si="510"/>
        <v/>
      </c>
      <c r="LQ103" s="4" t="str">
        <f t="shared" si="511"/>
        <v/>
      </c>
      <c r="LR103" s="4" t="str">
        <f t="shared" si="512"/>
        <v/>
      </c>
      <c r="LS103" s="4" t="str">
        <f t="shared" si="513"/>
        <v/>
      </c>
      <c r="LT103" s="4" t="str">
        <f t="shared" si="514"/>
        <v/>
      </c>
      <c r="LU103" s="4" t="str">
        <f t="shared" si="515"/>
        <v/>
      </c>
      <c r="LV103" s="4" t="str">
        <f t="shared" si="516"/>
        <v/>
      </c>
      <c r="LW103" s="4" t="str">
        <f t="shared" si="517"/>
        <v/>
      </c>
      <c r="LX103" s="4" t="str">
        <f t="shared" si="518"/>
        <v/>
      </c>
      <c r="LY103" s="4" t="str">
        <f t="shared" si="519"/>
        <v/>
      </c>
      <c r="LZ103" s="4" t="str">
        <f t="shared" si="520"/>
        <v/>
      </c>
      <c r="MA103" s="4" t="str">
        <f t="shared" si="521"/>
        <v/>
      </c>
      <c r="MB103" s="4" t="str">
        <f t="shared" si="522"/>
        <v/>
      </c>
      <c r="MC103" s="4" t="str">
        <f t="shared" si="523"/>
        <v/>
      </c>
      <c r="MD103" s="4" t="str">
        <f t="shared" si="524"/>
        <v/>
      </c>
      <c r="ME103" s="4">
        <f t="shared" si="525"/>
        <v>0</v>
      </c>
    </row>
    <row r="104" spans="1:343" ht="26.25" customHeight="1" thickBot="1" x14ac:dyDescent="0.25">
      <c r="A104" s="35">
        <v>41325</v>
      </c>
      <c r="B104" s="36" t="s">
        <v>130</v>
      </c>
      <c r="C104" s="36" t="s">
        <v>35</v>
      </c>
      <c r="D104" s="31" t="s">
        <v>110</v>
      </c>
      <c r="E104" s="4">
        <v>54</v>
      </c>
      <c r="F104" s="3">
        <v>21309</v>
      </c>
      <c r="G104" s="4" t="s">
        <v>87</v>
      </c>
      <c r="H104" s="4" t="s">
        <v>108</v>
      </c>
      <c r="I104" s="4">
        <v>1836353</v>
      </c>
      <c r="L104" s="81"/>
      <c r="M104" s="81"/>
      <c r="N104" s="81"/>
      <c r="O104" s="81"/>
      <c r="P104" s="33">
        <v>-0.5</v>
      </c>
      <c r="Q104" s="33">
        <v>-0.57999999999999996</v>
      </c>
      <c r="R104" s="33" t="s">
        <v>249</v>
      </c>
      <c r="S104" s="67">
        <v>18</v>
      </c>
      <c r="T104" s="136">
        <v>41323</v>
      </c>
      <c r="U104" s="67">
        <v>-2.25</v>
      </c>
      <c r="V104" s="67">
        <v>1.25</v>
      </c>
      <c r="W104" s="4">
        <v>4</v>
      </c>
      <c r="X104" s="4">
        <v>50</v>
      </c>
      <c r="Y104" s="4">
        <v>12</v>
      </c>
      <c r="Z104" s="4">
        <v>573</v>
      </c>
      <c r="AA104" s="4">
        <v>24.52</v>
      </c>
      <c r="AB104" s="4">
        <v>12.8</v>
      </c>
      <c r="AC104" s="4">
        <v>4.49</v>
      </c>
      <c r="AD104" s="4">
        <v>4.12</v>
      </c>
      <c r="AE104" s="4">
        <v>43.05</v>
      </c>
      <c r="AF104" s="4">
        <v>104</v>
      </c>
      <c r="AG104" s="4">
        <v>44.29</v>
      </c>
      <c r="AH104" s="4">
        <v>14</v>
      </c>
      <c r="AI104" s="4">
        <v>0</v>
      </c>
      <c r="AJ104" s="4" t="b">
        <f t="shared" si="398"/>
        <v>0</v>
      </c>
      <c r="AK104" s="54" t="s">
        <v>613</v>
      </c>
      <c r="AL104" s="3">
        <v>41487</v>
      </c>
      <c r="AN104" s="67">
        <v>0</v>
      </c>
      <c r="AO104" s="67">
        <v>0</v>
      </c>
      <c r="AP104" s="4">
        <v>0</v>
      </c>
      <c r="AQ104" s="4">
        <v>20</v>
      </c>
      <c r="AR104" s="4">
        <v>16</v>
      </c>
      <c r="AS104" s="4">
        <v>490</v>
      </c>
      <c r="BA104" s="4">
        <f t="shared" si="399"/>
        <v>0</v>
      </c>
      <c r="BB104" s="4">
        <f t="shared" si="397"/>
        <v>0.57999999999999996</v>
      </c>
      <c r="BC104" s="4">
        <f t="shared" si="400"/>
        <v>-83</v>
      </c>
      <c r="BD104" s="51" t="s">
        <v>505</v>
      </c>
      <c r="BS104" s="4" t="str">
        <f t="shared" si="266"/>
        <v/>
      </c>
      <c r="BT104" s="4" t="str">
        <f t="shared" si="401"/>
        <v/>
      </c>
      <c r="BU104" s="4" t="str">
        <f t="shared" si="402"/>
        <v/>
      </c>
      <c r="BV104" s="4">
        <f>IF(AND(ISBLANK(SPH_6),ISBLANK(SPH_12)),0,1)</f>
        <v>1</v>
      </c>
      <c r="BW104" s="4">
        <f t="shared" si="403"/>
        <v>0</v>
      </c>
      <c r="BX104" s="4" t="str">
        <f t="shared" si="404"/>
        <v/>
      </c>
      <c r="BY104" s="4" t="str">
        <f t="shared" si="405"/>
        <v/>
      </c>
      <c r="BZ104" s="4" t="str">
        <f t="shared" si="406"/>
        <v/>
      </c>
      <c r="CA104" s="53">
        <f t="shared" si="407"/>
        <v>162</v>
      </c>
      <c r="CB104" s="55">
        <f t="shared" si="408"/>
        <v>5.4</v>
      </c>
      <c r="CC104" s="4" t="str">
        <f t="shared" si="409"/>
        <v/>
      </c>
      <c r="CD104" s="4" t="str">
        <f t="shared" si="410"/>
        <v/>
      </c>
      <c r="CE104" s="4" t="str">
        <f t="shared" si="411"/>
        <v/>
      </c>
      <c r="CF104" s="4" t="str">
        <f t="shared" si="412"/>
        <v/>
      </c>
      <c r="CG104" s="4">
        <f t="shared" si="526"/>
        <v>-1.625</v>
      </c>
      <c r="CH104" s="4">
        <f t="shared" si="413"/>
        <v>0</v>
      </c>
      <c r="CI104" s="104">
        <f t="shared" si="414"/>
        <v>0.57999999999999996</v>
      </c>
      <c r="CJ104" s="94">
        <f t="shared" si="415"/>
        <v>-83</v>
      </c>
      <c r="CK104" s="4" t="str">
        <f t="shared" si="416"/>
        <v/>
      </c>
      <c r="CL104" s="107">
        <f t="shared" si="417"/>
        <v>-0.57999999999999996</v>
      </c>
      <c r="CM104" s="107">
        <f t="shared" si="396"/>
        <v>0.3979400086720376</v>
      </c>
      <c r="CN104" s="139">
        <f t="shared" si="418"/>
        <v>0</v>
      </c>
      <c r="CO104" s="139">
        <f t="shared" si="419"/>
        <v>-1.25</v>
      </c>
      <c r="CP104" s="149">
        <f t="shared" si="420"/>
        <v>20</v>
      </c>
      <c r="CQ104" s="149">
        <f t="shared" si="421"/>
        <v>50</v>
      </c>
      <c r="CR104" s="148" t="str">
        <f t="shared" si="422"/>
        <v/>
      </c>
      <c r="CS104" s="152">
        <f t="shared" si="423"/>
        <v>1</v>
      </c>
      <c r="CT104" s="107" t="str">
        <f t="shared" si="424"/>
        <v/>
      </c>
      <c r="CU104" s="155" t="b">
        <f t="shared" si="425"/>
        <v>1</v>
      </c>
      <c r="CV104">
        <v>7.77</v>
      </c>
      <c r="CW104" s="4">
        <v>7.95</v>
      </c>
      <c r="CX104" s="4">
        <v>88.3</v>
      </c>
      <c r="CY104" s="4">
        <v>1</v>
      </c>
      <c r="CZ104" s="4">
        <v>-0.19</v>
      </c>
      <c r="DA104" s="4">
        <v>0.31</v>
      </c>
      <c r="DB104" s="4">
        <v>3.41</v>
      </c>
      <c r="DC104" s="4">
        <v>4.0199999999999996</v>
      </c>
      <c r="DD104" s="4">
        <v>602</v>
      </c>
      <c r="DE104" s="4">
        <v>610</v>
      </c>
      <c r="DF104" s="4">
        <v>619</v>
      </c>
      <c r="DG104" s="4">
        <v>640</v>
      </c>
      <c r="DH104" s="4">
        <v>619</v>
      </c>
      <c r="DI104" s="4">
        <v>609</v>
      </c>
      <c r="DJ104" s="4">
        <v>584</v>
      </c>
      <c r="DK104" s="4">
        <v>1.25</v>
      </c>
      <c r="DL104" s="4">
        <v>0.96</v>
      </c>
      <c r="DM104" s="4">
        <v>7.92</v>
      </c>
      <c r="DN104" s="4">
        <v>7.79</v>
      </c>
      <c r="DO104" s="4">
        <v>7.77</v>
      </c>
      <c r="DP104" s="4">
        <v>7.84</v>
      </c>
      <c r="DQ104" s="4">
        <v>7.98</v>
      </c>
      <c r="DR104" s="4">
        <v>8.3000000000000007</v>
      </c>
      <c r="DS104" s="4">
        <v>8.32</v>
      </c>
      <c r="DT104" s="4">
        <v>0.4</v>
      </c>
      <c r="DU104" s="4">
        <v>7.54</v>
      </c>
      <c r="DV104" s="4">
        <v>6.91</v>
      </c>
      <c r="DW104" s="4">
        <v>6.58</v>
      </c>
      <c r="DX104" s="4">
        <v>6.68</v>
      </c>
      <c r="DY104" s="4">
        <v>7.03</v>
      </c>
      <c r="DZ104" s="4">
        <v>7.28</v>
      </c>
      <c r="EA104" s="4">
        <v>0</v>
      </c>
      <c r="EB104" s="100">
        <v>0.4</v>
      </c>
      <c r="EC104" s="122">
        <v>42.4</v>
      </c>
      <c r="ED104" s="122">
        <v>43.5</v>
      </c>
      <c r="EE104" s="122">
        <v>42.9</v>
      </c>
      <c r="EF104" s="122">
        <v>88.3</v>
      </c>
      <c r="EG104" s="122">
        <v>1</v>
      </c>
      <c r="EH104" s="122">
        <v>-5.3</v>
      </c>
      <c r="EI104" s="122">
        <v>-5.6</v>
      </c>
      <c r="EJ104" s="122">
        <v>-5.5</v>
      </c>
      <c r="EK104" s="122">
        <v>37.6</v>
      </c>
      <c r="EL104" s="122">
        <v>0.2</v>
      </c>
      <c r="EM104" s="122">
        <v>4.3</v>
      </c>
      <c r="EN104" s="122">
        <v>12.1</v>
      </c>
      <c r="EO104" s="122">
        <v>25.3</v>
      </c>
      <c r="EP104" s="122">
        <v>59.7</v>
      </c>
      <c r="EQ104" s="126">
        <v>16</v>
      </c>
      <c r="IJ104" s="94" t="str">
        <f t="shared" si="426"/>
        <v/>
      </c>
      <c r="IK104" s="4" t="str">
        <f t="shared" si="427"/>
        <v/>
      </c>
      <c r="IL104" s="4" t="str">
        <f t="shared" si="428"/>
        <v/>
      </c>
      <c r="IM104" s="4" t="str">
        <f t="shared" si="429"/>
        <v/>
      </c>
      <c r="IN104" s="4" t="str">
        <f t="shared" si="430"/>
        <v/>
      </c>
      <c r="IO104" s="4" t="str">
        <f t="shared" si="431"/>
        <v/>
      </c>
      <c r="IP104" s="4" t="str">
        <f t="shared" si="432"/>
        <v/>
      </c>
      <c r="IQ104" s="4" t="str">
        <f t="shared" si="433"/>
        <v/>
      </c>
      <c r="IR104" s="4" t="str">
        <f t="shared" si="434"/>
        <v/>
      </c>
      <c r="IS104" s="4" t="str">
        <f t="shared" si="435"/>
        <v/>
      </c>
      <c r="IT104" s="4" t="str">
        <f t="shared" si="436"/>
        <v/>
      </c>
      <c r="IU104" s="4" t="str">
        <f t="shared" si="437"/>
        <v/>
      </c>
      <c r="IV104" s="4" t="str">
        <f t="shared" si="438"/>
        <v/>
      </c>
      <c r="IW104" s="4" t="str">
        <f t="shared" si="439"/>
        <v/>
      </c>
      <c r="IX104" s="4" t="str">
        <f t="shared" si="440"/>
        <v/>
      </c>
      <c r="IY104" s="4" t="str">
        <f t="shared" si="441"/>
        <v/>
      </c>
      <c r="IZ104" s="4" t="str">
        <f t="shared" si="442"/>
        <v/>
      </c>
      <c r="JA104" s="4" t="str">
        <f t="shared" si="443"/>
        <v/>
      </c>
      <c r="JB104" s="4" t="str">
        <f t="shared" si="444"/>
        <v/>
      </c>
      <c r="JC104" s="4" t="str">
        <f t="shared" si="445"/>
        <v/>
      </c>
      <c r="JD104" s="4" t="str">
        <f t="shared" si="446"/>
        <v/>
      </c>
      <c r="JE104" s="4" t="str">
        <f t="shared" si="447"/>
        <v/>
      </c>
      <c r="JF104" s="4" t="str">
        <f t="shared" si="448"/>
        <v/>
      </c>
      <c r="JG104" s="4" t="str">
        <f t="shared" si="449"/>
        <v/>
      </c>
      <c r="JH104" s="4" t="str">
        <f t="shared" si="450"/>
        <v/>
      </c>
      <c r="JI104" s="4" t="str">
        <f t="shared" si="451"/>
        <v/>
      </c>
      <c r="JJ104" s="4" t="str">
        <f t="shared" si="452"/>
        <v/>
      </c>
      <c r="JK104" s="4" t="str">
        <f t="shared" si="453"/>
        <v/>
      </c>
      <c r="JL104" s="4" t="str">
        <f t="shared" si="454"/>
        <v/>
      </c>
      <c r="JM104" s="4" t="str">
        <f t="shared" si="455"/>
        <v/>
      </c>
      <c r="JN104" s="4" t="str">
        <f t="shared" si="456"/>
        <v/>
      </c>
      <c r="JO104" s="129" t="str">
        <f t="shared" si="457"/>
        <v/>
      </c>
      <c r="JP104" s="122" t="str">
        <f t="shared" si="458"/>
        <v/>
      </c>
      <c r="JQ104" s="122" t="str">
        <f t="shared" si="459"/>
        <v/>
      </c>
      <c r="JR104" s="122" t="str">
        <f t="shared" si="460"/>
        <v/>
      </c>
      <c r="JS104" s="122" t="str">
        <f t="shared" si="461"/>
        <v/>
      </c>
      <c r="JT104" s="122" t="str">
        <f t="shared" si="462"/>
        <v/>
      </c>
      <c r="JU104" s="122" t="str">
        <f t="shared" si="463"/>
        <v/>
      </c>
      <c r="JV104" s="122" t="str">
        <f t="shared" si="464"/>
        <v/>
      </c>
      <c r="JW104" s="122" t="str">
        <f t="shared" si="465"/>
        <v/>
      </c>
      <c r="JX104" s="122" t="str">
        <f t="shared" si="466"/>
        <v/>
      </c>
      <c r="JY104" s="122" t="str">
        <f t="shared" si="467"/>
        <v/>
      </c>
      <c r="JZ104" s="122" t="str">
        <f t="shared" si="468"/>
        <v/>
      </c>
      <c r="KA104" s="122" t="str">
        <f t="shared" si="469"/>
        <v/>
      </c>
      <c r="KB104" s="122" t="str">
        <f t="shared" si="470"/>
        <v/>
      </c>
      <c r="KC104" s="122" t="str">
        <f t="shared" si="471"/>
        <v/>
      </c>
      <c r="KD104" s="122" t="str">
        <f t="shared" si="472"/>
        <v/>
      </c>
      <c r="KE104" s="133" t="str">
        <f t="shared" si="473"/>
        <v/>
      </c>
      <c r="KF104" s="94" t="str">
        <f t="shared" si="474"/>
        <v/>
      </c>
      <c r="KG104" s="4" t="str">
        <f t="shared" si="475"/>
        <v/>
      </c>
      <c r="KH104" s="4" t="str">
        <f t="shared" si="476"/>
        <v/>
      </c>
      <c r="KI104" s="4" t="str">
        <f t="shared" si="477"/>
        <v/>
      </c>
      <c r="KJ104" s="4" t="str">
        <f t="shared" si="478"/>
        <v/>
      </c>
      <c r="KK104" s="4" t="str">
        <f t="shared" si="479"/>
        <v/>
      </c>
      <c r="KL104" s="4" t="str">
        <f t="shared" si="480"/>
        <v/>
      </c>
      <c r="KM104" s="4" t="str">
        <f t="shared" si="481"/>
        <v/>
      </c>
      <c r="KN104" s="4" t="str">
        <f t="shared" si="482"/>
        <v/>
      </c>
      <c r="KO104" s="4" t="str">
        <f t="shared" si="483"/>
        <v/>
      </c>
      <c r="KP104" s="4" t="str">
        <f t="shared" si="484"/>
        <v/>
      </c>
      <c r="KQ104" s="4" t="str">
        <f t="shared" si="485"/>
        <v/>
      </c>
      <c r="KR104" s="4" t="str">
        <f t="shared" si="486"/>
        <v/>
      </c>
      <c r="KS104" s="4" t="str">
        <f t="shared" si="487"/>
        <v/>
      </c>
      <c r="KT104" s="4" t="str">
        <f t="shared" si="488"/>
        <v/>
      </c>
      <c r="KU104" s="4" t="str">
        <f t="shared" si="489"/>
        <v/>
      </c>
      <c r="KV104" s="4" t="str">
        <f t="shared" si="490"/>
        <v/>
      </c>
      <c r="KW104" s="4" t="str">
        <f t="shared" si="491"/>
        <v/>
      </c>
      <c r="KX104" s="4" t="str">
        <f t="shared" si="492"/>
        <v/>
      </c>
      <c r="KY104" s="4" t="str">
        <f t="shared" si="493"/>
        <v/>
      </c>
      <c r="KZ104" s="4" t="str">
        <f t="shared" si="494"/>
        <v/>
      </c>
      <c r="LA104" s="4" t="str">
        <f t="shared" si="495"/>
        <v/>
      </c>
      <c r="LB104" s="4" t="str">
        <f t="shared" si="496"/>
        <v/>
      </c>
      <c r="LC104" s="4" t="str">
        <f t="shared" si="497"/>
        <v/>
      </c>
      <c r="LD104" s="4" t="str">
        <f t="shared" si="498"/>
        <v/>
      </c>
      <c r="LE104" s="4" t="str">
        <f t="shared" si="499"/>
        <v/>
      </c>
      <c r="LF104" s="4" t="str">
        <f t="shared" si="500"/>
        <v/>
      </c>
      <c r="LG104" s="4" t="str">
        <f t="shared" si="501"/>
        <v/>
      </c>
      <c r="LH104" s="4" t="str">
        <f t="shared" si="502"/>
        <v/>
      </c>
      <c r="LI104" s="4" t="str">
        <f t="shared" si="503"/>
        <v/>
      </c>
      <c r="LJ104" s="4" t="str">
        <f t="shared" si="504"/>
        <v/>
      </c>
      <c r="LK104" s="4" t="str">
        <f t="shared" si="505"/>
        <v/>
      </c>
      <c r="LL104" s="4" t="str">
        <f t="shared" si="506"/>
        <v/>
      </c>
      <c r="LM104" s="4" t="str">
        <f t="shared" si="507"/>
        <v/>
      </c>
      <c r="LN104" s="4" t="str">
        <f t="shared" si="508"/>
        <v/>
      </c>
      <c r="LO104" s="4" t="str">
        <f t="shared" si="509"/>
        <v/>
      </c>
      <c r="LP104" s="4" t="str">
        <f t="shared" si="510"/>
        <v/>
      </c>
      <c r="LQ104" s="4" t="str">
        <f t="shared" si="511"/>
        <v/>
      </c>
      <c r="LR104" s="4" t="str">
        <f t="shared" si="512"/>
        <v/>
      </c>
      <c r="LS104" s="4" t="str">
        <f t="shared" si="513"/>
        <v/>
      </c>
      <c r="LT104" s="4" t="str">
        <f t="shared" si="514"/>
        <v/>
      </c>
      <c r="LU104" s="4" t="str">
        <f t="shared" si="515"/>
        <v/>
      </c>
      <c r="LV104" s="4" t="str">
        <f t="shared" si="516"/>
        <v/>
      </c>
      <c r="LW104" s="4" t="str">
        <f t="shared" si="517"/>
        <v/>
      </c>
      <c r="LX104" s="4" t="str">
        <f t="shared" si="518"/>
        <v/>
      </c>
      <c r="LY104" s="4" t="str">
        <f t="shared" si="519"/>
        <v/>
      </c>
      <c r="LZ104" s="4" t="str">
        <f t="shared" si="520"/>
        <v/>
      </c>
      <c r="MA104" s="4" t="str">
        <f t="shared" si="521"/>
        <v/>
      </c>
      <c r="MB104" s="4" t="str">
        <f t="shared" si="522"/>
        <v/>
      </c>
      <c r="MC104" s="4" t="str">
        <f t="shared" si="523"/>
        <v/>
      </c>
      <c r="MD104" s="4" t="str">
        <f t="shared" si="524"/>
        <v/>
      </c>
      <c r="ME104" s="4">
        <f t="shared" si="525"/>
        <v>0</v>
      </c>
    </row>
    <row r="105" spans="1:343" ht="26.25" customHeight="1" thickBot="1" x14ac:dyDescent="0.25">
      <c r="A105" s="35">
        <v>41330</v>
      </c>
      <c r="B105" s="36" t="s">
        <v>213</v>
      </c>
      <c r="C105" s="36" t="s">
        <v>36</v>
      </c>
      <c r="D105" s="31" t="s">
        <v>111</v>
      </c>
      <c r="E105" s="4">
        <v>74</v>
      </c>
      <c r="F105" s="3">
        <v>14140</v>
      </c>
      <c r="G105" s="4" t="s">
        <v>87</v>
      </c>
      <c r="H105" s="4" t="s">
        <v>108</v>
      </c>
      <c r="I105" s="4">
        <v>1836378</v>
      </c>
      <c r="K105" s="80"/>
      <c r="L105" s="81"/>
      <c r="M105" s="81"/>
      <c r="N105" s="81"/>
      <c r="O105" s="81"/>
      <c r="P105" s="33">
        <v>-0.5</v>
      </c>
      <c r="Q105" s="33">
        <v>-0.54</v>
      </c>
      <c r="R105" s="33" t="s">
        <v>249</v>
      </c>
      <c r="S105" s="67">
        <v>21.75</v>
      </c>
      <c r="T105" s="136">
        <v>41303</v>
      </c>
      <c r="U105" s="67">
        <v>-1.75</v>
      </c>
      <c r="V105" s="67">
        <v>0.75</v>
      </c>
      <c r="W105" s="4">
        <v>20</v>
      </c>
      <c r="X105" s="4">
        <v>40</v>
      </c>
      <c r="Y105" s="4">
        <v>14</v>
      </c>
      <c r="Z105" s="4">
        <v>589</v>
      </c>
      <c r="AA105" s="4">
        <v>23.01</v>
      </c>
      <c r="AD105" s="4">
        <v>2.27</v>
      </c>
      <c r="AE105" s="4">
        <v>46.11</v>
      </c>
      <c r="AF105" s="4">
        <v>94</v>
      </c>
      <c r="AG105" s="4">
        <v>46.49</v>
      </c>
      <c r="AH105" s="4">
        <v>4</v>
      </c>
      <c r="AI105" s="4">
        <v>0</v>
      </c>
      <c r="AJ105" s="4" t="b">
        <f t="shared" si="398"/>
        <v>0</v>
      </c>
      <c r="AL105" s="3">
        <v>41550</v>
      </c>
      <c r="AM105" s="56">
        <v>30</v>
      </c>
      <c r="AN105" s="67">
        <v>-1.5</v>
      </c>
      <c r="AO105" s="67">
        <v>1</v>
      </c>
      <c r="AP105" s="4">
        <v>175</v>
      </c>
      <c r="AQ105" s="4">
        <v>20</v>
      </c>
      <c r="AR105" s="4">
        <v>18</v>
      </c>
      <c r="AS105" s="4">
        <v>568</v>
      </c>
      <c r="AT105" s="4">
        <v>2299</v>
      </c>
      <c r="AU105" s="4">
        <v>23.06</v>
      </c>
      <c r="AV105" s="4" t="s">
        <v>82</v>
      </c>
      <c r="AW105" s="4">
        <v>46.23</v>
      </c>
      <c r="AX105" s="4">
        <v>94</v>
      </c>
      <c r="AY105" s="4">
        <v>47.14</v>
      </c>
      <c r="AZ105" s="4">
        <v>4</v>
      </c>
      <c r="BA105" s="4">
        <f t="shared" si="399"/>
        <v>-1</v>
      </c>
      <c r="BB105" s="4">
        <f t="shared" si="397"/>
        <v>-0.45999999999999996</v>
      </c>
      <c r="BC105" s="4">
        <f t="shared" si="400"/>
        <v>-21</v>
      </c>
      <c r="BD105" s="150">
        <v>41761</v>
      </c>
      <c r="BS105" s="4" t="str">
        <f t="shared" si="266"/>
        <v/>
      </c>
      <c r="BT105" s="4" t="str">
        <f t="shared" si="401"/>
        <v/>
      </c>
      <c r="BU105" s="4" t="str">
        <f t="shared" si="402"/>
        <v/>
      </c>
      <c r="BV105" s="4">
        <f>IF(AND(ISBLANK(SPH_6),ISBLANK(SPH_12)),0,1)</f>
        <v>1</v>
      </c>
      <c r="BW105" s="4">
        <f t="shared" si="403"/>
        <v>0</v>
      </c>
      <c r="BX105" s="4" t="str">
        <f t="shared" si="404"/>
        <v/>
      </c>
      <c r="BY105" s="4" t="str">
        <f t="shared" si="405"/>
        <v/>
      </c>
      <c r="BZ105" s="4" t="str">
        <f t="shared" si="406"/>
        <v/>
      </c>
      <c r="CA105" s="53">
        <f t="shared" si="407"/>
        <v>220</v>
      </c>
      <c r="CB105" s="55">
        <f t="shared" si="408"/>
        <v>7.333333333333333</v>
      </c>
      <c r="CC105" s="4" t="str">
        <f t="shared" si="409"/>
        <v/>
      </c>
      <c r="CD105" s="4">
        <f t="shared" si="410"/>
        <v>0.38500000000000512</v>
      </c>
      <c r="CE105" s="4" t="str">
        <f t="shared" si="411"/>
        <v/>
      </c>
      <c r="CF105" s="4">
        <f t="shared" si="412"/>
        <v>0.38500000000000512</v>
      </c>
      <c r="CG105" s="4">
        <f t="shared" si="526"/>
        <v>-1.375</v>
      </c>
      <c r="CH105" s="4">
        <f t="shared" si="413"/>
        <v>-1</v>
      </c>
      <c r="CI105" s="104">
        <f t="shared" si="414"/>
        <v>-0.45999999999999996</v>
      </c>
      <c r="CJ105" s="94">
        <f t="shared" si="415"/>
        <v>-21</v>
      </c>
      <c r="CK105" s="4">
        <f t="shared" si="416"/>
        <v>4.9999999999997158E-2</v>
      </c>
      <c r="CL105" s="107">
        <f t="shared" si="417"/>
        <v>-0.54</v>
      </c>
      <c r="CM105" s="107">
        <f t="shared" si="396"/>
        <v>0.3010299956639812</v>
      </c>
      <c r="CN105" s="139">
        <f t="shared" si="418"/>
        <v>1</v>
      </c>
      <c r="CO105" s="139">
        <f t="shared" si="419"/>
        <v>0.25</v>
      </c>
      <c r="CP105" s="149">
        <f t="shared" si="420"/>
        <v>20</v>
      </c>
      <c r="CQ105" s="149">
        <f t="shared" si="421"/>
        <v>40</v>
      </c>
      <c r="CR105" s="148">
        <f t="shared" si="422"/>
        <v>30</v>
      </c>
      <c r="CS105" s="152" t="str">
        <f t="shared" si="423"/>
        <v/>
      </c>
      <c r="CT105" s="107" t="str">
        <f t="shared" si="424"/>
        <v/>
      </c>
      <c r="CU105" s="155" t="str">
        <f t="shared" si="425"/>
        <v/>
      </c>
      <c r="ER105" s="94">
        <v>7.29</v>
      </c>
      <c r="ES105" s="4">
        <v>7.38</v>
      </c>
      <c r="ET105" s="4">
        <v>95.4</v>
      </c>
      <c r="EU105" s="4">
        <v>0.6</v>
      </c>
      <c r="EV105" s="4">
        <v>0.34</v>
      </c>
      <c r="EW105" s="4">
        <v>0.43</v>
      </c>
      <c r="EX105" s="4">
        <v>4.71</v>
      </c>
      <c r="EY105" s="4">
        <v>5.28</v>
      </c>
      <c r="EZ105" s="4">
        <v>572</v>
      </c>
      <c r="FA105" s="4">
        <v>572</v>
      </c>
      <c r="FB105" s="4">
        <v>722</v>
      </c>
      <c r="FC105" s="4">
        <v>667</v>
      </c>
      <c r="FD105" s="4">
        <v>717</v>
      </c>
      <c r="FE105" s="4">
        <v>632</v>
      </c>
      <c r="FF105" s="4">
        <v>564</v>
      </c>
      <c r="FG105" s="4">
        <v>-0.76</v>
      </c>
      <c r="FH105" s="4">
        <v>-0.25</v>
      </c>
      <c r="FI105" s="4">
        <v>7.34</v>
      </c>
      <c r="FJ105" s="4">
        <v>7.32</v>
      </c>
      <c r="FK105" s="4">
        <v>7.34</v>
      </c>
      <c r="FL105" s="4">
        <v>7.45</v>
      </c>
      <c r="FM105" s="4">
        <v>7.58</v>
      </c>
      <c r="FN105" s="4">
        <v>7.74</v>
      </c>
      <c r="FO105" s="4">
        <v>0</v>
      </c>
      <c r="FP105" s="4">
        <v>1.7</v>
      </c>
      <c r="FQ105" s="4">
        <v>5.73</v>
      </c>
      <c r="FR105" s="4">
        <v>5.72</v>
      </c>
      <c r="FS105" s="4">
        <v>5.83</v>
      </c>
      <c r="FT105" s="4">
        <v>6.04</v>
      </c>
      <c r="FU105" s="4">
        <v>6.18</v>
      </c>
      <c r="FV105" s="4">
        <v>0</v>
      </c>
      <c r="FW105" s="4">
        <v>0</v>
      </c>
      <c r="FX105" s="97">
        <v>1.7</v>
      </c>
      <c r="IJ105" s="94">
        <f t="shared" si="426"/>
        <v>7.29</v>
      </c>
      <c r="IK105" s="4">
        <f t="shared" si="427"/>
        <v>7.38</v>
      </c>
      <c r="IL105" s="4">
        <f t="shared" si="428"/>
        <v>95.4</v>
      </c>
      <c r="IM105" s="4">
        <f t="shared" si="429"/>
        <v>0.6</v>
      </c>
      <c r="IN105" s="4">
        <f t="shared" si="430"/>
        <v>0.34</v>
      </c>
      <c r="IO105" s="4">
        <f t="shared" si="431"/>
        <v>0.43</v>
      </c>
      <c r="IP105" s="4">
        <f t="shared" si="432"/>
        <v>4.71</v>
      </c>
      <c r="IQ105" s="4">
        <f t="shared" si="433"/>
        <v>5.28</v>
      </c>
      <c r="IR105" s="4">
        <f t="shared" si="434"/>
        <v>572</v>
      </c>
      <c r="IS105" s="4">
        <f t="shared" si="435"/>
        <v>572</v>
      </c>
      <c r="IT105" s="4">
        <f t="shared" si="436"/>
        <v>722</v>
      </c>
      <c r="IU105" s="4">
        <f t="shared" si="437"/>
        <v>667</v>
      </c>
      <c r="IV105" s="4">
        <f t="shared" si="438"/>
        <v>717</v>
      </c>
      <c r="IW105" s="4">
        <f t="shared" si="439"/>
        <v>632</v>
      </c>
      <c r="IX105" s="4">
        <f t="shared" si="440"/>
        <v>564</v>
      </c>
      <c r="IY105" s="4">
        <f t="shared" si="441"/>
        <v>-0.76</v>
      </c>
      <c r="IZ105" s="4">
        <f t="shared" si="442"/>
        <v>-0.25</v>
      </c>
      <c r="JA105" s="4">
        <f t="shared" si="443"/>
        <v>7.34</v>
      </c>
      <c r="JB105" s="4">
        <f t="shared" si="444"/>
        <v>7.32</v>
      </c>
      <c r="JC105" s="4">
        <f t="shared" si="445"/>
        <v>7.34</v>
      </c>
      <c r="JD105" s="4">
        <f t="shared" si="446"/>
        <v>7.45</v>
      </c>
      <c r="JE105" s="4">
        <f t="shared" si="447"/>
        <v>7.58</v>
      </c>
      <c r="JF105" s="4">
        <f t="shared" si="448"/>
        <v>7.74</v>
      </c>
      <c r="JG105" s="4">
        <f t="shared" si="449"/>
        <v>0</v>
      </c>
      <c r="JH105" s="4">
        <f t="shared" si="450"/>
        <v>1.7</v>
      </c>
      <c r="JI105" s="4">
        <f t="shared" si="451"/>
        <v>5.73</v>
      </c>
      <c r="JJ105" s="4">
        <f t="shared" si="452"/>
        <v>5.72</v>
      </c>
      <c r="JK105" s="4">
        <f t="shared" si="453"/>
        <v>5.83</v>
      </c>
      <c r="JL105" s="4">
        <f t="shared" si="454"/>
        <v>6.04</v>
      </c>
      <c r="JM105" s="4">
        <f t="shared" si="455"/>
        <v>6.18</v>
      </c>
      <c r="JN105" s="4">
        <f t="shared" si="456"/>
        <v>0</v>
      </c>
      <c r="JO105" s="129">
        <f t="shared" si="457"/>
        <v>0</v>
      </c>
      <c r="JP105" s="122">
        <f t="shared" si="458"/>
        <v>1.7</v>
      </c>
      <c r="JQ105" s="122" t="str">
        <f t="shared" si="459"/>
        <v/>
      </c>
      <c r="JR105" s="122" t="str">
        <f t="shared" si="460"/>
        <v/>
      </c>
      <c r="JS105" s="122" t="str">
        <f t="shared" si="461"/>
        <v/>
      </c>
      <c r="JT105" s="122" t="str">
        <f t="shared" si="462"/>
        <v/>
      </c>
      <c r="JU105" s="122" t="str">
        <f t="shared" si="463"/>
        <v/>
      </c>
      <c r="JV105" s="122" t="str">
        <f t="shared" si="464"/>
        <v/>
      </c>
      <c r="JW105" s="122" t="str">
        <f t="shared" si="465"/>
        <v/>
      </c>
      <c r="JX105" s="122" t="str">
        <f t="shared" si="466"/>
        <v/>
      </c>
      <c r="JY105" s="122" t="str">
        <f t="shared" si="467"/>
        <v/>
      </c>
      <c r="JZ105" s="122" t="str">
        <f t="shared" si="468"/>
        <v/>
      </c>
      <c r="KA105" s="122" t="str">
        <f t="shared" si="469"/>
        <v/>
      </c>
      <c r="KB105" s="122" t="str">
        <f t="shared" si="470"/>
        <v/>
      </c>
      <c r="KC105" s="122" t="str">
        <f t="shared" si="471"/>
        <v/>
      </c>
      <c r="KD105" s="122" t="str">
        <f t="shared" si="472"/>
        <v/>
      </c>
      <c r="KE105" s="133" t="str">
        <f t="shared" si="473"/>
        <v/>
      </c>
      <c r="KF105" s="94" t="str">
        <f t="shared" si="474"/>
        <v/>
      </c>
      <c r="KG105" s="4" t="str">
        <f t="shared" si="475"/>
        <v/>
      </c>
      <c r="KH105" s="4" t="str">
        <f t="shared" si="476"/>
        <v/>
      </c>
      <c r="KI105" s="4" t="str">
        <f t="shared" si="477"/>
        <v/>
      </c>
      <c r="KJ105" s="4" t="str">
        <f t="shared" si="478"/>
        <v/>
      </c>
      <c r="KK105" s="4" t="str">
        <f t="shared" si="479"/>
        <v/>
      </c>
      <c r="KL105" s="4" t="str">
        <f t="shared" si="480"/>
        <v/>
      </c>
      <c r="KM105" s="4" t="str">
        <f t="shared" si="481"/>
        <v/>
      </c>
      <c r="KN105" s="4" t="str">
        <f t="shared" si="482"/>
        <v/>
      </c>
      <c r="KO105" s="4" t="str">
        <f t="shared" si="483"/>
        <v/>
      </c>
      <c r="KP105" s="4" t="str">
        <f t="shared" si="484"/>
        <v/>
      </c>
      <c r="KQ105" s="4" t="str">
        <f t="shared" si="485"/>
        <v/>
      </c>
      <c r="KR105" s="4" t="str">
        <f t="shared" si="486"/>
        <v/>
      </c>
      <c r="KS105" s="4" t="str">
        <f t="shared" si="487"/>
        <v/>
      </c>
      <c r="KT105" s="4" t="str">
        <f t="shared" si="488"/>
        <v/>
      </c>
      <c r="KU105" s="4" t="str">
        <f t="shared" si="489"/>
        <v/>
      </c>
      <c r="KV105" s="4" t="str">
        <f t="shared" si="490"/>
        <v/>
      </c>
      <c r="KW105" s="4" t="str">
        <f t="shared" si="491"/>
        <v/>
      </c>
      <c r="KX105" s="4" t="str">
        <f t="shared" si="492"/>
        <v/>
      </c>
      <c r="KY105" s="4" t="str">
        <f t="shared" si="493"/>
        <v/>
      </c>
      <c r="KZ105" s="4" t="str">
        <f t="shared" si="494"/>
        <v/>
      </c>
      <c r="LA105" s="4" t="str">
        <f t="shared" si="495"/>
        <v/>
      </c>
      <c r="LB105" s="4" t="str">
        <f t="shared" si="496"/>
        <v/>
      </c>
      <c r="LC105" s="4" t="str">
        <f t="shared" si="497"/>
        <v/>
      </c>
      <c r="LD105" s="4" t="str">
        <f t="shared" si="498"/>
        <v/>
      </c>
      <c r="LE105" s="4" t="str">
        <f t="shared" si="499"/>
        <v/>
      </c>
      <c r="LF105" s="4" t="str">
        <f t="shared" si="500"/>
        <v/>
      </c>
      <c r="LG105" s="4" t="str">
        <f t="shared" si="501"/>
        <v/>
      </c>
      <c r="LH105" s="4" t="str">
        <f t="shared" si="502"/>
        <v/>
      </c>
      <c r="LI105" s="4" t="str">
        <f t="shared" si="503"/>
        <v/>
      </c>
      <c r="LJ105" s="4" t="str">
        <f t="shared" si="504"/>
        <v/>
      </c>
      <c r="LK105" s="4" t="str">
        <f t="shared" si="505"/>
        <v/>
      </c>
      <c r="LL105" s="4" t="str">
        <f t="shared" si="506"/>
        <v/>
      </c>
      <c r="LM105" s="4" t="str">
        <f t="shared" si="507"/>
        <v/>
      </c>
      <c r="LN105" s="4" t="str">
        <f t="shared" si="508"/>
        <v/>
      </c>
      <c r="LO105" s="4" t="str">
        <f t="shared" si="509"/>
        <v/>
      </c>
      <c r="LP105" s="4" t="str">
        <f t="shared" si="510"/>
        <v/>
      </c>
      <c r="LQ105" s="4" t="str">
        <f t="shared" si="511"/>
        <v/>
      </c>
      <c r="LR105" s="4" t="str">
        <f t="shared" si="512"/>
        <v/>
      </c>
      <c r="LS105" s="4" t="str">
        <f t="shared" si="513"/>
        <v/>
      </c>
      <c r="LT105" s="4" t="str">
        <f t="shared" si="514"/>
        <v/>
      </c>
      <c r="LU105" s="4" t="str">
        <f t="shared" si="515"/>
        <v/>
      </c>
      <c r="LV105" s="4" t="str">
        <f t="shared" si="516"/>
        <v/>
      </c>
      <c r="LW105" s="4" t="str">
        <f t="shared" si="517"/>
        <v/>
      </c>
      <c r="LX105" s="4" t="str">
        <f t="shared" si="518"/>
        <v/>
      </c>
      <c r="LY105" s="4" t="str">
        <f t="shared" si="519"/>
        <v/>
      </c>
      <c r="LZ105" s="4" t="str">
        <f t="shared" si="520"/>
        <v/>
      </c>
      <c r="MA105" s="4" t="str">
        <f t="shared" si="521"/>
        <v/>
      </c>
      <c r="MB105" s="4" t="str">
        <f t="shared" si="522"/>
        <v/>
      </c>
      <c r="MC105" s="4" t="str">
        <f t="shared" si="523"/>
        <v/>
      </c>
      <c r="MD105" s="4" t="str">
        <f t="shared" si="524"/>
        <v/>
      </c>
      <c r="ME105" s="4">
        <f t="shared" si="525"/>
        <v>0</v>
      </c>
    </row>
    <row r="106" spans="1:343" ht="26.25" customHeight="1" x14ac:dyDescent="0.2">
      <c r="A106" s="35">
        <v>41339</v>
      </c>
      <c r="B106" s="36" t="s">
        <v>146</v>
      </c>
      <c r="C106" s="36" t="s">
        <v>40</v>
      </c>
      <c r="D106" s="31" t="s">
        <v>111</v>
      </c>
      <c r="E106" s="4">
        <v>76</v>
      </c>
      <c r="F106" s="3">
        <v>13294</v>
      </c>
      <c r="G106" s="4" t="s">
        <v>87</v>
      </c>
      <c r="H106" s="4" t="s">
        <v>108</v>
      </c>
      <c r="I106" s="4">
        <v>1836414</v>
      </c>
      <c r="K106" s="79"/>
      <c r="L106" s="76"/>
      <c r="M106" s="76"/>
      <c r="N106" s="76"/>
      <c r="O106" s="76"/>
      <c r="P106" s="33">
        <v>-1.5</v>
      </c>
      <c r="Q106" s="33">
        <v>-1.71</v>
      </c>
      <c r="R106" s="33" t="s">
        <v>249</v>
      </c>
      <c r="S106" s="67">
        <v>22.75</v>
      </c>
      <c r="T106" s="136">
        <v>41333</v>
      </c>
      <c r="U106" s="67">
        <v>0.27500000000000002</v>
      </c>
      <c r="V106" s="67">
        <v>0</v>
      </c>
      <c r="W106" s="4">
        <v>0</v>
      </c>
      <c r="X106" s="4">
        <v>50</v>
      </c>
      <c r="Y106" s="4">
        <v>15</v>
      </c>
      <c r="Z106" s="4">
        <v>583</v>
      </c>
      <c r="AA106" s="4">
        <v>22.9</v>
      </c>
      <c r="AD106" s="4">
        <v>2.96</v>
      </c>
      <c r="AE106" s="4">
        <v>43.95</v>
      </c>
      <c r="AF106" s="4">
        <v>145</v>
      </c>
      <c r="AG106" s="4">
        <v>44.88</v>
      </c>
      <c r="AH106" s="4">
        <v>55</v>
      </c>
      <c r="AI106" s="4">
        <v>0</v>
      </c>
      <c r="AJ106" s="4" t="b">
        <f t="shared" si="398"/>
        <v>0</v>
      </c>
      <c r="AL106" s="32">
        <v>41507</v>
      </c>
      <c r="AM106" s="60">
        <v>40</v>
      </c>
      <c r="AN106" s="67">
        <v>0</v>
      </c>
      <c r="AO106" s="67">
        <v>1.25</v>
      </c>
      <c r="AP106" s="4">
        <v>53</v>
      </c>
      <c r="AQ106" s="4">
        <v>20</v>
      </c>
      <c r="AR106" s="4">
        <v>15</v>
      </c>
      <c r="AS106" s="4">
        <v>500</v>
      </c>
      <c r="AT106" s="4">
        <v>2058</v>
      </c>
      <c r="BA106" s="4">
        <f t="shared" si="399"/>
        <v>0.625</v>
      </c>
      <c r="BB106" s="4">
        <f t="shared" si="397"/>
        <v>2.335</v>
      </c>
      <c r="BC106" s="4">
        <f t="shared" si="400"/>
        <v>-83</v>
      </c>
      <c r="BD106" s="150">
        <v>41717</v>
      </c>
      <c r="BS106" s="4" t="str">
        <f t="shared" si="266"/>
        <v/>
      </c>
      <c r="BT106" s="4" t="str">
        <f t="shared" si="401"/>
        <v/>
      </c>
      <c r="BU106" s="4" t="str">
        <f t="shared" si="402"/>
        <v/>
      </c>
      <c r="BV106" s="4">
        <f>IF(AND(ISBLANK(SPH_6),ISBLANK(SPH_12)),0,1)</f>
        <v>1</v>
      </c>
      <c r="BW106" s="4">
        <f t="shared" si="403"/>
        <v>0</v>
      </c>
      <c r="BX106" s="4" t="str">
        <f t="shared" si="404"/>
        <v/>
      </c>
      <c r="BY106" s="4" t="str">
        <f t="shared" si="405"/>
        <v/>
      </c>
      <c r="BZ106" s="4" t="str">
        <f t="shared" si="406"/>
        <v/>
      </c>
      <c r="CA106" s="53">
        <f t="shared" si="407"/>
        <v>168</v>
      </c>
      <c r="CB106" s="55">
        <f t="shared" si="408"/>
        <v>5.6</v>
      </c>
      <c r="CC106" s="4" t="str">
        <f t="shared" si="409"/>
        <v/>
      </c>
      <c r="CD106" s="4" t="str">
        <f t="shared" si="410"/>
        <v/>
      </c>
      <c r="CE106" s="4" t="str">
        <f t="shared" si="411"/>
        <v/>
      </c>
      <c r="CF106" s="4" t="str">
        <f t="shared" si="412"/>
        <v/>
      </c>
      <c r="CG106" s="4">
        <f t="shared" si="526"/>
        <v>0.27500000000000002</v>
      </c>
      <c r="CH106" s="4">
        <f t="shared" si="413"/>
        <v>0.625</v>
      </c>
      <c r="CI106" s="104">
        <f t="shared" si="414"/>
        <v>2.335</v>
      </c>
      <c r="CJ106" s="94">
        <f t="shared" si="415"/>
        <v>-83</v>
      </c>
      <c r="CK106" s="4" t="str">
        <f t="shared" si="416"/>
        <v/>
      </c>
      <c r="CL106" s="107">
        <f t="shared" si="417"/>
        <v>-1.71</v>
      </c>
      <c r="CM106" s="107">
        <f t="shared" si="396"/>
        <v>0.3979400086720376</v>
      </c>
      <c r="CN106" s="139">
        <f t="shared" si="418"/>
        <v>1.25</v>
      </c>
      <c r="CO106" s="139">
        <f t="shared" si="419"/>
        <v>1.25</v>
      </c>
      <c r="CP106" s="149">
        <f t="shared" si="420"/>
        <v>20</v>
      </c>
      <c r="CQ106" s="149">
        <f t="shared" si="421"/>
        <v>50</v>
      </c>
      <c r="CR106" s="148" t="str">
        <f t="shared" si="422"/>
        <v/>
      </c>
      <c r="CS106" s="152">
        <f t="shared" si="423"/>
        <v>1</v>
      </c>
      <c r="CT106" s="107" t="str">
        <f t="shared" si="424"/>
        <v/>
      </c>
      <c r="CU106" s="155" t="b">
        <f t="shared" si="425"/>
        <v>1</v>
      </c>
      <c r="CV106">
        <v>7.81</v>
      </c>
      <c r="CW106" s="4">
        <v>7.65</v>
      </c>
      <c r="CX106" s="4">
        <v>161.1</v>
      </c>
      <c r="CY106" s="4">
        <v>-0.9</v>
      </c>
      <c r="CZ106" s="4">
        <v>0.19</v>
      </c>
      <c r="DA106" s="4">
        <v>0.6</v>
      </c>
      <c r="DB106" s="4">
        <v>2.2200000000000002</v>
      </c>
      <c r="DC106" s="4">
        <v>2.82</v>
      </c>
      <c r="DD106" s="4">
        <v>593</v>
      </c>
      <c r="DE106" s="4">
        <v>593</v>
      </c>
      <c r="DF106" s="4">
        <v>613</v>
      </c>
      <c r="DG106" s="4">
        <v>607</v>
      </c>
      <c r="DH106" s="4">
        <v>624</v>
      </c>
      <c r="DI106" s="4">
        <v>609</v>
      </c>
      <c r="DJ106" s="4">
        <v>582</v>
      </c>
      <c r="DK106" s="4">
        <v>-1.06</v>
      </c>
      <c r="DL106" s="4">
        <v>1.48</v>
      </c>
      <c r="DM106" s="4">
        <v>7.75</v>
      </c>
      <c r="DN106" s="4">
        <v>7.68</v>
      </c>
      <c r="DO106" s="4">
        <v>7.68</v>
      </c>
      <c r="DP106" s="4">
        <v>7.91</v>
      </c>
      <c r="DQ106" s="4">
        <v>8.31</v>
      </c>
      <c r="DR106" s="4">
        <v>8.51</v>
      </c>
      <c r="DS106" s="4">
        <v>0</v>
      </c>
      <c r="DT106" s="4">
        <v>0.3</v>
      </c>
      <c r="DU106" s="4">
        <v>7.33</v>
      </c>
      <c r="DV106" s="4">
        <v>6.79</v>
      </c>
      <c r="DW106" s="4">
        <v>6.58</v>
      </c>
      <c r="DX106" s="4">
        <v>6.84</v>
      </c>
      <c r="DY106" s="4">
        <v>7.21</v>
      </c>
      <c r="DZ106" s="4">
        <v>7.43</v>
      </c>
      <c r="EA106" s="4">
        <v>0</v>
      </c>
      <c r="EB106" s="100">
        <v>0.3</v>
      </c>
      <c r="EC106" s="122">
        <v>43.2</v>
      </c>
      <c r="ED106" s="122">
        <v>44.1</v>
      </c>
      <c r="EE106" s="122">
        <v>43.7</v>
      </c>
      <c r="EF106" s="122">
        <v>161.1</v>
      </c>
      <c r="EG106" s="122">
        <v>0.9</v>
      </c>
      <c r="EH106" s="122">
        <v>-5.5</v>
      </c>
      <c r="EI106" s="122">
        <v>-5.7</v>
      </c>
      <c r="EJ106" s="122">
        <v>-5.6</v>
      </c>
      <c r="EK106" s="122">
        <v>140.5</v>
      </c>
      <c r="EL106" s="122">
        <v>0.3</v>
      </c>
      <c r="EM106" s="122">
        <v>4.2</v>
      </c>
      <c r="EN106" s="122">
        <v>11.9</v>
      </c>
      <c r="EO106" s="122">
        <v>24.9</v>
      </c>
      <c r="EP106" s="122">
        <v>58.4</v>
      </c>
      <c r="EQ106" s="126">
        <v>14</v>
      </c>
      <c r="FY106" s="122">
        <v>42.9</v>
      </c>
      <c r="FZ106" s="122">
        <v>43.9</v>
      </c>
      <c r="GA106" s="122">
        <v>43.4</v>
      </c>
      <c r="GB106" s="122">
        <v>144.69999999999999</v>
      </c>
      <c r="GC106" s="122">
        <v>1</v>
      </c>
      <c r="GD106" s="122">
        <v>-6.3</v>
      </c>
      <c r="GE106" s="122">
        <v>-6.4</v>
      </c>
      <c r="GF106" s="122">
        <v>-6.4</v>
      </c>
      <c r="GG106" s="122">
        <v>166.8</v>
      </c>
      <c r="GH106" s="122">
        <v>0.1</v>
      </c>
      <c r="GI106" s="122">
        <v>3.6</v>
      </c>
      <c r="GJ106" s="122">
        <v>10.7</v>
      </c>
      <c r="GK106" s="122">
        <v>23.2</v>
      </c>
      <c r="GL106" s="122">
        <v>57.1</v>
      </c>
      <c r="GM106" s="131">
        <v>16</v>
      </c>
      <c r="IJ106" s="94" t="str">
        <f t="shared" si="426"/>
        <v/>
      </c>
      <c r="IK106" s="4" t="str">
        <f t="shared" si="427"/>
        <v/>
      </c>
      <c r="IL106" s="4" t="str">
        <f t="shared" si="428"/>
        <v/>
      </c>
      <c r="IM106" s="4" t="str">
        <f t="shared" si="429"/>
        <v/>
      </c>
      <c r="IN106" s="4" t="str">
        <f t="shared" si="430"/>
        <v/>
      </c>
      <c r="IO106" s="4" t="str">
        <f t="shared" si="431"/>
        <v/>
      </c>
      <c r="IP106" s="4" t="str">
        <f t="shared" si="432"/>
        <v/>
      </c>
      <c r="IQ106" s="4" t="str">
        <f t="shared" si="433"/>
        <v/>
      </c>
      <c r="IR106" s="4" t="str">
        <f t="shared" si="434"/>
        <v/>
      </c>
      <c r="IS106" s="4" t="str">
        <f t="shared" si="435"/>
        <v/>
      </c>
      <c r="IT106" s="4" t="str">
        <f t="shared" si="436"/>
        <v/>
      </c>
      <c r="IU106" s="4" t="str">
        <f t="shared" si="437"/>
        <v/>
      </c>
      <c r="IV106" s="4" t="str">
        <f t="shared" si="438"/>
        <v/>
      </c>
      <c r="IW106" s="4" t="str">
        <f t="shared" si="439"/>
        <v/>
      </c>
      <c r="IX106" s="4" t="str">
        <f t="shared" si="440"/>
        <v/>
      </c>
      <c r="IY106" s="4" t="str">
        <f t="shared" si="441"/>
        <v/>
      </c>
      <c r="IZ106" s="4" t="str">
        <f t="shared" si="442"/>
        <v/>
      </c>
      <c r="JA106" s="4" t="str">
        <f t="shared" si="443"/>
        <v/>
      </c>
      <c r="JB106" s="4" t="str">
        <f t="shared" si="444"/>
        <v/>
      </c>
      <c r="JC106" s="4" t="str">
        <f t="shared" si="445"/>
        <v/>
      </c>
      <c r="JD106" s="4" t="str">
        <f t="shared" si="446"/>
        <v/>
      </c>
      <c r="JE106" s="4" t="str">
        <f t="shared" si="447"/>
        <v/>
      </c>
      <c r="JF106" s="4" t="str">
        <f t="shared" si="448"/>
        <v/>
      </c>
      <c r="JG106" s="4" t="str">
        <f t="shared" si="449"/>
        <v/>
      </c>
      <c r="JH106" s="4" t="str">
        <f t="shared" si="450"/>
        <v/>
      </c>
      <c r="JI106" s="4" t="str">
        <f t="shared" si="451"/>
        <v/>
      </c>
      <c r="JJ106" s="4" t="str">
        <f t="shared" si="452"/>
        <v/>
      </c>
      <c r="JK106" s="4" t="str">
        <f t="shared" si="453"/>
        <v/>
      </c>
      <c r="JL106" s="4" t="str">
        <f t="shared" si="454"/>
        <v/>
      </c>
      <c r="JM106" s="4" t="str">
        <f t="shared" si="455"/>
        <v/>
      </c>
      <c r="JN106" s="4" t="str">
        <f t="shared" si="456"/>
        <v/>
      </c>
      <c r="JO106" s="129" t="str">
        <f t="shared" si="457"/>
        <v/>
      </c>
      <c r="JP106" s="122" t="str">
        <f t="shared" si="458"/>
        <v/>
      </c>
      <c r="JQ106" s="122">
        <f t="shared" si="459"/>
        <v>42.9</v>
      </c>
      <c r="JR106" s="122">
        <f t="shared" si="460"/>
        <v>43.9</v>
      </c>
      <c r="JS106" s="122">
        <f t="shared" si="461"/>
        <v>43.4</v>
      </c>
      <c r="JT106" s="122">
        <f t="shared" si="462"/>
        <v>144.69999999999999</v>
      </c>
      <c r="JU106" s="122">
        <f t="shared" si="463"/>
        <v>1</v>
      </c>
      <c r="JV106" s="122">
        <f t="shared" si="464"/>
        <v>-6.3</v>
      </c>
      <c r="JW106" s="122">
        <f t="shared" si="465"/>
        <v>-6.4</v>
      </c>
      <c r="JX106" s="122">
        <f t="shared" si="466"/>
        <v>-6.4</v>
      </c>
      <c r="JY106" s="122">
        <f t="shared" si="467"/>
        <v>166.8</v>
      </c>
      <c r="JZ106" s="122">
        <f t="shared" si="468"/>
        <v>0.1</v>
      </c>
      <c r="KA106" s="122">
        <f t="shared" si="469"/>
        <v>3.6</v>
      </c>
      <c r="KB106" s="122">
        <f t="shared" si="470"/>
        <v>10.7</v>
      </c>
      <c r="KC106" s="122">
        <f t="shared" si="471"/>
        <v>23.2</v>
      </c>
      <c r="KD106" s="122">
        <f t="shared" si="472"/>
        <v>57.1</v>
      </c>
      <c r="KE106" s="133">
        <f t="shared" si="473"/>
        <v>16</v>
      </c>
      <c r="KF106" s="94" t="str">
        <f t="shared" si="474"/>
        <v/>
      </c>
      <c r="KG106" s="4" t="str">
        <f t="shared" si="475"/>
        <v/>
      </c>
      <c r="KH106" s="4" t="str">
        <f t="shared" si="476"/>
        <v/>
      </c>
      <c r="KI106" s="4" t="str">
        <f t="shared" si="477"/>
        <v/>
      </c>
      <c r="KJ106" s="4" t="str">
        <f t="shared" si="478"/>
        <v/>
      </c>
      <c r="KK106" s="4" t="str">
        <f t="shared" si="479"/>
        <v/>
      </c>
      <c r="KL106" s="4" t="str">
        <f t="shared" si="480"/>
        <v/>
      </c>
      <c r="KM106" s="4" t="str">
        <f t="shared" si="481"/>
        <v/>
      </c>
      <c r="KN106" s="4" t="str">
        <f t="shared" si="482"/>
        <v/>
      </c>
      <c r="KO106" s="4" t="str">
        <f t="shared" si="483"/>
        <v/>
      </c>
      <c r="KP106" s="4" t="str">
        <f t="shared" si="484"/>
        <v/>
      </c>
      <c r="KQ106" s="4" t="str">
        <f t="shared" si="485"/>
        <v/>
      </c>
      <c r="KR106" s="4" t="str">
        <f t="shared" si="486"/>
        <v/>
      </c>
      <c r="KS106" s="4" t="str">
        <f t="shared" si="487"/>
        <v/>
      </c>
      <c r="KT106" s="4" t="str">
        <f t="shared" si="488"/>
        <v/>
      </c>
      <c r="KU106" s="4" t="str">
        <f t="shared" si="489"/>
        <v/>
      </c>
      <c r="KV106" s="4" t="str">
        <f t="shared" si="490"/>
        <v/>
      </c>
      <c r="KW106" s="4" t="str">
        <f t="shared" si="491"/>
        <v/>
      </c>
      <c r="KX106" s="4" t="str">
        <f t="shared" si="492"/>
        <v/>
      </c>
      <c r="KY106" s="4" t="str">
        <f t="shared" si="493"/>
        <v/>
      </c>
      <c r="KZ106" s="4" t="str">
        <f t="shared" si="494"/>
        <v/>
      </c>
      <c r="LA106" s="4" t="str">
        <f t="shared" si="495"/>
        <v/>
      </c>
      <c r="LB106" s="4" t="str">
        <f t="shared" si="496"/>
        <v/>
      </c>
      <c r="LC106" s="4" t="str">
        <f t="shared" si="497"/>
        <v/>
      </c>
      <c r="LD106" s="4" t="str">
        <f t="shared" si="498"/>
        <v/>
      </c>
      <c r="LE106" s="4" t="str">
        <f t="shared" si="499"/>
        <v/>
      </c>
      <c r="LF106" s="4" t="str">
        <f t="shared" si="500"/>
        <v/>
      </c>
      <c r="LG106" s="4" t="str">
        <f t="shared" si="501"/>
        <v/>
      </c>
      <c r="LH106" s="4" t="str">
        <f t="shared" si="502"/>
        <v/>
      </c>
      <c r="LI106" s="4" t="str">
        <f t="shared" si="503"/>
        <v/>
      </c>
      <c r="LJ106" s="4" t="str">
        <f t="shared" si="504"/>
        <v/>
      </c>
      <c r="LK106" s="4" t="str">
        <f t="shared" si="505"/>
        <v/>
      </c>
      <c r="LL106" s="4" t="str">
        <f t="shared" si="506"/>
        <v/>
      </c>
      <c r="LM106" s="4">
        <f t="shared" si="507"/>
        <v>-0.30000000000000426</v>
      </c>
      <c r="LN106" s="4">
        <f t="shared" si="508"/>
        <v>-0.20000000000000284</v>
      </c>
      <c r="LO106" s="4">
        <f t="shared" si="509"/>
        <v>-0.30000000000000426</v>
      </c>
      <c r="LP106" s="4">
        <f t="shared" si="510"/>
        <v>-16.400000000000006</v>
      </c>
      <c r="LQ106" s="4">
        <f t="shared" si="511"/>
        <v>9.9999999999999978E-2</v>
      </c>
      <c r="LR106" s="4">
        <f t="shared" si="512"/>
        <v>-0.79999999999999982</v>
      </c>
      <c r="LS106" s="4">
        <f t="shared" si="513"/>
        <v>-0.70000000000000018</v>
      </c>
      <c r="LT106" s="4">
        <f t="shared" si="514"/>
        <v>-0.80000000000000071</v>
      </c>
      <c r="LU106" s="4">
        <f t="shared" si="515"/>
        <v>26.300000000000011</v>
      </c>
      <c r="LV106" s="4">
        <f t="shared" si="516"/>
        <v>-0.19999999999999998</v>
      </c>
      <c r="LW106" s="4">
        <f t="shared" si="517"/>
        <v>-0.60000000000000009</v>
      </c>
      <c r="LX106" s="4">
        <f t="shared" si="518"/>
        <v>-1.2000000000000011</v>
      </c>
      <c r="LY106" s="4">
        <f t="shared" si="519"/>
        <v>-1.6999999999999993</v>
      </c>
      <c r="LZ106" s="4">
        <f t="shared" si="520"/>
        <v>-1.2999999999999972</v>
      </c>
      <c r="MA106" s="4">
        <f t="shared" si="521"/>
        <v>2</v>
      </c>
      <c r="MB106" s="4" t="str">
        <f t="shared" si="522"/>
        <v/>
      </c>
      <c r="MC106" s="4" t="str">
        <f t="shared" si="523"/>
        <v/>
      </c>
      <c r="MD106" s="4" t="str">
        <f t="shared" si="524"/>
        <v/>
      </c>
      <c r="ME106" s="4">
        <f t="shared" si="525"/>
        <v>6.4</v>
      </c>
    </row>
    <row r="107" spans="1:343" ht="26.25" customHeight="1" x14ac:dyDescent="0.2">
      <c r="A107" s="35">
        <v>41416</v>
      </c>
      <c r="B107" s="36" t="s">
        <v>146</v>
      </c>
      <c r="C107" s="36" t="s">
        <v>40</v>
      </c>
      <c r="D107" s="31" t="s">
        <v>110</v>
      </c>
      <c r="E107" s="4">
        <v>76</v>
      </c>
      <c r="F107" s="3">
        <v>13294</v>
      </c>
      <c r="G107" s="4" t="s">
        <v>87</v>
      </c>
      <c r="H107" s="4" t="s">
        <v>108</v>
      </c>
      <c r="I107" s="4">
        <v>1836414</v>
      </c>
      <c r="L107" s="76"/>
      <c r="M107" s="76"/>
      <c r="N107" s="76"/>
      <c r="O107" s="76"/>
      <c r="P107" s="33">
        <v>-0.5</v>
      </c>
      <c r="Q107" s="33">
        <v>-0.54</v>
      </c>
      <c r="R107" s="33" t="s">
        <v>249</v>
      </c>
      <c r="S107" s="67">
        <v>23</v>
      </c>
      <c r="T107" s="136">
        <v>41333</v>
      </c>
      <c r="U107" s="67">
        <v>2.25</v>
      </c>
      <c r="V107" s="67">
        <v>0.75</v>
      </c>
      <c r="W107" s="4">
        <v>134</v>
      </c>
      <c r="X107" s="4">
        <v>40</v>
      </c>
      <c r="Y107" s="4">
        <v>15</v>
      </c>
      <c r="Z107" s="4">
        <v>564</v>
      </c>
      <c r="AA107" s="4">
        <v>22.83</v>
      </c>
      <c r="AD107" s="4">
        <v>4.1100000000000003</v>
      </c>
      <c r="AE107" s="4">
        <v>44.35</v>
      </c>
      <c r="AF107" s="4">
        <v>68</v>
      </c>
      <c r="AG107" s="4">
        <v>44.82</v>
      </c>
      <c r="AH107" s="4">
        <v>158</v>
      </c>
      <c r="AI107" s="4">
        <v>0</v>
      </c>
      <c r="AJ107" s="4" t="b">
        <f t="shared" si="398"/>
        <v>0</v>
      </c>
      <c r="AL107" s="37">
        <v>41605</v>
      </c>
      <c r="AM107" s="59">
        <v>40</v>
      </c>
      <c r="AN107" s="67">
        <v>-0.75</v>
      </c>
      <c r="AO107" s="67">
        <v>1.25</v>
      </c>
      <c r="AP107" s="4">
        <v>150</v>
      </c>
      <c r="AQ107" s="4">
        <v>20</v>
      </c>
      <c r="AR107" s="4">
        <v>15</v>
      </c>
      <c r="AS107" s="4">
        <v>482</v>
      </c>
      <c r="AT107" s="4">
        <v>1996</v>
      </c>
      <c r="AU107" s="4">
        <v>22.87</v>
      </c>
      <c r="AV107" s="4">
        <v>4.1100000000000003</v>
      </c>
      <c r="AW107" s="4">
        <v>43.32</v>
      </c>
      <c r="AX107" s="4">
        <v>64</v>
      </c>
      <c r="AY107" s="4">
        <v>44.76</v>
      </c>
      <c r="AZ107" s="4">
        <v>154</v>
      </c>
      <c r="BA107" s="4">
        <f t="shared" si="399"/>
        <v>-0.125</v>
      </c>
      <c r="BB107" s="4">
        <f t="shared" si="397"/>
        <v>0.41500000000000004</v>
      </c>
      <c r="BC107" s="4">
        <f t="shared" si="400"/>
        <v>-82</v>
      </c>
      <c r="BD107" s="150">
        <v>41717</v>
      </c>
      <c r="BT107" s="4" t="str">
        <f t="shared" si="401"/>
        <v/>
      </c>
      <c r="BU107" s="4" t="str">
        <f t="shared" si="402"/>
        <v/>
      </c>
      <c r="BV107" s="4">
        <f>IF(AND(ISBLANK(SPH_6),ISBLANK(SPH_12)),0,1)</f>
        <v>1</v>
      </c>
      <c r="BW107" s="4">
        <f t="shared" si="403"/>
        <v>0</v>
      </c>
      <c r="BX107" s="4" t="str">
        <f t="shared" si="404"/>
        <v/>
      </c>
      <c r="BY107" s="4" t="str">
        <f t="shared" si="405"/>
        <v/>
      </c>
      <c r="BZ107" s="4" t="str">
        <f t="shared" si="406"/>
        <v/>
      </c>
      <c r="CA107" s="53">
        <f t="shared" si="407"/>
        <v>189</v>
      </c>
      <c r="CB107" s="55">
        <f t="shared" si="408"/>
        <v>6.3</v>
      </c>
      <c r="CC107" s="4" t="str">
        <f t="shared" si="409"/>
        <v/>
      </c>
      <c r="CD107" s="4">
        <f t="shared" si="410"/>
        <v>-0.54500000000000171</v>
      </c>
      <c r="CE107" s="4" t="str">
        <f t="shared" si="411"/>
        <v/>
      </c>
      <c r="CF107" s="4">
        <f t="shared" si="412"/>
        <v>-0.54500000000000171</v>
      </c>
      <c r="CG107" s="4">
        <f t="shared" si="526"/>
        <v>2.625</v>
      </c>
      <c r="CH107" s="4">
        <f t="shared" si="413"/>
        <v>-0.125</v>
      </c>
      <c r="CI107" s="104">
        <f t="shared" si="414"/>
        <v>0.41500000000000004</v>
      </c>
      <c r="CJ107" s="94">
        <f t="shared" si="415"/>
        <v>-82</v>
      </c>
      <c r="CK107" s="4">
        <f t="shared" si="416"/>
        <v>4.00000000000027E-2</v>
      </c>
      <c r="CL107" s="107">
        <f t="shared" si="417"/>
        <v>-0.54</v>
      </c>
      <c r="CM107" s="107">
        <f t="shared" si="396"/>
        <v>0.3010299956639812</v>
      </c>
      <c r="CN107" s="139">
        <f t="shared" si="418"/>
        <v>1.25</v>
      </c>
      <c r="CO107" s="139">
        <f t="shared" si="419"/>
        <v>0.5</v>
      </c>
      <c r="CP107" s="149">
        <f t="shared" si="420"/>
        <v>20</v>
      </c>
      <c r="CQ107" s="149">
        <f t="shared" si="421"/>
        <v>40</v>
      </c>
      <c r="CR107" s="148">
        <f t="shared" si="422"/>
        <v>40</v>
      </c>
      <c r="CS107" s="152">
        <f t="shared" si="423"/>
        <v>0</v>
      </c>
      <c r="CT107" s="107" t="str">
        <f t="shared" si="424"/>
        <v/>
      </c>
      <c r="CU107" s="155" t="b">
        <f t="shared" si="425"/>
        <v>0</v>
      </c>
      <c r="CV107">
        <v>7.65</v>
      </c>
      <c r="CW107" s="4">
        <v>7.77</v>
      </c>
      <c r="CX107" s="4">
        <v>60.1</v>
      </c>
      <c r="CY107" s="4">
        <v>0.7</v>
      </c>
      <c r="CZ107" s="4">
        <v>0.18</v>
      </c>
      <c r="DA107" s="4">
        <v>0.56999999999999995</v>
      </c>
      <c r="DB107" s="4">
        <v>2.35</v>
      </c>
      <c r="DC107" s="4">
        <v>2.92</v>
      </c>
      <c r="DD107" s="4">
        <v>568</v>
      </c>
      <c r="DE107" s="4">
        <v>569</v>
      </c>
      <c r="DF107" s="4">
        <v>633</v>
      </c>
      <c r="DG107" s="4">
        <v>575</v>
      </c>
      <c r="DH107" s="4">
        <v>639</v>
      </c>
      <c r="DI107" s="4">
        <v>582</v>
      </c>
      <c r="DJ107" s="4">
        <v>568</v>
      </c>
      <c r="DK107" s="4">
        <v>-7.0000000000000007E-2</v>
      </c>
      <c r="DL107" s="4">
        <v>0.13</v>
      </c>
      <c r="DM107" s="4">
        <v>7.73</v>
      </c>
      <c r="DN107" s="4">
        <v>7.69</v>
      </c>
      <c r="DO107" s="4">
        <v>7.73</v>
      </c>
      <c r="DP107" s="4">
        <v>7.92</v>
      </c>
      <c r="DQ107" s="4">
        <v>8.31</v>
      </c>
      <c r="DR107" s="4">
        <v>8.27</v>
      </c>
      <c r="DS107" s="4">
        <v>0</v>
      </c>
      <c r="DT107" s="4">
        <v>1.1000000000000001</v>
      </c>
      <c r="DU107" s="4">
        <v>6.64</v>
      </c>
      <c r="DV107" s="4">
        <v>6.67</v>
      </c>
      <c r="DW107" s="4">
        <v>6.69</v>
      </c>
      <c r="DX107" s="4">
        <v>6.92</v>
      </c>
      <c r="DY107" s="4">
        <v>7.21</v>
      </c>
      <c r="DZ107" s="4">
        <v>7.11</v>
      </c>
      <c r="EA107" s="4">
        <v>0</v>
      </c>
      <c r="EB107" s="100">
        <v>1.1000000000000001</v>
      </c>
      <c r="EC107" s="122">
        <v>43.4</v>
      </c>
      <c r="ED107" s="122">
        <v>44.1</v>
      </c>
      <c r="EE107" s="122">
        <v>43.8</v>
      </c>
      <c r="EF107" s="122">
        <v>60.1</v>
      </c>
      <c r="EG107" s="122">
        <v>0.7</v>
      </c>
      <c r="EH107" s="122">
        <v>-5.9</v>
      </c>
      <c r="EI107" s="122">
        <v>-6.2</v>
      </c>
      <c r="EJ107" s="122">
        <v>-6</v>
      </c>
      <c r="EK107" s="122">
        <v>56.8</v>
      </c>
      <c r="EL107" s="122">
        <v>0.3</v>
      </c>
      <c r="EM107" s="122">
        <v>4.0999999999999996</v>
      </c>
      <c r="EN107" s="122">
        <v>11.8</v>
      </c>
      <c r="EO107" s="122">
        <v>24.6</v>
      </c>
      <c r="EP107" s="122">
        <v>57.5</v>
      </c>
      <c r="EQ107" s="126">
        <v>15</v>
      </c>
      <c r="ER107" s="94">
        <v>7.61</v>
      </c>
      <c r="ES107" s="4">
        <v>7.82</v>
      </c>
      <c r="ET107" s="4">
        <v>65.5</v>
      </c>
      <c r="EU107" s="4">
        <v>1.2</v>
      </c>
      <c r="EV107" s="4">
        <v>0.38</v>
      </c>
      <c r="EW107" s="4">
        <v>0.57999999999999996</v>
      </c>
      <c r="EX107" s="4">
        <v>4.41</v>
      </c>
      <c r="EY107" s="4">
        <v>4.91</v>
      </c>
      <c r="EZ107" s="4">
        <v>504</v>
      </c>
      <c r="FA107" s="4">
        <v>500</v>
      </c>
      <c r="FB107" s="4">
        <v>637</v>
      </c>
      <c r="FC107" s="4">
        <v>593</v>
      </c>
      <c r="FD107" s="4">
        <v>633</v>
      </c>
      <c r="FE107" s="4">
        <v>548</v>
      </c>
      <c r="FF107" s="4">
        <v>484</v>
      </c>
      <c r="FG107" s="4">
        <v>1.17</v>
      </c>
      <c r="FH107" s="4">
        <v>-0.72</v>
      </c>
      <c r="FI107" s="4">
        <v>7.71</v>
      </c>
      <c r="FJ107" s="4">
        <v>7.73</v>
      </c>
      <c r="FK107" s="4">
        <v>7.78</v>
      </c>
      <c r="FL107" s="4">
        <v>7.96</v>
      </c>
      <c r="FM107" s="4">
        <v>8.17</v>
      </c>
      <c r="FN107" s="4">
        <v>8.26</v>
      </c>
      <c r="FO107" s="4">
        <v>0</v>
      </c>
      <c r="FP107" s="4">
        <v>1.3</v>
      </c>
      <c r="FQ107" s="4">
        <v>6.3</v>
      </c>
      <c r="FR107" s="4">
        <v>6.22</v>
      </c>
      <c r="FS107" s="4">
        <v>6.4</v>
      </c>
      <c r="FT107" s="4">
        <v>6.8</v>
      </c>
      <c r="FU107" s="4">
        <v>6.76</v>
      </c>
      <c r="FV107" s="4">
        <v>0</v>
      </c>
      <c r="FW107" s="4">
        <v>0</v>
      </c>
      <c r="FX107" s="97">
        <v>1.3</v>
      </c>
      <c r="FY107" s="122">
        <v>43.2</v>
      </c>
      <c r="FZ107" s="122">
        <v>44.4</v>
      </c>
      <c r="GA107" s="122">
        <v>43.8</v>
      </c>
      <c r="GB107" s="122">
        <v>65.5</v>
      </c>
      <c r="GC107" s="122">
        <v>1.2</v>
      </c>
      <c r="GD107" s="122">
        <v>-6.3</v>
      </c>
      <c r="GE107" s="122">
        <v>-6.5</v>
      </c>
      <c r="GF107" s="122">
        <v>-6.4</v>
      </c>
      <c r="GG107" s="122">
        <v>154.5</v>
      </c>
      <c r="GH107" s="122">
        <v>0.3</v>
      </c>
      <c r="GI107" s="122">
        <v>3.7</v>
      </c>
      <c r="GJ107" s="122">
        <v>10.8</v>
      </c>
      <c r="GK107" s="122">
        <v>23.4</v>
      </c>
      <c r="GL107" s="122">
        <v>57.2</v>
      </c>
      <c r="GM107" s="131">
        <v>17</v>
      </c>
      <c r="IJ107" s="94">
        <f t="shared" si="426"/>
        <v>7.61</v>
      </c>
      <c r="IK107" s="4">
        <f t="shared" si="427"/>
        <v>7.82</v>
      </c>
      <c r="IL107" s="4">
        <f t="shared" si="428"/>
        <v>65.5</v>
      </c>
      <c r="IM107" s="4">
        <f t="shared" si="429"/>
        <v>1.2</v>
      </c>
      <c r="IN107" s="4">
        <f t="shared" si="430"/>
        <v>0.38</v>
      </c>
      <c r="IO107" s="4">
        <f t="shared" si="431"/>
        <v>0.57999999999999996</v>
      </c>
      <c r="IP107" s="4">
        <f t="shared" si="432"/>
        <v>4.41</v>
      </c>
      <c r="IQ107" s="4">
        <f t="shared" si="433"/>
        <v>4.91</v>
      </c>
      <c r="IR107" s="4">
        <f t="shared" si="434"/>
        <v>504</v>
      </c>
      <c r="IS107" s="4">
        <f t="shared" si="435"/>
        <v>500</v>
      </c>
      <c r="IT107" s="4">
        <f t="shared" si="436"/>
        <v>637</v>
      </c>
      <c r="IU107" s="4">
        <f t="shared" si="437"/>
        <v>593</v>
      </c>
      <c r="IV107" s="4">
        <f t="shared" si="438"/>
        <v>633</v>
      </c>
      <c r="IW107" s="4">
        <f t="shared" si="439"/>
        <v>548</v>
      </c>
      <c r="IX107" s="4">
        <f t="shared" si="440"/>
        <v>484</v>
      </c>
      <c r="IY107" s="4">
        <f t="shared" si="441"/>
        <v>1.17</v>
      </c>
      <c r="IZ107" s="4">
        <f t="shared" si="442"/>
        <v>-0.72</v>
      </c>
      <c r="JA107" s="4">
        <f t="shared" si="443"/>
        <v>7.71</v>
      </c>
      <c r="JB107" s="4">
        <f t="shared" si="444"/>
        <v>7.73</v>
      </c>
      <c r="JC107" s="4">
        <f t="shared" si="445"/>
        <v>7.78</v>
      </c>
      <c r="JD107" s="4">
        <f t="shared" si="446"/>
        <v>7.96</v>
      </c>
      <c r="JE107" s="4">
        <f t="shared" si="447"/>
        <v>8.17</v>
      </c>
      <c r="JF107" s="4">
        <f t="shared" si="448"/>
        <v>8.26</v>
      </c>
      <c r="JG107" s="4">
        <f t="shared" si="449"/>
        <v>0</v>
      </c>
      <c r="JH107" s="4">
        <f t="shared" si="450"/>
        <v>1.3</v>
      </c>
      <c r="JI107" s="4">
        <f t="shared" si="451"/>
        <v>6.3</v>
      </c>
      <c r="JJ107" s="4">
        <f t="shared" si="452"/>
        <v>6.22</v>
      </c>
      <c r="JK107" s="4">
        <f t="shared" si="453"/>
        <v>6.4</v>
      </c>
      <c r="JL107" s="4">
        <f t="shared" si="454"/>
        <v>6.8</v>
      </c>
      <c r="JM107" s="4">
        <f t="shared" si="455"/>
        <v>6.76</v>
      </c>
      <c r="JN107" s="4">
        <f t="shared" si="456"/>
        <v>0</v>
      </c>
      <c r="JO107" s="129">
        <f t="shared" si="457"/>
        <v>0</v>
      </c>
      <c r="JP107" s="133">
        <f t="shared" si="458"/>
        <v>1.3</v>
      </c>
      <c r="JQ107" s="122">
        <f t="shared" si="459"/>
        <v>43.2</v>
      </c>
      <c r="JR107" s="122">
        <f t="shared" si="460"/>
        <v>44.4</v>
      </c>
      <c r="JS107" s="122">
        <f t="shared" si="461"/>
        <v>43.8</v>
      </c>
      <c r="JT107" s="122">
        <f t="shared" si="462"/>
        <v>65.5</v>
      </c>
      <c r="JU107" s="122">
        <f t="shared" si="463"/>
        <v>1.2</v>
      </c>
      <c r="JV107" s="122">
        <f t="shared" si="464"/>
        <v>-6.3</v>
      </c>
      <c r="JW107" s="122">
        <f t="shared" si="465"/>
        <v>-6.5</v>
      </c>
      <c r="JX107" s="122">
        <f t="shared" si="466"/>
        <v>-6.4</v>
      </c>
      <c r="JY107" s="122">
        <f t="shared" si="467"/>
        <v>154.5</v>
      </c>
      <c r="JZ107" s="122">
        <f t="shared" si="468"/>
        <v>0.3</v>
      </c>
      <c r="KA107" s="122">
        <f t="shared" si="469"/>
        <v>3.7</v>
      </c>
      <c r="KB107" s="122">
        <f t="shared" si="470"/>
        <v>10.8</v>
      </c>
      <c r="KC107" s="122">
        <f t="shared" si="471"/>
        <v>23.4</v>
      </c>
      <c r="KD107" s="122">
        <f t="shared" si="472"/>
        <v>57.2</v>
      </c>
      <c r="KE107" s="133">
        <f t="shared" si="473"/>
        <v>17</v>
      </c>
      <c r="KF107" s="94">
        <f t="shared" si="474"/>
        <v>-4.0000000000000036E-2</v>
      </c>
      <c r="KG107" s="4">
        <f t="shared" si="475"/>
        <v>5.0000000000000711E-2</v>
      </c>
      <c r="KH107" s="4">
        <f t="shared" si="476"/>
        <v>5.3999999999999986</v>
      </c>
      <c r="KI107" s="4">
        <f t="shared" si="477"/>
        <v>0.5</v>
      </c>
      <c r="KJ107" s="4">
        <f t="shared" si="478"/>
        <v>0.2</v>
      </c>
      <c r="KK107" s="4">
        <f t="shared" si="479"/>
        <v>1.0000000000000009E-2</v>
      </c>
      <c r="KL107" s="4">
        <f t="shared" si="480"/>
        <v>2.06</v>
      </c>
      <c r="KM107" s="4">
        <f t="shared" si="481"/>
        <v>1.9900000000000002</v>
      </c>
      <c r="KN107" s="4">
        <f t="shared" si="482"/>
        <v>-64</v>
      </c>
      <c r="KO107" s="4">
        <f t="shared" si="483"/>
        <v>-69</v>
      </c>
      <c r="KP107" s="4">
        <f t="shared" si="484"/>
        <v>4</v>
      </c>
      <c r="KQ107" s="4">
        <f t="shared" si="485"/>
        <v>18</v>
      </c>
      <c r="KR107" s="4">
        <f t="shared" si="486"/>
        <v>-6</v>
      </c>
      <c r="KS107" s="4">
        <f t="shared" si="487"/>
        <v>-34</v>
      </c>
      <c r="KT107" s="4">
        <f t="shared" si="488"/>
        <v>-84</v>
      </c>
      <c r="KU107" s="4">
        <f t="shared" si="489"/>
        <v>1.24</v>
      </c>
      <c r="KV107" s="4">
        <f t="shared" si="490"/>
        <v>-0.85</v>
      </c>
      <c r="KW107" s="4">
        <f t="shared" si="491"/>
        <v>-2.0000000000000462E-2</v>
      </c>
      <c r="KX107" s="4">
        <f t="shared" si="492"/>
        <v>4.0000000000000036E-2</v>
      </c>
      <c r="KY107" s="4">
        <f t="shared" si="493"/>
        <v>4.9999999999999822E-2</v>
      </c>
      <c r="KZ107" s="4">
        <f t="shared" si="494"/>
        <v>4.0000000000000036E-2</v>
      </c>
      <c r="LA107" s="4">
        <f t="shared" si="495"/>
        <v>-0.14000000000000057</v>
      </c>
      <c r="LB107" s="4">
        <f t="shared" si="496"/>
        <v>-9.9999999999997868E-3</v>
      </c>
      <c r="LC107" s="4">
        <f t="shared" si="497"/>
        <v>0</v>
      </c>
      <c r="LD107" s="4">
        <f t="shared" si="498"/>
        <v>0.19999999999999996</v>
      </c>
      <c r="LE107" s="4">
        <f t="shared" si="499"/>
        <v>-0.33999999999999986</v>
      </c>
      <c r="LF107" s="4">
        <f t="shared" si="500"/>
        <v>-0.45000000000000018</v>
      </c>
      <c r="LG107" s="4">
        <f t="shared" si="501"/>
        <v>-0.29000000000000004</v>
      </c>
      <c r="LH107" s="4">
        <f t="shared" si="502"/>
        <v>-0.12000000000000011</v>
      </c>
      <c r="LI107" s="4">
        <f t="shared" si="503"/>
        <v>-0.45000000000000018</v>
      </c>
      <c r="LJ107" s="4">
        <f t="shared" si="504"/>
        <v>-7.11</v>
      </c>
      <c r="LK107" s="4">
        <f t="shared" si="505"/>
        <v>0</v>
      </c>
      <c r="LL107" s="4">
        <f t="shared" si="506"/>
        <v>0.19999999999999996</v>
      </c>
      <c r="LM107" s="4">
        <f t="shared" si="507"/>
        <v>-0.19999999999999574</v>
      </c>
      <c r="LN107" s="4">
        <f t="shared" si="508"/>
        <v>0.29999999999999716</v>
      </c>
      <c r="LO107" s="4">
        <f t="shared" si="509"/>
        <v>0</v>
      </c>
      <c r="LP107" s="4">
        <f t="shared" si="510"/>
        <v>5.3999999999999986</v>
      </c>
      <c r="LQ107" s="4">
        <f t="shared" si="511"/>
        <v>0.5</v>
      </c>
      <c r="LR107" s="4">
        <f t="shared" si="512"/>
        <v>-0.39999999999999947</v>
      </c>
      <c r="LS107" s="4">
        <f t="shared" si="513"/>
        <v>-0.29999999999999982</v>
      </c>
      <c r="LT107" s="4">
        <f t="shared" si="514"/>
        <v>-0.40000000000000036</v>
      </c>
      <c r="LU107" s="4">
        <f t="shared" si="515"/>
        <v>97.7</v>
      </c>
      <c r="LV107" s="4">
        <f t="shared" si="516"/>
        <v>0</v>
      </c>
      <c r="LW107" s="4">
        <f t="shared" si="517"/>
        <v>-0.39999999999999947</v>
      </c>
      <c r="LX107" s="4">
        <f t="shared" si="518"/>
        <v>-1</v>
      </c>
      <c r="LY107" s="4">
        <f t="shared" si="519"/>
        <v>-1.2000000000000028</v>
      </c>
      <c r="LZ107" s="4">
        <f t="shared" si="520"/>
        <v>-0.29999999999999716</v>
      </c>
      <c r="MA107" s="4">
        <f t="shared" si="521"/>
        <v>2</v>
      </c>
      <c r="MB107" s="4" t="str">
        <f t="shared" si="522"/>
        <v/>
      </c>
      <c r="MC107" s="4" t="str">
        <f t="shared" si="523"/>
        <v/>
      </c>
      <c r="MD107" s="4" t="str">
        <f t="shared" si="524"/>
        <v/>
      </c>
      <c r="ME107" s="4">
        <f t="shared" si="525"/>
        <v>6.5</v>
      </c>
    </row>
    <row r="108" spans="1:343" ht="26.25" customHeight="1" x14ac:dyDescent="0.2">
      <c r="A108" s="35">
        <v>41374</v>
      </c>
      <c r="B108" s="36" t="s">
        <v>139</v>
      </c>
      <c r="C108" s="36" t="s">
        <v>42</v>
      </c>
      <c r="D108" s="31" t="s">
        <v>111</v>
      </c>
      <c r="E108" s="4">
        <v>60</v>
      </c>
      <c r="F108" s="3">
        <v>19282</v>
      </c>
      <c r="G108" s="4" t="s">
        <v>87</v>
      </c>
      <c r="H108" s="4" t="s">
        <v>108</v>
      </c>
      <c r="I108" s="4">
        <v>1836425</v>
      </c>
      <c r="K108" s="79"/>
      <c r="L108" s="76"/>
      <c r="M108" s="76"/>
      <c r="N108" s="76"/>
      <c r="O108" s="76"/>
      <c r="P108" s="33">
        <v>-0.5</v>
      </c>
      <c r="Q108" s="33">
        <v>-0.61</v>
      </c>
      <c r="R108" s="33" t="s">
        <v>276</v>
      </c>
      <c r="S108" s="67">
        <v>16</v>
      </c>
      <c r="T108" s="136">
        <v>41365</v>
      </c>
      <c r="U108" s="67">
        <v>-7</v>
      </c>
      <c r="V108" s="67">
        <v>2.5</v>
      </c>
      <c r="W108" s="4">
        <v>79</v>
      </c>
      <c r="X108" s="4">
        <v>60</v>
      </c>
      <c r="Y108" s="4">
        <v>13</v>
      </c>
      <c r="Z108" s="4">
        <v>604</v>
      </c>
      <c r="AA108" s="4">
        <v>24.72</v>
      </c>
      <c r="AB108" s="4">
        <v>11.5</v>
      </c>
      <c r="AD108" s="4">
        <v>2.6</v>
      </c>
      <c r="AE108" s="4">
        <v>44</v>
      </c>
      <c r="AF108" s="4">
        <v>2</v>
      </c>
      <c r="AG108" s="4">
        <v>46.04</v>
      </c>
      <c r="AH108" s="4">
        <v>92</v>
      </c>
      <c r="AI108" s="4">
        <v>1</v>
      </c>
      <c r="AJ108" s="4" t="b">
        <f t="shared" si="398"/>
        <v>1</v>
      </c>
      <c r="AK108" s="54" t="s">
        <v>501</v>
      </c>
      <c r="AL108" s="32">
        <v>41534</v>
      </c>
      <c r="AM108" s="60">
        <v>30</v>
      </c>
      <c r="AN108" s="67">
        <v>-1.75</v>
      </c>
      <c r="AO108" s="67">
        <v>0.5</v>
      </c>
      <c r="AP108" s="4">
        <v>105</v>
      </c>
      <c r="AQ108" s="4">
        <v>20</v>
      </c>
      <c r="AR108" s="4">
        <v>10</v>
      </c>
      <c r="AS108" s="4">
        <v>548</v>
      </c>
      <c r="AT108" s="4">
        <v>2474</v>
      </c>
      <c r="BA108" s="4">
        <f t="shared" si="399"/>
        <v>-1.5</v>
      </c>
      <c r="BB108" s="4">
        <f t="shared" si="397"/>
        <v>-0.89</v>
      </c>
      <c r="BC108" s="4">
        <f t="shared" si="400"/>
        <v>-56</v>
      </c>
      <c r="BD108" s="150">
        <v>41716</v>
      </c>
      <c r="BS108" s="4" t="str">
        <f>IF(ISNUMBER(BF108),BF108+0.5*BG108,"")</f>
        <v/>
      </c>
      <c r="BT108" s="4" t="str">
        <f t="shared" si="401"/>
        <v/>
      </c>
      <c r="BU108" s="4" t="str">
        <f t="shared" si="402"/>
        <v/>
      </c>
      <c r="BV108" s="4">
        <f>IF(AND(ISBLANK(SPH_6),ISBLANK(SPH_12)),0,1)</f>
        <v>1</v>
      </c>
      <c r="BW108" s="4">
        <f t="shared" si="403"/>
        <v>0</v>
      </c>
      <c r="BX108" s="4" t="str">
        <f t="shared" si="404"/>
        <v/>
      </c>
      <c r="BY108" s="4" t="str">
        <f t="shared" si="405"/>
        <v/>
      </c>
      <c r="BZ108" s="4" t="str">
        <f t="shared" si="406"/>
        <v/>
      </c>
      <c r="CA108" s="53">
        <f t="shared" si="407"/>
        <v>160</v>
      </c>
      <c r="CB108" s="55">
        <f t="shared" si="408"/>
        <v>5.333333333333333</v>
      </c>
      <c r="CC108" s="4" t="str">
        <f t="shared" si="409"/>
        <v/>
      </c>
      <c r="CD108" s="4" t="str">
        <f t="shared" si="410"/>
        <v/>
      </c>
      <c r="CE108" s="4" t="str">
        <f t="shared" si="411"/>
        <v/>
      </c>
      <c r="CF108" s="4" t="str">
        <f t="shared" si="412"/>
        <v/>
      </c>
      <c r="CG108" s="4">
        <f t="shared" si="526"/>
        <v>-5.75</v>
      </c>
      <c r="CH108" s="4">
        <f t="shared" si="413"/>
        <v>-1.5</v>
      </c>
      <c r="CI108" s="104">
        <f t="shared" si="414"/>
        <v>-0.89</v>
      </c>
      <c r="CJ108" s="94">
        <f t="shared" si="415"/>
        <v>-56</v>
      </c>
      <c r="CK108" s="4" t="str">
        <f t="shared" si="416"/>
        <v/>
      </c>
      <c r="CL108" s="107">
        <f t="shared" si="417"/>
        <v>-0.61</v>
      </c>
      <c r="CM108" s="107">
        <f t="shared" si="396"/>
        <v>0.47712125471966244</v>
      </c>
      <c r="CN108" s="139">
        <f t="shared" si="418"/>
        <v>0.5</v>
      </c>
      <c r="CO108" s="139">
        <f t="shared" si="419"/>
        <v>-2</v>
      </c>
      <c r="CP108" s="149">
        <f t="shared" si="420"/>
        <v>20</v>
      </c>
      <c r="CQ108" s="149">
        <f t="shared" si="421"/>
        <v>60</v>
      </c>
      <c r="CR108" s="148">
        <f t="shared" si="422"/>
        <v>30</v>
      </c>
      <c r="CS108" s="152">
        <f t="shared" si="423"/>
        <v>1</v>
      </c>
      <c r="CT108" s="107" t="str">
        <f t="shared" si="424"/>
        <v/>
      </c>
      <c r="CU108" s="155" t="b">
        <f t="shared" si="425"/>
        <v>1</v>
      </c>
      <c r="CV108">
        <v>7.77</v>
      </c>
      <c r="CW108" s="4">
        <v>7.47</v>
      </c>
      <c r="CX108" s="4">
        <v>0.3</v>
      </c>
      <c r="CY108" s="4">
        <v>-1.7</v>
      </c>
      <c r="CZ108" s="4">
        <v>0.4</v>
      </c>
      <c r="DA108" s="4">
        <v>0.69</v>
      </c>
      <c r="DB108" s="4">
        <v>2.2200000000000002</v>
      </c>
      <c r="DC108" s="4">
        <v>2.91</v>
      </c>
      <c r="DD108" s="4">
        <v>690</v>
      </c>
      <c r="DE108" s="4">
        <v>691</v>
      </c>
      <c r="DF108" s="4">
        <v>779</v>
      </c>
      <c r="DG108" s="4">
        <v>786</v>
      </c>
      <c r="DH108" s="4">
        <v>757</v>
      </c>
      <c r="DI108" s="4">
        <v>776</v>
      </c>
      <c r="DJ108" s="4">
        <v>690</v>
      </c>
      <c r="DK108" s="4">
        <v>-7.0000000000000007E-2</v>
      </c>
      <c r="DL108" s="4">
        <v>0</v>
      </c>
      <c r="DM108" s="4">
        <v>7.62</v>
      </c>
      <c r="DN108" s="4">
        <v>7.61</v>
      </c>
      <c r="DO108" s="4">
        <v>7.68</v>
      </c>
      <c r="DP108" s="4">
        <v>7.94</v>
      </c>
      <c r="DQ108" s="4">
        <v>8.2899999999999991</v>
      </c>
      <c r="DR108" s="4">
        <v>8.7899999999999991</v>
      </c>
      <c r="DS108" s="4">
        <v>0</v>
      </c>
      <c r="DT108" s="4">
        <v>1.5</v>
      </c>
      <c r="DU108" s="4">
        <v>6.1</v>
      </c>
      <c r="DV108" s="4">
        <v>6.06</v>
      </c>
      <c r="DW108" s="4">
        <v>6.33</v>
      </c>
      <c r="DX108" s="4">
        <v>6.95</v>
      </c>
      <c r="DY108" s="4">
        <v>7.41</v>
      </c>
      <c r="DZ108" s="4">
        <v>7.85</v>
      </c>
      <c r="EA108" s="4">
        <v>0</v>
      </c>
      <c r="EB108" s="100">
        <v>1.5</v>
      </c>
      <c r="IJ108" s="94" t="str">
        <f t="shared" si="426"/>
        <v/>
      </c>
      <c r="IK108" s="4" t="str">
        <f t="shared" si="427"/>
        <v/>
      </c>
      <c r="IL108" s="4" t="str">
        <f t="shared" si="428"/>
        <v/>
      </c>
      <c r="IM108" s="4" t="str">
        <f t="shared" si="429"/>
        <v/>
      </c>
      <c r="IN108" s="4" t="str">
        <f t="shared" si="430"/>
        <v/>
      </c>
      <c r="IO108" s="4" t="str">
        <f t="shared" si="431"/>
        <v/>
      </c>
      <c r="IP108" s="4" t="str">
        <f t="shared" si="432"/>
        <v/>
      </c>
      <c r="IQ108" s="4" t="str">
        <f t="shared" si="433"/>
        <v/>
      </c>
      <c r="IR108" s="4" t="str">
        <f t="shared" si="434"/>
        <v/>
      </c>
      <c r="IS108" s="4" t="str">
        <f t="shared" si="435"/>
        <v/>
      </c>
      <c r="IT108" s="4" t="str">
        <f t="shared" si="436"/>
        <v/>
      </c>
      <c r="IU108" s="4" t="str">
        <f t="shared" si="437"/>
        <v/>
      </c>
      <c r="IV108" s="4" t="str">
        <f t="shared" si="438"/>
        <v/>
      </c>
      <c r="IW108" s="4" t="str">
        <f t="shared" si="439"/>
        <v/>
      </c>
      <c r="IX108" s="4" t="str">
        <f t="shared" si="440"/>
        <v/>
      </c>
      <c r="IY108" s="4" t="str">
        <f t="shared" si="441"/>
        <v/>
      </c>
      <c r="IZ108" s="4" t="str">
        <f t="shared" si="442"/>
        <v/>
      </c>
      <c r="JA108" s="4" t="str">
        <f t="shared" si="443"/>
        <v/>
      </c>
      <c r="JB108" s="4" t="str">
        <f t="shared" si="444"/>
        <v/>
      </c>
      <c r="JC108" s="4" t="str">
        <f t="shared" si="445"/>
        <v/>
      </c>
      <c r="JD108" s="4" t="str">
        <f t="shared" si="446"/>
        <v/>
      </c>
      <c r="JE108" s="4" t="str">
        <f t="shared" si="447"/>
        <v/>
      </c>
      <c r="JF108" s="4" t="str">
        <f t="shared" si="448"/>
        <v/>
      </c>
      <c r="JG108" s="4" t="str">
        <f t="shared" si="449"/>
        <v/>
      </c>
      <c r="JH108" s="4" t="str">
        <f t="shared" si="450"/>
        <v/>
      </c>
      <c r="JI108" s="4" t="str">
        <f t="shared" si="451"/>
        <v/>
      </c>
      <c r="JJ108" s="4" t="str">
        <f t="shared" si="452"/>
        <v/>
      </c>
      <c r="JK108" s="4" t="str">
        <f t="shared" si="453"/>
        <v/>
      </c>
      <c r="JL108" s="4" t="str">
        <f t="shared" si="454"/>
        <v/>
      </c>
      <c r="JM108" s="4" t="str">
        <f t="shared" si="455"/>
        <v/>
      </c>
      <c r="JN108" s="4" t="str">
        <f t="shared" si="456"/>
        <v/>
      </c>
      <c r="JO108" s="129" t="str">
        <f t="shared" si="457"/>
        <v/>
      </c>
      <c r="JP108" s="122" t="str">
        <f t="shared" si="458"/>
        <v/>
      </c>
      <c r="JQ108" s="122" t="str">
        <f t="shared" si="459"/>
        <v/>
      </c>
      <c r="JR108" s="122" t="str">
        <f t="shared" si="460"/>
        <v/>
      </c>
      <c r="JS108" s="122" t="str">
        <f t="shared" si="461"/>
        <v/>
      </c>
      <c r="JT108" s="122" t="str">
        <f t="shared" si="462"/>
        <v/>
      </c>
      <c r="JU108" s="122" t="str">
        <f t="shared" si="463"/>
        <v/>
      </c>
      <c r="JV108" s="122" t="str">
        <f t="shared" si="464"/>
        <v/>
      </c>
      <c r="JW108" s="122" t="str">
        <f t="shared" si="465"/>
        <v/>
      </c>
      <c r="JX108" s="122" t="str">
        <f t="shared" si="466"/>
        <v/>
      </c>
      <c r="JY108" s="122" t="str">
        <f t="shared" si="467"/>
        <v/>
      </c>
      <c r="JZ108" s="122" t="str">
        <f t="shared" si="468"/>
        <v/>
      </c>
      <c r="KA108" s="122" t="str">
        <f t="shared" si="469"/>
        <v/>
      </c>
      <c r="KB108" s="122" t="str">
        <f t="shared" si="470"/>
        <v/>
      </c>
      <c r="KC108" s="122" t="str">
        <f t="shared" si="471"/>
        <v/>
      </c>
      <c r="KD108" s="122" t="str">
        <f t="shared" si="472"/>
        <v/>
      </c>
      <c r="KE108" s="133" t="str">
        <f t="shared" si="473"/>
        <v/>
      </c>
      <c r="KF108" s="94" t="str">
        <f t="shared" si="474"/>
        <v/>
      </c>
      <c r="KG108" s="4" t="str">
        <f t="shared" si="475"/>
        <v/>
      </c>
      <c r="KH108" s="4" t="str">
        <f t="shared" si="476"/>
        <v/>
      </c>
      <c r="KI108" s="4" t="str">
        <f t="shared" si="477"/>
        <v/>
      </c>
      <c r="KJ108" s="4" t="str">
        <f t="shared" si="478"/>
        <v/>
      </c>
      <c r="KK108" s="4" t="str">
        <f t="shared" si="479"/>
        <v/>
      </c>
      <c r="KL108" s="4" t="str">
        <f t="shared" si="480"/>
        <v/>
      </c>
      <c r="KM108" s="4" t="str">
        <f t="shared" si="481"/>
        <v/>
      </c>
      <c r="KN108" s="4" t="str">
        <f t="shared" si="482"/>
        <v/>
      </c>
      <c r="KO108" s="4" t="str">
        <f t="shared" si="483"/>
        <v/>
      </c>
      <c r="KP108" s="4" t="str">
        <f t="shared" si="484"/>
        <v/>
      </c>
      <c r="KQ108" s="4" t="str">
        <f t="shared" si="485"/>
        <v/>
      </c>
      <c r="KR108" s="4" t="str">
        <f t="shared" si="486"/>
        <v/>
      </c>
      <c r="KS108" s="4" t="str">
        <f t="shared" si="487"/>
        <v/>
      </c>
      <c r="KT108" s="4" t="str">
        <f t="shared" si="488"/>
        <v/>
      </c>
      <c r="KU108" s="4" t="str">
        <f t="shared" si="489"/>
        <v/>
      </c>
      <c r="KV108" s="4" t="str">
        <f t="shared" si="490"/>
        <v/>
      </c>
      <c r="KW108" s="4" t="str">
        <f t="shared" si="491"/>
        <v/>
      </c>
      <c r="KX108" s="4" t="str">
        <f t="shared" si="492"/>
        <v/>
      </c>
      <c r="KY108" s="4" t="str">
        <f t="shared" si="493"/>
        <v/>
      </c>
      <c r="KZ108" s="4" t="str">
        <f t="shared" si="494"/>
        <v/>
      </c>
      <c r="LA108" s="4" t="str">
        <f t="shared" si="495"/>
        <v/>
      </c>
      <c r="LB108" s="4" t="str">
        <f t="shared" si="496"/>
        <v/>
      </c>
      <c r="LC108" s="4" t="str">
        <f t="shared" si="497"/>
        <v/>
      </c>
      <c r="LD108" s="4" t="str">
        <f t="shared" si="498"/>
        <v/>
      </c>
      <c r="LE108" s="4" t="str">
        <f t="shared" si="499"/>
        <v/>
      </c>
      <c r="LF108" s="4" t="str">
        <f t="shared" si="500"/>
        <v/>
      </c>
      <c r="LG108" s="4" t="str">
        <f t="shared" si="501"/>
        <v/>
      </c>
      <c r="LH108" s="4" t="str">
        <f t="shared" si="502"/>
        <v/>
      </c>
      <c r="LI108" s="4" t="str">
        <f t="shared" si="503"/>
        <v/>
      </c>
      <c r="LJ108" s="4" t="str">
        <f t="shared" si="504"/>
        <v/>
      </c>
      <c r="LK108" s="4" t="str">
        <f t="shared" si="505"/>
        <v/>
      </c>
      <c r="LL108" s="4" t="str">
        <f t="shared" si="506"/>
        <v/>
      </c>
      <c r="LM108" s="4" t="str">
        <f t="shared" si="507"/>
        <v/>
      </c>
      <c r="LN108" s="4" t="str">
        <f t="shared" si="508"/>
        <v/>
      </c>
      <c r="LO108" s="4" t="str">
        <f t="shared" si="509"/>
        <v/>
      </c>
      <c r="LP108" s="4" t="str">
        <f t="shared" si="510"/>
        <v/>
      </c>
      <c r="LQ108" s="4" t="str">
        <f t="shared" si="511"/>
        <v/>
      </c>
      <c r="LR108" s="4" t="str">
        <f t="shared" si="512"/>
        <v/>
      </c>
      <c r="LS108" s="4" t="str">
        <f t="shared" si="513"/>
        <v/>
      </c>
      <c r="LT108" s="4" t="str">
        <f t="shared" si="514"/>
        <v/>
      </c>
      <c r="LU108" s="4" t="str">
        <f t="shared" si="515"/>
        <v/>
      </c>
      <c r="LV108" s="4" t="str">
        <f t="shared" si="516"/>
        <v/>
      </c>
      <c r="LW108" s="4" t="str">
        <f t="shared" si="517"/>
        <v/>
      </c>
      <c r="LX108" s="4" t="str">
        <f t="shared" si="518"/>
        <v/>
      </c>
      <c r="LY108" s="4" t="str">
        <f t="shared" si="519"/>
        <v/>
      </c>
      <c r="LZ108" s="4" t="str">
        <f t="shared" si="520"/>
        <v/>
      </c>
      <c r="MA108" s="4" t="str">
        <f t="shared" si="521"/>
        <v/>
      </c>
      <c r="MB108" s="4" t="str">
        <f t="shared" si="522"/>
        <v/>
      </c>
      <c r="MC108" s="4" t="str">
        <f t="shared" si="523"/>
        <v/>
      </c>
      <c r="MD108" s="4" t="str">
        <f t="shared" si="524"/>
        <v/>
      </c>
      <c r="ME108" s="4">
        <f t="shared" si="525"/>
        <v>0</v>
      </c>
    </row>
    <row r="109" spans="1:343" ht="26.25" customHeight="1" x14ac:dyDescent="0.2">
      <c r="A109" s="35">
        <v>41360</v>
      </c>
      <c r="B109" s="36" t="s">
        <v>139</v>
      </c>
      <c r="C109" s="36" t="s">
        <v>42</v>
      </c>
      <c r="D109" s="31" t="s">
        <v>110</v>
      </c>
      <c r="E109" s="4">
        <v>60</v>
      </c>
      <c r="F109" s="3">
        <v>19282</v>
      </c>
      <c r="G109" s="4" t="s">
        <v>87</v>
      </c>
      <c r="H109" s="4" t="s">
        <v>108</v>
      </c>
      <c r="I109" s="4">
        <v>1836425</v>
      </c>
      <c r="K109" s="76"/>
      <c r="L109" s="76"/>
      <c r="M109" s="76"/>
      <c r="N109" s="76"/>
      <c r="O109" s="76"/>
      <c r="P109" s="33">
        <v>-0.5</v>
      </c>
      <c r="Q109" s="33">
        <v>-0.45</v>
      </c>
      <c r="R109" s="39" t="s">
        <v>249</v>
      </c>
      <c r="S109" s="70">
        <v>15.75</v>
      </c>
      <c r="T109" s="136">
        <v>41333</v>
      </c>
      <c r="U109" s="67">
        <v>-7.75</v>
      </c>
      <c r="V109" s="67">
        <v>0.25</v>
      </c>
      <c r="W109" s="4">
        <v>68</v>
      </c>
      <c r="X109" s="4">
        <v>200</v>
      </c>
      <c r="Y109" s="4">
        <v>13</v>
      </c>
      <c r="Z109" s="4">
        <v>680</v>
      </c>
      <c r="AA109" s="4">
        <v>24.74</v>
      </c>
      <c r="AB109" s="4">
        <v>11.5</v>
      </c>
      <c r="AC109" s="4">
        <v>4.6399999999999997</v>
      </c>
      <c r="AD109" s="4">
        <v>2.61</v>
      </c>
      <c r="AE109" s="4">
        <v>44.18</v>
      </c>
      <c r="AF109" s="4">
        <v>179</v>
      </c>
      <c r="AG109" s="4">
        <v>45.06</v>
      </c>
      <c r="AH109" s="4">
        <v>89</v>
      </c>
      <c r="AI109" s="4">
        <v>0</v>
      </c>
      <c r="AJ109" s="4" t="b">
        <f t="shared" si="398"/>
        <v>0</v>
      </c>
      <c r="AL109" s="32">
        <v>41534</v>
      </c>
      <c r="AM109" s="60">
        <v>60</v>
      </c>
      <c r="AN109" s="67">
        <v>-1</v>
      </c>
      <c r="AO109" s="67">
        <v>0</v>
      </c>
      <c r="AP109" s="4">
        <v>0</v>
      </c>
      <c r="AQ109" s="4">
        <v>50</v>
      </c>
      <c r="AR109" s="4">
        <v>12</v>
      </c>
      <c r="AS109" s="4">
        <v>549</v>
      </c>
      <c r="AT109" s="4">
        <v>2697</v>
      </c>
      <c r="BA109" s="4">
        <f t="shared" si="399"/>
        <v>-1</v>
      </c>
      <c r="BB109" s="4">
        <f t="shared" si="397"/>
        <v>-0.55000000000000004</v>
      </c>
      <c r="BC109" s="4">
        <f t="shared" si="400"/>
        <v>-131</v>
      </c>
      <c r="BD109" s="150">
        <v>41716</v>
      </c>
      <c r="BS109" s="4" t="str">
        <f>IF(ISNUMBER(BF109),BF109+0.5*BG109,"")</f>
        <v/>
      </c>
      <c r="BT109" s="4" t="str">
        <f t="shared" si="401"/>
        <v/>
      </c>
      <c r="BU109" s="4" t="str">
        <f t="shared" si="402"/>
        <v/>
      </c>
      <c r="BV109" s="4">
        <f>IF(AND(ISBLANK(SPH_6),ISBLANK(SPH_12)),0,1)</f>
        <v>1</v>
      </c>
      <c r="BW109" s="4">
        <f t="shared" si="403"/>
        <v>0</v>
      </c>
      <c r="BX109" s="4" t="str">
        <f t="shared" si="404"/>
        <v/>
      </c>
      <c r="BY109" s="4" t="str">
        <f t="shared" si="405"/>
        <v/>
      </c>
      <c r="BZ109" s="4" t="str">
        <f t="shared" si="406"/>
        <v/>
      </c>
      <c r="CA109" s="53">
        <f t="shared" si="407"/>
        <v>174</v>
      </c>
      <c r="CB109" s="55">
        <f t="shared" si="408"/>
        <v>5.8</v>
      </c>
      <c r="CC109" s="4" t="str">
        <f t="shared" si="409"/>
        <v/>
      </c>
      <c r="CD109" s="4" t="str">
        <f t="shared" si="410"/>
        <v/>
      </c>
      <c r="CE109" s="4" t="str">
        <f t="shared" si="411"/>
        <v/>
      </c>
      <c r="CF109" s="4" t="str">
        <f t="shared" si="412"/>
        <v/>
      </c>
      <c r="CG109" s="4">
        <f t="shared" si="526"/>
        <v>-7.625</v>
      </c>
      <c r="CH109" s="4">
        <f t="shared" si="413"/>
        <v>-1</v>
      </c>
      <c r="CI109" s="104">
        <f t="shared" si="414"/>
        <v>-0.55000000000000004</v>
      </c>
      <c r="CJ109" s="94">
        <f t="shared" si="415"/>
        <v>-131</v>
      </c>
      <c r="CK109" s="4" t="str">
        <f t="shared" si="416"/>
        <v/>
      </c>
      <c r="CL109" s="107">
        <f t="shared" si="417"/>
        <v>-0.45</v>
      </c>
      <c r="CM109" s="107">
        <f t="shared" si="396"/>
        <v>0.6020599913279624</v>
      </c>
      <c r="CN109" s="139">
        <f t="shared" si="418"/>
        <v>0</v>
      </c>
      <c r="CO109" s="139">
        <f t="shared" si="419"/>
        <v>-0.25</v>
      </c>
      <c r="CP109" s="149">
        <f t="shared" si="420"/>
        <v>50</v>
      </c>
      <c r="CQ109" s="149">
        <f t="shared" si="421"/>
        <v>200</v>
      </c>
      <c r="CR109" s="148">
        <f t="shared" si="422"/>
        <v>60</v>
      </c>
      <c r="CS109" s="152">
        <f t="shared" si="423"/>
        <v>1</v>
      </c>
      <c r="CT109" s="107" t="str">
        <f t="shared" si="424"/>
        <v/>
      </c>
      <c r="CU109" s="155" t="b">
        <f t="shared" si="425"/>
        <v>1</v>
      </c>
      <c r="CV109" s="141">
        <v>7.75</v>
      </c>
      <c r="CW109" s="48">
        <v>7.6</v>
      </c>
      <c r="CX109" s="48">
        <v>169.1</v>
      </c>
      <c r="CY109" s="48">
        <v>-0.8</v>
      </c>
      <c r="CZ109" s="48">
        <v>0.26</v>
      </c>
      <c r="DA109" s="48">
        <v>0.66</v>
      </c>
      <c r="DB109" s="48">
        <v>2.27</v>
      </c>
      <c r="DC109" s="48">
        <v>2.96</v>
      </c>
      <c r="DD109" s="48">
        <v>685</v>
      </c>
      <c r="DE109" s="48">
        <v>685</v>
      </c>
      <c r="DF109" s="48">
        <v>814</v>
      </c>
      <c r="DG109" s="48">
        <v>751</v>
      </c>
      <c r="DH109" s="48">
        <v>769</v>
      </c>
      <c r="DI109" s="48">
        <v>745</v>
      </c>
      <c r="DJ109" s="48">
        <v>682</v>
      </c>
      <c r="DK109" s="48">
        <v>-0.35</v>
      </c>
      <c r="DL109" s="48">
        <v>-0.42</v>
      </c>
      <c r="DM109" s="48">
        <v>7.7</v>
      </c>
      <c r="DN109" s="48">
        <v>7.66</v>
      </c>
      <c r="DO109" s="48">
        <v>7.71</v>
      </c>
      <c r="DP109" s="48">
        <v>7.96</v>
      </c>
      <c r="DQ109" s="48">
        <v>8.35</v>
      </c>
      <c r="DR109" s="48">
        <v>8.58</v>
      </c>
      <c r="DS109" s="48">
        <v>0</v>
      </c>
      <c r="DT109" s="48">
        <v>1.4</v>
      </c>
      <c r="DU109" s="48">
        <v>6.24</v>
      </c>
      <c r="DV109" s="48">
        <v>6.15</v>
      </c>
      <c r="DW109" s="48">
        <v>6.4</v>
      </c>
      <c r="DX109" s="48">
        <v>7.17</v>
      </c>
      <c r="DY109" s="48">
        <v>7.45</v>
      </c>
      <c r="DZ109" s="48">
        <v>7.5</v>
      </c>
      <c r="EA109" s="48">
        <v>0</v>
      </c>
      <c r="EB109" s="101">
        <v>1.4</v>
      </c>
      <c r="EC109" s="123">
        <v>43.5</v>
      </c>
      <c r="ED109" s="123">
        <v>44.4</v>
      </c>
      <c r="EE109" s="123">
        <v>44</v>
      </c>
      <c r="EF109" s="123">
        <v>169.1</v>
      </c>
      <c r="EG109" s="123">
        <v>0.8</v>
      </c>
      <c r="EH109" s="123">
        <v>-6.2</v>
      </c>
      <c r="EI109" s="123">
        <v>-6.7</v>
      </c>
      <c r="EJ109" s="123">
        <v>-6.5</v>
      </c>
      <c r="EK109" s="123">
        <v>174.4</v>
      </c>
      <c r="EL109" s="123">
        <v>0.5</v>
      </c>
      <c r="EM109" s="123">
        <v>4.9000000000000004</v>
      </c>
      <c r="EN109" s="123">
        <v>14.4</v>
      </c>
      <c r="EO109" s="123">
        <v>30.5</v>
      </c>
      <c r="EP109" s="123">
        <v>70.599999999999994</v>
      </c>
      <c r="EQ109" s="128">
        <v>26</v>
      </c>
      <c r="ER109" s="95"/>
      <c r="ES109" s="48"/>
      <c r="ET109" s="48"/>
      <c r="EU109" s="48"/>
      <c r="EV109" s="48"/>
      <c r="EW109" s="48"/>
      <c r="EX109" s="48"/>
      <c r="EY109" s="48"/>
      <c r="EZ109" s="48"/>
      <c r="FA109" s="48"/>
      <c r="FB109" s="48"/>
      <c r="FC109" s="48"/>
      <c r="FD109" s="48"/>
      <c r="FE109" s="48"/>
      <c r="FF109" s="48"/>
      <c r="FG109" s="48"/>
      <c r="FH109" s="48"/>
      <c r="FI109" s="48"/>
      <c r="FJ109" s="48"/>
      <c r="FK109" s="48"/>
      <c r="FL109" s="48"/>
      <c r="FM109" s="48"/>
      <c r="FN109" s="48"/>
      <c r="FO109" s="48"/>
      <c r="FP109" s="48"/>
      <c r="FQ109" s="48"/>
      <c r="FR109" s="48"/>
      <c r="FS109" s="48"/>
      <c r="FT109" s="48"/>
      <c r="FU109" s="48"/>
      <c r="FV109" s="48"/>
      <c r="FW109" s="48"/>
      <c r="FX109" s="98"/>
      <c r="FY109" s="123"/>
      <c r="FZ109" s="123"/>
      <c r="GA109" s="123"/>
      <c r="GB109" s="123"/>
      <c r="GC109" s="123"/>
      <c r="GD109" s="123"/>
      <c r="GE109" s="123"/>
      <c r="GF109" s="123"/>
      <c r="GG109" s="123"/>
      <c r="GH109" s="123"/>
      <c r="GI109" s="123"/>
      <c r="GJ109" s="123"/>
      <c r="GK109" s="123"/>
      <c r="GL109" s="123"/>
      <c r="GM109" s="132"/>
      <c r="GN109" s="95"/>
      <c r="GO109" s="48"/>
      <c r="GP109" s="48"/>
      <c r="GQ109" s="48"/>
      <c r="GR109" s="48"/>
      <c r="GS109" s="48"/>
      <c r="GT109" s="48"/>
      <c r="GU109" s="48"/>
      <c r="GV109" s="48"/>
      <c r="GW109" s="48"/>
      <c r="GX109" s="48"/>
      <c r="GY109" s="48"/>
      <c r="GZ109" s="48"/>
      <c r="HA109" s="48"/>
      <c r="HB109" s="48"/>
      <c r="HC109" s="48"/>
      <c r="HD109" s="48"/>
      <c r="HE109" s="48"/>
      <c r="HF109" s="48"/>
      <c r="HG109" s="48"/>
      <c r="HH109" s="48"/>
      <c r="HI109" s="48"/>
      <c r="HJ109" s="48"/>
      <c r="HK109" s="48"/>
      <c r="HL109" s="48"/>
      <c r="HM109" s="48"/>
      <c r="HN109" s="48"/>
      <c r="HO109" s="48"/>
      <c r="HP109" s="48"/>
      <c r="HQ109" s="48"/>
      <c r="HR109" s="48"/>
      <c r="HS109" s="48"/>
      <c r="HT109" s="106"/>
      <c r="HU109" s="123"/>
      <c r="HV109" s="123"/>
      <c r="HW109" s="123"/>
      <c r="HX109" s="123"/>
      <c r="HY109" s="123"/>
      <c r="HZ109" s="123"/>
      <c r="IA109" s="123"/>
      <c r="IB109" s="123"/>
      <c r="IC109" s="123"/>
      <c r="ID109" s="123"/>
      <c r="IE109" s="123"/>
      <c r="IF109" s="123"/>
      <c r="IG109" s="123"/>
      <c r="IH109" s="123"/>
      <c r="II109" s="134"/>
      <c r="IJ109" s="94" t="str">
        <f t="shared" si="426"/>
        <v/>
      </c>
      <c r="IK109" s="4" t="str">
        <f t="shared" si="427"/>
        <v/>
      </c>
      <c r="IL109" s="4" t="str">
        <f t="shared" si="428"/>
        <v/>
      </c>
      <c r="IM109" s="4" t="str">
        <f t="shared" si="429"/>
        <v/>
      </c>
      <c r="IN109" s="4" t="str">
        <f t="shared" si="430"/>
        <v/>
      </c>
      <c r="IO109" s="4" t="str">
        <f t="shared" si="431"/>
        <v/>
      </c>
      <c r="IP109" s="4" t="str">
        <f t="shared" si="432"/>
        <v/>
      </c>
      <c r="IQ109" s="4" t="str">
        <f t="shared" si="433"/>
        <v/>
      </c>
      <c r="IR109" s="4" t="str">
        <f t="shared" si="434"/>
        <v/>
      </c>
      <c r="IS109" s="4" t="str">
        <f t="shared" si="435"/>
        <v/>
      </c>
      <c r="IT109" s="4" t="str">
        <f t="shared" si="436"/>
        <v/>
      </c>
      <c r="IU109" s="4" t="str">
        <f t="shared" si="437"/>
        <v/>
      </c>
      <c r="IV109" s="4" t="str">
        <f t="shared" si="438"/>
        <v/>
      </c>
      <c r="IW109" s="4" t="str">
        <f t="shared" si="439"/>
        <v/>
      </c>
      <c r="IX109" s="4" t="str">
        <f t="shared" si="440"/>
        <v/>
      </c>
      <c r="IY109" s="4" t="str">
        <f t="shared" si="441"/>
        <v/>
      </c>
      <c r="IZ109" s="4" t="str">
        <f t="shared" si="442"/>
        <v/>
      </c>
      <c r="JA109" s="4" t="str">
        <f t="shared" si="443"/>
        <v/>
      </c>
      <c r="JB109" s="4" t="str">
        <f t="shared" si="444"/>
        <v/>
      </c>
      <c r="JC109" s="4" t="str">
        <f t="shared" si="445"/>
        <v/>
      </c>
      <c r="JD109" s="4" t="str">
        <f t="shared" si="446"/>
        <v/>
      </c>
      <c r="JE109" s="4" t="str">
        <f t="shared" si="447"/>
        <v/>
      </c>
      <c r="JF109" s="4" t="str">
        <f t="shared" si="448"/>
        <v/>
      </c>
      <c r="JG109" s="4" t="str">
        <f t="shared" si="449"/>
        <v/>
      </c>
      <c r="JH109" s="4" t="str">
        <f t="shared" si="450"/>
        <v/>
      </c>
      <c r="JI109" s="4" t="str">
        <f t="shared" si="451"/>
        <v/>
      </c>
      <c r="JJ109" s="4" t="str">
        <f t="shared" si="452"/>
        <v/>
      </c>
      <c r="JK109" s="4" t="str">
        <f t="shared" si="453"/>
        <v/>
      </c>
      <c r="JL109" s="4" t="str">
        <f t="shared" si="454"/>
        <v/>
      </c>
      <c r="JM109" s="4" t="str">
        <f t="shared" si="455"/>
        <v/>
      </c>
      <c r="JN109" s="4" t="str">
        <f t="shared" si="456"/>
        <v/>
      </c>
      <c r="JO109" s="129" t="str">
        <f t="shared" si="457"/>
        <v/>
      </c>
      <c r="JP109" s="122" t="str">
        <f t="shared" si="458"/>
        <v/>
      </c>
      <c r="JQ109" s="122" t="str">
        <f t="shared" si="459"/>
        <v/>
      </c>
      <c r="JR109" s="122" t="str">
        <f t="shared" si="460"/>
        <v/>
      </c>
      <c r="JS109" s="122" t="str">
        <f t="shared" si="461"/>
        <v/>
      </c>
      <c r="JT109" s="122" t="str">
        <f t="shared" si="462"/>
        <v/>
      </c>
      <c r="JU109" s="122" t="str">
        <f t="shared" si="463"/>
        <v/>
      </c>
      <c r="JV109" s="122" t="str">
        <f t="shared" si="464"/>
        <v/>
      </c>
      <c r="JW109" s="122" t="str">
        <f t="shared" si="465"/>
        <v/>
      </c>
      <c r="JX109" s="122" t="str">
        <f t="shared" si="466"/>
        <v/>
      </c>
      <c r="JY109" s="122" t="str">
        <f t="shared" si="467"/>
        <v/>
      </c>
      <c r="JZ109" s="122" t="str">
        <f t="shared" si="468"/>
        <v/>
      </c>
      <c r="KA109" s="122" t="str">
        <f t="shared" si="469"/>
        <v/>
      </c>
      <c r="KB109" s="122" t="str">
        <f t="shared" si="470"/>
        <v/>
      </c>
      <c r="KC109" s="122" t="str">
        <f t="shared" si="471"/>
        <v/>
      </c>
      <c r="KD109" s="122" t="str">
        <f t="shared" si="472"/>
        <v/>
      </c>
      <c r="KE109" s="133" t="str">
        <f t="shared" si="473"/>
        <v/>
      </c>
      <c r="KF109" s="94" t="str">
        <f t="shared" si="474"/>
        <v/>
      </c>
      <c r="KG109" s="4" t="str">
        <f t="shared" si="475"/>
        <v/>
      </c>
      <c r="KH109" s="4" t="str">
        <f t="shared" si="476"/>
        <v/>
      </c>
      <c r="KI109" s="4" t="str">
        <f t="shared" si="477"/>
        <v/>
      </c>
      <c r="KJ109" s="4" t="str">
        <f t="shared" si="478"/>
        <v/>
      </c>
      <c r="KK109" s="4" t="str">
        <f t="shared" si="479"/>
        <v/>
      </c>
      <c r="KL109" s="4" t="str">
        <f t="shared" si="480"/>
        <v/>
      </c>
      <c r="KM109" s="4" t="str">
        <f t="shared" si="481"/>
        <v/>
      </c>
      <c r="KN109" s="4" t="str">
        <f t="shared" si="482"/>
        <v/>
      </c>
      <c r="KO109" s="4" t="str">
        <f t="shared" si="483"/>
        <v/>
      </c>
      <c r="KP109" s="4" t="str">
        <f t="shared" si="484"/>
        <v/>
      </c>
      <c r="KQ109" s="4" t="str">
        <f t="shared" si="485"/>
        <v/>
      </c>
      <c r="KR109" s="4" t="str">
        <f t="shared" si="486"/>
        <v/>
      </c>
      <c r="KS109" s="4" t="str">
        <f t="shared" si="487"/>
        <v/>
      </c>
      <c r="KT109" s="4" t="str">
        <f t="shared" si="488"/>
        <v/>
      </c>
      <c r="KU109" s="4" t="str">
        <f t="shared" si="489"/>
        <v/>
      </c>
      <c r="KV109" s="4" t="str">
        <f t="shared" si="490"/>
        <v/>
      </c>
      <c r="KW109" s="4" t="str">
        <f t="shared" si="491"/>
        <v/>
      </c>
      <c r="KX109" s="4" t="str">
        <f t="shared" si="492"/>
        <v/>
      </c>
      <c r="KY109" s="4" t="str">
        <f t="shared" si="493"/>
        <v/>
      </c>
      <c r="KZ109" s="4" t="str">
        <f t="shared" si="494"/>
        <v/>
      </c>
      <c r="LA109" s="4" t="str">
        <f t="shared" si="495"/>
        <v/>
      </c>
      <c r="LB109" s="4" t="str">
        <f t="shared" si="496"/>
        <v/>
      </c>
      <c r="LC109" s="4" t="str">
        <f t="shared" si="497"/>
        <v/>
      </c>
      <c r="LD109" s="4" t="str">
        <f t="shared" si="498"/>
        <v/>
      </c>
      <c r="LE109" s="4" t="str">
        <f t="shared" si="499"/>
        <v/>
      </c>
      <c r="LF109" s="4" t="str">
        <f t="shared" si="500"/>
        <v/>
      </c>
      <c r="LG109" s="4" t="str">
        <f t="shared" si="501"/>
        <v/>
      </c>
      <c r="LH109" s="4" t="str">
        <f t="shared" si="502"/>
        <v/>
      </c>
      <c r="LI109" s="4" t="str">
        <f t="shared" si="503"/>
        <v/>
      </c>
      <c r="LJ109" s="4" t="str">
        <f t="shared" si="504"/>
        <v/>
      </c>
      <c r="LK109" s="4" t="str">
        <f t="shared" si="505"/>
        <v/>
      </c>
      <c r="LL109" s="4" t="str">
        <f t="shared" si="506"/>
        <v/>
      </c>
      <c r="LM109" s="4" t="str">
        <f t="shared" si="507"/>
        <v/>
      </c>
      <c r="LN109" s="4" t="str">
        <f t="shared" si="508"/>
        <v/>
      </c>
      <c r="LO109" s="4" t="str">
        <f t="shared" si="509"/>
        <v/>
      </c>
      <c r="LP109" s="4" t="str">
        <f t="shared" si="510"/>
        <v/>
      </c>
      <c r="LQ109" s="4" t="str">
        <f t="shared" si="511"/>
        <v/>
      </c>
      <c r="LR109" s="4" t="str">
        <f t="shared" si="512"/>
        <v/>
      </c>
      <c r="LS109" s="4" t="str">
        <f t="shared" si="513"/>
        <v/>
      </c>
      <c r="LT109" s="4" t="str">
        <f t="shared" si="514"/>
        <v/>
      </c>
      <c r="LU109" s="4" t="str">
        <f t="shared" si="515"/>
        <v/>
      </c>
      <c r="LV109" s="4" t="str">
        <f t="shared" si="516"/>
        <v/>
      </c>
      <c r="LW109" s="4" t="str">
        <f t="shared" si="517"/>
        <v/>
      </c>
      <c r="LX109" s="4" t="str">
        <f t="shared" si="518"/>
        <v/>
      </c>
      <c r="LY109" s="4" t="str">
        <f t="shared" si="519"/>
        <v/>
      </c>
      <c r="LZ109" s="4" t="str">
        <f t="shared" si="520"/>
        <v/>
      </c>
      <c r="MA109" s="4" t="str">
        <f t="shared" si="521"/>
        <v/>
      </c>
      <c r="MB109" s="4" t="str">
        <f t="shared" si="522"/>
        <v/>
      </c>
      <c r="MC109" s="4" t="str">
        <f t="shared" si="523"/>
        <v/>
      </c>
      <c r="MD109" s="4" t="str">
        <f t="shared" si="524"/>
        <v/>
      </c>
      <c r="ME109" s="4">
        <f t="shared" si="525"/>
        <v>0</v>
      </c>
    </row>
    <row r="110" spans="1:343" ht="26.25" customHeight="1" thickBot="1" x14ac:dyDescent="0.25">
      <c r="A110" s="35">
        <v>41374</v>
      </c>
      <c r="B110" s="36" t="s">
        <v>153</v>
      </c>
      <c r="C110" s="36" t="s">
        <v>154</v>
      </c>
      <c r="D110" s="31" t="s">
        <v>110</v>
      </c>
      <c r="E110" s="4">
        <v>63</v>
      </c>
      <c r="F110" s="3">
        <v>18013</v>
      </c>
      <c r="G110" s="4" t="s">
        <v>87</v>
      </c>
      <c r="H110" s="4" t="s">
        <v>112</v>
      </c>
      <c r="I110" s="4">
        <v>1836453</v>
      </c>
      <c r="K110" s="76"/>
      <c r="L110" s="76"/>
      <c r="M110" s="76"/>
      <c r="N110" s="76"/>
      <c r="O110" s="76"/>
      <c r="P110" s="33">
        <v>-0.5</v>
      </c>
      <c r="Q110" s="33">
        <v>-0.61</v>
      </c>
      <c r="R110" s="4" t="s">
        <v>249</v>
      </c>
      <c r="S110" s="67">
        <v>8</v>
      </c>
      <c r="T110" s="136">
        <v>41344</v>
      </c>
      <c r="U110" s="67">
        <v>0</v>
      </c>
      <c r="V110" s="67">
        <v>0</v>
      </c>
      <c r="W110" s="4">
        <v>0</v>
      </c>
      <c r="X110" s="4">
        <v>300</v>
      </c>
      <c r="Y110" s="4">
        <v>16</v>
      </c>
      <c r="Z110" s="4">
        <v>592</v>
      </c>
      <c r="AA110" s="4">
        <v>26.11</v>
      </c>
      <c r="AD110" s="4">
        <v>3.61</v>
      </c>
      <c r="AE110" s="4">
        <v>46.3</v>
      </c>
      <c r="AF110" s="4">
        <v>164</v>
      </c>
      <c r="AG110" s="4">
        <v>48.56</v>
      </c>
      <c r="AH110" s="4">
        <v>74</v>
      </c>
      <c r="AI110" s="4">
        <v>0</v>
      </c>
      <c r="AJ110" s="4" t="b">
        <f t="shared" si="398"/>
        <v>0</v>
      </c>
      <c r="AL110" s="32">
        <v>41563</v>
      </c>
      <c r="AM110" s="60"/>
      <c r="AN110" s="67">
        <v>-0.25</v>
      </c>
      <c r="AO110" s="67">
        <v>1.5</v>
      </c>
      <c r="AP110" s="4">
        <v>85</v>
      </c>
      <c r="AQ110" s="4">
        <v>100</v>
      </c>
      <c r="AR110" s="4">
        <v>28</v>
      </c>
      <c r="AS110" s="4">
        <v>519</v>
      </c>
      <c r="AT110" s="4">
        <v>1869</v>
      </c>
      <c r="AU110" s="4" t="s">
        <v>250</v>
      </c>
      <c r="AV110" s="4" t="s">
        <v>82</v>
      </c>
      <c r="AW110" s="4">
        <v>45.98</v>
      </c>
      <c r="AX110" s="4">
        <v>169</v>
      </c>
      <c r="AY110" s="4">
        <v>49.2</v>
      </c>
      <c r="AZ110" s="4">
        <v>79</v>
      </c>
      <c r="BA110" s="4">
        <f t="shared" si="399"/>
        <v>0.5</v>
      </c>
      <c r="BB110" s="4">
        <f t="shared" si="397"/>
        <v>1.1099999999999999</v>
      </c>
      <c r="BC110" s="4">
        <f t="shared" si="400"/>
        <v>-73</v>
      </c>
      <c r="BD110" s="150">
        <v>41779</v>
      </c>
      <c r="BS110" s="4" t="str">
        <f>IF(ISNUMBER(BF110),BF110+0.5*BG110,"")</f>
        <v/>
      </c>
      <c r="BT110" s="4" t="str">
        <f t="shared" si="401"/>
        <v/>
      </c>
      <c r="BU110" s="4" t="str">
        <f t="shared" si="402"/>
        <v/>
      </c>
      <c r="BV110" s="4">
        <f>IF(AND(ISBLANK(SPH_6),ISBLANK(SPH_12)),0,1)</f>
        <v>1</v>
      </c>
      <c r="BW110" s="4">
        <f t="shared" si="403"/>
        <v>0</v>
      </c>
      <c r="BX110" s="4" t="str">
        <f t="shared" si="404"/>
        <v/>
      </c>
      <c r="BY110" s="4" t="str">
        <f t="shared" si="405"/>
        <v/>
      </c>
      <c r="BZ110" s="4" t="str">
        <f t="shared" si="406"/>
        <v/>
      </c>
      <c r="CA110" s="53">
        <f t="shared" si="407"/>
        <v>189</v>
      </c>
      <c r="CB110" s="55">
        <f t="shared" si="408"/>
        <v>6.3</v>
      </c>
      <c r="CC110" s="4" t="str">
        <f t="shared" si="409"/>
        <v/>
      </c>
      <c r="CD110" s="4">
        <f t="shared" si="410"/>
        <v>0.16000000000000369</v>
      </c>
      <c r="CE110" s="4" t="str">
        <f t="shared" si="411"/>
        <v/>
      </c>
      <c r="CF110" s="4">
        <f t="shared" si="412"/>
        <v>0.16000000000000369</v>
      </c>
      <c r="CG110" s="4">
        <f t="shared" si="526"/>
        <v>0</v>
      </c>
      <c r="CH110" s="4">
        <f t="shared" si="413"/>
        <v>0.5</v>
      </c>
      <c r="CI110" s="104">
        <f t="shared" si="414"/>
        <v>1.1099999999999999</v>
      </c>
      <c r="CJ110" s="94">
        <f t="shared" si="415"/>
        <v>-73</v>
      </c>
      <c r="CK110" s="4" t="str">
        <f t="shared" si="416"/>
        <v/>
      </c>
      <c r="CL110" s="107">
        <f t="shared" si="417"/>
        <v>-0.61</v>
      </c>
      <c r="CM110" s="107">
        <f t="shared" si="396"/>
        <v>0.4771212547196626</v>
      </c>
      <c r="CN110" s="139">
        <f t="shared" si="418"/>
        <v>1.5</v>
      </c>
      <c r="CO110" s="139">
        <f t="shared" si="419"/>
        <v>1.5</v>
      </c>
      <c r="CP110" s="149">
        <f t="shared" si="420"/>
        <v>100</v>
      </c>
      <c r="CQ110" s="149">
        <f t="shared" si="421"/>
        <v>300</v>
      </c>
      <c r="CR110" s="148" t="str">
        <f t="shared" si="422"/>
        <v/>
      </c>
      <c r="CS110" s="152" t="str">
        <f t="shared" si="423"/>
        <v/>
      </c>
      <c r="CT110" s="107" t="str">
        <f t="shared" si="424"/>
        <v/>
      </c>
      <c r="CU110" s="155" t="str">
        <f t="shared" si="425"/>
        <v/>
      </c>
      <c r="ER110" s="94">
        <v>7.4</v>
      </c>
      <c r="ES110" s="4">
        <v>6.86</v>
      </c>
      <c r="ET110" s="4">
        <v>162.6</v>
      </c>
      <c r="EU110" s="4">
        <v>-3.6</v>
      </c>
      <c r="EV110" s="4">
        <v>0.56999999999999995</v>
      </c>
      <c r="EW110" s="4">
        <v>0.62</v>
      </c>
      <c r="EX110" s="4">
        <v>-0.63</v>
      </c>
      <c r="EY110" s="4">
        <v>-0.12</v>
      </c>
      <c r="EZ110" s="4">
        <v>511</v>
      </c>
      <c r="FA110" s="4">
        <v>511</v>
      </c>
      <c r="FB110" s="4">
        <v>640</v>
      </c>
      <c r="FC110" s="4">
        <v>599</v>
      </c>
      <c r="FD110" s="4">
        <v>602</v>
      </c>
      <c r="FE110" s="4">
        <v>613</v>
      </c>
      <c r="FF110" s="4">
        <v>510</v>
      </c>
      <c r="FG110" s="4">
        <v>0.47</v>
      </c>
      <c r="FH110" s="4">
        <v>-0.13</v>
      </c>
      <c r="FI110" s="4">
        <v>7.14</v>
      </c>
      <c r="FJ110" s="4">
        <v>7.15</v>
      </c>
      <c r="FK110" s="4">
        <v>7.26</v>
      </c>
      <c r="FL110" s="4">
        <v>7.47</v>
      </c>
      <c r="FM110" s="4">
        <v>7.78</v>
      </c>
      <c r="FN110" s="4">
        <v>8.01</v>
      </c>
      <c r="FO110" s="4">
        <v>0</v>
      </c>
      <c r="FP110" s="4">
        <v>1.4</v>
      </c>
      <c r="FQ110" s="4">
        <v>5.85</v>
      </c>
      <c r="FR110" s="4">
        <v>5.79</v>
      </c>
      <c r="FS110" s="4">
        <v>6.06</v>
      </c>
      <c r="FT110" s="4">
        <v>6.48</v>
      </c>
      <c r="FU110" s="4">
        <v>6.7</v>
      </c>
      <c r="FV110" s="4">
        <v>0</v>
      </c>
      <c r="FW110" s="4">
        <v>0</v>
      </c>
      <c r="FX110" s="97">
        <v>1.4</v>
      </c>
      <c r="IJ110" s="94">
        <f t="shared" si="426"/>
        <v>7.4</v>
      </c>
      <c r="IK110" s="4">
        <f t="shared" si="427"/>
        <v>6.86</v>
      </c>
      <c r="IL110" s="4">
        <f t="shared" si="428"/>
        <v>162.6</v>
      </c>
      <c r="IM110" s="4">
        <f t="shared" si="429"/>
        <v>-3.6</v>
      </c>
      <c r="IN110" s="4">
        <f t="shared" si="430"/>
        <v>0.56999999999999995</v>
      </c>
      <c r="IO110" s="4">
        <f t="shared" si="431"/>
        <v>0.62</v>
      </c>
      <c r="IP110" s="4">
        <f t="shared" si="432"/>
        <v>-0.63</v>
      </c>
      <c r="IQ110" s="4">
        <f t="shared" si="433"/>
        <v>-0.12</v>
      </c>
      <c r="IR110" s="4">
        <f t="shared" si="434"/>
        <v>511</v>
      </c>
      <c r="IS110" s="4">
        <f t="shared" si="435"/>
        <v>511</v>
      </c>
      <c r="IT110" s="4">
        <f t="shared" si="436"/>
        <v>640</v>
      </c>
      <c r="IU110" s="4">
        <f t="shared" si="437"/>
        <v>599</v>
      </c>
      <c r="IV110" s="4">
        <f t="shared" si="438"/>
        <v>602</v>
      </c>
      <c r="IW110" s="4">
        <f t="shared" si="439"/>
        <v>613</v>
      </c>
      <c r="IX110" s="4">
        <f t="shared" si="440"/>
        <v>510</v>
      </c>
      <c r="IY110" s="4">
        <f t="shared" si="441"/>
        <v>0.47</v>
      </c>
      <c r="IZ110" s="4">
        <f t="shared" si="442"/>
        <v>-0.13</v>
      </c>
      <c r="JA110" s="4">
        <f t="shared" si="443"/>
        <v>7.14</v>
      </c>
      <c r="JB110" s="4">
        <f t="shared" si="444"/>
        <v>7.15</v>
      </c>
      <c r="JC110" s="4">
        <f t="shared" si="445"/>
        <v>7.26</v>
      </c>
      <c r="JD110" s="4">
        <f t="shared" si="446"/>
        <v>7.47</v>
      </c>
      <c r="JE110" s="4">
        <f t="shared" si="447"/>
        <v>7.78</v>
      </c>
      <c r="JF110" s="4">
        <f t="shared" si="448"/>
        <v>8.01</v>
      </c>
      <c r="JG110" s="4">
        <f t="shared" si="449"/>
        <v>0</v>
      </c>
      <c r="JH110" s="4">
        <f t="shared" si="450"/>
        <v>1.4</v>
      </c>
      <c r="JI110" s="4">
        <f t="shared" si="451"/>
        <v>5.85</v>
      </c>
      <c r="JJ110" s="4">
        <f t="shared" si="452"/>
        <v>5.79</v>
      </c>
      <c r="JK110" s="4">
        <f t="shared" si="453"/>
        <v>6.06</v>
      </c>
      <c r="JL110" s="4">
        <f t="shared" si="454"/>
        <v>6.48</v>
      </c>
      <c r="JM110" s="4">
        <f t="shared" si="455"/>
        <v>6.7</v>
      </c>
      <c r="JN110" s="4">
        <f t="shared" si="456"/>
        <v>0</v>
      </c>
      <c r="JO110" s="129">
        <f t="shared" si="457"/>
        <v>0</v>
      </c>
      <c r="JP110" s="122">
        <f t="shared" si="458"/>
        <v>1.4</v>
      </c>
      <c r="JQ110" s="122" t="str">
        <f t="shared" si="459"/>
        <v/>
      </c>
      <c r="JR110" s="122" t="str">
        <f t="shared" si="460"/>
        <v/>
      </c>
      <c r="JS110" s="122" t="str">
        <f t="shared" si="461"/>
        <v/>
      </c>
      <c r="JT110" s="122" t="str">
        <f t="shared" si="462"/>
        <v/>
      </c>
      <c r="JU110" s="122" t="str">
        <f t="shared" si="463"/>
        <v/>
      </c>
      <c r="JV110" s="122" t="str">
        <f t="shared" si="464"/>
        <v/>
      </c>
      <c r="JW110" s="122" t="str">
        <f t="shared" si="465"/>
        <v/>
      </c>
      <c r="JX110" s="122" t="str">
        <f t="shared" si="466"/>
        <v/>
      </c>
      <c r="JY110" s="122" t="str">
        <f t="shared" si="467"/>
        <v/>
      </c>
      <c r="JZ110" s="122" t="str">
        <f t="shared" si="468"/>
        <v/>
      </c>
      <c r="KA110" s="122" t="str">
        <f t="shared" si="469"/>
        <v/>
      </c>
      <c r="KB110" s="122" t="str">
        <f t="shared" si="470"/>
        <v/>
      </c>
      <c r="KC110" s="122" t="str">
        <f t="shared" si="471"/>
        <v/>
      </c>
      <c r="KD110" s="122" t="str">
        <f t="shared" si="472"/>
        <v/>
      </c>
      <c r="KE110" s="133" t="str">
        <f t="shared" si="473"/>
        <v/>
      </c>
      <c r="KF110" s="94" t="str">
        <f t="shared" si="474"/>
        <v/>
      </c>
      <c r="KG110" s="4" t="str">
        <f t="shared" si="475"/>
        <v/>
      </c>
      <c r="KH110" s="4" t="str">
        <f t="shared" si="476"/>
        <v/>
      </c>
      <c r="KI110" s="4" t="str">
        <f t="shared" si="477"/>
        <v/>
      </c>
      <c r="KJ110" s="4" t="str">
        <f t="shared" si="478"/>
        <v/>
      </c>
      <c r="KK110" s="4" t="str">
        <f t="shared" si="479"/>
        <v/>
      </c>
      <c r="KL110" s="4" t="str">
        <f t="shared" si="480"/>
        <v/>
      </c>
      <c r="KM110" s="4" t="str">
        <f t="shared" si="481"/>
        <v/>
      </c>
      <c r="KN110" s="4" t="str">
        <f t="shared" si="482"/>
        <v/>
      </c>
      <c r="KO110" s="4" t="str">
        <f t="shared" si="483"/>
        <v/>
      </c>
      <c r="KP110" s="4" t="str">
        <f t="shared" si="484"/>
        <v/>
      </c>
      <c r="KQ110" s="4" t="str">
        <f t="shared" si="485"/>
        <v/>
      </c>
      <c r="KR110" s="4" t="str">
        <f t="shared" si="486"/>
        <v/>
      </c>
      <c r="KS110" s="4" t="str">
        <f t="shared" si="487"/>
        <v/>
      </c>
      <c r="KT110" s="4" t="str">
        <f t="shared" si="488"/>
        <v/>
      </c>
      <c r="KU110" s="4" t="str">
        <f t="shared" si="489"/>
        <v/>
      </c>
      <c r="KV110" s="4" t="str">
        <f t="shared" si="490"/>
        <v/>
      </c>
      <c r="KW110" s="4" t="str">
        <f t="shared" si="491"/>
        <v/>
      </c>
      <c r="KX110" s="4" t="str">
        <f t="shared" si="492"/>
        <v/>
      </c>
      <c r="KY110" s="4" t="str">
        <f t="shared" si="493"/>
        <v/>
      </c>
      <c r="KZ110" s="4" t="str">
        <f t="shared" si="494"/>
        <v/>
      </c>
      <c r="LA110" s="4" t="str">
        <f t="shared" si="495"/>
        <v/>
      </c>
      <c r="LB110" s="4" t="str">
        <f t="shared" si="496"/>
        <v/>
      </c>
      <c r="LC110" s="4" t="str">
        <f t="shared" si="497"/>
        <v/>
      </c>
      <c r="LD110" s="4" t="str">
        <f t="shared" si="498"/>
        <v/>
      </c>
      <c r="LE110" s="4" t="str">
        <f t="shared" si="499"/>
        <v/>
      </c>
      <c r="LF110" s="4" t="str">
        <f t="shared" si="500"/>
        <v/>
      </c>
      <c r="LG110" s="4" t="str">
        <f t="shared" si="501"/>
        <v/>
      </c>
      <c r="LH110" s="4" t="str">
        <f t="shared" si="502"/>
        <v/>
      </c>
      <c r="LI110" s="4" t="str">
        <f t="shared" si="503"/>
        <v/>
      </c>
      <c r="LJ110" s="4" t="str">
        <f t="shared" si="504"/>
        <v/>
      </c>
      <c r="LK110" s="4" t="str">
        <f t="shared" si="505"/>
        <v/>
      </c>
      <c r="LL110" s="4" t="str">
        <f t="shared" si="506"/>
        <v/>
      </c>
      <c r="LM110" s="4" t="str">
        <f t="shared" si="507"/>
        <v/>
      </c>
      <c r="LN110" s="4" t="str">
        <f t="shared" si="508"/>
        <v/>
      </c>
      <c r="LO110" s="4" t="str">
        <f t="shared" si="509"/>
        <v/>
      </c>
      <c r="LP110" s="4" t="str">
        <f t="shared" si="510"/>
        <v/>
      </c>
      <c r="LQ110" s="4" t="str">
        <f t="shared" si="511"/>
        <v/>
      </c>
      <c r="LR110" s="4" t="str">
        <f t="shared" si="512"/>
        <v/>
      </c>
      <c r="LS110" s="4" t="str">
        <f t="shared" si="513"/>
        <v/>
      </c>
      <c r="LT110" s="4" t="str">
        <f t="shared" si="514"/>
        <v/>
      </c>
      <c r="LU110" s="4" t="str">
        <f t="shared" si="515"/>
        <v/>
      </c>
      <c r="LV110" s="4" t="str">
        <f t="shared" si="516"/>
        <v/>
      </c>
      <c r="LW110" s="4" t="str">
        <f t="shared" si="517"/>
        <v/>
      </c>
      <c r="LX110" s="4" t="str">
        <f t="shared" si="518"/>
        <v/>
      </c>
      <c r="LY110" s="4" t="str">
        <f t="shared" si="519"/>
        <v/>
      </c>
      <c r="LZ110" s="4" t="str">
        <f t="shared" si="520"/>
        <v/>
      </c>
      <c r="MA110" s="4" t="str">
        <f t="shared" si="521"/>
        <v/>
      </c>
      <c r="MB110" s="4" t="str">
        <f t="shared" si="522"/>
        <v/>
      </c>
      <c r="MC110" s="4" t="str">
        <f t="shared" si="523"/>
        <v/>
      </c>
      <c r="MD110" s="4" t="str">
        <f t="shared" si="524"/>
        <v/>
      </c>
      <c r="ME110" s="4">
        <f t="shared" si="525"/>
        <v>0</v>
      </c>
    </row>
    <row r="111" spans="1:343" ht="26.25" customHeight="1" thickBot="1" x14ac:dyDescent="0.25">
      <c r="A111" s="35">
        <v>41395</v>
      </c>
      <c r="B111" s="36" t="s">
        <v>168</v>
      </c>
      <c r="C111" s="36" t="s">
        <v>49</v>
      </c>
      <c r="D111" s="31" t="s">
        <v>111</v>
      </c>
      <c r="E111" s="4">
        <v>65</v>
      </c>
      <c r="F111" s="3">
        <v>17622</v>
      </c>
      <c r="G111" s="4" t="s">
        <v>87</v>
      </c>
      <c r="H111" s="4" t="s">
        <v>108</v>
      </c>
      <c r="I111" s="4">
        <v>1836533</v>
      </c>
      <c r="K111" s="80"/>
      <c r="L111" s="81"/>
      <c r="M111" s="81"/>
      <c r="N111" s="81"/>
      <c r="O111" s="81"/>
      <c r="P111" s="33">
        <v>-0.5</v>
      </c>
      <c r="Q111" s="33">
        <v>-0.81</v>
      </c>
      <c r="R111" s="33" t="s">
        <v>249</v>
      </c>
      <c r="S111" s="67">
        <v>20.75</v>
      </c>
      <c r="T111" s="136">
        <v>41361</v>
      </c>
      <c r="U111" s="67">
        <v>1.25</v>
      </c>
      <c r="V111" s="67">
        <v>1.25</v>
      </c>
      <c r="W111" s="4">
        <v>180</v>
      </c>
      <c r="X111" s="4">
        <v>50</v>
      </c>
      <c r="Y111" s="4">
        <v>10</v>
      </c>
      <c r="Z111" s="4">
        <v>631</v>
      </c>
      <c r="AA111" s="4">
        <v>23.74</v>
      </c>
      <c r="AD111" s="4">
        <v>3.08</v>
      </c>
      <c r="AE111" s="4">
        <v>43.16</v>
      </c>
      <c r="AF111" s="4">
        <v>123</v>
      </c>
      <c r="AG111" s="4">
        <v>44.29</v>
      </c>
      <c r="AH111" s="4">
        <v>33</v>
      </c>
      <c r="AI111" s="4">
        <v>0</v>
      </c>
      <c r="AJ111" s="4" t="b">
        <f t="shared" si="398"/>
        <v>0</v>
      </c>
      <c r="AL111" s="37">
        <v>41556</v>
      </c>
      <c r="AN111" s="67">
        <v>-1.75</v>
      </c>
      <c r="AO111" s="67">
        <v>2</v>
      </c>
      <c r="AP111" s="4">
        <v>17</v>
      </c>
      <c r="AQ111" s="4">
        <v>20</v>
      </c>
      <c r="AR111" s="4">
        <v>14</v>
      </c>
      <c r="AS111" s="4">
        <v>499</v>
      </c>
      <c r="AT111" s="4">
        <v>2427</v>
      </c>
      <c r="BA111" s="4">
        <f t="shared" si="399"/>
        <v>-0.75</v>
      </c>
      <c r="BB111" s="4">
        <f t="shared" si="397"/>
        <v>6.0000000000000053E-2</v>
      </c>
      <c r="BC111" s="4">
        <f t="shared" si="400"/>
        <v>-132</v>
      </c>
      <c r="BD111" s="150">
        <v>41717</v>
      </c>
      <c r="BS111" s="4" t="str">
        <f>IF(ISNUMBER(BF111),BF111+0.5*BG111,"")</f>
        <v/>
      </c>
      <c r="BT111" s="4" t="str">
        <f t="shared" si="401"/>
        <v/>
      </c>
      <c r="BU111" s="4" t="str">
        <f t="shared" si="402"/>
        <v/>
      </c>
      <c r="BV111" s="4">
        <f>IF(AND(ISBLANK(SPH_6),ISBLANK(SPH_12)),0,1)</f>
        <v>1</v>
      </c>
      <c r="BW111" s="4">
        <f t="shared" si="403"/>
        <v>0</v>
      </c>
      <c r="BX111" s="4" t="str">
        <f t="shared" si="404"/>
        <v/>
      </c>
      <c r="BY111" s="4" t="str">
        <f t="shared" si="405"/>
        <v/>
      </c>
      <c r="BZ111" s="4" t="str">
        <f t="shared" si="406"/>
        <v/>
      </c>
      <c r="CA111" s="53">
        <f t="shared" si="407"/>
        <v>161</v>
      </c>
      <c r="CB111" s="55">
        <f t="shared" si="408"/>
        <v>5.3666666666666663</v>
      </c>
      <c r="CC111" s="4" t="str">
        <f t="shared" si="409"/>
        <v/>
      </c>
      <c r="CD111" s="4" t="str">
        <f t="shared" si="410"/>
        <v/>
      </c>
      <c r="CE111" s="4" t="str">
        <f t="shared" si="411"/>
        <v/>
      </c>
      <c r="CF111" s="4" t="str">
        <f t="shared" si="412"/>
        <v/>
      </c>
      <c r="CG111" s="4">
        <f t="shared" si="526"/>
        <v>1.875</v>
      </c>
      <c r="CH111" s="4">
        <f t="shared" si="413"/>
        <v>-0.75</v>
      </c>
      <c r="CI111" s="104">
        <f t="shared" si="414"/>
        <v>6.0000000000000053E-2</v>
      </c>
      <c r="CJ111" s="94">
        <f t="shared" si="415"/>
        <v>-132</v>
      </c>
      <c r="CK111" s="4" t="str">
        <f t="shared" si="416"/>
        <v/>
      </c>
      <c r="CL111" s="107">
        <f t="shared" si="417"/>
        <v>-0.81</v>
      </c>
      <c r="CM111" s="107">
        <f t="shared" si="396"/>
        <v>0.3979400086720376</v>
      </c>
      <c r="CN111" s="139">
        <f t="shared" si="418"/>
        <v>2</v>
      </c>
      <c r="CO111" s="139">
        <f t="shared" si="419"/>
        <v>0.75</v>
      </c>
      <c r="CP111" s="149">
        <f t="shared" si="420"/>
        <v>20</v>
      </c>
      <c r="CQ111" s="149">
        <f t="shared" si="421"/>
        <v>50</v>
      </c>
      <c r="CR111" s="148" t="str">
        <f t="shared" si="422"/>
        <v/>
      </c>
      <c r="CS111" s="152">
        <f t="shared" si="423"/>
        <v>1</v>
      </c>
      <c r="CT111" s="107" t="str">
        <f t="shared" si="424"/>
        <v/>
      </c>
      <c r="CU111" s="155" t="b">
        <f t="shared" si="425"/>
        <v>1</v>
      </c>
      <c r="CV111" s="120">
        <v>7.73</v>
      </c>
      <c r="CW111" s="4">
        <v>7.88</v>
      </c>
      <c r="CX111" s="4">
        <v>98.5</v>
      </c>
      <c r="CY111" s="4">
        <v>0.8</v>
      </c>
      <c r="CZ111" s="4">
        <v>0.41</v>
      </c>
      <c r="DA111" s="4">
        <v>0.45</v>
      </c>
      <c r="DB111" s="4">
        <v>2.46</v>
      </c>
      <c r="DC111" s="4">
        <v>3.08</v>
      </c>
      <c r="DD111" s="4">
        <v>624</v>
      </c>
      <c r="DE111" s="4">
        <v>622</v>
      </c>
      <c r="DF111" s="4">
        <v>661</v>
      </c>
      <c r="DG111" s="4">
        <v>638</v>
      </c>
      <c r="DH111" s="4">
        <v>669</v>
      </c>
      <c r="DI111" s="4">
        <v>693</v>
      </c>
      <c r="DJ111" s="4">
        <v>615</v>
      </c>
      <c r="DK111" s="4">
        <v>-1.18</v>
      </c>
      <c r="DL111" s="4">
        <v>1.97</v>
      </c>
      <c r="DM111" s="4">
        <v>7.83</v>
      </c>
      <c r="DN111" s="4">
        <v>7.78</v>
      </c>
      <c r="DO111" s="4">
        <v>7.76</v>
      </c>
      <c r="DP111" s="4">
        <v>7.88</v>
      </c>
      <c r="DQ111" s="4">
        <v>8.0500000000000007</v>
      </c>
      <c r="DR111" s="4">
        <v>8.1300000000000008</v>
      </c>
      <c r="DS111" s="4">
        <v>0</v>
      </c>
      <c r="DT111" s="4">
        <v>1</v>
      </c>
      <c r="DU111" s="4">
        <v>6.85</v>
      </c>
      <c r="DV111" s="4">
        <v>6.76</v>
      </c>
      <c r="DW111" s="4">
        <v>6.49</v>
      </c>
      <c r="DX111" s="4">
        <v>6.37</v>
      </c>
      <c r="DY111" s="4">
        <v>6.43</v>
      </c>
      <c r="DZ111" s="4">
        <v>0</v>
      </c>
      <c r="EA111" s="4">
        <v>0</v>
      </c>
      <c r="EB111" s="100">
        <v>1</v>
      </c>
      <c r="EC111" s="122">
        <v>42.8</v>
      </c>
      <c r="ED111" s="122">
        <v>43.7</v>
      </c>
      <c r="EE111" s="122">
        <v>43.2</v>
      </c>
      <c r="EF111" s="122">
        <v>98.5</v>
      </c>
      <c r="EG111" s="122">
        <v>0.8</v>
      </c>
      <c r="EH111" s="122">
        <v>-5.6</v>
      </c>
      <c r="EI111" s="122">
        <v>-6.1</v>
      </c>
      <c r="EJ111" s="122">
        <v>-5.8</v>
      </c>
      <c r="EK111" s="122">
        <v>106.2</v>
      </c>
      <c r="EL111" s="122">
        <v>0.5</v>
      </c>
      <c r="EM111" s="122">
        <v>4.5</v>
      </c>
      <c r="EN111" s="122">
        <v>12.8</v>
      </c>
      <c r="EO111" s="122">
        <v>26.8</v>
      </c>
      <c r="EP111" s="122">
        <v>64.3</v>
      </c>
      <c r="EQ111" s="126">
        <v>14</v>
      </c>
      <c r="FY111" s="122">
        <v>42.7</v>
      </c>
      <c r="FZ111" s="122">
        <v>43.7</v>
      </c>
      <c r="GA111" s="122">
        <v>43.2</v>
      </c>
      <c r="GB111" s="122">
        <v>112.7</v>
      </c>
      <c r="GC111" s="122">
        <v>1</v>
      </c>
      <c r="GD111" s="122">
        <v>-6.3</v>
      </c>
      <c r="GE111" s="122">
        <v>-6.5</v>
      </c>
      <c r="GF111" s="122">
        <v>-6.4</v>
      </c>
      <c r="GG111" s="122">
        <v>178.8</v>
      </c>
      <c r="GH111" s="122">
        <v>0.2</v>
      </c>
      <c r="GI111" s="122">
        <v>3.6</v>
      </c>
      <c r="GJ111" s="122">
        <v>10.6</v>
      </c>
      <c r="GK111" s="122">
        <v>23.2</v>
      </c>
      <c r="GL111" s="122">
        <v>59.4</v>
      </c>
      <c r="GM111" s="131">
        <v>12</v>
      </c>
      <c r="IJ111" s="94" t="str">
        <f t="shared" si="426"/>
        <v/>
      </c>
      <c r="IK111" s="4" t="str">
        <f t="shared" si="427"/>
        <v/>
      </c>
      <c r="IL111" s="4" t="str">
        <f t="shared" si="428"/>
        <v/>
      </c>
      <c r="IM111" s="4" t="str">
        <f t="shared" si="429"/>
        <v/>
      </c>
      <c r="IN111" s="4" t="str">
        <f t="shared" si="430"/>
        <v/>
      </c>
      <c r="IO111" s="4" t="str">
        <f t="shared" si="431"/>
        <v/>
      </c>
      <c r="IP111" s="4" t="str">
        <f t="shared" si="432"/>
        <v/>
      </c>
      <c r="IQ111" s="4" t="str">
        <f t="shared" si="433"/>
        <v/>
      </c>
      <c r="IR111" s="4" t="str">
        <f t="shared" si="434"/>
        <v/>
      </c>
      <c r="IS111" s="4" t="str">
        <f t="shared" si="435"/>
        <v/>
      </c>
      <c r="IT111" s="4" t="str">
        <f t="shared" si="436"/>
        <v/>
      </c>
      <c r="IU111" s="4" t="str">
        <f t="shared" si="437"/>
        <v/>
      </c>
      <c r="IV111" s="4" t="str">
        <f t="shared" si="438"/>
        <v/>
      </c>
      <c r="IW111" s="4" t="str">
        <f t="shared" si="439"/>
        <v/>
      </c>
      <c r="IX111" s="4" t="str">
        <f t="shared" si="440"/>
        <v/>
      </c>
      <c r="IY111" s="4" t="str">
        <f t="shared" si="441"/>
        <v/>
      </c>
      <c r="IZ111" s="4" t="str">
        <f t="shared" si="442"/>
        <v/>
      </c>
      <c r="JA111" s="4" t="str">
        <f t="shared" si="443"/>
        <v/>
      </c>
      <c r="JB111" s="4" t="str">
        <f t="shared" si="444"/>
        <v/>
      </c>
      <c r="JC111" s="4" t="str">
        <f t="shared" si="445"/>
        <v/>
      </c>
      <c r="JD111" s="4" t="str">
        <f t="shared" si="446"/>
        <v/>
      </c>
      <c r="JE111" s="4" t="str">
        <f t="shared" si="447"/>
        <v/>
      </c>
      <c r="JF111" s="4" t="str">
        <f t="shared" si="448"/>
        <v/>
      </c>
      <c r="JG111" s="4" t="str">
        <f t="shared" si="449"/>
        <v/>
      </c>
      <c r="JH111" s="4" t="str">
        <f t="shared" si="450"/>
        <v/>
      </c>
      <c r="JI111" s="4" t="str">
        <f t="shared" si="451"/>
        <v/>
      </c>
      <c r="JJ111" s="4" t="str">
        <f t="shared" si="452"/>
        <v/>
      </c>
      <c r="JK111" s="4" t="str">
        <f t="shared" si="453"/>
        <v/>
      </c>
      <c r="JL111" s="4" t="str">
        <f t="shared" si="454"/>
        <v/>
      </c>
      <c r="JM111" s="4" t="str">
        <f t="shared" si="455"/>
        <v/>
      </c>
      <c r="JN111" s="4" t="str">
        <f t="shared" si="456"/>
        <v/>
      </c>
      <c r="JO111" s="129" t="str">
        <f t="shared" si="457"/>
        <v/>
      </c>
      <c r="JP111" s="122" t="str">
        <f t="shared" si="458"/>
        <v/>
      </c>
      <c r="JQ111" s="122">
        <f t="shared" si="459"/>
        <v>42.7</v>
      </c>
      <c r="JR111" s="122">
        <f t="shared" si="460"/>
        <v>43.7</v>
      </c>
      <c r="JS111" s="122">
        <f t="shared" si="461"/>
        <v>43.2</v>
      </c>
      <c r="JT111" s="122">
        <f t="shared" si="462"/>
        <v>112.7</v>
      </c>
      <c r="JU111" s="122">
        <f t="shared" si="463"/>
        <v>1</v>
      </c>
      <c r="JV111" s="122">
        <f t="shared" si="464"/>
        <v>-6.3</v>
      </c>
      <c r="JW111" s="122">
        <f t="shared" si="465"/>
        <v>-6.5</v>
      </c>
      <c r="JX111" s="122">
        <f t="shared" si="466"/>
        <v>-6.4</v>
      </c>
      <c r="JY111" s="122">
        <f t="shared" si="467"/>
        <v>178.8</v>
      </c>
      <c r="JZ111" s="122">
        <f t="shared" si="468"/>
        <v>0.2</v>
      </c>
      <c r="KA111" s="122">
        <f t="shared" si="469"/>
        <v>3.6</v>
      </c>
      <c r="KB111" s="122">
        <f t="shared" si="470"/>
        <v>10.6</v>
      </c>
      <c r="KC111" s="122">
        <f t="shared" si="471"/>
        <v>23.2</v>
      </c>
      <c r="KD111" s="122">
        <f t="shared" si="472"/>
        <v>59.4</v>
      </c>
      <c r="KE111" s="133">
        <f t="shared" si="473"/>
        <v>12</v>
      </c>
      <c r="KF111" s="94" t="str">
        <f t="shared" si="474"/>
        <v/>
      </c>
      <c r="KG111" s="4" t="str">
        <f t="shared" si="475"/>
        <v/>
      </c>
      <c r="KH111" s="4" t="str">
        <f t="shared" si="476"/>
        <v/>
      </c>
      <c r="KI111" s="4" t="str">
        <f t="shared" si="477"/>
        <v/>
      </c>
      <c r="KJ111" s="4" t="str">
        <f t="shared" si="478"/>
        <v/>
      </c>
      <c r="KK111" s="4" t="str">
        <f t="shared" si="479"/>
        <v/>
      </c>
      <c r="KL111" s="4" t="str">
        <f t="shared" si="480"/>
        <v/>
      </c>
      <c r="KM111" s="4" t="str">
        <f t="shared" si="481"/>
        <v/>
      </c>
      <c r="KN111" s="4" t="str">
        <f t="shared" si="482"/>
        <v/>
      </c>
      <c r="KO111" s="4" t="str">
        <f t="shared" si="483"/>
        <v/>
      </c>
      <c r="KP111" s="4" t="str">
        <f t="shared" si="484"/>
        <v/>
      </c>
      <c r="KQ111" s="4" t="str">
        <f t="shared" si="485"/>
        <v/>
      </c>
      <c r="KR111" s="4" t="str">
        <f t="shared" si="486"/>
        <v/>
      </c>
      <c r="KS111" s="4" t="str">
        <f t="shared" si="487"/>
        <v/>
      </c>
      <c r="KT111" s="4" t="str">
        <f t="shared" si="488"/>
        <v/>
      </c>
      <c r="KU111" s="4" t="str">
        <f t="shared" si="489"/>
        <v/>
      </c>
      <c r="KV111" s="4" t="str">
        <f t="shared" si="490"/>
        <v/>
      </c>
      <c r="KW111" s="4" t="str">
        <f t="shared" si="491"/>
        <v/>
      </c>
      <c r="KX111" s="4" t="str">
        <f t="shared" si="492"/>
        <v/>
      </c>
      <c r="KY111" s="4" t="str">
        <f t="shared" si="493"/>
        <v/>
      </c>
      <c r="KZ111" s="4" t="str">
        <f t="shared" si="494"/>
        <v/>
      </c>
      <c r="LA111" s="4" t="str">
        <f t="shared" si="495"/>
        <v/>
      </c>
      <c r="LB111" s="4" t="str">
        <f t="shared" si="496"/>
        <v/>
      </c>
      <c r="LC111" s="4" t="str">
        <f t="shared" si="497"/>
        <v/>
      </c>
      <c r="LD111" s="4" t="str">
        <f t="shared" si="498"/>
        <v/>
      </c>
      <c r="LE111" s="4" t="str">
        <f t="shared" si="499"/>
        <v/>
      </c>
      <c r="LF111" s="4" t="str">
        <f t="shared" si="500"/>
        <v/>
      </c>
      <c r="LG111" s="4" t="str">
        <f t="shared" si="501"/>
        <v/>
      </c>
      <c r="LH111" s="4" t="str">
        <f t="shared" si="502"/>
        <v/>
      </c>
      <c r="LI111" s="4" t="str">
        <f t="shared" si="503"/>
        <v/>
      </c>
      <c r="LJ111" s="4" t="str">
        <f t="shared" si="504"/>
        <v/>
      </c>
      <c r="LK111" s="4" t="str">
        <f t="shared" si="505"/>
        <v/>
      </c>
      <c r="LL111" s="4" t="str">
        <f t="shared" si="506"/>
        <v/>
      </c>
      <c r="LM111" s="4">
        <f t="shared" si="507"/>
        <v>-9.9999999999994316E-2</v>
      </c>
      <c r="LN111" s="4">
        <f t="shared" si="508"/>
        <v>0</v>
      </c>
      <c r="LO111" s="4">
        <f t="shared" si="509"/>
        <v>0</v>
      </c>
      <c r="LP111" s="4">
        <f t="shared" si="510"/>
        <v>14.200000000000003</v>
      </c>
      <c r="LQ111" s="4">
        <f t="shared" si="511"/>
        <v>0.19999999999999996</v>
      </c>
      <c r="LR111" s="4">
        <f t="shared" si="512"/>
        <v>-0.70000000000000018</v>
      </c>
      <c r="LS111" s="4">
        <f t="shared" si="513"/>
        <v>-0.40000000000000036</v>
      </c>
      <c r="LT111" s="4">
        <f t="shared" si="514"/>
        <v>-0.60000000000000053</v>
      </c>
      <c r="LU111" s="4">
        <f t="shared" si="515"/>
        <v>72.600000000000009</v>
      </c>
      <c r="LV111" s="4">
        <f t="shared" si="516"/>
        <v>-0.3</v>
      </c>
      <c r="LW111" s="4">
        <f t="shared" si="517"/>
        <v>-0.89999999999999991</v>
      </c>
      <c r="LX111" s="4">
        <f t="shared" si="518"/>
        <v>-2.2000000000000011</v>
      </c>
      <c r="LY111" s="4">
        <f t="shared" si="519"/>
        <v>-3.6000000000000014</v>
      </c>
      <c r="LZ111" s="4">
        <f t="shared" si="520"/>
        <v>-4.8999999999999986</v>
      </c>
      <c r="MA111" s="4">
        <f t="shared" si="521"/>
        <v>-2</v>
      </c>
      <c r="MB111" s="4" t="str">
        <f t="shared" si="522"/>
        <v/>
      </c>
      <c r="MC111" s="4" t="str">
        <f t="shared" si="523"/>
        <v/>
      </c>
      <c r="MD111" s="4" t="str">
        <f t="shared" si="524"/>
        <v/>
      </c>
      <c r="ME111" s="4">
        <f t="shared" si="525"/>
        <v>6.5</v>
      </c>
    </row>
    <row r="112" spans="1:343" ht="26.25" customHeight="1" x14ac:dyDescent="0.2">
      <c r="A112" s="35">
        <v>41353</v>
      </c>
      <c r="B112" s="36" t="s">
        <v>125</v>
      </c>
      <c r="C112" s="36" t="s">
        <v>113</v>
      </c>
      <c r="D112" s="31" t="s">
        <v>111</v>
      </c>
      <c r="E112" s="4">
        <v>59</v>
      </c>
      <c r="F112" s="3">
        <v>19513</v>
      </c>
      <c r="G112" s="4" t="s">
        <v>87</v>
      </c>
      <c r="H112" s="4" t="s">
        <v>112</v>
      </c>
      <c r="I112" s="4">
        <v>1836535</v>
      </c>
      <c r="P112" s="33">
        <v>-0.5</v>
      </c>
      <c r="Q112" s="33">
        <v>-0.52</v>
      </c>
      <c r="R112" s="33" t="s">
        <v>249</v>
      </c>
      <c r="S112" s="67">
        <v>18</v>
      </c>
      <c r="T112" s="136">
        <v>41347</v>
      </c>
      <c r="U112" s="67">
        <v>1</v>
      </c>
      <c r="V112" s="67">
        <v>1</v>
      </c>
      <c r="W112" s="4">
        <v>5</v>
      </c>
      <c r="X112" s="4">
        <v>30</v>
      </c>
      <c r="Y112" s="4">
        <v>12</v>
      </c>
      <c r="Z112" s="4">
        <v>663</v>
      </c>
      <c r="AA112" s="4">
        <v>24.65</v>
      </c>
      <c r="AB112" s="4">
        <v>12.8</v>
      </c>
      <c r="AC112" s="4">
        <v>4.28</v>
      </c>
      <c r="AD112" s="4">
        <v>2.21</v>
      </c>
      <c r="AE112" s="4">
        <v>43.38</v>
      </c>
      <c r="AF112" s="4">
        <v>139</v>
      </c>
      <c r="AG112" s="4">
        <v>43.77</v>
      </c>
      <c r="AH112" s="4">
        <v>49</v>
      </c>
      <c r="AI112" s="4">
        <v>0</v>
      </c>
      <c r="AJ112" s="4" t="b">
        <f t="shared" si="398"/>
        <v>0</v>
      </c>
      <c r="AL112" s="32">
        <v>41555</v>
      </c>
      <c r="AM112" s="60"/>
      <c r="AN112" s="67">
        <v>1.25</v>
      </c>
      <c r="AO112" s="67">
        <v>1.25</v>
      </c>
      <c r="AP112" s="4">
        <v>10</v>
      </c>
      <c r="AQ112" s="4">
        <v>20</v>
      </c>
      <c r="AR112" s="4">
        <v>13</v>
      </c>
      <c r="AS112" s="4">
        <v>562</v>
      </c>
      <c r="AT112" s="4">
        <v>2370</v>
      </c>
      <c r="AU112" s="4">
        <v>24.75</v>
      </c>
      <c r="AV112" s="4">
        <v>4.63</v>
      </c>
      <c r="AW112" s="4">
        <v>41.36</v>
      </c>
      <c r="AX112" s="4">
        <v>107</v>
      </c>
      <c r="AY112" s="4">
        <v>42.13</v>
      </c>
      <c r="AZ112" s="4">
        <v>17</v>
      </c>
      <c r="BA112" s="4">
        <f t="shared" si="399"/>
        <v>1.875</v>
      </c>
      <c r="BB112" s="4">
        <f t="shared" si="397"/>
        <v>2.395</v>
      </c>
      <c r="BC112" s="4">
        <f t="shared" si="400"/>
        <v>-101</v>
      </c>
      <c r="BD112" s="40">
        <v>41752</v>
      </c>
      <c r="BE112" s="58"/>
      <c r="BS112" s="4" t="str">
        <f>IF(ISNUMBER(BF112),BF112+0.5*BG112,"")</f>
        <v/>
      </c>
      <c r="BT112" s="4" t="str">
        <f t="shared" si="401"/>
        <v/>
      </c>
      <c r="BU112" s="4" t="str">
        <f t="shared" si="402"/>
        <v/>
      </c>
      <c r="BV112" s="4">
        <f>IF(AND(ISBLANK(SPH_6),ISBLANK(SPH_12)),0,1)</f>
        <v>1</v>
      </c>
      <c r="BW112" s="4">
        <f t="shared" si="403"/>
        <v>0</v>
      </c>
      <c r="BX112" s="4" t="str">
        <f t="shared" si="404"/>
        <v/>
      </c>
      <c r="BY112" s="4" t="str">
        <f t="shared" si="405"/>
        <v/>
      </c>
      <c r="BZ112" s="4" t="str">
        <f t="shared" si="406"/>
        <v/>
      </c>
      <c r="CA112" s="53">
        <f t="shared" si="407"/>
        <v>202</v>
      </c>
      <c r="CB112" s="55">
        <f t="shared" si="408"/>
        <v>6.7333333333333334</v>
      </c>
      <c r="CC112" s="4" t="str">
        <f t="shared" si="409"/>
        <v/>
      </c>
      <c r="CD112" s="4">
        <f t="shared" si="410"/>
        <v>-1.8299999999999983</v>
      </c>
      <c r="CE112" s="4" t="str">
        <f t="shared" si="411"/>
        <v/>
      </c>
      <c r="CF112" s="4">
        <f t="shared" si="412"/>
        <v>-1.8299999999999983</v>
      </c>
      <c r="CG112" s="4">
        <f t="shared" si="526"/>
        <v>1.5</v>
      </c>
      <c r="CH112" s="4">
        <f t="shared" si="413"/>
        <v>1.875</v>
      </c>
      <c r="CI112" s="104">
        <f t="shared" si="414"/>
        <v>2.395</v>
      </c>
      <c r="CJ112" s="94">
        <f t="shared" si="415"/>
        <v>-101</v>
      </c>
      <c r="CK112" s="4">
        <f t="shared" si="416"/>
        <v>0.10000000000000142</v>
      </c>
      <c r="CL112" s="107">
        <f t="shared" si="417"/>
        <v>-0.52</v>
      </c>
      <c r="CM112" s="107">
        <f t="shared" si="396"/>
        <v>0.17609125905568127</v>
      </c>
      <c r="CN112" s="139">
        <f t="shared" si="418"/>
        <v>1.25</v>
      </c>
      <c r="CO112" s="139">
        <f t="shared" si="419"/>
        <v>0.25</v>
      </c>
      <c r="CP112" s="149">
        <f t="shared" si="420"/>
        <v>20</v>
      </c>
      <c r="CQ112" s="149">
        <f t="shared" si="421"/>
        <v>30</v>
      </c>
      <c r="CR112" s="148" t="str">
        <f t="shared" si="422"/>
        <v/>
      </c>
      <c r="CS112" s="152">
        <f t="shared" si="423"/>
        <v>0</v>
      </c>
      <c r="CT112" s="107" t="str">
        <f t="shared" si="424"/>
        <v/>
      </c>
      <c r="CU112" s="155" t="b">
        <f t="shared" si="425"/>
        <v>0</v>
      </c>
      <c r="CV112">
        <v>7.87</v>
      </c>
      <c r="CW112" s="4">
        <v>7.99</v>
      </c>
      <c r="CX112" s="4">
        <v>109.1</v>
      </c>
      <c r="CY112" s="4">
        <v>0.7</v>
      </c>
      <c r="CZ112" s="4">
        <v>0.13</v>
      </c>
      <c r="DA112" s="4">
        <v>0.42</v>
      </c>
      <c r="DB112" s="4">
        <v>3.18</v>
      </c>
      <c r="DC112" s="4">
        <v>3.86</v>
      </c>
      <c r="DD112" s="4">
        <v>681</v>
      </c>
      <c r="DE112" s="4">
        <v>683</v>
      </c>
      <c r="DF112" s="4">
        <v>668</v>
      </c>
      <c r="DG112" s="4">
        <v>700</v>
      </c>
      <c r="DH112" s="4">
        <v>665</v>
      </c>
      <c r="DI112" s="4">
        <v>669</v>
      </c>
      <c r="DJ112" s="4">
        <v>638</v>
      </c>
      <c r="DK112" s="4">
        <v>-0.98</v>
      </c>
      <c r="DL112" s="4">
        <v>1.82</v>
      </c>
      <c r="DM112" s="4">
        <v>7.95</v>
      </c>
      <c r="DN112" s="4">
        <v>7.91</v>
      </c>
      <c r="DO112" s="4">
        <v>7.9</v>
      </c>
      <c r="DP112" s="4">
        <v>8</v>
      </c>
      <c r="DQ112" s="4">
        <v>8.39</v>
      </c>
      <c r="DR112" s="4">
        <v>8.75</v>
      </c>
      <c r="DS112" s="4">
        <v>0</v>
      </c>
      <c r="DT112" s="4">
        <v>0.2</v>
      </c>
      <c r="DU112" s="4">
        <v>8.11</v>
      </c>
      <c r="DV112" s="4">
        <v>7.3</v>
      </c>
      <c r="DW112" s="4">
        <v>6.82</v>
      </c>
      <c r="DX112" s="4">
        <v>6.83</v>
      </c>
      <c r="DY112" s="4">
        <v>7.18</v>
      </c>
      <c r="DZ112" s="4">
        <v>7.35</v>
      </c>
      <c r="EA112" s="4">
        <v>0</v>
      </c>
      <c r="EB112" s="100">
        <v>0.2</v>
      </c>
      <c r="EC112" s="122">
        <v>42.2</v>
      </c>
      <c r="ED112" s="122">
        <v>42.9</v>
      </c>
      <c r="EE112" s="122">
        <v>42.6</v>
      </c>
      <c r="EF112" s="122">
        <v>109.1</v>
      </c>
      <c r="EG112" s="122">
        <v>0.7</v>
      </c>
      <c r="EH112" s="122">
        <v>-5</v>
      </c>
      <c r="EI112" s="122">
        <v>-5.2</v>
      </c>
      <c r="EJ112" s="122">
        <v>-5.0999999999999996</v>
      </c>
      <c r="EK112" s="122">
        <v>147.69999999999999</v>
      </c>
      <c r="EL112" s="122">
        <v>0.2</v>
      </c>
      <c r="EM112" s="122">
        <v>4.8</v>
      </c>
      <c r="EN112" s="122">
        <v>13.4</v>
      </c>
      <c r="EO112" s="122">
        <v>27.4</v>
      </c>
      <c r="EP112" s="122">
        <v>63.5</v>
      </c>
      <c r="EQ112" s="126">
        <v>11</v>
      </c>
      <c r="ER112" s="94">
        <v>8.02</v>
      </c>
      <c r="ES112" s="4">
        <v>8.18</v>
      </c>
      <c r="ET112" s="4">
        <v>117.4</v>
      </c>
      <c r="EU112" s="4">
        <v>0.8</v>
      </c>
      <c r="EV112" s="4">
        <v>-0.03</v>
      </c>
      <c r="EW112" s="4">
        <v>7.0000000000000007E-2</v>
      </c>
      <c r="EX112" s="4">
        <v>4.83</v>
      </c>
      <c r="EY112" s="4">
        <v>5.36</v>
      </c>
      <c r="EZ112" s="4">
        <v>531</v>
      </c>
      <c r="FA112" s="4">
        <v>530</v>
      </c>
      <c r="FB112" s="4">
        <v>648</v>
      </c>
      <c r="FC112" s="4">
        <v>628</v>
      </c>
      <c r="FD112" s="4">
        <v>623</v>
      </c>
      <c r="FE112" s="4">
        <v>616</v>
      </c>
      <c r="FF112" s="4">
        <v>528</v>
      </c>
      <c r="FG112" s="4">
        <v>-0.55000000000000004</v>
      </c>
      <c r="FH112" s="4">
        <v>-0.35</v>
      </c>
      <c r="FI112" s="4">
        <v>8.1300000000000008</v>
      </c>
      <c r="FJ112" s="4">
        <v>8.0500000000000007</v>
      </c>
      <c r="FK112" s="4">
        <v>7.98</v>
      </c>
      <c r="FL112" s="4">
        <v>8.02</v>
      </c>
      <c r="FM112" s="4">
        <v>8.27</v>
      </c>
      <c r="FN112" s="4">
        <v>8.5399999999999991</v>
      </c>
      <c r="FO112" s="4">
        <v>0</v>
      </c>
      <c r="FP112" s="4">
        <v>1.4</v>
      </c>
      <c r="FQ112" s="4">
        <v>6.51</v>
      </c>
      <c r="FR112" s="4">
        <v>6.4</v>
      </c>
      <c r="FS112" s="4">
        <v>6.48</v>
      </c>
      <c r="FT112" s="4">
        <v>6.72</v>
      </c>
      <c r="FU112" s="4">
        <v>6.94</v>
      </c>
      <c r="FV112" s="4">
        <v>7.32</v>
      </c>
      <c r="FW112" s="4">
        <v>0</v>
      </c>
      <c r="FX112" s="97">
        <v>1.4</v>
      </c>
      <c r="FY112" s="122">
        <v>41.2</v>
      </c>
      <c r="FZ112" s="122">
        <v>42.1</v>
      </c>
      <c r="GA112" s="122">
        <v>41.7</v>
      </c>
      <c r="GB112" s="122">
        <v>117.4</v>
      </c>
      <c r="GC112" s="122">
        <v>0.8</v>
      </c>
      <c r="GD112" s="122">
        <v>-6.1</v>
      </c>
      <c r="GE112" s="122">
        <v>-6.3</v>
      </c>
      <c r="GF112" s="122">
        <v>-6.2</v>
      </c>
      <c r="GG112" s="122">
        <v>23.1</v>
      </c>
      <c r="GH112" s="122">
        <v>0.2</v>
      </c>
      <c r="GI112" s="122">
        <v>3.9</v>
      </c>
      <c r="GJ112" s="122">
        <v>11.4</v>
      </c>
      <c r="GK112" s="122">
        <v>24.6</v>
      </c>
      <c r="GL112" s="122">
        <v>60.2</v>
      </c>
      <c r="GM112" s="131">
        <v>17</v>
      </c>
      <c r="IJ112" s="94">
        <f t="shared" si="426"/>
        <v>8.02</v>
      </c>
      <c r="IK112" s="4">
        <f t="shared" si="427"/>
        <v>8.18</v>
      </c>
      <c r="IL112" s="4">
        <f t="shared" si="428"/>
        <v>117.4</v>
      </c>
      <c r="IM112" s="4">
        <f t="shared" si="429"/>
        <v>0.8</v>
      </c>
      <c r="IN112" s="4">
        <f t="shared" si="430"/>
        <v>-0.03</v>
      </c>
      <c r="IO112" s="4">
        <f t="shared" si="431"/>
        <v>7.0000000000000007E-2</v>
      </c>
      <c r="IP112" s="4">
        <f t="shared" si="432"/>
        <v>4.83</v>
      </c>
      <c r="IQ112" s="4">
        <f t="shared" si="433"/>
        <v>5.36</v>
      </c>
      <c r="IR112" s="4">
        <f t="shared" si="434"/>
        <v>531</v>
      </c>
      <c r="IS112" s="4">
        <f t="shared" si="435"/>
        <v>530</v>
      </c>
      <c r="IT112" s="4">
        <f t="shared" si="436"/>
        <v>648</v>
      </c>
      <c r="IU112" s="4">
        <f t="shared" si="437"/>
        <v>628</v>
      </c>
      <c r="IV112" s="4">
        <f t="shared" si="438"/>
        <v>623</v>
      </c>
      <c r="IW112" s="4">
        <f t="shared" si="439"/>
        <v>616</v>
      </c>
      <c r="IX112" s="4">
        <f t="shared" si="440"/>
        <v>528</v>
      </c>
      <c r="IY112" s="4">
        <f t="shared" si="441"/>
        <v>-0.55000000000000004</v>
      </c>
      <c r="IZ112" s="4">
        <f t="shared" si="442"/>
        <v>-0.35</v>
      </c>
      <c r="JA112" s="4">
        <f t="shared" si="443"/>
        <v>8.1300000000000008</v>
      </c>
      <c r="JB112" s="4">
        <f t="shared" si="444"/>
        <v>8.0500000000000007</v>
      </c>
      <c r="JC112" s="4">
        <f t="shared" si="445"/>
        <v>7.98</v>
      </c>
      <c r="JD112" s="4">
        <f t="shared" si="446"/>
        <v>8.02</v>
      </c>
      <c r="JE112" s="4">
        <f t="shared" si="447"/>
        <v>8.27</v>
      </c>
      <c r="JF112" s="4">
        <f t="shared" si="448"/>
        <v>8.5399999999999991</v>
      </c>
      <c r="JG112" s="4">
        <f t="shared" si="449"/>
        <v>0</v>
      </c>
      <c r="JH112" s="4">
        <f t="shared" si="450"/>
        <v>1.4</v>
      </c>
      <c r="JI112" s="4">
        <f t="shared" si="451"/>
        <v>6.51</v>
      </c>
      <c r="JJ112" s="4">
        <f t="shared" si="452"/>
        <v>6.4</v>
      </c>
      <c r="JK112" s="4">
        <f t="shared" si="453"/>
        <v>6.48</v>
      </c>
      <c r="JL112" s="4">
        <f t="shared" si="454"/>
        <v>6.72</v>
      </c>
      <c r="JM112" s="4">
        <f t="shared" si="455"/>
        <v>6.94</v>
      </c>
      <c r="JN112" s="4">
        <f t="shared" si="456"/>
        <v>7.32</v>
      </c>
      <c r="JO112" s="129">
        <f t="shared" si="457"/>
        <v>0</v>
      </c>
      <c r="JP112" s="122">
        <f t="shared" si="458"/>
        <v>1.4</v>
      </c>
      <c r="JQ112" s="122">
        <f t="shared" si="459"/>
        <v>41.2</v>
      </c>
      <c r="JR112" s="122">
        <f t="shared" si="460"/>
        <v>42.1</v>
      </c>
      <c r="JS112" s="122">
        <f t="shared" si="461"/>
        <v>41.7</v>
      </c>
      <c r="JT112" s="122">
        <f t="shared" si="462"/>
        <v>117.4</v>
      </c>
      <c r="JU112" s="122">
        <f t="shared" si="463"/>
        <v>0.8</v>
      </c>
      <c r="JV112" s="122">
        <f t="shared" si="464"/>
        <v>-6.1</v>
      </c>
      <c r="JW112" s="122">
        <f t="shared" si="465"/>
        <v>-6.3</v>
      </c>
      <c r="JX112" s="122">
        <f t="shared" si="466"/>
        <v>-6.2</v>
      </c>
      <c r="JY112" s="122">
        <f t="shared" si="467"/>
        <v>23.1</v>
      </c>
      <c r="JZ112" s="122">
        <f t="shared" si="468"/>
        <v>0.2</v>
      </c>
      <c r="KA112" s="122">
        <f t="shared" si="469"/>
        <v>3.9</v>
      </c>
      <c r="KB112" s="122">
        <f t="shared" si="470"/>
        <v>11.4</v>
      </c>
      <c r="KC112" s="122">
        <f t="shared" si="471"/>
        <v>24.6</v>
      </c>
      <c r="KD112" s="122">
        <f t="shared" si="472"/>
        <v>60.2</v>
      </c>
      <c r="KE112" s="133">
        <f t="shared" si="473"/>
        <v>17</v>
      </c>
      <c r="KF112" s="94">
        <f t="shared" si="474"/>
        <v>0.14999999999999947</v>
      </c>
      <c r="KG112" s="4">
        <f t="shared" si="475"/>
        <v>0.1899999999999995</v>
      </c>
      <c r="KH112" s="4">
        <f t="shared" si="476"/>
        <v>8.3000000000000114</v>
      </c>
      <c r="KI112" s="4">
        <f t="shared" si="477"/>
        <v>0.10000000000000009</v>
      </c>
      <c r="KJ112" s="4">
        <f t="shared" si="478"/>
        <v>-0.16</v>
      </c>
      <c r="KK112" s="4">
        <f t="shared" si="479"/>
        <v>-0.35</v>
      </c>
      <c r="KL112" s="4">
        <f t="shared" si="480"/>
        <v>1.65</v>
      </c>
      <c r="KM112" s="4">
        <f t="shared" si="481"/>
        <v>1.5000000000000004</v>
      </c>
      <c r="KN112" s="4">
        <f t="shared" si="482"/>
        <v>-150</v>
      </c>
      <c r="KO112" s="4">
        <f t="shared" si="483"/>
        <v>-153</v>
      </c>
      <c r="KP112" s="4">
        <f t="shared" si="484"/>
        <v>-20</v>
      </c>
      <c r="KQ112" s="4">
        <f t="shared" si="485"/>
        <v>-72</v>
      </c>
      <c r="KR112" s="4">
        <f t="shared" si="486"/>
        <v>-42</v>
      </c>
      <c r="KS112" s="4">
        <f t="shared" si="487"/>
        <v>-53</v>
      </c>
      <c r="KT112" s="4">
        <f t="shared" si="488"/>
        <v>-110</v>
      </c>
      <c r="KU112" s="4">
        <f t="shared" si="489"/>
        <v>0.42999999999999994</v>
      </c>
      <c r="KV112" s="4">
        <f t="shared" si="490"/>
        <v>-2.17</v>
      </c>
      <c r="KW112" s="4">
        <f t="shared" si="491"/>
        <v>0.1800000000000006</v>
      </c>
      <c r="KX112" s="4">
        <f t="shared" si="492"/>
        <v>0.14000000000000057</v>
      </c>
      <c r="KY112" s="4">
        <f t="shared" si="493"/>
        <v>8.0000000000000071E-2</v>
      </c>
      <c r="KZ112" s="4">
        <f t="shared" si="494"/>
        <v>1.9999999999999574E-2</v>
      </c>
      <c r="LA112" s="4">
        <f t="shared" si="495"/>
        <v>-0.12000000000000099</v>
      </c>
      <c r="LB112" s="4">
        <f t="shared" si="496"/>
        <v>-0.21000000000000085</v>
      </c>
      <c r="LC112" s="4">
        <f t="shared" si="497"/>
        <v>0</v>
      </c>
      <c r="LD112" s="4">
        <f t="shared" si="498"/>
        <v>1.2</v>
      </c>
      <c r="LE112" s="4">
        <f t="shared" si="499"/>
        <v>-1.5999999999999996</v>
      </c>
      <c r="LF112" s="4">
        <f t="shared" si="500"/>
        <v>-0.89999999999999947</v>
      </c>
      <c r="LG112" s="4">
        <f t="shared" si="501"/>
        <v>-0.33999999999999986</v>
      </c>
      <c r="LH112" s="4">
        <f t="shared" si="502"/>
        <v>-0.11000000000000032</v>
      </c>
      <c r="LI112" s="4">
        <f t="shared" si="503"/>
        <v>-0.23999999999999932</v>
      </c>
      <c r="LJ112" s="4">
        <f t="shared" si="504"/>
        <v>-2.9999999999999361E-2</v>
      </c>
      <c r="LK112" s="4">
        <f t="shared" si="505"/>
        <v>0</v>
      </c>
      <c r="LL112" s="4">
        <f t="shared" si="506"/>
        <v>1.2</v>
      </c>
      <c r="LM112" s="4">
        <f t="shared" si="507"/>
        <v>-1</v>
      </c>
      <c r="LN112" s="4">
        <f t="shared" si="508"/>
        <v>-0.79999999999999716</v>
      </c>
      <c r="LO112" s="4">
        <f t="shared" si="509"/>
        <v>-0.89999999999999858</v>
      </c>
      <c r="LP112" s="4">
        <f t="shared" si="510"/>
        <v>8.3000000000000114</v>
      </c>
      <c r="LQ112" s="4">
        <f t="shared" si="511"/>
        <v>0.10000000000000009</v>
      </c>
      <c r="LR112" s="4">
        <f t="shared" si="512"/>
        <v>-1.0999999999999996</v>
      </c>
      <c r="LS112" s="4">
        <f t="shared" si="513"/>
        <v>-1.0999999999999996</v>
      </c>
      <c r="LT112" s="4">
        <f t="shared" si="514"/>
        <v>-1.1000000000000005</v>
      </c>
      <c r="LU112" s="4">
        <f t="shared" si="515"/>
        <v>-124.6</v>
      </c>
      <c r="LV112" s="4">
        <f t="shared" si="516"/>
        <v>0</v>
      </c>
      <c r="LW112" s="4">
        <f t="shared" si="517"/>
        <v>-0.89999999999999991</v>
      </c>
      <c r="LX112" s="4">
        <f t="shared" si="518"/>
        <v>-2</v>
      </c>
      <c r="LY112" s="4">
        <f t="shared" si="519"/>
        <v>-2.7999999999999972</v>
      </c>
      <c r="LZ112" s="4">
        <f t="shared" si="520"/>
        <v>-3.2999999999999972</v>
      </c>
      <c r="MA112" s="4">
        <f t="shared" si="521"/>
        <v>6</v>
      </c>
      <c r="MB112" s="4" t="str">
        <f t="shared" si="522"/>
        <v/>
      </c>
      <c r="MC112" s="4" t="str">
        <f t="shared" si="523"/>
        <v/>
      </c>
      <c r="MD112" s="4" t="str">
        <f t="shared" si="524"/>
        <v/>
      </c>
      <c r="ME112" s="4">
        <f t="shared" si="525"/>
        <v>6.3</v>
      </c>
    </row>
    <row r="113" spans="1:343" ht="26.25" customHeight="1" x14ac:dyDescent="0.2">
      <c r="A113" s="35">
        <v>41423</v>
      </c>
      <c r="B113" s="36" t="s">
        <v>162</v>
      </c>
      <c r="C113" s="36" t="s">
        <v>57</v>
      </c>
      <c r="D113" s="31" t="s">
        <v>110</v>
      </c>
      <c r="E113" s="4">
        <v>65</v>
      </c>
      <c r="F113" s="3">
        <v>17568</v>
      </c>
      <c r="G113" s="4" t="s">
        <v>87</v>
      </c>
      <c r="H113" s="4" t="s">
        <v>108</v>
      </c>
      <c r="I113" s="4">
        <v>1836549</v>
      </c>
      <c r="J113" s="4" t="s">
        <v>310</v>
      </c>
      <c r="K113" s="76"/>
      <c r="L113" s="76"/>
      <c r="M113" s="76"/>
      <c r="N113" s="76"/>
      <c r="O113" s="76"/>
      <c r="P113" s="4">
        <v>-0.5</v>
      </c>
      <c r="Q113" s="4">
        <v>-0.59</v>
      </c>
      <c r="R113" s="51" t="s">
        <v>251</v>
      </c>
      <c r="S113" s="67">
        <v>12</v>
      </c>
      <c r="T113" s="136">
        <v>41361</v>
      </c>
      <c r="U113" s="67">
        <v>-7.25</v>
      </c>
      <c r="V113" s="67">
        <v>3.25</v>
      </c>
      <c r="W113" s="4">
        <v>89</v>
      </c>
      <c r="X113" s="4">
        <v>50</v>
      </c>
      <c r="Y113" s="4">
        <v>15</v>
      </c>
      <c r="Z113" s="4">
        <v>619</v>
      </c>
      <c r="AA113" s="4">
        <v>26.17</v>
      </c>
      <c r="AD113" s="4">
        <v>2.4</v>
      </c>
      <c r="AE113" s="4">
        <v>46.17</v>
      </c>
      <c r="AF113" s="4">
        <v>179</v>
      </c>
      <c r="AG113" s="4">
        <v>46.17</v>
      </c>
      <c r="AH113" s="4">
        <v>89</v>
      </c>
      <c r="AI113" s="4">
        <v>1</v>
      </c>
      <c r="AJ113" s="4" t="b">
        <f t="shared" si="398"/>
        <v>1</v>
      </c>
      <c r="AK113" s="54" t="s">
        <v>501</v>
      </c>
      <c r="AL113" s="42">
        <v>41562</v>
      </c>
      <c r="AM113" s="62"/>
      <c r="AN113" s="67">
        <v>-1</v>
      </c>
      <c r="AO113" s="67">
        <v>1.25</v>
      </c>
      <c r="AP113" s="4">
        <v>60</v>
      </c>
      <c r="AQ113" s="4">
        <v>30</v>
      </c>
      <c r="AR113" s="4">
        <v>17</v>
      </c>
      <c r="AS113" s="4">
        <v>547</v>
      </c>
      <c r="AT113" s="4">
        <v>2427</v>
      </c>
      <c r="AU113" s="4">
        <v>25.97</v>
      </c>
      <c r="AV113" s="4">
        <v>2.73</v>
      </c>
      <c r="AW113" s="4">
        <v>42.78</v>
      </c>
      <c r="AX113" s="4">
        <v>3</v>
      </c>
      <c r="AY113" s="4">
        <v>45.42</v>
      </c>
      <c r="AZ113" s="4">
        <v>93</v>
      </c>
      <c r="BA113" s="4">
        <f t="shared" si="399"/>
        <v>-0.375</v>
      </c>
      <c r="BB113" s="4">
        <f t="shared" si="397"/>
        <v>0.21499999999999997</v>
      </c>
      <c r="BC113" s="4">
        <f t="shared" si="400"/>
        <v>-72</v>
      </c>
      <c r="BD113" s="150">
        <v>41745</v>
      </c>
      <c r="BT113" s="4" t="str">
        <f t="shared" si="401"/>
        <v/>
      </c>
      <c r="BU113" s="4" t="str">
        <f t="shared" si="402"/>
        <v/>
      </c>
      <c r="BV113" s="4">
        <f>IF(AND(ISBLANK(SPH_6),ISBLANK(SPH_12)),0,1)</f>
        <v>1</v>
      </c>
      <c r="BW113" s="4">
        <f t="shared" si="403"/>
        <v>0</v>
      </c>
      <c r="BX113" s="4" t="str">
        <f t="shared" si="404"/>
        <v/>
      </c>
      <c r="BY113" s="4" t="str">
        <f t="shared" si="405"/>
        <v/>
      </c>
      <c r="BZ113" s="4" t="str">
        <f t="shared" si="406"/>
        <v/>
      </c>
      <c r="CA113" s="53">
        <f t="shared" si="407"/>
        <v>139</v>
      </c>
      <c r="CB113" s="55">
        <f t="shared" si="408"/>
        <v>4.6333333333333337</v>
      </c>
      <c r="CC113" s="4" t="str">
        <f t="shared" si="409"/>
        <v/>
      </c>
      <c r="CD113" s="4">
        <f t="shared" si="410"/>
        <v>-2.0700000000000003</v>
      </c>
      <c r="CE113" s="4" t="str">
        <f t="shared" si="411"/>
        <v/>
      </c>
      <c r="CF113" s="4">
        <f t="shared" si="412"/>
        <v>-2.0700000000000003</v>
      </c>
      <c r="CG113" s="4">
        <f t="shared" si="526"/>
        <v>-5.625</v>
      </c>
      <c r="CH113" s="4">
        <f t="shared" si="413"/>
        <v>-0.375</v>
      </c>
      <c r="CI113" s="104">
        <f t="shared" si="414"/>
        <v>0.21499999999999997</v>
      </c>
      <c r="CJ113" s="94">
        <f t="shared" si="415"/>
        <v>-72</v>
      </c>
      <c r="CK113" s="4">
        <f t="shared" si="416"/>
        <v>-0.20000000000000284</v>
      </c>
      <c r="CL113" s="107">
        <f t="shared" si="417"/>
        <v>-0.59</v>
      </c>
      <c r="CM113" s="107">
        <f t="shared" si="396"/>
        <v>0.22184874961635634</v>
      </c>
      <c r="CN113" s="139">
        <f t="shared" si="418"/>
        <v>1.25</v>
      </c>
      <c r="CO113" s="139">
        <f t="shared" si="419"/>
        <v>-2</v>
      </c>
      <c r="CP113" s="149">
        <f t="shared" si="420"/>
        <v>30</v>
      </c>
      <c r="CQ113" s="149">
        <f t="shared" si="421"/>
        <v>50</v>
      </c>
      <c r="CR113" s="148" t="str">
        <f t="shared" si="422"/>
        <v/>
      </c>
      <c r="CS113" s="152" t="str">
        <f t="shared" si="423"/>
        <v/>
      </c>
      <c r="CT113" s="107" t="str">
        <f t="shared" si="424"/>
        <v/>
      </c>
      <c r="CU113" s="155" t="str">
        <f t="shared" si="425"/>
        <v/>
      </c>
      <c r="ER113" s="94">
        <v>7.88</v>
      </c>
      <c r="ES113" s="4">
        <v>7.49</v>
      </c>
      <c r="ET113" s="4">
        <v>177.5</v>
      </c>
      <c r="EU113" s="4">
        <v>-2.2000000000000002</v>
      </c>
      <c r="EV113" s="4">
        <v>0.56999999999999995</v>
      </c>
      <c r="EW113" s="4">
        <v>0.6</v>
      </c>
      <c r="EX113" s="4">
        <v>4.7300000000000004</v>
      </c>
      <c r="EY113" s="4">
        <v>5.24</v>
      </c>
      <c r="EZ113" s="4">
        <v>517</v>
      </c>
      <c r="FA113" s="4">
        <v>518</v>
      </c>
      <c r="FB113" s="4">
        <v>662</v>
      </c>
      <c r="FC113" s="4">
        <v>626</v>
      </c>
      <c r="FD113" s="4">
        <v>634</v>
      </c>
      <c r="FE113" s="4">
        <v>599</v>
      </c>
      <c r="FF113" s="4">
        <v>515</v>
      </c>
      <c r="FG113" s="4">
        <v>0.51</v>
      </c>
      <c r="FH113" s="4">
        <v>-0.19</v>
      </c>
      <c r="FI113" s="4">
        <v>7.69</v>
      </c>
      <c r="FJ113" s="4">
        <v>7.66</v>
      </c>
      <c r="FK113" s="4">
        <v>7.7</v>
      </c>
      <c r="FL113" s="4">
        <v>7.92</v>
      </c>
      <c r="FM113" s="4">
        <v>8.2899999999999991</v>
      </c>
      <c r="FN113" s="4">
        <v>8.5</v>
      </c>
      <c r="FO113" s="4">
        <v>0</v>
      </c>
      <c r="FP113" s="4">
        <v>1.4</v>
      </c>
      <c r="FQ113" s="4">
        <v>6.16</v>
      </c>
      <c r="FR113" s="4">
        <v>6.02</v>
      </c>
      <c r="FS113" s="4">
        <v>6.12</v>
      </c>
      <c r="FT113" s="4">
        <v>6.5</v>
      </c>
      <c r="FU113" s="4">
        <v>6.68</v>
      </c>
      <c r="FV113" s="4">
        <v>0</v>
      </c>
      <c r="FW113" s="4">
        <v>0</v>
      </c>
      <c r="FX113" s="97">
        <v>1.4</v>
      </c>
      <c r="IJ113" s="94">
        <f t="shared" si="426"/>
        <v>7.88</v>
      </c>
      <c r="IK113" s="4">
        <f t="shared" si="427"/>
        <v>7.49</v>
      </c>
      <c r="IL113" s="4">
        <f t="shared" si="428"/>
        <v>177.5</v>
      </c>
      <c r="IM113" s="4">
        <f t="shared" si="429"/>
        <v>-2.2000000000000002</v>
      </c>
      <c r="IN113" s="4">
        <f t="shared" si="430"/>
        <v>0.56999999999999995</v>
      </c>
      <c r="IO113" s="4">
        <f t="shared" si="431"/>
        <v>0.6</v>
      </c>
      <c r="IP113" s="4">
        <f t="shared" si="432"/>
        <v>4.7300000000000004</v>
      </c>
      <c r="IQ113" s="4">
        <f t="shared" si="433"/>
        <v>5.24</v>
      </c>
      <c r="IR113" s="4">
        <f t="shared" si="434"/>
        <v>517</v>
      </c>
      <c r="IS113" s="4">
        <f t="shared" si="435"/>
        <v>518</v>
      </c>
      <c r="IT113" s="4">
        <f t="shared" si="436"/>
        <v>662</v>
      </c>
      <c r="IU113" s="4">
        <f t="shared" si="437"/>
        <v>626</v>
      </c>
      <c r="IV113" s="4">
        <f t="shared" si="438"/>
        <v>634</v>
      </c>
      <c r="IW113" s="4">
        <f t="shared" si="439"/>
        <v>599</v>
      </c>
      <c r="IX113" s="4">
        <f t="shared" si="440"/>
        <v>515</v>
      </c>
      <c r="IY113" s="4">
        <f t="shared" si="441"/>
        <v>0.51</v>
      </c>
      <c r="IZ113" s="4">
        <f t="shared" si="442"/>
        <v>-0.19</v>
      </c>
      <c r="JA113" s="4">
        <f t="shared" si="443"/>
        <v>7.69</v>
      </c>
      <c r="JB113" s="4">
        <f t="shared" si="444"/>
        <v>7.66</v>
      </c>
      <c r="JC113" s="4">
        <f t="shared" si="445"/>
        <v>7.7</v>
      </c>
      <c r="JD113" s="4">
        <f t="shared" si="446"/>
        <v>7.92</v>
      </c>
      <c r="JE113" s="4">
        <f t="shared" si="447"/>
        <v>8.2899999999999991</v>
      </c>
      <c r="JF113" s="4">
        <f t="shared" si="448"/>
        <v>8.5</v>
      </c>
      <c r="JG113" s="4">
        <f t="shared" si="449"/>
        <v>0</v>
      </c>
      <c r="JH113" s="4">
        <f t="shared" si="450"/>
        <v>1.4</v>
      </c>
      <c r="JI113" s="4">
        <f t="shared" si="451"/>
        <v>6.16</v>
      </c>
      <c r="JJ113" s="4">
        <f t="shared" si="452"/>
        <v>6.02</v>
      </c>
      <c r="JK113" s="4">
        <f t="shared" si="453"/>
        <v>6.12</v>
      </c>
      <c r="JL113" s="4">
        <f t="shared" si="454"/>
        <v>6.5</v>
      </c>
      <c r="JM113" s="4">
        <f t="shared" si="455"/>
        <v>6.68</v>
      </c>
      <c r="JN113" s="4">
        <f t="shared" si="456"/>
        <v>0</v>
      </c>
      <c r="JO113" s="129">
        <f t="shared" si="457"/>
        <v>0</v>
      </c>
      <c r="JP113" s="122">
        <f t="shared" si="458"/>
        <v>1.4</v>
      </c>
      <c r="JQ113" s="122" t="str">
        <f t="shared" si="459"/>
        <v/>
      </c>
      <c r="JR113" s="122" t="str">
        <f t="shared" si="460"/>
        <v/>
      </c>
      <c r="JS113" s="122" t="str">
        <f t="shared" si="461"/>
        <v/>
      </c>
      <c r="JT113" s="122" t="str">
        <f t="shared" si="462"/>
        <v/>
      </c>
      <c r="JU113" s="122" t="str">
        <f t="shared" si="463"/>
        <v/>
      </c>
      <c r="JV113" s="122" t="str">
        <f t="shared" si="464"/>
        <v/>
      </c>
      <c r="JW113" s="122" t="str">
        <f t="shared" si="465"/>
        <v/>
      </c>
      <c r="JX113" s="122" t="str">
        <f t="shared" si="466"/>
        <v/>
      </c>
      <c r="JY113" s="122" t="str">
        <f t="shared" si="467"/>
        <v/>
      </c>
      <c r="JZ113" s="122" t="str">
        <f t="shared" si="468"/>
        <v/>
      </c>
      <c r="KA113" s="122" t="str">
        <f t="shared" si="469"/>
        <v/>
      </c>
      <c r="KB113" s="122" t="str">
        <f t="shared" si="470"/>
        <v/>
      </c>
      <c r="KC113" s="122" t="str">
        <f t="shared" si="471"/>
        <v/>
      </c>
      <c r="KD113" s="122" t="str">
        <f t="shared" si="472"/>
        <v/>
      </c>
      <c r="KE113" s="133" t="str">
        <f t="shared" si="473"/>
        <v/>
      </c>
      <c r="KF113" s="94" t="str">
        <f t="shared" si="474"/>
        <v/>
      </c>
      <c r="KG113" s="4" t="str">
        <f t="shared" si="475"/>
        <v/>
      </c>
      <c r="KH113" s="4" t="str">
        <f t="shared" si="476"/>
        <v/>
      </c>
      <c r="KI113" s="4" t="str">
        <f t="shared" si="477"/>
        <v/>
      </c>
      <c r="KJ113" s="4" t="str">
        <f t="shared" si="478"/>
        <v/>
      </c>
      <c r="KK113" s="4" t="str">
        <f t="shared" si="479"/>
        <v/>
      </c>
      <c r="KL113" s="4" t="str">
        <f t="shared" si="480"/>
        <v/>
      </c>
      <c r="KM113" s="4" t="str">
        <f t="shared" si="481"/>
        <v/>
      </c>
      <c r="KN113" s="4" t="str">
        <f t="shared" si="482"/>
        <v/>
      </c>
      <c r="KO113" s="4" t="str">
        <f t="shared" si="483"/>
        <v/>
      </c>
      <c r="KP113" s="4" t="str">
        <f t="shared" si="484"/>
        <v/>
      </c>
      <c r="KQ113" s="4" t="str">
        <f t="shared" si="485"/>
        <v/>
      </c>
      <c r="KR113" s="4" t="str">
        <f t="shared" si="486"/>
        <v/>
      </c>
      <c r="KS113" s="4" t="str">
        <f t="shared" si="487"/>
        <v/>
      </c>
      <c r="KT113" s="4" t="str">
        <f t="shared" si="488"/>
        <v/>
      </c>
      <c r="KU113" s="4" t="str">
        <f t="shared" si="489"/>
        <v/>
      </c>
      <c r="KV113" s="4" t="str">
        <f t="shared" si="490"/>
        <v/>
      </c>
      <c r="KW113" s="4" t="str">
        <f t="shared" si="491"/>
        <v/>
      </c>
      <c r="KX113" s="4" t="str">
        <f t="shared" si="492"/>
        <v/>
      </c>
      <c r="KY113" s="4" t="str">
        <f t="shared" si="493"/>
        <v/>
      </c>
      <c r="KZ113" s="4" t="str">
        <f t="shared" si="494"/>
        <v/>
      </c>
      <c r="LA113" s="4" t="str">
        <f t="shared" si="495"/>
        <v/>
      </c>
      <c r="LB113" s="4" t="str">
        <f t="shared" si="496"/>
        <v/>
      </c>
      <c r="LC113" s="4" t="str">
        <f t="shared" si="497"/>
        <v/>
      </c>
      <c r="LD113" s="4" t="str">
        <f t="shared" si="498"/>
        <v/>
      </c>
      <c r="LE113" s="4" t="str">
        <f t="shared" si="499"/>
        <v/>
      </c>
      <c r="LF113" s="4" t="str">
        <f t="shared" si="500"/>
        <v/>
      </c>
      <c r="LG113" s="4" t="str">
        <f t="shared" si="501"/>
        <v/>
      </c>
      <c r="LH113" s="4" t="str">
        <f t="shared" si="502"/>
        <v/>
      </c>
      <c r="LI113" s="4" t="str">
        <f t="shared" si="503"/>
        <v/>
      </c>
      <c r="LJ113" s="4" t="str">
        <f t="shared" si="504"/>
        <v/>
      </c>
      <c r="LK113" s="4" t="str">
        <f t="shared" si="505"/>
        <v/>
      </c>
      <c r="LL113" s="4" t="str">
        <f t="shared" si="506"/>
        <v/>
      </c>
      <c r="LM113" s="4" t="str">
        <f t="shared" si="507"/>
        <v/>
      </c>
      <c r="LN113" s="4" t="str">
        <f t="shared" si="508"/>
        <v/>
      </c>
      <c r="LO113" s="4" t="str">
        <f t="shared" si="509"/>
        <v/>
      </c>
      <c r="LP113" s="4" t="str">
        <f t="shared" si="510"/>
        <v/>
      </c>
      <c r="LQ113" s="4" t="str">
        <f t="shared" si="511"/>
        <v/>
      </c>
      <c r="LR113" s="4" t="str">
        <f t="shared" si="512"/>
        <v/>
      </c>
      <c r="LS113" s="4" t="str">
        <f t="shared" si="513"/>
        <v/>
      </c>
      <c r="LT113" s="4" t="str">
        <f t="shared" si="514"/>
        <v/>
      </c>
      <c r="LU113" s="4" t="str">
        <f t="shared" si="515"/>
        <v/>
      </c>
      <c r="LV113" s="4" t="str">
        <f t="shared" si="516"/>
        <v/>
      </c>
      <c r="LW113" s="4" t="str">
        <f t="shared" si="517"/>
        <v/>
      </c>
      <c r="LX113" s="4" t="str">
        <f t="shared" si="518"/>
        <v/>
      </c>
      <c r="LY113" s="4" t="str">
        <f t="shared" si="519"/>
        <v/>
      </c>
      <c r="LZ113" s="4" t="str">
        <f t="shared" si="520"/>
        <v/>
      </c>
      <c r="MA113" s="4" t="str">
        <f t="shared" si="521"/>
        <v/>
      </c>
      <c r="MB113" s="4" t="str">
        <f t="shared" si="522"/>
        <v/>
      </c>
      <c r="MC113" s="4" t="str">
        <f t="shared" si="523"/>
        <v/>
      </c>
      <c r="MD113" s="4" t="str">
        <f t="shared" si="524"/>
        <v/>
      </c>
      <c r="ME113" s="4">
        <f t="shared" si="525"/>
        <v>0</v>
      </c>
    </row>
    <row r="114" spans="1:343" ht="26.25" customHeight="1" x14ac:dyDescent="0.2">
      <c r="A114" s="35">
        <v>41409</v>
      </c>
      <c r="B114" s="36" t="s">
        <v>152</v>
      </c>
      <c r="C114" s="36" t="s">
        <v>54</v>
      </c>
      <c r="D114" s="31" t="s">
        <v>111</v>
      </c>
      <c r="E114" s="4">
        <v>59</v>
      </c>
      <c r="F114" s="3">
        <v>19742</v>
      </c>
      <c r="G114" s="4" t="s">
        <v>87</v>
      </c>
      <c r="H114" s="4" t="s">
        <v>112</v>
      </c>
      <c r="I114" s="4">
        <v>1836590</v>
      </c>
      <c r="P114" s="33">
        <v>-0.5</v>
      </c>
      <c r="Q114" s="33">
        <v>-0.55000000000000004</v>
      </c>
      <c r="R114" s="33" t="s">
        <v>249</v>
      </c>
      <c r="S114" s="67">
        <v>21.25</v>
      </c>
      <c r="T114" s="136">
        <v>41396</v>
      </c>
      <c r="U114" s="67">
        <v>1.5</v>
      </c>
      <c r="V114" s="67">
        <v>1</v>
      </c>
      <c r="W114" s="4">
        <v>30</v>
      </c>
      <c r="X114" s="4">
        <v>60</v>
      </c>
      <c r="Y114" s="4">
        <v>13</v>
      </c>
      <c r="Z114" s="4">
        <v>762</v>
      </c>
      <c r="AA114" s="4">
        <v>23.97</v>
      </c>
      <c r="AD114" s="4">
        <v>3.42</v>
      </c>
      <c r="AE114" s="4">
        <v>42.4</v>
      </c>
      <c r="AF114" s="4">
        <v>105</v>
      </c>
      <c r="AG114" s="4">
        <v>43.16</v>
      </c>
      <c r="AH114" s="4">
        <v>15</v>
      </c>
      <c r="AI114" s="4">
        <v>2</v>
      </c>
      <c r="AJ114" s="4" t="b">
        <f t="shared" si="398"/>
        <v>1</v>
      </c>
      <c r="AK114" s="54"/>
      <c r="AL114" s="37">
        <v>41589</v>
      </c>
      <c r="AM114" s="59"/>
      <c r="AN114" s="67">
        <v>0.25</v>
      </c>
      <c r="AO114" s="67">
        <v>0.5</v>
      </c>
      <c r="AP114" s="4">
        <v>180</v>
      </c>
      <c r="AQ114" s="4">
        <v>80</v>
      </c>
      <c r="AR114" s="4">
        <v>12</v>
      </c>
      <c r="AS114" s="4">
        <v>591</v>
      </c>
      <c r="AT114" s="4">
        <v>1486</v>
      </c>
      <c r="AU114" s="4">
        <v>24.05</v>
      </c>
      <c r="AV114" s="4">
        <v>4.5199999999999996</v>
      </c>
      <c r="AW114" s="4">
        <v>42.56</v>
      </c>
      <c r="AX114" s="4">
        <v>50</v>
      </c>
      <c r="AY114" s="4">
        <v>43.16</v>
      </c>
      <c r="AZ114" s="4">
        <v>140</v>
      </c>
      <c r="BA114" s="4">
        <f t="shared" si="399"/>
        <v>0.5</v>
      </c>
      <c r="BB114" s="4">
        <f t="shared" si="397"/>
        <v>1.05</v>
      </c>
      <c r="BC114" s="4">
        <f t="shared" si="400"/>
        <v>-171</v>
      </c>
      <c r="BD114" s="150">
        <v>41771</v>
      </c>
      <c r="BT114" s="4" t="str">
        <f t="shared" si="401"/>
        <v/>
      </c>
      <c r="BU114" s="4" t="str">
        <f t="shared" si="402"/>
        <v/>
      </c>
      <c r="BV114" s="4">
        <f>IF(AND(ISBLANK(SPH_6),ISBLANK(SPH_12)),0,1)</f>
        <v>1</v>
      </c>
      <c r="BW114" s="4">
        <f t="shared" si="403"/>
        <v>0</v>
      </c>
      <c r="BX114" s="4" t="str">
        <f t="shared" si="404"/>
        <v/>
      </c>
      <c r="BY114" s="4" t="str">
        <f t="shared" si="405"/>
        <v/>
      </c>
      <c r="BZ114" s="4" t="str">
        <f t="shared" si="406"/>
        <v/>
      </c>
      <c r="CA114" s="53">
        <f t="shared" si="407"/>
        <v>180</v>
      </c>
      <c r="CB114" s="55">
        <f t="shared" si="408"/>
        <v>6</v>
      </c>
      <c r="CC114" s="4" t="str">
        <f t="shared" si="409"/>
        <v/>
      </c>
      <c r="CD114" s="4">
        <f t="shared" si="410"/>
        <v>7.9999999999998295E-2</v>
      </c>
      <c r="CE114" s="4" t="str">
        <f t="shared" si="411"/>
        <v/>
      </c>
      <c r="CF114" s="4">
        <f t="shared" si="412"/>
        <v>7.9999999999998295E-2</v>
      </c>
      <c r="CG114" s="4">
        <f t="shared" si="526"/>
        <v>2</v>
      </c>
      <c r="CH114" s="4">
        <f t="shared" si="413"/>
        <v>0.5</v>
      </c>
      <c r="CI114" s="104">
        <f t="shared" si="414"/>
        <v>1.05</v>
      </c>
      <c r="CJ114" s="94">
        <f t="shared" si="415"/>
        <v>-171</v>
      </c>
      <c r="CK114" s="4">
        <f t="shared" si="416"/>
        <v>8.0000000000001847E-2</v>
      </c>
      <c r="CL114" s="107">
        <f t="shared" si="417"/>
        <v>-0.55000000000000004</v>
      </c>
      <c r="CM114" s="107">
        <f>IF(AND(OR(ISNUMBER(BCVA_12),ISNUMBER(BCVA_6)),ISNUMBER(BCVA_PREOP)),-LOG(20/BCVA_PREOP)-(-LOG(20/IF(ISNUMBER(BCVA_12),BCVA_12,BCVA_6))),"")</f>
        <v>-0.12493873660829996</v>
      </c>
      <c r="CN114" s="139">
        <f t="shared" si="418"/>
        <v>0.5</v>
      </c>
      <c r="CO114" s="139">
        <f t="shared" si="419"/>
        <v>-0.5</v>
      </c>
      <c r="CP114" s="149">
        <f t="shared" si="420"/>
        <v>80</v>
      </c>
      <c r="CQ114" s="149">
        <f t="shared" si="421"/>
        <v>60</v>
      </c>
      <c r="CR114" s="148" t="str">
        <f t="shared" si="422"/>
        <v/>
      </c>
      <c r="CS114" s="152">
        <f t="shared" si="423"/>
        <v>0</v>
      </c>
      <c r="CT114" s="107" t="str">
        <f t="shared" si="424"/>
        <v/>
      </c>
      <c r="CU114" s="155" t="b">
        <f t="shared" si="425"/>
        <v>0</v>
      </c>
      <c r="CV114">
        <v>7.96</v>
      </c>
      <c r="CW114" s="4">
        <v>7.91</v>
      </c>
      <c r="CX114" s="4">
        <v>149.4</v>
      </c>
      <c r="CY114" s="4">
        <v>-0.3</v>
      </c>
      <c r="CZ114" s="4">
        <v>0.42</v>
      </c>
      <c r="DA114" s="4">
        <v>0.4</v>
      </c>
      <c r="DB114" s="4">
        <v>2.48</v>
      </c>
      <c r="DC114" s="4">
        <v>3.23</v>
      </c>
      <c r="DD114" s="4">
        <v>740</v>
      </c>
      <c r="DE114" s="4">
        <v>741</v>
      </c>
      <c r="DF114" s="4">
        <v>826</v>
      </c>
      <c r="DG114" s="4">
        <v>772</v>
      </c>
      <c r="DH114" s="4">
        <v>785</v>
      </c>
      <c r="DI114" s="4">
        <v>770</v>
      </c>
      <c r="DJ114" s="4">
        <v>730</v>
      </c>
      <c r="DK114" s="4">
        <v>1.27</v>
      </c>
      <c r="DL114" s="4">
        <v>0.25</v>
      </c>
      <c r="DM114" s="4">
        <v>7.98</v>
      </c>
      <c r="DN114" s="4">
        <v>7.89</v>
      </c>
      <c r="DO114" s="4">
        <v>7.91</v>
      </c>
      <c r="DP114" s="4">
        <v>8.02</v>
      </c>
      <c r="DQ114" s="4">
        <v>8.19</v>
      </c>
      <c r="DR114" s="4">
        <v>8.32</v>
      </c>
      <c r="DS114" s="4">
        <v>0</v>
      </c>
      <c r="DT114" s="4">
        <v>0.8</v>
      </c>
      <c r="DU114" s="4">
        <v>7</v>
      </c>
      <c r="DV114" s="4">
        <v>6.61</v>
      </c>
      <c r="DW114" s="4">
        <v>6.52</v>
      </c>
      <c r="DX114" s="4">
        <v>6.83</v>
      </c>
      <c r="DY114" s="4">
        <v>6.98</v>
      </c>
      <c r="DZ114" s="4">
        <v>0</v>
      </c>
      <c r="EA114" s="4">
        <v>0</v>
      </c>
      <c r="EB114" s="100">
        <v>0.8</v>
      </c>
      <c r="EC114" s="122">
        <v>42.4</v>
      </c>
      <c r="ED114" s="122">
        <v>42.7</v>
      </c>
      <c r="EE114" s="122">
        <v>42.5</v>
      </c>
      <c r="EF114" s="122">
        <v>149.4</v>
      </c>
      <c r="EG114" s="122">
        <v>0.3</v>
      </c>
      <c r="EH114" s="122">
        <v>-5.6</v>
      </c>
      <c r="EI114" s="122">
        <v>-6.1</v>
      </c>
      <c r="EJ114" s="122">
        <v>-5.8</v>
      </c>
      <c r="EK114" s="122">
        <v>174.6</v>
      </c>
      <c r="EL114" s="122">
        <v>0.4</v>
      </c>
      <c r="EM114" s="122">
        <v>5.3</v>
      </c>
      <c r="EN114" s="122">
        <v>15.1</v>
      </c>
      <c r="EO114" s="122">
        <v>31.7</v>
      </c>
      <c r="EP114" s="122">
        <v>73.900000000000006</v>
      </c>
      <c r="EQ114" s="126">
        <v>8</v>
      </c>
      <c r="ER114" s="94">
        <v>8.0500000000000007</v>
      </c>
      <c r="ES114" s="4">
        <v>8.1300000000000008</v>
      </c>
      <c r="ET114" s="4">
        <v>57.1</v>
      </c>
      <c r="EU114" s="4">
        <v>0.4</v>
      </c>
      <c r="EV114" s="4">
        <v>0.52</v>
      </c>
      <c r="EW114" s="4">
        <v>0.47</v>
      </c>
      <c r="EX114" s="4">
        <v>5.05</v>
      </c>
      <c r="EY114" s="4">
        <v>5.64</v>
      </c>
      <c r="EZ114" s="4">
        <v>583</v>
      </c>
      <c r="FA114" s="4">
        <v>583</v>
      </c>
      <c r="FB114" s="4">
        <v>739</v>
      </c>
      <c r="FC114" s="4">
        <v>672</v>
      </c>
      <c r="FD114" s="4">
        <v>711</v>
      </c>
      <c r="FE114" s="4">
        <v>667</v>
      </c>
      <c r="FF114" s="4">
        <v>583</v>
      </c>
      <c r="FG114" s="4">
        <v>0</v>
      </c>
      <c r="FH114" s="4">
        <v>-0.13</v>
      </c>
      <c r="FI114" s="4">
        <v>8.2100000000000009</v>
      </c>
      <c r="FJ114" s="4">
        <v>7.89</v>
      </c>
      <c r="FK114" s="4">
        <v>7.87</v>
      </c>
      <c r="FL114" s="4">
        <v>8.1300000000000008</v>
      </c>
      <c r="FM114" s="4">
        <v>8.4</v>
      </c>
      <c r="FN114" s="4">
        <v>8.5500000000000007</v>
      </c>
      <c r="FO114" s="4">
        <v>0</v>
      </c>
      <c r="FP114" s="4">
        <v>2</v>
      </c>
      <c r="FQ114" s="4">
        <v>6.09</v>
      </c>
      <c r="FR114" s="4">
        <v>6.12</v>
      </c>
      <c r="FS114" s="4">
        <v>6.31</v>
      </c>
      <c r="FT114" s="4">
        <v>6.67</v>
      </c>
      <c r="FU114" s="4">
        <v>6.89</v>
      </c>
      <c r="FV114" s="4">
        <v>0</v>
      </c>
      <c r="FW114" s="4">
        <v>0</v>
      </c>
      <c r="FX114" s="97">
        <v>2</v>
      </c>
      <c r="FY114" s="122">
        <v>41.5</v>
      </c>
      <c r="FZ114" s="122">
        <v>41.9</v>
      </c>
      <c r="GA114" s="122">
        <v>41.7</v>
      </c>
      <c r="GB114" s="122">
        <v>57.1</v>
      </c>
      <c r="GC114" s="122">
        <v>0.4</v>
      </c>
      <c r="GD114" s="122">
        <v>-6.4</v>
      </c>
      <c r="GE114" s="122">
        <v>-6.7</v>
      </c>
      <c r="GF114" s="122">
        <v>-6.6</v>
      </c>
      <c r="GG114" s="122">
        <v>0.1</v>
      </c>
      <c r="GH114" s="122">
        <v>0.3</v>
      </c>
      <c r="GI114" s="122">
        <v>4.3</v>
      </c>
      <c r="GJ114" s="122">
        <v>12.7</v>
      </c>
      <c r="GK114" s="122">
        <v>27.5</v>
      </c>
      <c r="GL114" s="122">
        <v>67.2</v>
      </c>
      <c r="GM114" s="131">
        <v>27</v>
      </c>
      <c r="IJ114" s="94">
        <f t="shared" si="426"/>
        <v>8.0500000000000007</v>
      </c>
      <c r="IK114" s="4">
        <f t="shared" si="427"/>
        <v>8.1300000000000008</v>
      </c>
      <c r="IL114" s="4">
        <f t="shared" si="428"/>
        <v>57.1</v>
      </c>
      <c r="IM114" s="4">
        <f t="shared" si="429"/>
        <v>0.4</v>
      </c>
      <c r="IN114" s="4">
        <f t="shared" si="430"/>
        <v>0.52</v>
      </c>
      <c r="IO114" s="4">
        <f t="shared" si="431"/>
        <v>0.47</v>
      </c>
      <c r="IP114" s="4">
        <f t="shared" si="432"/>
        <v>5.05</v>
      </c>
      <c r="IQ114" s="4">
        <f t="shared" si="433"/>
        <v>5.64</v>
      </c>
      <c r="IR114" s="4">
        <f t="shared" si="434"/>
        <v>583</v>
      </c>
      <c r="IS114" s="4">
        <f t="shared" si="435"/>
        <v>583</v>
      </c>
      <c r="IT114" s="4">
        <f t="shared" si="436"/>
        <v>739</v>
      </c>
      <c r="IU114" s="4">
        <f t="shared" si="437"/>
        <v>672</v>
      </c>
      <c r="IV114" s="4">
        <f t="shared" si="438"/>
        <v>711</v>
      </c>
      <c r="IW114" s="4">
        <f t="shared" si="439"/>
        <v>667</v>
      </c>
      <c r="IX114" s="4">
        <f t="shared" si="440"/>
        <v>583</v>
      </c>
      <c r="IY114" s="4">
        <f t="shared" si="441"/>
        <v>0</v>
      </c>
      <c r="IZ114" s="4">
        <f t="shared" si="442"/>
        <v>-0.13</v>
      </c>
      <c r="JA114" s="4">
        <f t="shared" si="443"/>
        <v>8.2100000000000009</v>
      </c>
      <c r="JB114" s="4">
        <f t="shared" si="444"/>
        <v>7.89</v>
      </c>
      <c r="JC114" s="4">
        <f t="shared" si="445"/>
        <v>7.87</v>
      </c>
      <c r="JD114" s="4">
        <f t="shared" si="446"/>
        <v>8.1300000000000008</v>
      </c>
      <c r="JE114" s="4">
        <f t="shared" si="447"/>
        <v>8.4</v>
      </c>
      <c r="JF114" s="4">
        <f t="shared" si="448"/>
        <v>8.5500000000000007</v>
      </c>
      <c r="JG114" s="4">
        <f t="shared" si="449"/>
        <v>0</v>
      </c>
      <c r="JH114" s="4">
        <f t="shared" si="450"/>
        <v>2</v>
      </c>
      <c r="JI114" s="4">
        <f t="shared" si="451"/>
        <v>6.09</v>
      </c>
      <c r="JJ114" s="4">
        <f t="shared" si="452"/>
        <v>6.12</v>
      </c>
      <c r="JK114" s="4">
        <f t="shared" si="453"/>
        <v>6.31</v>
      </c>
      <c r="JL114" s="4">
        <f t="shared" si="454"/>
        <v>6.67</v>
      </c>
      <c r="JM114" s="4">
        <f t="shared" si="455"/>
        <v>6.89</v>
      </c>
      <c r="JN114" s="4">
        <f t="shared" si="456"/>
        <v>0</v>
      </c>
      <c r="JO114" s="129">
        <f t="shared" si="457"/>
        <v>0</v>
      </c>
      <c r="JP114" s="122">
        <f t="shared" si="458"/>
        <v>2</v>
      </c>
      <c r="JQ114" s="122">
        <f t="shared" si="459"/>
        <v>41.5</v>
      </c>
      <c r="JR114" s="122">
        <f t="shared" si="460"/>
        <v>41.9</v>
      </c>
      <c r="JS114" s="122">
        <f t="shared" si="461"/>
        <v>41.7</v>
      </c>
      <c r="JT114" s="122">
        <f t="shared" si="462"/>
        <v>57.1</v>
      </c>
      <c r="JU114" s="122">
        <f t="shared" si="463"/>
        <v>0.4</v>
      </c>
      <c r="JV114" s="122">
        <f t="shared" si="464"/>
        <v>-6.4</v>
      </c>
      <c r="JW114" s="122">
        <f t="shared" si="465"/>
        <v>-6.7</v>
      </c>
      <c r="JX114" s="122">
        <f t="shared" si="466"/>
        <v>-6.6</v>
      </c>
      <c r="JY114" s="122">
        <f t="shared" si="467"/>
        <v>0.1</v>
      </c>
      <c r="JZ114" s="122">
        <f t="shared" si="468"/>
        <v>0.3</v>
      </c>
      <c r="KA114" s="122">
        <f t="shared" si="469"/>
        <v>4.3</v>
      </c>
      <c r="KB114" s="122">
        <f t="shared" si="470"/>
        <v>12.7</v>
      </c>
      <c r="KC114" s="122">
        <f t="shared" si="471"/>
        <v>27.5</v>
      </c>
      <c r="KD114" s="122">
        <f t="shared" si="472"/>
        <v>67.2</v>
      </c>
      <c r="KE114" s="133">
        <f t="shared" si="473"/>
        <v>27</v>
      </c>
      <c r="KF114" s="94">
        <f t="shared" si="474"/>
        <v>9.0000000000000746E-2</v>
      </c>
      <c r="KG114" s="4">
        <f t="shared" si="475"/>
        <v>0.22000000000000064</v>
      </c>
      <c r="KH114" s="4">
        <f t="shared" si="476"/>
        <v>-92.300000000000011</v>
      </c>
      <c r="KI114" s="4">
        <f t="shared" si="477"/>
        <v>0.7</v>
      </c>
      <c r="KJ114" s="4">
        <f t="shared" si="478"/>
        <v>0.10000000000000003</v>
      </c>
      <c r="KK114" s="4">
        <f t="shared" si="479"/>
        <v>6.9999999999999951E-2</v>
      </c>
      <c r="KL114" s="4">
        <f t="shared" si="480"/>
        <v>2.57</v>
      </c>
      <c r="KM114" s="4">
        <f t="shared" si="481"/>
        <v>2.4099999999999997</v>
      </c>
      <c r="KN114" s="4">
        <f t="shared" si="482"/>
        <v>-157</v>
      </c>
      <c r="KO114" s="4">
        <f t="shared" si="483"/>
        <v>-158</v>
      </c>
      <c r="KP114" s="4">
        <f t="shared" si="484"/>
        <v>-87</v>
      </c>
      <c r="KQ114" s="4">
        <f t="shared" si="485"/>
        <v>-100</v>
      </c>
      <c r="KR114" s="4">
        <f t="shared" si="486"/>
        <v>-74</v>
      </c>
      <c r="KS114" s="4">
        <f t="shared" si="487"/>
        <v>-103</v>
      </c>
      <c r="KT114" s="4">
        <f t="shared" si="488"/>
        <v>-147</v>
      </c>
      <c r="KU114" s="4">
        <f t="shared" si="489"/>
        <v>-1.27</v>
      </c>
      <c r="KV114" s="4">
        <f t="shared" si="490"/>
        <v>-0.38</v>
      </c>
      <c r="KW114" s="4">
        <f t="shared" si="491"/>
        <v>0.23000000000000043</v>
      </c>
      <c r="KX114" s="4">
        <f t="shared" si="492"/>
        <v>0</v>
      </c>
      <c r="KY114" s="4">
        <f t="shared" si="493"/>
        <v>-4.0000000000000036E-2</v>
      </c>
      <c r="KZ114" s="4">
        <f t="shared" si="494"/>
        <v>0.11000000000000121</v>
      </c>
      <c r="LA114" s="4">
        <f t="shared" si="495"/>
        <v>0.21000000000000085</v>
      </c>
      <c r="LB114" s="4">
        <f t="shared" si="496"/>
        <v>0.23000000000000043</v>
      </c>
      <c r="LC114" s="4">
        <f t="shared" si="497"/>
        <v>0</v>
      </c>
      <c r="LD114" s="4">
        <f t="shared" si="498"/>
        <v>1.2</v>
      </c>
      <c r="LE114" s="4">
        <f t="shared" si="499"/>
        <v>-0.91000000000000014</v>
      </c>
      <c r="LF114" s="4">
        <f t="shared" si="500"/>
        <v>-0.49000000000000021</v>
      </c>
      <c r="LG114" s="4">
        <f t="shared" si="501"/>
        <v>-0.20999999999999996</v>
      </c>
      <c r="LH114" s="4">
        <f t="shared" si="502"/>
        <v>-0.16000000000000014</v>
      </c>
      <c r="LI114" s="4">
        <f t="shared" si="503"/>
        <v>-9.0000000000000746E-2</v>
      </c>
      <c r="LJ114" s="4">
        <f t="shared" si="504"/>
        <v>0</v>
      </c>
      <c r="LK114" s="4">
        <f t="shared" si="505"/>
        <v>0</v>
      </c>
      <c r="LL114" s="4">
        <f t="shared" si="506"/>
        <v>1.2</v>
      </c>
      <c r="LM114" s="4">
        <f t="shared" si="507"/>
        <v>-0.89999999999999858</v>
      </c>
      <c r="LN114" s="4">
        <f t="shared" si="508"/>
        <v>-0.80000000000000426</v>
      </c>
      <c r="LO114" s="4">
        <f t="shared" si="509"/>
        <v>-0.79999999999999716</v>
      </c>
      <c r="LP114" s="4">
        <f t="shared" si="510"/>
        <v>-92.300000000000011</v>
      </c>
      <c r="LQ114" s="4">
        <f t="shared" si="511"/>
        <v>0.10000000000000003</v>
      </c>
      <c r="LR114" s="4">
        <f t="shared" si="512"/>
        <v>-0.80000000000000071</v>
      </c>
      <c r="LS114" s="4">
        <f t="shared" si="513"/>
        <v>-0.60000000000000053</v>
      </c>
      <c r="LT114" s="4">
        <f t="shared" si="514"/>
        <v>-0.79999999999999982</v>
      </c>
      <c r="LU114" s="4">
        <f t="shared" si="515"/>
        <v>-174.5</v>
      </c>
      <c r="LV114" s="4">
        <f t="shared" si="516"/>
        <v>-0.10000000000000003</v>
      </c>
      <c r="LW114" s="4">
        <f t="shared" si="517"/>
        <v>-1</v>
      </c>
      <c r="LX114" s="4">
        <f t="shared" si="518"/>
        <v>-2.4000000000000004</v>
      </c>
      <c r="LY114" s="4">
        <f t="shared" si="519"/>
        <v>-4.1999999999999993</v>
      </c>
      <c r="LZ114" s="4">
        <f t="shared" si="520"/>
        <v>-6.7000000000000028</v>
      </c>
      <c r="MA114" s="4">
        <f t="shared" si="521"/>
        <v>19</v>
      </c>
      <c r="MB114" s="4" t="str">
        <f t="shared" si="522"/>
        <v/>
      </c>
      <c r="MC114" s="4" t="str">
        <f t="shared" si="523"/>
        <v/>
      </c>
      <c r="MD114" s="4" t="str">
        <f t="shared" si="524"/>
        <v/>
      </c>
      <c r="ME114" s="4">
        <f t="shared" si="525"/>
        <v>6.7</v>
      </c>
    </row>
    <row r="115" spans="1:343" ht="26.25" customHeight="1" x14ac:dyDescent="0.2">
      <c r="A115" s="35">
        <v>41416</v>
      </c>
      <c r="B115" s="36" t="s">
        <v>237</v>
      </c>
      <c r="C115" s="36" t="s">
        <v>55</v>
      </c>
      <c r="D115" s="31" t="s">
        <v>111</v>
      </c>
      <c r="E115" s="4">
        <v>75</v>
      </c>
      <c r="F115" s="3">
        <v>13713</v>
      </c>
      <c r="G115" s="4" t="s">
        <v>87</v>
      </c>
      <c r="H115" s="4" t="s">
        <v>108</v>
      </c>
      <c r="I115" s="4">
        <v>1836623</v>
      </c>
      <c r="P115" s="33">
        <v>-0.5</v>
      </c>
      <c r="Q115" s="33">
        <v>-0.59</v>
      </c>
      <c r="R115" s="51" t="s">
        <v>249</v>
      </c>
      <c r="S115" s="67">
        <v>23</v>
      </c>
      <c r="T115" s="136">
        <v>41379</v>
      </c>
      <c r="U115" s="67">
        <v>1</v>
      </c>
      <c r="V115" s="67">
        <v>1.5</v>
      </c>
      <c r="W115" s="4">
        <v>30</v>
      </c>
      <c r="X115" s="4">
        <v>50</v>
      </c>
      <c r="Y115" s="4">
        <v>13</v>
      </c>
      <c r="Z115" s="4">
        <v>607</v>
      </c>
      <c r="AA115" s="4">
        <v>21.98</v>
      </c>
      <c r="AB115" s="4">
        <v>11.2</v>
      </c>
      <c r="AC115" s="4">
        <v>5.08</v>
      </c>
      <c r="AD115" s="4">
        <v>3.18</v>
      </c>
      <c r="AE115" s="4">
        <v>46.3</v>
      </c>
      <c r="AF115" s="4">
        <v>133</v>
      </c>
      <c r="AG115" s="4">
        <v>48.15</v>
      </c>
      <c r="AH115" s="4">
        <v>43</v>
      </c>
      <c r="AI115" s="4">
        <v>2</v>
      </c>
      <c r="AJ115" s="4" t="b">
        <f t="shared" si="398"/>
        <v>1</v>
      </c>
      <c r="AK115" s="54"/>
      <c r="AL115" s="37">
        <v>41586</v>
      </c>
      <c r="AM115" s="59">
        <v>40</v>
      </c>
      <c r="AN115" s="67">
        <v>-0.75</v>
      </c>
      <c r="AO115" s="67">
        <v>-2</v>
      </c>
      <c r="AP115" s="4">
        <v>120</v>
      </c>
      <c r="AQ115" s="4">
        <v>25</v>
      </c>
      <c r="AR115" s="4">
        <v>17</v>
      </c>
      <c r="AS115" s="4">
        <v>465</v>
      </c>
      <c r="AT115" s="4">
        <v>2179</v>
      </c>
      <c r="AU115" s="4">
        <v>21.95</v>
      </c>
      <c r="AV115" s="4">
        <v>3.7</v>
      </c>
      <c r="AW115" s="4">
        <v>46.11</v>
      </c>
      <c r="AX115" s="4">
        <v>157</v>
      </c>
      <c r="AY115" s="4">
        <v>47.94</v>
      </c>
      <c r="AZ115" s="4">
        <v>67</v>
      </c>
      <c r="BA115" s="4">
        <f t="shared" si="399"/>
        <v>-1.75</v>
      </c>
      <c r="BB115" s="4">
        <f t="shared" si="397"/>
        <v>-1.1600000000000001</v>
      </c>
      <c r="BC115" s="4">
        <f t="shared" si="400"/>
        <v>-142</v>
      </c>
      <c r="BD115" s="150">
        <v>41718</v>
      </c>
      <c r="BT115" s="4" t="str">
        <f t="shared" si="401"/>
        <v/>
      </c>
      <c r="BU115" s="4" t="str">
        <f t="shared" si="402"/>
        <v/>
      </c>
      <c r="BV115" s="4">
        <f>IF(AND(ISBLANK(SPH_6),ISBLANK(SPH_12)),0,1)</f>
        <v>1</v>
      </c>
      <c r="BW115" s="4">
        <f t="shared" si="403"/>
        <v>0</v>
      </c>
      <c r="BX115" s="4" t="str">
        <f t="shared" si="404"/>
        <v/>
      </c>
      <c r="BY115" s="4" t="str">
        <f t="shared" si="405"/>
        <v/>
      </c>
      <c r="BZ115" s="4" t="str">
        <f t="shared" si="406"/>
        <v/>
      </c>
      <c r="CA115" s="53">
        <f t="shared" si="407"/>
        <v>170</v>
      </c>
      <c r="CB115" s="55">
        <f t="shared" si="408"/>
        <v>5.666666666666667</v>
      </c>
      <c r="CC115" s="4" t="str">
        <f t="shared" si="409"/>
        <v/>
      </c>
      <c r="CD115" s="4">
        <f t="shared" si="410"/>
        <v>-0.19999999999999574</v>
      </c>
      <c r="CE115" s="4" t="str">
        <f t="shared" si="411"/>
        <v/>
      </c>
      <c r="CF115" s="4">
        <f t="shared" si="412"/>
        <v>-0.19999999999999574</v>
      </c>
      <c r="CG115" s="4">
        <f t="shared" si="526"/>
        <v>1.75</v>
      </c>
      <c r="CH115" s="4">
        <f t="shared" si="413"/>
        <v>-1.75</v>
      </c>
      <c r="CI115" s="104">
        <f t="shared" si="414"/>
        <v>-1.1600000000000001</v>
      </c>
      <c r="CJ115" s="94">
        <f t="shared" si="415"/>
        <v>-142</v>
      </c>
      <c r="CK115" s="4">
        <f t="shared" si="416"/>
        <v>-3.0000000000001137E-2</v>
      </c>
      <c r="CL115" s="107">
        <f t="shared" si="417"/>
        <v>-0.59</v>
      </c>
      <c r="CM115" s="107">
        <f t="shared" ref="CM115:CM125" si="527">IF(AND(OR(ISNUMBER(BI115),ISNUMBER(AQ115)),ISNUMBER(X115)),-LOG(20/X115)--LOG(20/IF(ISNUMBER(BI115),BI115,AQ115)),"")</f>
        <v>0.3010299956639812</v>
      </c>
      <c r="CN115" s="139">
        <f t="shared" si="418"/>
        <v>-2</v>
      </c>
      <c r="CO115" s="139">
        <f t="shared" si="419"/>
        <v>-3.5</v>
      </c>
      <c r="CP115" s="149">
        <f t="shared" si="420"/>
        <v>25</v>
      </c>
      <c r="CQ115" s="149">
        <f t="shared" si="421"/>
        <v>50</v>
      </c>
      <c r="CR115" s="148">
        <f t="shared" si="422"/>
        <v>40</v>
      </c>
      <c r="CS115" s="152">
        <f t="shared" si="423"/>
        <v>0</v>
      </c>
      <c r="CT115" s="107" t="str">
        <f t="shared" si="424"/>
        <v/>
      </c>
      <c r="CU115" s="155" t="b">
        <f t="shared" si="425"/>
        <v>0</v>
      </c>
      <c r="CV115">
        <v>7.29</v>
      </c>
      <c r="CW115" s="4">
        <v>7.06</v>
      </c>
      <c r="CX115" s="4">
        <v>137.6</v>
      </c>
      <c r="CY115" s="4">
        <v>-1.5</v>
      </c>
      <c r="CZ115" s="4">
        <v>0.3</v>
      </c>
      <c r="DA115" s="4">
        <v>0.55000000000000004</v>
      </c>
      <c r="DB115" s="4">
        <v>2.35</v>
      </c>
      <c r="DC115" s="4">
        <v>2.97</v>
      </c>
      <c r="DD115" s="4">
        <v>619</v>
      </c>
      <c r="DE115" s="4">
        <v>627</v>
      </c>
      <c r="DF115" s="4">
        <v>705</v>
      </c>
      <c r="DG115" s="4">
        <v>609</v>
      </c>
      <c r="DH115" s="4">
        <v>661</v>
      </c>
      <c r="DI115" s="4">
        <v>683</v>
      </c>
      <c r="DJ115" s="4">
        <v>607</v>
      </c>
      <c r="DK115" s="4">
        <v>-0.4</v>
      </c>
      <c r="DL115" s="4">
        <v>-2.92</v>
      </c>
      <c r="DM115" s="4">
        <v>7.15</v>
      </c>
      <c r="DN115" s="4">
        <v>7.24</v>
      </c>
      <c r="DO115" s="4">
        <v>7.27</v>
      </c>
      <c r="DP115" s="4">
        <v>7.42</v>
      </c>
      <c r="DQ115" s="4">
        <v>7.61</v>
      </c>
      <c r="DR115" s="4">
        <v>7.71</v>
      </c>
      <c r="DS115" s="4">
        <v>0</v>
      </c>
      <c r="DT115" s="4">
        <v>1.3</v>
      </c>
      <c r="DU115" s="4">
        <v>6.05</v>
      </c>
      <c r="DV115" s="4">
        <v>6.18</v>
      </c>
      <c r="DW115" s="4">
        <v>6.21</v>
      </c>
      <c r="DX115" s="4">
        <v>6.28</v>
      </c>
      <c r="DY115" s="4">
        <v>6.47</v>
      </c>
      <c r="DZ115" s="4">
        <v>0</v>
      </c>
      <c r="EA115" s="4">
        <v>0</v>
      </c>
      <c r="EB115" s="100">
        <v>1.3</v>
      </c>
      <c r="EC115" s="122">
        <v>46.3</v>
      </c>
      <c r="ED115" s="122">
        <v>47.8</v>
      </c>
      <c r="EE115" s="122">
        <v>47</v>
      </c>
      <c r="EF115" s="122">
        <v>137.6</v>
      </c>
      <c r="EG115" s="122">
        <v>1.5</v>
      </c>
      <c r="EH115" s="122">
        <v>-6.4</v>
      </c>
      <c r="EI115" s="122">
        <v>-6.7</v>
      </c>
      <c r="EJ115" s="122">
        <v>-6.6</v>
      </c>
      <c r="EK115" s="122">
        <v>137.80000000000001</v>
      </c>
      <c r="EL115" s="122">
        <v>0.2</v>
      </c>
      <c r="EM115" s="122">
        <v>4.5</v>
      </c>
      <c r="EN115" s="122">
        <v>13</v>
      </c>
      <c r="EO115" s="122">
        <v>27.5</v>
      </c>
      <c r="EP115" s="122">
        <v>66.099999999999994</v>
      </c>
      <c r="EQ115" s="126">
        <v>36</v>
      </c>
      <c r="ER115" s="94">
        <v>7.25</v>
      </c>
      <c r="ES115" s="4">
        <v>7.02</v>
      </c>
      <c r="ET115" s="4">
        <v>140.9</v>
      </c>
      <c r="EU115" s="4">
        <v>-1.6</v>
      </c>
      <c r="EV115" s="4">
        <v>0.57999999999999996</v>
      </c>
      <c r="EW115" s="4">
        <v>0.72</v>
      </c>
      <c r="EX115" s="4">
        <v>4.3499999999999996</v>
      </c>
      <c r="EY115" s="4">
        <v>4.83</v>
      </c>
      <c r="EZ115" s="4">
        <v>482</v>
      </c>
      <c r="FA115" s="4">
        <v>476</v>
      </c>
      <c r="FB115" s="4">
        <v>648</v>
      </c>
      <c r="FC115" s="4">
        <v>545</v>
      </c>
      <c r="FD115" s="4">
        <v>603</v>
      </c>
      <c r="FE115" s="4">
        <v>550</v>
      </c>
      <c r="FF115" s="4">
        <v>452</v>
      </c>
      <c r="FG115" s="4">
        <v>-1.27</v>
      </c>
      <c r="FH115" s="4">
        <v>-0.7</v>
      </c>
      <c r="FI115" s="4">
        <v>7.12</v>
      </c>
      <c r="FJ115" s="4">
        <v>7.19</v>
      </c>
      <c r="FK115" s="4">
        <v>7.28</v>
      </c>
      <c r="FL115" s="4">
        <v>7.51</v>
      </c>
      <c r="FM115" s="4">
        <v>7.72</v>
      </c>
      <c r="FN115" s="4">
        <v>7.65</v>
      </c>
      <c r="FO115" s="4">
        <v>0</v>
      </c>
      <c r="FP115" s="4">
        <v>1.6</v>
      </c>
      <c r="FQ115" s="4">
        <v>5.7</v>
      </c>
      <c r="FR115" s="4">
        <v>5.76</v>
      </c>
      <c r="FS115" s="4">
        <v>5.9</v>
      </c>
      <c r="FT115" s="4">
        <v>6.05</v>
      </c>
      <c r="FU115" s="4">
        <v>6.18</v>
      </c>
      <c r="FV115" s="4">
        <v>0</v>
      </c>
      <c r="FW115" s="4">
        <v>0</v>
      </c>
      <c r="FX115" s="97">
        <v>1.6</v>
      </c>
      <c r="FY115" s="122">
        <v>46.5</v>
      </c>
      <c r="FZ115" s="122">
        <v>48.1</v>
      </c>
      <c r="GA115" s="122">
        <v>47.3</v>
      </c>
      <c r="GB115" s="122">
        <v>140.9</v>
      </c>
      <c r="GC115" s="122">
        <v>1.6</v>
      </c>
      <c r="GD115" s="122">
        <v>-6.8</v>
      </c>
      <c r="GE115" s="122">
        <v>-7.2</v>
      </c>
      <c r="GF115" s="122">
        <v>-7</v>
      </c>
      <c r="GG115" s="122">
        <v>10.3</v>
      </c>
      <c r="GH115" s="122">
        <v>0.5</v>
      </c>
      <c r="GI115" s="122">
        <v>3.5</v>
      </c>
      <c r="GJ115" s="122">
        <v>10.6</v>
      </c>
      <c r="GK115" s="122">
        <v>23.3</v>
      </c>
      <c r="GL115" s="122">
        <v>60.4</v>
      </c>
      <c r="GM115" s="131">
        <v>32</v>
      </c>
      <c r="IJ115" s="94">
        <f t="shared" si="426"/>
        <v>7.25</v>
      </c>
      <c r="IK115" s="4">
        <f t="shared" si="427"/>
        <v>7.02</v>
      </c>
      <c r="IL115" s="4">
        <f t="shared" si="428"/>
        <v>140.9</v>
      </c>
      <c r="IM115" s="4">
        <f t="shared" si="429"/>
        <v>-1.6</v>
      </c>
      <c r="IN115" s="4">
        <f t="shared" si="430"/>
        <v>0.57999999999999996</v>
      </c>
      <c r="IO115" s="4">
        <f t="shared" si="431"/>
        <v>0.72</v>
      </c>
      <c r="IP115" s="4">
        <f t="shared" si="432"/>
        <v>4.3499999999999996</v>
      </c>
      <c r="IQ115" s="4">
        <f t="shared" si="433"/>
        <v>4.83</v>
      </c>
      <c r="IR115" s="4">
        <f t="shared" si="434"/>
        <v>482</v>
      </c>
      <c r="IS115" s="4">
        <f t="shared" si="435"/>
        <v>476</v>
      </c>
      <c r="IT115" s="4">
        <f t="shared" si="436"/>
        <v>648</v>
      </c>
      <c r="IU115" s="4">
        <f t="shared" si="437"/>
        <v>545</v>
      </c>
      <c r="IV115" s="4">
        <f t="shared" si="438"/>
        <v>603</v>
      </c>
      <c r="IW115" s="4">
        <f t="shared" si="439"/>
        <v>550</v>
      </c>
      <c r="IX115" s="4">
        <f t="shared" si="440"/>
        <v>452</v>
      </c>
      <c r="IY115" s="4">
        <f t="shared" si="441"/>
        <v>-1.27</v>
      </c>
      <c r="IZ115" s="4">
        <f t="shared" si="442"/>
        <v>-0.7</v>
      </c>
      <c r="JA115" s="4">
        <f t="shared" si="443"/>
        <v>7.12</v>
      </c>
      <c r="JB115" s="4">
        <f t="shared" si="444"/>
        <v>7.19</v>
      </c>
      <c r="JC115" s="4">
        <f t="shared" si="445"/>
        <v>7.28</v>
      </c>
      <c r="JD115" s="4">
        <f t="shared" si="446"/>
        <v>7.51</v>
      </c>
      <c r="JE115" s="4">
        <f t="shared" si="447"/>
        <v>7.72</v>
      </c>
      <c r="JF115" s="4">
        <f t="shared" si="448"/>
        <v>7.65</v>
      </c>
      <c r="JG115" s="4">
        <f t="shared" si="449"/>
        <v>0</v>
      </c>
      <c r="JH115" s="4">
        <f t="shared" si="450"/>
        <v>1.6</v>
      </c>
      <c r="JI115" s="4">
        <f t="shared" si="451"/>
        <v>5.7</v>
      </c>
      <c r="JJ115" s="4">
        <f t="shared" si="452"/>
        <v>5.76</v>
      </c>
      <c r="JK115" s="4">
        <f t="shared" si="453"/>
        <v>5.9</v>
      </c>
      <c r="JL115" s="4">
        <f t="shared" si="454"/>
        <v>6.05</v>
      </c>
      <c r="JM115" s="4">
        <f t="shared" si="455"/>
        <v>6.18</v>
      </c>
      <c r="JN115" s="4">
        <f t="shared" si="456"/>
        <v>0</v>
      </c>
      <c r="JO115" s="129">
        <f t="shared" si="457"/>
        <v>0</v>
      </c>
      <c r="JP115" s="122">
        <f t="shared" si="458"/>
        <v>1.6</v>
      </c>
      <c r="JQ115" s="122">
        <f t="shared" si="459"/>
        <v>46.5</v>
      </c>
      <c r="JR115" s="122">
        <f t="shared" si="460"/>
        <v>48.1</v>
      </c>
      <c r="JS115" s="122">
        <f t="shared" si="461"/>
        <v>47.3</v>
      </c>
      <c r="JT115" s="122">
        <f t="shared" si="462"/>
        <v>140.9</v>
      </c>
      <c r="JU115" s="122">
        <f t="shared" si="463"/>
        <v>1.6</v>
      </c>
      <c r="JV115" s="122">
        <f t="shared" si="464"/>
        <v>-6.8</v>
      </c>
      <c r="JW115" s="122">
        <f t="shared" si="465"/>
        <v>-7.2</v>
      </c>
      <c r="JX115" s="122">
        <f t="shared" si="466"/>
        <v>-7</v>
      </c>
      <c r="JY115" s="122">
        <f t="shared" si="467"/>
        <v>10.3</v>
      </c>
      <c r="JZ115" s="122">
        <f t="shared" si="468"/>
        <v>0.5</v>
      </c>
      <c r="KA115" s="122">
        <f t="shared" si="469"/>
        <v>3.5</v>
      </c>
      <c r="KB115" s="122">
        <f t="shared" si="470"/>
        <v>10.6</v>
      </c>
      <c r="KC115" s="122">
        <f t="shared" si="471"/>
        <v>23.3</v>
      </c>
      <c r="KD115" s="122">
        <f t="shared" si="472"/>
        <v>60.4</v>
      </c>
      <c r="KE115" s="133">
        <f t="shared" si="473"/>
        <v>32</v>
      </c>
      <c r="KF115" s="94">
        <f t="shared" si="474"/>
        <v>-4.0000000000000036E-2</v>
      </c>
      <c r="KG115" s="4">
        <f t="shared" si="475"/>
        <v>-4.0000000000000036E-2</v>
      </c>
      <c r="KH115" s="4">
        <f t="shared" si="476"/>
        <v>3.3000000000000114</v>
      </c>
      <c r="KI115" s="4">
        <f t="shared" si="477"/>
        <v>-0.10000000000000009</v>
      </c>
      <c r="KJ115" s="4">
        <f t="shared" si="478"/>
        <v>0.27999999999999997</v>
      </c>
      <c r="KK115" s="4">
        <f t="shared" si="479"/>
        <v>0.16999999999999993</v>
      </c>
      <c r="KL115" s="4">
        <f t="shared" si="480"/>
        <v>1.9999999999999996</v>
      </c>
      <c r="KM115" s="4">
        <f t="shared" si="481"/>
        <v>1.8599999999999999</v>
      </c>
      <c r="KN115" s="4">
        <f t="shared" si="482"/>
        <v>-137</v>
      </c>
      <c r="KO115" s="4">
        <f t="shared" si="483"/>
        <v>-151</v>
      </c>
      <c r="KP115" s="4">
        <f t="shared" si="484"/>
        <v>-57</v>
      </c>
      <c r="KQ115" s="4">
        <f t="shared" si="485"/>
        <v>-64</v>
      </c>
      <c r="KR115" s="4">
        <f t="shared" si="486"/>
        <v>-58</v>
      </c>
      <c r="KS115" s="4">
        <f t="shared" si="487"/>
        <v>-133</v>
      </c>
      <c r="KT115" s="4">
        <f t="shared" si="488"/>
        <v>-155</v>
      </c>
      <c r="KU115" s="4">
        <f t="shared" si="489"/>
        <v>-0.87</v>
      </c>
      <c r="KV115" s="4">
        <f t="shared" si="490"/>
        <v>2.2199999999999998</v>
      </c>
      <c r="KW115" s="4">
        <f t="shared" si="491"/>
        <v>-3.0000000000000249E-2</v>
      </c>
      <c r="KX115" s="4">
        <f t="shared" si="492"/>
        <v>-4.9999999999999822E-2</v>
      </c>
      <c r="KY115" s="4">
        <f t="shared" si="493"/>
        <v>1.0000000000000675E-2</v>
      </c>
      <c r="KZ115" s="4">
        <f t="shared" si="494"/>
        <v>8.9999999999999858E-2</v>
      </c>
      <c r="LA115" s="4">
        <f t="shared" si="495"/>
        <v>0.10999999999999943</v>
      </c>
      <c r="LB115" s="4">
        <f t="shared" si="496"/>
        <v>-5.9999999999999609E-2</v>
      </c>
      <c r="LC115" s="4">
        <f t="shared" si="497"/>
        <v>0</v>
      </c>
      <c r="LD115" s="4">
        <f t="shared" si="498"/>
        <v>0.30000000000000004</v>
      </c>
      <c r="LE115" s="4">
        <f t="shared" si="499"/>
        <v>-0.34999999999999964</v>
      </c>
      <c r="LF115" s="4">
        <f t="shared" si="500"/>
        <v>-0.41999999999999993</v>
      </c>
      <c r="LG115" s="4">
        <f t="shared" si="501"/>
        <v>-0.30999999999999961</v>
      </c>
      <c r="LH115" s="4">
        <f t="shared" si="502"/>
        <v>-0.23000000000000043</v>
      </c>
      <c r="LI115" s="4">
        <f t="shared" si="503"/>
        <v>-0.29000000000000004</v>
      </c>
      <c r="LJ115" s="4">
        <f t="shared" si="504"/>
        <v>0</v>
      </c>
      <c r="LK115" s="4">
        <f t="shared" si="505"/>
        <v>0</v>
      </c>
      <c r="LL115" s="4">
        <f t="shared" si="506"/>
        <v>0.30000000000000004</v>
      </c>
      <c r="LM115" s="4">
        <f t="shared" si="507"/>
        <v>0.20000000000000284</v>
      </c>
      <c r="LN115" s="4">
        <f t="shared" si="508"/>
        <v>0.30000000000000426</v>
      </c>
      <c r="LO115" s="4">
        <f t="shared" si="509"/>
        <v>0.29999999999999716</v>
      </c>
      <c r="LP115" s="4">
        <f t="shared" si="510"/>
        <v>3.3000000000000114</v>
      </c>
      <c r="LQ115" s="4">
        <f t="shared" si="511"/>
        <v>0.10000000000000009</v>
      </c>
      <c r="LR115" s="4">
        <f t="shared" si="512"/>
        <v>-0.39999999999999947</v>
      </c>
      <c r="LS115" s="4">
        <f t="shared" si="513"/>
        <v>-0.5</v>
      </c>
      <c r="LT115" s="4">
        <f t="shared" si="514"/>
        <v>-0.40000000000000036</v>
      </c>
      <c r="LU115" s="4">
        <f t="shared" si="515"/>
        <v>-127.50000000000001</v>
      </c>
      <c r="LV115" s="4">
        <f t="shared" si="516"/>
        <v>0.3</v>
      </c>
      <c r="LW115" s="4">
        <f t="shared" si="517"/>
        <v>-1</v>
      </c>
      <c r="LX115" s="4">
        <f t="shared" si="518"/>
        <v>-2.4000000000000004</v>
      </c>
      <c r="LY115" s="4">
        <f t="shared" si="519"/>
        <v>-4.1999999999999993</v>
      </c>
      <c r="LZ115" s="4">
        <f t="shared" si="520"/>
        <v>-5.6999999999999957</v>
      </c>
      <c r="MA115" s="4">
        <f t="shared" si="521"/>
        <v>-4</v>
      </c>
      <c r="MB115" s="4" t="str">
        <f t="shared" si="522"/>
        <v/>
      </c>
      <c r="MC115" s="4" t="str">
        <f t="shared" si="523"/>
        <v/>
      </c>
      <c r="MD115" s="4" t="str">
        <f t="shared" si="524"/>
        <v/>
      </c>
      <c r="ME115" s="4">
        <f t="shared" si="525"/>
        <v>7.2</v>
      </c>
    </row>
    <row r="116" spans="1:343" ht="26.25" customHeight="1" x14ac:dyDescent="0.2">
      <c r="A116" s="35">
        <v>41416</v>
      </c>
      <c r="B116" s="36" t="s">
        <v>132</v>
      </c>
      <c r="C116" s="36" t="s">
        <v>145</v>
      </c>
      <c r="D116" s="31" t="s">
        <v>110</v>
      </c>
      <c r="E116" s="4">
        <v>55</v>
      </c>
      <c r="F116" s="3">
        <v>21064</v>
      </c>
      <c r="G116" s="4" t="s">
        <v>87</v>
      </c>
      <c r="H116" s="4" t="s">
        <v>108</v>
      </c>
      <c r="I116" s="4">
        <v>1837142</v>
      </c>
      <c r="P116" s="33">
        <v>-0.5</v>
      </c>
      <c r="Q116" s="33">
        <v>-0.57999999999999996</v>
      </c>
      <c r="R116" s="33" t="s">
        <v>249</v>
      </c>
      <c r="S116" s="67">
        <v>20.25</v>
      </c>
      <c r="T116" s="136">
        <v>41414</v>
      </c>
      <c r="U116" s="67">
        <v>-3.25</v>
      </c>
      <c r="V116" s="67">
        <v>0.5</v>
      </c>
      <c r="W116" s="4">
        <v>150</v>
      </c>
      <c r="X116" s="4">
        <v>40</v>
      </c>
      <c r="Y116" s="4">
        <v>14</v>
      </c>
      <c r="Z116" s="4">
        <v>543</v>
      </c>
      <c r="AA116" s="4">
        <v>22.91</v>
      </c>
      <c r="AD116" s="4">
        <v>2.41</v>
      </c>
      <c r="AE116" s="4">
        <v>45.3</v>
      </c>
      <c r="AF116" s="4">
        <v>16</v>
      </c>
      <c r="AG116" s="4">
        <v>46.17</v>
      </c>
      <c r="AH116" s="4">
        <v>106</v>
      </c>
      <c r="AI116" s="4">
        <v>0</v>
      </c>
      <c r="AJ116" s="4" t="b">
        <f t="shared" si="398"/>
        <v>0</v>
      </c>
      <c r="AL116" s="37">
        <v>41611</v>
      </c>
      <c r="AM116" s="59">
        <v>30</v>
      </c>
      <c r="AN116" s="67">
        <v>0</v>
      </c>
      <c r="AO116" s="67">
        <v>1</v>
      </c>
      <c r="AP116" s="4">
        <v>133</v>
      </c>
      <c r="AQ116" s="4">
        <v>20</v>
      </c>
      <c r="AR116" s="4">
        <v>11</v>
      </c>
      <c r="AS116" s="4">
        <v>561</v>
      </c>
      <c r="AT116" s="4">
        <v>1208</v>
      </c>
      <c r="AU116" s="4">
        <v>22.96</v>
      </c>
      <c r="AV116" s="4">
        <v>4.46</v>
      </c>
      <c r="AW116" s="4">
        <v>44.76</v>
      </c>
      <c r="AX116" s="4">
        <v>12</v>
      </c>
      <c r="AY116" s="4">
        <v>46.36</v>
      </c>
      <c r="AZ116" s="4">
        <v>102</v>
      </c>
      <c r="BA116" s="4">
        <f t="shared" si="399"/>
        <v>0.5</v>
      </c>
      <c r="BB116" s="4">
        <f t="shared" si="397"/>
        <v>1.08</v>
      </c>
      <c r="BC116" s="4">
        <f t="shared" si="400"/>
        <v>18</v>
      </c>
      <c r="BD116" s="150">
        <v>41794</v>
      </c>
      <c r="BT116" s="4" t="str">
        <f t="shared" si="401"/>
        <v/>
      </c>
      <c r="BU116" s="4" t="str">
        <f t="shared" si="402"/>
        <v/>
      </c>
      <c r="BV116" s="4">
        <f>IF(AND(ISBLANK(SPH_6),ISBLANK(SPH_12)),0,1)</f>
        <v>1</v>
      </c>
      <c r="BW116" s="4">
        <f t="shared" si="403"/>
        <v>0</v>
      </c>
      <c r="BX116" s="4" t="str">
        <f t="shared" si="404"/>
        <v/>
      </c>
      <c r="BY116" s="4" t="str">
        <f t="shared" si="405"/>
        <v/>
      </c>
      <c r="BZ116" s="4" t="str">
        <f t="shared" si="406"/>
        <v/>
      </c>
      <c r="CA116" s="53">
        <f t="shared" si="407"/>
        <v>195</v>
      </c>
      <c r="CB116" s="55">
        <f t="shared" si="408"/>
        <v>6.5</v>
      </c>
      <c r="CC116" s="4" t="str">
        <f t="shared" si="409"/>
        <v/>
      </c>
      <c r="CD116" s="4">
        <f t="shared" si="410"/>
        <v>-0.17499999999999716</v>
      </c>
      <c r="CE116" s="4" t="str">
        <f t="shared" si="411"/>
        <v/>
      </c>
      <c r="CF116" s="4">
        <f t="shared" si="412"/>
        <v>-0.17499999999999716</v>
      </c>
      <c r="CG116" s="4">
        <f t="shared" si="526"/>
        <v>-3</v>
      </c>
      <c r="CH116" s="4">
        <f t="shared" si="413"/>
        <v>0.5</v>
      </c>
      <c r="CI116" s="104">
        <f t="shared" si="414"/>
        <v>1.08</v>
      </c>
      <c r="CJ116" s="94">
        <f t="shared" si="415"/>
        <v>18</v>
      </c>
      <c r="CK116" s="4">
        <f t="shared" si="416"/>
        <v>5.0000000000000711E-2</v>
      </c>
      <c r="CL116" s="107">
        <f t="shared" si="417"/>
        <v>-0.57999999999999996</v>
      </c>
      <c r="CM116" s="107">
        <f t="shared" si="527"/>
        <v>0.3010299956639812</v>
      </c>
      <c r="CN116" s="139">
        <f t="shared" si="418"/>
        <v>1</v>
      </c>
      <c r="CO116" s="139">
        <f t="shared" si="419"/>
        <v>0.5</v>
      </c>
      <c r="CP116" s="149">
        <f t="shared" si="420"/>
        <v>20</v>
      </c>
      <c r="CQ116" s="149">
        <f t="shared" si="421"/>
        <v>40</v>
      </c>
      <c r="CR116" s="148">
        <f t="shared" si="422"/>
        <v>30</v>
      </c>
      <c r="CS116" s="152">
        <f t="shared" si="423"/>
        <v>0</v>
      </c>
      <c r="CT116" s="107" t="str">
        <f t="shared" si="424"/>
        <v/>
      </c>
      <c r="CU116" s="155" t="b">
        <f t="shared" si="425"/>
        <v>0</v>
      </c>
      <c r="CV116">
        <v>7.54</v>
      </c>
      <c r="CW116" s="4">
        <v>7.35</v>
      </c>
      <c r="CX116" s="4">
        <v>21.2</v>
      </c>
      <c r="CY116" s="4">
        <v>-1.2</v>
      </c>
      <c r="CZ116" s="4">
        <v>0.47</v>
      </c>
      <c r="DA116" s="4">
        <v>0.48</v>
      </c>
      <c r="DB116" s="4">
        <v>3.28</v>
      </c>
      <c r="DC116" s="4">
        <v>3.83</v>
      </c>
      <c r="DD116" s="4">
        <v>548</v>
      </c>
      <c r="DE116" s="4">
        <v>548</v>
      </c>
      <c r="DF116" s="4">
        <v>659</v>
      </c>
      <c r="DG116" s="4">
        <v>629</v>
      </c>
      <c r="DH116" s="4">
        <v>634</v>
      </c>
      <c r="DI116" s="4">
        <v>609</v>
      </c>
      <c r="DJ116" s="4">
        <v>546</v>
      </c>
      <c r="DK116" s="4">
        <v>0.43</v>
      </c>
      <c r="DL116" s="4">
        <v>-0.31</v>
      </c>
      <c r="DM116" s="4">
        <v>7.44</v>
      </c>
      <c r="DN116" s="4">
        <v>7.45</v>
      </c>
      <c r="DO116" s="4">
        <v>7.52</v>
      </c>
      <c r="DP116" s="4">
        <v>7.62</v>
      </c>
      <c r="DQ116" s="4">
        <v>7.83</v>
      </c>
      <c r="DR116" s="4">
        <v>7.85</v>
      </c>
      <c r="DS116" s="4">
        <v>0</v>
      </c>
      <c r="DT116" s="4">
        <v>1.3</v>
      </c>
      <c r="DU116" s="4">
        <v>6.15</v>
      </c>
      <c r="DV116" s="4">
        <v>6.09</v>
      </c>
      <c r="DW116" s="4">
        <v>6.24</v>
      </c>
      <c r="DX116" s="4">
        <v>6.43</v>
      </c>
      <c r="DY116" s="4">
        <v>6.54</v>
      </c>
      <c r="DZ116" s="4">
        <v>0</v>
      </c>
      <c r="EA116" s="4">
        <v>0</v>
      </c>
      <c r="EB116" s="100">
        <v>1.3</v>
      </c>
      <c r="EC116" s="122">
        <v>44.7</v>
      </c>
      <c r="ED116" s="122">
        <v>45.9</v>
      </c>
      <c r="EE116" s="122">
        <v>45.3</v>
      </c>
      <c r="EF116" s="122">
        <v>21.2</v>
      </c>
      <c r="EG116" s="122">
        <v>1.2</v>
      </c>
      <c r="EH116" s="122">
        <v>-6.4</v>
      </c>
      <c r="EI116" s="122">
        <v>-6.8</v>
      </c>
      <c r="EJ116" s="122">
        <v>-6.6</v>
      </c>
      <c r="EK116" s="122">
        <v>12.1</v>
      </c>
      <c r="EL116" s="122">
        <v>0.4</v>
      </c>
      <c r="EM116" s="122">
        <v>4</v>
      </c>
      <c r="EN116" s="122">
        <v>11.6</v>
      </c>
      <c r="EO116" s="122">
        <v>25</v>
      </c>
      <c r="EP116" s="122">
        <v>61.2</v>
      </c>
      <c r="EQ116" s="126">
        <v>16</v>
      </c>
      <c r="ER116" s="94">
        <v>7.58</v>
      </c>
      <c r="ES116" s="4">
        <v>7.34</v>
      </c>
      <c r="ET116" s="4">
        <v>14.7</v>
      </c>
      <c r="EU116" s="4">
        <v>-1.4</v>
      </c>
      <c r="EV116" s="4">
        <v>0.51</v>
      </c>
      <c r="EW116" s="4">
        <v>0.53</v>
      </c>
      <c r="EX116" s="4">
        <v>4.9000000000000004</v>
      </c>
      <c r="EY116" s="4">
        <v>5.44</v>
      </c>
      <c r="EZ116" s="4">
        <v>535</v>
      </c>
      <c r="FA116" s="4">
        <v>537</v>
      </c>
      <c r="FB116" s="4">
        <v>666</v>
      </c>
      <c r="FC116" s="4">
        <v>607</v>
      </c>
      <c r="FD116" s="4">
        <v>652</v>
      </c>
      <c r="FE116" s="4">
        <v>583</v>
      </c>
      <c r="FF116" s="4">
        <v>528</v>
      </c>
      <c r="FG116" s="4">
        <v>0.79</v>
      </c>
      <c r="FH116" s="4">
        <v>-0.53</v>
      </c>
      <c r="FI116" s="4">
        <v>7.43</v>
      </c>
      <c r="FJ116" s="4">
        <v>7.46</v>
      </c>
      <c r="FK116" s="4">
        <v>7.52</v>
      </c>
      <c r="FL116" s="4">
        <v>7.68</v>
      </c>
      <c r="FM116" s="4">
        <v>7.91</v>
      </c>
      <c r="FN116" s="4">
        <v>8</v>
      </c>
      <c r="FO116" s="4">
        <v>0</v>
      </c>
      <c r="FP116" s="4">
        <v>1.2</v>
      </c>
      <c r="FQ116" s="4">
        <v>6.13</v>
      </c>
      <c r="FR116" s="4">
        <v>5.98</v>
      </c>
      <c r="FS116" s="4">
        <v>6.11</v>
      </c>
      <c r="FT116" s="4">
        <v>6.49</v>
      </c>
      <c r="FU116" s="4">
        <v>6.78</v>
      </c>
      <c r="FV116" s="4">
        <v>0</v>
      </c>
      <c r="FW116" s="4">
        <v>0</v>
      </c>
      <c r="FX116" s="97">
        <v>1.2</v>
      </c>
      <c r="FY116" s="122">
        <v>44.5</v>
      </c>
      <c r="FZ116" s="122">
        <v>46</v>
      </c>
      <c r="GA116" s="122">
        <v>45.3</v>
      </c>
      <c r="GB116" s="122">
        <v>14.7</v>
      </c>
      <c r="GC116" s="122">
        <v>1.4</v>
      </c>
      <c r="GD116" s="122">
        <v>-6.3</v>
      </c>
      <c r="GE116" s="122">
        <v>-6.8</v>
      </c>
      <c r="GF116" s="122">
        <v>-6.6</v>
      </c>
      <c r="GG116" s="122">
        <v>14.1</v>
      </c>
      <c r="GH116" s="122">
        <v>0.5</v>
      </c>
      <c r="GI116" s="122">
        <v>3.9</v>
      </c>
      <c r="GJ116" s="122">
        <v>11.4</v>
      </c>
      <c r="GK116" s="122">
        <v>24.9</v>
      </c>
      <c r="GL116" s="122">
        <v>61.5</v>
      </c>
      <c r="GM116" s="131">
        <v>15</v>
      </c>
      <c r="IJ116" s="94">
        <f t="shared" si="426"/>
        <v>7.58</v>
      </c>
      <c r="IK116" s="4">
        <f t="shared" si="427"/>
        <v>7.34</v>
      </c>
      <c r="IL116" s="4">
        <f t="shared" si="428"/>
        <v>14.7</v>
      </c>
      <c r="IM116" s="4">
        <f t="shared" si="429"/>
        <v>-1.4</v>
      </c>
      <c r="IN116" s="4">
        <f t="shared" si="430"/>
        <v>0.51</v>
      </c>
      <c r="IO116" s="4">
        <f t="shared" si="431"/>
        <v>0.53</v>
      </c>
      <c r="IP116" s="4">
        <f t="shared" si="432"/>
        <v>4.9000000000000004</v>
      </c>
      <c r="IQ116" s="4">
        <f t="shared" si="433"/>
        <v>5.44</v>
      </c>
      <c r="IR116" s="4">
        <f t="shared" si="434"/>
        <v>535</v>
      </c>
      <c r="IS116" s="4">
        <f t="shared" si="435"/>
        <v>537</v>
      </c>
      <c r="IT116" s="4">
        <f t="shared" si="436"/>
        <v>666</v>
      </c>
      <c r="IU116" s="4">
        <f t="shared" si="437"/>
        <v>607</v>
      </c>
      <c r="IV116" s="4">
        <f t="shared" si="438"/>
        <v>652</v>
      </c>
      <c r="IW116" s="4">
        <f t="shared" si="439"/>
        <v>583</v>
      </c>
      <c r="IX116" s="4">
        <f t="shared" si="440"/>
        <v>528</v>
      </c>
      <c r="IY116" s="4">
        <f t="shared" si="441"/>
        <v>0.79</v>
      </c>
      <c r="IZ116" s="4">
        <f t="shared" si="442"/>
        <v>-0.53</v>
      </c>
      <c r="JA116" s="4">
        <f t="shared" si="443"/>
        <v>7.43</v>
      </c>
      <c r="JB116" s="4">
        <f t="shared" si="444"/>
        <v>7.46</v>
      </c>
      <c r="JC116" s="4">
        <f t="shared" si="445"/>
        <v>7.52</v>
      </c>
      <c r="JD116" s="4">
        <f t="shared" si="446"/>
        <v>7.68</v>
      </c>
      <c r="JE116" s="4">
        <f t="shared" si="447"/>
        <v>7.91</v>
      </c>
      <c r="JF116" s="4">
        <f t="shared" si="448"/>
        <v>8</v>
      </c>
      <c r="JG116" s="4">
        <f t="shared" si="449"/>
        <v>0</v>
      </c>
      <c r="JH116" s="4">
        <f t="shared" si="450"/>
        <v>1.2</v>
      </c>
      <c r="JI116" s="4">
        <f t="shared" si="451"/>
        <v>6.13</v>
      </c>
      <c r="JJ116" s="4">
        <f t="shared" si="452"/>
        <v>5.98</v>
      </c>
      <c r="JK116" s="4">
        <f t="shared" si="453"/>
        <v>6.11</v>
      </c>
      <c r="JL116" s="4">
        <f t="shared" si="454"/>
        <v>6.49</v>
      </c>
      <c r="JM116" s="4">
        <f t="shared" si="455"/>
        <v>6.78</v>
      </c>
      <c r="JN116" s="4">
        <f t="shared" si="456"/>
        <v>0</v>
      </c>
      <c r="JO116" s="129">
        <f t="shared" si="457"/>
        <v>0</v>
      </c>
      <c r="JP116" s="122">
        <f t="shared" si="458"/>
        <v>1.2</v>
      </c>
      <c r="JQ116" s="122">
        <f t="shared" si="459"/>
        <v>44.5</v>
      </c>
      <c r="JR116" s="122">
        <f t="shared" si="460"/>
        <v>46</v>
      </c>
      <c r="JS116" s="122">
        <f t="shared" si="461"/>
        <v>45.3</v>
      </c>
      <c r="JT116" s="122">
        <f t="shared" si="462"/>
        <v>14.7</v>
      </c>
      <c r="JU116" s="122">
        <f t="shared" si="463"/>
        <v>1.4</v>
      </c>
      <c r="JV116" s="122">
        <f t="shared" si="464"/>
        <v>-6.3</v>
      </c>
      <c r="JW116" s="122">
        <f t="shared" si="465"/>
        <v>-6.8</v>
      </c>
      <c r="JX116" s="122">
        <f t="shared" si="466"/>
        <v>-6.6</v>
      </c>
      <c r="JY116" s="122">
        <f t="shared" si="467"/>
        <v>14.1</v>
      </c>
      <c r="JZ116" s="122">
        <f t="shared" si="468"/>
        <v>0.5</v>
      </c>
      <c r="KA116" s="122">
        <f t="shared" si="469"/>
        <v>3.9</v>
      </c>
      <c r="KB116" s="122">
        <f t="shared" si="470"/>
        <v>11.4</v>
      </c>
      <c r="KC116" s="122">
        <f t="shared" si="471"/>
        <v>24.9</v>
      </c>
      <c r="KD116" s="122">
        <f t="shared" si="472"/>
        <v>61.5</v>
      </c>
      <c r="KE116" s="133">
        <f t="shared" si="473"/>
        <v>15</v>
      </c>
      <c r="KF116" s="94">
        <f t="shared" si="474"/>
        <v>4.0000000000000036E-2</v>
      </c>
      <c r="KG116" s="4">
        <f t="shared" si="475"/>
        <v>-9.9999999999997868E-3</v>
      </c>
      <c r="KH116" s="4">
        <f t="shared" si="476"/>
        <v>-6.5</v>
      </c>
      <c r="KI116" s="4">
        <f t="shared" si="477"/>
        <v>-0.19999999999999996</v>
      </c>
      <c r="KJ116" s="4">
        <f t="shared" si="478"/>
        <v>4.0000000000000036E-2</v>
      </c>
      <c r="KK116" s="4">
        <f t="shared" si="479"/>
        <v>5.0000000000000044E-2</v>
      </c>
      <c r="KL116" s="4">
        <f t="shared" si="480"/>
        <v>1.6200000000000006</v>
      </c>
      <c r="KM116" s="4">
        <f t="shared" si="481"/>
        <v>1.6100000000000003</v>
      </c>
      <c r="KN116" s="4">
        <f t="shared" si="482"/>
        <v>-13</v>
      </c>
      <c r="KO116" s="4">
        <f t="shared" si="483"/>
        <v>-11</v>
      </c>
      <c r="KP116" s="4">
        <f t="shared" si="484"/>
        <v>7</v>
      </c>
      <c r="KQ116" s="4">
        <f t="shared" si="485"/>
        <v>-22</v>
      </c>
      <c r="KR116" s="4">
        <f t="shared" si="486"/>
        <v>18</v>
      </c>
      <c r="KS116" s="4">
        <f t="shared" si="487"/>
        <v>-26</v>
      </c>
      <c r="KT116" s="4">
        <f t="shared" si="488"/>
        <v>-18</v>
      </c>
      <c r="KU116" s="4">
        <f t="shared" si="489"/>
        <v>0.36000000000000004</v>
      </c>
      <c r="KV116" s="4">
        <f t="shared" si="490"/>
        <v>-0.22000000000000003</v>
      </c>
      <c r="KW116" s="4">
        <f t="shared" si="491"/>
        <v>-1.0000000000000675E-2</v>
      </c>
      <c r="KX116" s="4">
        <f t="shared" si="492"/>
        <v>9.9999999999997868E-3</v>
      </c>
      <c r="KY116" s="4">
        <f t="shared" si="493"/>
        <v>0</v>
      </c>
      <c r="KZ116" s="4">
        <f t="shared" si="494"/>
        <v>5.9999999999999609E-2</v>
      </c>
      <c r="LA116" s="4">
        <f t="shared" si="495"/>
        <v>8.0000000000000071E-2</v>
      </c>
      <c r="LB116" s="4">
        <f t="shared" si="496"/>
        <v>0.15000000000000036</v>
      </c>
      <c r="LC116" s="4">
        <f t="shared" si="497"/>
        <v>0</v>
      </c>
      <c r="LD116" s="4">
        <f t="shared" si="498"/>
        <v>-0.10000000000000009</v>
      </c>
      <c r="LE116" s="4">
        <f t="shared" si="499"/>
        <v>-2.0000000000000462E-2</v>
      </c>
      <c r="LF116" s="4">
        <f t="shared" si="500"/>
        <v>-0.10999999999999943</v>
      </c>
      <c r="LG116" s="4">
        <f t="shared" si="501"/>
        <v>-0.12999999999999989</v>
      </c>
      <c r="LH116" s="4">
        <f t="shared" si="502"/>
        <v>6.0000000000000497E-2</v>
      </c>
      <c r="LI116" s="4">
        <f t="shared" si="503"/>
        <v>0.24000000000000021</v>
      </c>
      <c r="LJ116" s="4">
        <f t="shared" si="504"/>
        <v>0</v>
      </c>
      <c r="LK116" s="4">
        <f t="shared" si="505"/>
        <v>0</v>
      </c>
      <c r="LL116" s="4">
        <f t="shared" si="506"/>
        <v>-0.10000000000000009</v>
      </c>
      <c r="LM116" s="4">
        <f t="shared" si="507"/>
        <v>-0.20000000000000284</v>
      </c>
      <c r="LN116" s="4">
        <f t="shared" si="508"/>
        <v>0.10000000000000142</v>
      </c>
      <c r="LO116" s="4">
        <f t="shared" si="509"/>
        <v>0</v>
      </c>
      <c r="LP116" s="4">
        <f t="shared" si="510"/>
        <v>-6.5</v>
      </c>
      <c r="LQ116" s="4">
        <f t="shared" si="511"/>
        <v>0.19999999999999996</v>
      </c>
      <c r="LR116" s="4">
        <f t="shared" si="512"/>
        <v>0.10000000000000053</v>
      </c>
      <c r="LS116" s="4">
        <f t="shared" si="513"/>
        <v>0</v>
      </c>
      <c r="LT116" s="4">
        <f t="shared" si="514"/>
        <v>0</v>
      </c>
      <c r="LU116" s="4">
        <f t="shared" si="515"/>
        <v>2</v>
      </c>
      <c r="LV116" s="4">
        <f t="shared" si="516"/>
        <v>9.9999999999999978E-2</v>
      </c>
      <c r="LW116" s="4">
        <f t="shared" si="517"/>
        <v>-0.10000000000000009</v>
      </c>
      <c r="LX116" s="4">
        <f t="shared" si="518"/>
        <v>-0.19999999999999929</v>
      </c>
      <c r="LY116" s="4">
        <f t="shared" si="519"/>
        <v>-0.10000000000000142</v>
      </c>
      <c r="LZ116" s="4">
        <f t="shared" si="520"/>
        <v>0.29999999999999716</v>
      </c>
      <c r="MA116" s="4">
        <f t="shared" si="521"/>
        <v>-1</v>
      </c>
      <c r="MB116" s="4" t="str">
        <f t="shared" si="522"/>
        <v/>
      </c>
      <c r="MC116" s="4" t="str">
        <f t="shared" si="523"/>
        <v/>
      </c>
      <c r="MD116" s="4" t="str">
        <f t="shared" si="524"/>
        <v/>
      </c>
      <c r="ME116" s="4">
        <f t="shared" si="525"/>
        <v>6.8</v>
      </c>
    </row>
    <row r="117" spans="1:343" ht="26.25" customHeight="1" x14ac:dyDescent="0.2">
      <c r="A117" s="44">
        <v>41430</v>
      </c>
      <c r="B117" s="36" t="s">
        <v>162</v>
      </c>
      <c r="C117" s="36" t="s">
        <v>63</v>
      </c>
      <c r="D117" s="31" t="s">
        <v>110</v>
      </c>
      <c r="E117" s="4">
        <v>70</v>
      </c>
      <c r="F117" s="3">
        <v>15813</v>
      </c>
      <c r="G117" s="38" t="s">
        <v>87</v>
      </c>
      <c r="H117" s="38" t="s">
        <v>108</v>
      </c>
      <c r="I117" s="45">
        <v>1836592</v>
      </c>
      <c r="J117" s="45"/>
      <c r="K117" s="82"/>
      <c r="L117" s="82"/>
      <c r="M117" s="82"/>
      <c r="N117" s="82"/>
      <c r="O117" s="82"/>
      <c r="P117" s="33">
        <v>-0.5</v>
      </c>
      <c r="Q117" s="33">
        <v>-0.44</v>
      </c>
      <c r="R117" s="33" t="s">
        <v>249</v>
      </c>
      <c r="S117" s="67">
        <v>22.25</v>
      </c>
      <c r="T117" s="137">
        <v>41361</v>
      </c>
      <c r="U117" s="67">
        <v>3.25</v>
      </c>
      <c r="V117" s="67">
        <v>0</v>
      </c>
      <c r="W117" s="4">
        <v>0</v>
      </c>
      <c r="X117" s="4">
        <v>40</v>
      </c>
      <c r="Y117" s="4">
        <v>19</v>
      </c>
      <c r="Z117" s="4">
        <v>629</v>
      </c>
      <c r="AI117" s="4">
        <v>0</v>
      </c>
      <c r="AJ117" s="4" t="b">
        <f t="shared" si="398"/>
        <v>0</v>
      </c>
      <c r="AL117" s="37">
        <v>41655</v>
      </c>
      <c r="AM117" s="56">
        <v>30</v>
      </c>
      <c r="AN117" s="67">
        <v>0.5</v>
      </c>
      <c r="AO117" s="67">
        <v>0.5</v>
      </c>
      <c r="AP117" s="4">
        <v>73</v>
      </c>
      <c r="AQ117" s="4">
        <v>20</v>
      </c>
      <c r="AR117" s="4">
        <v>13</v>
      </c>
      <c r="AS117" s="4">
        <v>531</v>
      </c>
      <c r="AT117" s="4">
        <v>2188</v>
      </c>
      <c r="BA117" s="4">
        <f t="shared" si="399"/>
        <v>0.75</v>
      </c>
      <c r="BB117" s="4">
        <f t="shared" si="397"/>
        <v>1.19</v>
      </c>
      <c r="BC117" s="4">
        <f t="shared" si="400"/>
        <v>-98</v>
      </c>
      <c r="BD117" s="51" t="s">
        <v>505</v>
      </c>
      <c r="BT117" s="4" t="str">
        <f t="shared" si="401"/>
        <v/>
      </c>
      <c r="BU117" s="4" t="str">
        <f t="shared" si="402"/>
        <v/>
      </c>
      <c r="BV117" s="4">
        <f>IF(AND(ISBLANK(SPH_6),ISBLANK(SPH_12)),0,1)</f>
        <v>1</v>
      </c>
      <c r="BW117" s="4">
        <f t="shared" si="403"/>
        <v>0</v>
      </c>
      <c r="BX117" s="4" t="str">
        <f t="shared" si="404"/>
        <v/>
      </c>
      <c r="BY117" s="4" t="str">
        <f t="shared" si="405"/>
        <v/>
      </c>
      <c r="BZ117" s="4" t="str">
        <f t="shared" si="406"/>
        <v/>
      </c>
      <c r="CA117" s="53">
        <f t="shared" si="407"/>
        <v>225</v>
      </c>
      <c r="CB117" s="55">
        <f t="shared" si="408"/>
        <v>7.5</v>
      </c>
      <c r="CC117" s="4" t="str">
        <f t="shared" si="409"/>
        <v/>
      </c>
      <c r="CD117" s="4" t="str">
        <f t="shared" si="410"/>
        <v/>
      </c>
      <c r="CE117" s="4" t="str">
        <f t="shared" si="411"/>
        <v/>
      </c>
      <c r="CF117" s="4" t="str">
        <f t="shared" si="412"/>
        <v/>
      </c>
      <c r="CG117" s="4">
        <f t="shared" si="526"/>
        <v>3.25</v>
      </c>
      <c r="CH117" s="4">
        <f t="shared" si="413"/>
        <v>0.75</v>
      </c>
      <c r="CI117" s="104">
        <f t="shared" si="414"/>
        <v>1.19</v>
      </c>
      <c r="CJ117" s="94">
        <f t="shared" si="415"/>
        <v>-98</v>
      </c>
      <c r="CK117" s="4" t="str">
        <f t="shared" si="416"/>
        <v/>
      </c>
      <c r="CL117" s="107">
        <f t="shared" si="417"/>
        <v>-0.44</v>
      </c>
      <c r="CM117" s="107">
        <f t="shared" si="527"/>
        <v>0.3010299956639812</v>
      </c>
      <c r="CN117" s="139">
        <f t="shared" si="418"/>
        <v>0.5</v>
      </c>
      <c r="CO117" s="139">
        <f t="shared" si="419"/>
        <v>0.5</v>
      </c>
      <c r="CP117" s="149">
        <f t="shared" si="420"/>
        <v>20</v>
      </c>
      <c r="CQ117" s="149">
        <f t="shared" si="421"/>
        <v>40</v>
      </c>
      <c r="CR117" s="148">
        <f t="shared" si="422"/>
        <v>30</v>
      </c>
      <c r="CS117" s="152">
        <f t="shared" si="423"/>
        <v>0</v>
      </c>
      <c r="CT117" s="107" t="str">
        <f t="shared" si="424"/>
        <v/>
      </c>
      <c r="CU117" s="155" t="b">
        <f t="shared" si="425"/>
        <v>0</v>
      </c>
      <c r="CV117">
        <v>7.83</v>
      </c>
      <c r="CW117" s="4">
        <v>7.64</v>
      </c>
      <c r="CX117" s="4">
        <v>4</v>
      </c>
      <c r="CY117" s="4">
        <v>-1.1000000000000001</v>
      </c>
      <c r="CZ117" s="4">
        <v>-0.14000000000000001</v>
      </c>
      <c r="DA117" s="4">
        <v>0.09</v>
      </c>
      <c r="DB117" s="4">
        <v>2.71</v>
      </c>
      <c r="DC117" s="4">
        <v>3.34</v>
      </c>
      <c r="DD117" s="4">
        <v>625</v>
      </c>
      <c r="DE117" s="4">
        <v>625</v>
      </c>
      <c r="DF117" s="4">
        <v>672</v>
      </c>
      <c r="DG117" s="4">
        <v>646</v>
      </c>
      <c r="DH117" s="4">
        <v>680</v>
      </c>
      <c r="DI117" s="4">
        <v>674</v>
      </c>
      <c r="DJ117" s="4">
        <v>618</v>
      </c>
      <c r="DK117" s="4">
        <v>0.34</v>
      </c>
      <c r="DL117" s="4">
        <v>-1.54</v>
      </c>
      <c r="DM117" s="4">
        <v>7.77</v>
      </c>
      <c r="DN117" s="4">
        <v>7.65</v>
      </c>
      <c r="DO117" s="4">
        <v>7.6</v>
      </c>
      <c r="DP117" s="4">
        <v>7.65</v>
      </c>
      <c r="DQ117" s="4">
        <v>7.75</v>
      </c>
      <c r="DR117" s="4">
        <v>7.97</v>
      </c>
      <c r="DS117" s="4">
        <v>0</v>
      </c>
      <c r="DT117" s="4">
        <v>0.6</v>
      </c>
      <c r="DU117" s="4">
        <v>6.98</v>
      </c>
      <c r="DV117" s="4">
        <v>6.57</v>
      </c>
      <c r="DW117" s="4">
        <v>6.42</v>
      </c>
      <c r="DX117" s="4">
        <v>6.4</v>
      </c>
      <c r="DY117" s="4">
        <v>6.48</v>
      </c>
      <c r="DZ117" s="4">
        <v>0</v>
      </c>
      <c r="EA117" s="4">
        <v>0</v>
      </c>
      <c r="EB117" s="100">
        <v>0.6</v>
      </c>
      <c r="EC117" s="122">
        <v>43.1</v>
      </c>
      <c r="ED117" s="122">
        <v>44.2</v>
      </c>
      <c r="EE117" s="122">
        <v>43.6</v>
      </c>
      <c r="EF117" s="122">
        <v>4</v>
      </c>
      <c r="EG117" s="122">
        <v>1.1000000000000001</v>
      </c>
      <c r="EH117" s="122">
        <v>-5.8</v>
      </c>
      <c r="EI117" s="122">
        <v>-5.9</v>
      </c>
      <c r="EJ117" s="122">
        <v>-5.9</v>
      </c>
      <c r="EK117" s="122">
        <v>102.2</v>
      </c>
      <c r="EL117" s="122">
        <v>0.1</v>
      </c>
      <c r="EM117" s="122">
        <v>4.4000000000000004</v>
      </c>
      <c r="EN117" s="122">
        <v>12.8</v>
      </c>
      <c r="EO117" s="122">
        <v>26.8</v>
      </c>
      <c r="EP117" s="122">
        <v>64.2</v>
      </c>
      <c r="EQ117" s="126">
        <v>22</v>
      </c>
      <c r="ER117" s="94">
        <v>7.87</v>
      </c>
      <c r="ES117" s="4">
        <v>7.72</v>
      </c>
      <c r="ET117" s="4">
        <v>20.399999999999999</v>
      </c>
      <c r="EU117" s="4">
        <v>-0.8</v>
      </c>
      <c r="EV117" s="4">
        <v>-0.05</v>
      </c>
      <c r="EW117" s="4">
        <v>0.31</v>
      </c>
      <c r="EX117" s="4">
        <v>4.1100000000000003</v>
      </c>
      <c r="EY117" s="4">
        <v>4.6399999999999997</v>
      </c>
      <c r="EZ117" s="4">
        <v>533</v>
      </c>
      <c r="FA117" s="4">
        <v>529</v>
      </c>
      <c r="FB117" s="4">
        <v>654</v>
      </c>
      <c r="FC117" s="4">
        <v>635</v>
      </c>
      <c r="FD117" s="4">
        <v>650</v>
      </c>
      <c r="FE117" s="4">
        <v>620</v>
      </c>
      <c r="FF117" s="4">
        <v>516</v>
      </c>
      <c r="FG117" s="4">
        <v>0.87</v>
      </c>
      <c r="FH117" s="4">
        <v>-0.6</v>
      </c>
      <c r="FI117" s="4">
        <v>7.84</v>
      </c>
      <c r="FJ117" s="4">
        <v>7.72</v>
      </c>
      <c r="FK117" s="4">
        <v>7.69</v>
      </c>
      <c r="FL117" s="4">
        <v>7.8</v>
      </c>
      <c r="FM117" s="4">
        <v>8.01</v>
      </c>
      <c r="FN117" s="4">
        <v>8.1199999999999992</v>
      </c>
      <c r="FO117" s="4">
        <v>0</v>
      </c>
      <c r="FP117" s="4">
        <v>1.6</v>
      </c>
      <c r="FQ117" s="4">
        <v>6.16</v>
      </c>
      <c r="FR117" s="4">
        <v>6.12</v>
      </c>
      <c r="FS117" s="4">
        <v>6.23</v>
      </c>
      <c r="FT117" s="4">
        <v>6.38</v>
      </c>
      <c r="FU117" s="4">
        <v>6.49</v>
      </c>
      <c r="FV117" s="4">
        <v>0</v>
      </c>
      <c r="FW117" s="4">
        <v>0</v>
      </c>
      <c r="FX117" s="97">
        <v>1.6</v>
      </c>
      <c r="FY117" s="122">
        <v>42.9</v>
      </c>
      <c r="FZ117" s="122">
        <v>43.7</v>
      </c>
      <c r="GA117" s="122">
        <v>43.3</v>
      </c>
      <c r="GB117" s="122">
        <v>20.399999999999999</v>
      </c>
      <c r="GC117" s="122">
        <v>0.8</v>
      </c>
      <c r="GD117" s="122">
        <v>-6.3</v>
      </c>
      <c r="GE117" s="122">
        <v>-6.8</v>
      </c>
      <c r="GF117" s="122">
        <v>-6.5</v>
      </c>
      <c r="GG117" s="122">
        <v>161.1</v>
      </c>
      <c r="GH117" s="122">
        <v>0.5</v>
      </c>
      <c r="GI117" s="122">
        <v>3.9</v>
      </c>
      <c r="GJ117" s="122">
        <v>11.5</v>
      </c>
      <c r="GK117" s="122">
        <v>25.1</v>
      </c>
      <c r="GL117" s="122">
        <v>62.9</v>
      </c>
      <c r="GM117" s="131">
        <v>24</v>
      </c>
      <c r="IJ117" s="94">
        <f t="shared" si="426"/>
        <v>7.87</v>
      </c>
      <c r="IK117" s="4">
        <f t="shared" si="427"/>
        <v>7.72</v>
      </c>
      <c r="IL117" s="4">
        <f t="shared" si="428"/>
        <v>20.399999999999999</v>
      </c>
      <c r="IM117" s="4">
        <f t="shared" si="429"/>
        <v>-0.8</v>
      </c>
      <c r="IN117" s="4">
        <f t="shared" si="430"/>
        <v>-0.05</v>
      </c>
      <c r="IO117" s="4">
        <f t="shared" si="431"/>
        <v>0.31</v>
      </c>
      <c r="IP117" s="4">
        <f t="shared" si="432"/>
        <v>4.1100000000000003</v>
      </c>
      <c r="IQ117" s="4">
        <f t="shared" si="433"/>
        <v>4.6399999999999997</v>
      </c>
      <c r="IR117" s="4">
        <f t="shared" si="434"/>
        <v>533</v>
      </c>
      <c r="IS117" s="4">
        <f t="shared" si="435"/>
        <v>529</v>
      </c>
      <c r="IT117" s="4">
        <f t="shared" si="436"/>
        <v>654</v>
      </c>
      <c r="IU117" s="4">
        <f t="shared" si="437"/>
        <v>635</v>
      </c>
      <c r="IV117" s="4">
        <f t="shared" si="438"/>
        <v>650</v>
      </c>
      <c r="IW117" s="4">
        <f t="shared" si="439"/>
        <v>620</v>
      </c>
      <c r="IX117" s="4">
        <f t="shared" si="440"/>
        <v>516</v>
      </c>
      <c r="IY117" s="4">
        <f t="shared" si="441"/>
        <v>0.87</v>
      </c>
      <c r="IZ117" s="4">
        <f t="shared" si="442"/>
        <v>-0.6</v>
      </c>
      <c r="JA117" s="4">
        <f t="shared" si="443"/>
        <v>7.84</v>
      </c>
      <c r="JB117" s="4">
        <f t="shared" si="444"/>
        <v>7.72</v>
      </c>
      <c r="JC117" s="4">
        <f t="shared" si="445"/>
        <v>7.69</v>
      </c>
      <c r="JD117" s="4">
        <f t="shared" si="446"/>
        <v>7.8</v>
      </c>
      <c r="JE117" s="4">
        <f t="shared" si="447"/>
        <v>8.01</v>
      </c>
      <c r="JF117" s="4">
        <f t="shared" si="448"/>
        <v>8.1199999999999992</v>
      </c>
      <c r="JG117" s="4">
        <f t="shared" si="449"/>
        <v>0</v>
      </c>
      <c r="JH117" s="4">
        <f t="shared" si="450"/>
        <v>1.6</v>
      </c>
      <c r="JI117" s="4">
        <f t="shared" si="451"/>
        <v>6.16</v>
      </c>
      <c r="JJ117" s="4">
        <f t="shared" si="452"/>
        <v>6.12</v>
      </c>
      <c r="JK117" s="4">
        <f t="shared" si="453"/>
        <v>6.23</v>
      </c>
      <c r="JL117" s="4">
        <f t="shared" si="454"/>
        <v>6.38</v>
      </c>
      <c r="JM117" s="4">
        <f t="shared" si="455"/>
        <v>6.49</v>
      </c>
      <c r="JN117" s="4">
        <f t="shared" si="456"/>
        <v>0</v>
      </c>
      <c r="JO117" s="129">
        <f t="shared" si="457"/>
        <v>0</v>
      </c>
      <c r="JP117" s="122">
        <f t="shared" si="458"/>
        <v>1.6</v>
      </c>
      <c r="JQ117" s="122">
        <f t="shared" si="459"/>
        <v>42.9</v>
      </c>
      <c r="JR117" s="122">
        <f t="shared" si="460"/>
        <v>43.7</v>
      </c>
      <c r="JS117" s="122">
        <f t="shared" si="461"/>
        <v>43.3</v>
      </c>
      <c r="JT117" s="122">
        <f t="shared" si="462"/>
        <v>20.399999999999999</v>
      </c>
      <c r="JU117" s="122">
        <f t="shared" si="463"/>
        <v>0.8</v>
      </c>
      <c r="JV117" s="122">
        <f t="shared" si="464"/>
        <v>-6.3</v>
      </c>
      <c r="JW117" s="122">
        <f t="shared" si="465"/>
        <v>-6.8</v>
      </c>
      <c r="JX117" s="122">
        <f t="shared" si="466"/>
        <v>-6.5</v>
      </c>
      <c r="JY117" s="122">
        <f t="shared" si="467"/>
        <v>161.1</v>
      </c>
      <c r="JZ117" s="122">
        <f t="shared" si="468"/>
        <v>0.5</v>
      </c>
      <c r="KA117" s="122">
        <f t="shared" si="469"/>
        <v>3.9</v>
      </c>
      <c r="KB117" s="122">
        <f t="shared" si="470"/>
        <v>11.5</v>
      </c>
      <c r="KC117" s="122">
        <f t="shared" si="471"/>
        <v>25.1</v>
      </c>
      <c r="KD117" s="122">
        <f t="shared" si="472"/>
        <v>62.9</v>
      </c>
      <c r="KE117" s="133">
        <f t="shared" si="473"/>
        <v>24</v>
      </c>
      <c r="KF117" s="94">
        <f t="shared" si="474"/>
        <v>4.0000000000000036E-2</v>
      </c>
      <c r="KG117" s="4">
        <f t="shared" si="475"/>
        <v>8.0000000000000071E-2</v>
      </c>
      <c r="KH117" s="4">
        <f t="shared" si="476"/>
        <v>16.399999999999999</v>
      </c>
      <c r="KI117" s="4">
        <f t="shared" si="477"/>
        <v>0.30000000000000004</v>
      </c>
      <c r="KJ117" s="4">
        <f t="shared" si="478"/>
        <v>9.0000000000000011E-2</v>
      </c>
      <c r="KK117" s="4">
        <f t="shared" si="479"/>
        <v>0.22</v>
      </c>
      <c r="KL117" s="4">
        <f t="shared" si="480"/>
        <v>1.4000000000000004</v>
      </c>
      <c r="KM117" s="4">
        <f t="shared" si="481"/>
        <v>1.2999999999999998</v>
      </c>
      <c r="KN117" s="4">
        <f t="shared" si="482"/>
        <v>-92</v>
      </c>
      <c r="KO117" s="4">
        <f t="shared" si="483"/>
        <v>-96</v>
      </c>
      <c r="KP117" s="4">
        <f t="shared" si="484"/>
        <v>-18</v>
      </c>
      <c r="KQ117" s="4">
        <f t="shared" si="485"/>
        <v>-11</v>
      </c>
      <c r="KR117" s="4">
        <f t="shared" si="486"/>
        <v>-30</v>
      </c>
      <c r="KS117" s="4">
        <f t="shared" si="487"/>
        <v>-54</v>
      </c>
      <c r="KT117" s="4">
        <f t="shared" si="488"/>
        <v>-102</v>
      </c>
      <c r="KU117" s="4">
        <f t="shared" si="489"/>
        <v>0.53</v>
      </c>
      <c r="KV117" s="4">
        <f t="shared" si="490"/>
        <v>0.94000000000000006</v>
      </c>
      <c r="KW117" s="4">
        <f t="shared" si="491"/>
        <v>7.0000000000000284E-2</v>
      </c>
      <c r="KX117" s="4">
        <f t="shared" si="492"/>
        <v>6.9999999999999396E-2</v>
      </c>
      <c r="KY117" s="4">
        <f t="shared" si="493"/>
        <v>9.0000000000000746E-2</v>
      </c>
      <c r="KZ117" s="4">
        <f t="shared" si="494"/>
        <v>0.14999999999999947</v>
      </c>
      <c r="LA117" s="4">
        <f t="shared" si="495"/>
        <v>0.25999999999999979</v>
      </c>
      <c r="LB117" s="4">
        <f t="shared" si="496"/>
        <v>0.14999999999999947</v>
      </c>
      <c r="LC117" s="4">
        <f t="shared" si="497"/>
        <v>0</v>
      </c>
      <c r="LD117" s="4">
        <f t="shared" si="498"/>
        <v>1</v>
      </c>
      <c r="LE117" s="4">
        <f t="shared" si="499"/>
        <v>-0.82000000000000028</v>
      </c>
      <c r="LF117" s="4">
        <f t="shared" si="500"/>
        <v>-0.45000000000000018</v>
      </c>
      <c r="LG117" s="4">
        <f t="shared" si="501"/>
        <v>-0.1899999999999995</v>
      </c>
      <c r="LH117" s="4">
        <f t="shared" si="502"/>
        <v>-2.0000000000000462E-2</v>
      </c>
      <c r="LI117" s="4">
        <f t="shared" si="503"/>
        <v>9.9999999999997868E-3</v>
      </c>
      <c r="LJ117" s="4">
        <f t="shared" si="504"/>
        <v>0</v>
      </c>
      <c r="LK117" s="4">
        <f t="shared" si="505"/>
        <v>0</v>
      </c>
      <c r="LL117" s="4">
        <f t="shared" si="506"/>
        <v>1</v>
      </c>
      <c r="LM117" s="4">
        <f t="shared" si="507"/>
        <v>-0.20000000000000284</v>
      </c>
      <c r="LN117" s="4">
        <f t="shared" si="508"/>
        <v>-0.5</v>
      </c>
      <c r="LO117" s="4">
        <f t="shared" si="509"/>
        <v>-0.30000000000000426</v>
      </c>
      <c r="LP117" s="4">
        <f t="shared" si="510"/>
        <v>16.399999999999999</v>
      </c>
      <c r="LQ117" s="4">
        <f t="shared" si="511"/>
        <v>-0.30000000000000004</v>
      </c>
      <c r="LR117" s="4">
        <f t="shared" si="512"/>
        <v>-0.5</v>
      </c>
      <c r="LS117" s="4">
        <f t="shared" si="513"/>
        <v>-0.89999999999999947</v>
      </c>
      <c r="LT117" s="4">
        <f t="shared" si="514"/>
        <v>-0.59999999999999964</v>
      </c>
      <c r="LU117" s="4">
        <f t="shared" si="515"/>
        <v>58.899999999999991</v>
      </c>
      <c r="LV117" s="4">
        <f t="shared" si="516"/>
        <v>0.4</v>
      </c>
      <c r="LW117" s="4">
        <f t="shared" si="517"/>
        <v>-0.50000000000000044</v>
      </c>
      <c r="LX117" s="4">
        <f t="shared" si="518"/>
        <v>-1.3000000000000007</v>
      </c>
      <c r="LY117" s="4">
        <f t="shared" si="519"/>
        <v>-1.6999999999999993</v>
      </c>
      <c r="LZ117" s="4">
        <f t="shared" si="520"/>
        <v>-1.3000000000000043</v>
      </c>
      <c r="MA117" s="4">
        <f t="shared" si="521"/>
        <v>2</v>
      </c>
      <c r="MB117" s="4" t="str">
        <f t="shared" si="522"/>
        <v/>
      </c>
      <c r="MC117" s="4" t="str">
        <f t="shared" si="523"/>
        <v/>
      </c>
      <c r="MD117" s="4" t="str">
        <f t="shared" si="524"/>
        <v/>
      </c>
      <c r="ME117" s="4">
        <f t="shared" si="525"/>
        <v>6.8</v>
      </c>
    </row>
    <row r="118" spans="1:343" ht="26.25" customHeight="1" x14ac:dyDescent="0.2">
      <c r="A118" s="44">
        <v>41451</v>
      </c>
      <c r="B118" s="36" t="s">
        <v>269</v>
      </c>
      <c r="C118" s="36" t="s">
        <v>270</v>
      </c>
      <c r="D118" s="31" t="s">
        <v>110</v>
      </c>
      <c r="E118" s="4">
        <v>67</v>
      </c>
      <c r="F118" s="3">
        <v>16959</v>
      </c>
      <c r="G118" s="4" t="s">
        <v>87</v>
      </c>
      <c r="H118" s="4" t="s">
        <v>108</v>
      </c>
      <c r="I118" s="4">
        <v>1822626</v>
      </c>
      <c r="J118" s="4" t="s">
        <v>310</v>
      </c>
      <c r="P118" s="33">
        <v>-0.5</v>
      </c>
      <c r="Q118" s="4">
        <v>-0.73</v>
      </c>
      <c r="R118" s="4" t="s">
        <v>249</v>
      </c>
      <c r="S118" s="67">
        <v>16.75</v>
      </c>
      <c r="T118" s="137">
        <v>41417</v>
      </c>
      <c r="U118" s="67">
        <v>-2</v>
      </c>
      <c r="V118" s="67">
        <v>0.25</v>
      </c>
      <c r="W118" s="4">
        <v>67</v>
      </c>
      <c r="X118" s="4">
        <v>40</v>
      </c>
      <c r="Y118" s="4">
        <v>12</v>
      </c>
      <c r="Z118" s="4">
        <v>614</v>
      </c>
      <c r="AI118" s="4">
        <v>0</v>
      </c>
      <c r="AJ118" s="4" t="b">
        <f t="shared" si="398"/>
        <v>0</v>
      </c>
      <c r="AL118" s="3">
        <v>41631</v>
      </c>
      <c r="AM118" s="56">
        <v>25</v>
      </c>
      <c r="AN118" s="67">
        <v>-0.25</v>
      </c>
      <c r="AO118" s="67">
        <v>0.5</v>
      </c>
      <c r="AP118" s="4">
        <v>47</v>
      </c>
      <c r="AQ118" s="4">
        <v>25</v>
      </c>
      <c r="AR118" s="4">
        <v>10</v>
      </c>
      <c r="AS118" s="4">
        <v>468</v>
      </c>
      <c r="AT118" s="4">
        <v>1855</v>
      </c>
      <c r="AU118" s="4" t="s">
        <v>282</v>
      </c>
      <c r="AV118" s="4" t="s">
        <v>282</v>
      </c>
      <c r="AW118" s="4" t="s">
        <v>282</v>
      </c>
      <c r="AX118" s="4" t="s">
        <v>282</v>
      </c>
      <c r="AY118" s="4" t="s">
        <v>282</v>
      </c>
      <c r="AZ118" s="4" t="s">
        <v>282</v>
      </c>
      <c r="BA118" s="4">
        <f t="shared" si="399"/>
        <v>0</v>
      </c>
      <c r="BB118" s="4">
        <f t="shared" si="397"/>
        <v>0.73</v>
      </c>
      <c r="BC118" s="4">
        <f t="shared" si="400"/>
        <v>-146</v>
      </c>
      <c r="BD118" s="150">
        <v>41809</v>
      </c>
      <c r="BE118" s="59"/>
      <c r="BT118" s="4" t="str">
        <f t="shared" si="401"/>
        <v/>
      </c>
      <c r="BU118" s="4" t="str">
        <f t="shared" si="402"/>
        <v/>
      </c>
      <c r="BV118" s="4">
        <f>IF(AND(ISBLANK(SPH_6),ISBLANK(SPH_12)),0,1)</f>
        <v>1</v>
      </c>
      <c r="BW118" s="4">
        <f t="shared" si="403"/>
        <v>0</v>
      </c>
      <c r="BX118" s="4" t="str">
        <f t="shared" si="404"/>
        <v/>
      </c>
      <c r="BY118" s="4" t="str">
        <f t="shared" si="405"/>
        <v/>
      </c>
      <c r="BZ118" s="4" t="str">
        <f t="shared" si="406"/>
        <v/>
      </c>
      <c r="CA118" s="53">
        <f t="shared" si="407"/>
        <v>180</v>
      </c>
      <c r="CB118" s="55">
        <f t="shared" si="408"/>
        <v>6</v>
      </c>
      <c r="CC118" s="4" t="str">
        <f t="shared" si="409"/>
        <v/>
      </c>
      <c r="CD118" s="4" t="str">
        <f t="shared" si="410"/>
        <v/>
      </c>
      <c r="CE118" s="4" t="str">
        <f t="shared" si="411"/>
        <v/>
      </c>
      <c r="CF118" s="4" t="str">
        <f t="shared" si="412"/>
        <v/>
      </c>
      <c r="CG118" s="4">
        <f t="shared" si="526"/>
        <v>-1.875</v>
      </c>
      <c r="CH118" s="4">
        <f t="shared" si="413"/>
        <v>0</v>
      </c>
      <c r="CI118" s="104">
        <f t="shared" si="414"/>
        <v>0.73</v>
      </c>
      <c r="CJ118" s="94">
        <f t="shared" si="415"/>
        <v>-146</v>
      </c>
      <c r="CK118" s="4" t="str">
        <f t="shared" si="416"/>
        <v/>
      </c>
      <c r="CL118" s="107">
        <f t="shared" si="417"/>
        <v>-0.73</v>
      </c>
      <c r="CM118" s="107">
        <f t="shared" si="527"/>
        <v>0.20411998265592479</v>
      </c>
      <c r="CN118" s="139">
        <f t="shared" si="418"/>
        <v>0.5</v>
      </c>
      <c r="CO118" s="139">
        <f t="shared" si="419"/>
        <v>0.25</v>
      </c>
      <c r="CP118" s="149">
        <f t="shared" si="420"/>
        <v>25</v>
      </c>
      <c r="CQ118" s="149">
        <f t="shared" si="421"/>
        <v>40</v>
      </c>
      <c r="CR118" s="148">
        <f t="shared" si="422"/>
        <v>25</v>
      </c>
      <c r="CS118" s="152" t="str">
        <f t="shared" si="423"/>
        <v/>
      </c>
      <c r="CT118" s="107" t="str">
        <f t="shared" si="424"/>
        <v/>
      </c>
      <c r="CU118" s="155" t="str">
        <f t="shared" si="425"/>
        <v/>
      </c>
      <c r="EC118" s="122">
        <v>43.9</v>
      </c>
      <c r="ED118" s="122">
        <v>44.5</v>
      </c>
      <c r="EE118" s="122">
        <v>44.2</v>
      </c>
      <c r="EF118" s="122">
        <v>5.9</v>
      </c>
      <c r="EG118" s="122">
        <v>0.6</v>
      </c>
      <c r="EH118" s="122">
        <v>-6</v>
      </c>
      <c r="EI118" s="122">
        <v>-6.3</v>
      </c>
      <c r="EJ118" s="122">
        <v>-6.1</v>
      </c>
      <c r="EK118" s="122">
        <v>104.1</v>
      </c>
      <c r="EL118" s="122">
        <v>0.3</v>
      </c>
      <c r="EM118" s="122">
        <v>4.5</v>
      </c>
      <c r="EN118" s="122">
        <v>12.9</v>
      </c>
      <c r="EO118" s="122">
        <v>27.2</v>
      </c>
      <c r="EP118" s="122">
        <v>63.8</v>
      </c>
      <c r="EQ118" s="126">
        <v>18</v>
      </c>
      <c r="IJ118" s="94" t="str">
        <f t="shared" si="426"/>
        <v/>
      </c>
      <c r="IK118" s="4" t="str">
        <f t="shared" si="427"/>
        <v/>
      </c>
      <c r="IL118" s="4" t="str">
        <f t="shared" si="428"/>
        <v/>
      </c>
      <c r="IM118" s="4" t="str">
        <f t="shared" si="429"/>
        <v/>
      </c>
      <c r="IN118" s="4" t="str">
        <f t="shared" si="430"/>
        <v/>
      </c>
      <c r="IO118" s="4" t="str">
        <f t="shared" si="431"/>
        <v/>
      </c>
      <c r="IP118" s="4" t="str">
        <f t="shared" si="432"/>
        <v/>
      </c>
      <c r="IQ118" s="4" t="str">
        <f t="shared" si="433"/>
        <v/>
      </c>
      <c r="IR118" s="4" t="str">
        <f t="shared" si="434"/>
        <v/>
      </c>
      <c r="IS118" s="4" t="str">
        <f t="shared" si="435"/>
        <v/>
      </c>
      <c r="IT118" s="4" t="str">
        <f t="shared" si="436"/>
        <v/>
      </c>
      <c r="IU118" s="4" t="str">
        <f t="shared" si="437"/>
        <v/>
      </c>
      <c r="IV118" s="4" t="str">
        <f t="shared" si="438"/>
        <v/>
      </c>
      <c r="IW118" s="4" t="str">
        <f t="shared" si="439"/>
        <v/>
      </c>
      <c r="IX118" s="4" t="str">
        <f t="shared" si="440"/>
        <v/>
      </c>
      <c r="IY118" s="4" t="str">
        <f t="shared" si="441"/>
        <v/>
      </c>
      <c r="IZ118" s="4" t="str">
        <f t="shared" si="442"/>
        <v/>
      </c>
      <c r="JA118" s="4" t="str">
        <f t="shared" si="443"/>
        <v/>
      </c>
      <c r="JB118" s="4" t="str">
        <f t="shared" si="444"/>
        <v/>
      </c>
      <c r="JC118" s="4" t="str">
        <f t="shared" si="445"/>
        <v/>
      </c>
      <c r="JD118" s="4" t="str">
        <f t="shared" si="446"/>
        <v/>
      </c>
      <c r="JE118" s="4" t="str">
        <f t="shared" si="447"/>
        <v/>
      </c>
      <c r="JF118" s="4" t="str">
        <f t="shared" si="448"/>
        <v/>
      </c>
      <c r="JG118" s="4" t="str">
        <f t="shared" si="449"/>
        <v/>
      </c>
      <c r="JH118" s="4" t="str">
        <f t="shared" si="450"/>
        <v/>
      </c>
      <c r="JI118" s="4" t="str">
        <f t="shared" si="451"/>
        <v/>
      </c>
      <c r="JJ118" s="4" t="str">
        <f t="shared" si="452"/>
        <v/>
      </c>
      <c r="JK118" s="4" t="str">
        <f t="shared" si="453"/>
        <v/>
      </c>
      <c r="JL118" s="4" t="str">
        <f t="shared" si="454"/>
        <v/>
      </c>
      <c r="JM118" s="4" t="str">
        <f t="shared" si="455"/>
        <v/>
      </c>
      <c r="JN118" s="4" t="str">
        <f t="shared" si="456"/>
        <v/>
      </c>
      <c r="JO118" s="129" t="str">
        <f t="shared" si="457"/>
        <v/>
      </c>
      <c r="JP118" s="122" t="str">
        <f t="shared" si="458"/>
        <v/>
      </c>
      <c r="JQ118" s="122" t="str">
        <f t="shared" si="459"/>
        <v/>
      </c>
      <c r="JR118" s="122" t="str">
        <f t="shared" si="460"/>
        <v/>
      </c>
      <c r="JS118" s="122" t="str">
        <f t="shared" si="461"/>
        <v/>
      </c>
      <c r="JT118" s="122" t="str">
        <f t="shared" si="462"/>
        <v/>
      </c>
      <c r="JU118" s="122" t="str">
        <f t="shared" si="463"/>
        <v/>
      </c>
      <c r="JV118" s="122" t="str">
        <f t="shared" si="464"/>
        <v/>
      </c>
      <c r="JW118" s="122" t="str">
        <f t="shared" si="465"/>
        <v/>
      </c>
      <c r="JX118" s="122" t="str">
        <f t="shared" si="466"/>
        <v/>
      </c>
      <c r="JY118" s="122" t="str">
        <f t="shared" si="467"/>
        <v/>
      </c>
      <c r="JZ118" s="122" t="str">
        <f t="shared" si="468"/>
        <v/>
      </c>
      <c r="KA118" s="122" t="str">
        <f t="shared" si="469"/>
        <v/>
      </c>
      <c r="KB118" s="122" t="str">
        <f t="shared" si="470"/>
        <v/>
      </c>
      <c r="KC118" s="122" t="str">
        <f t="shared" si="471"/>
        <v/>
      </c>
      <c r="KD118" s="122" t="str">
        <f t="shared" si="472"/>
        <v/>
      </c>
      <c r="KE118" s="133" t="str">
        <f t="shared" si="473"/>
        <v/>
      </c>
      <c r="KF118" s="94" t="str">
        <f t="shared" si="474"/>
        <v/>
      </c>
      <c r="KG118" s="4" t="str">
        <f t="shared" si="475"/>
        <v/>
      </c>
      <c r="KH118" s="4" t="str">
        <f t="shared" si="476"/>
        <v/>
      </c>
      <c r="KI118" s="4" t="str">
        <f t="shared" si="477"/>
        <v/>
      </c>
      <c r="KJ118" s="4" t="str">
        <f t="shared" si="478"/>
        <v/>
      </c>
      <c r="KK118" s="4" t="str">
        <f t="shared" si="479"/>
        <v/>
      </c>
      <c r="KL118" s="4" t="str">
        <f t="shared" si="480"/>
        <v/>
      </c>
      <c r="KM118" s="4" t="str">
        <f t="shared" si="481"/>
        <v/>
      </c>
      <c r="KN118" s="4" t="str">
        <f t="shared" si="482"/>
        <v/>
      </c>
      <c r="KO118" s="4" t="str">
        <f t="shared" si="483"/>
        <v/>
      </c>
      <c r="KP118" s="4" t="str">
        <f t="shared" si="484"/>
        <v/>
      </c>
      <c r="KQ118" s="4" t="str">
        <f t="shared" si="485"/>
        <v/>
      </c>
      <c r="KR118" s="4" t="str">
        <f t="shared" si="486"/>
        <v/>
      </c>
      <c r="KS118" s="4" t="str">
        <f t="shared" si="487"/>
        <v/>
      </c>
      <c r="KT118" s="4" t="str">
        <f t="shared" si="488"/>
        <v/>
      </c>
      <c r="KU118" s="4" t="str">
        <f t="shared" si="489"/>
        <v/>
      </c>
      <c r="KV118" s="4" t="str">
        <f t="shared" si="490"/>
        <v/>
      </c>
      <c r="KW118" s="4" t="str">
        <f t="shared" si="491"/>
        <v/>
      </c>
      <c r="KX118" s="4" t="str">
        <f t="shared" si="492"/>
        <v/>
      </c>
      <c r="KY118" s="4" t="str">
        <f t="shared" si="493"/>
        <v/>
      </c>
      <c r="KZ118" s="4" t="str">
        <f t="shared" si="494"/>
        <v/>
      </c>
      <c r="LA118" s="4" t="str">
        <f t="shared" si="495"/>
        <v/>
      </c>
      <c r="LB118" s="4" t="str">
        <f t="shared" si="496"/>
        <v/>
      </c>
      <c r="LC118" s="4" t="str">
        <f t="shared" si="497"/>
        <v/>
      </c>
      <c r="LD118" s="4" t="str">
        <f t="shared" si="498"/>
        <v/>
      </c>
      <c r="LE118" s="4" t="str">
        <f t="shared" si="499"/>
        <v/>
      </c>
      <c r="LF118" s="4" t="str">
        <f t="shared" si="500"/>
        <v/>
      </c>
      <c r="LG118" s="4" t="str">
        <f t="shared" si="501"/>
        <v/>
      </c>
      <c r="LH118" s="4" t="str">
        <f t="shared" si="502"/>
        <v/>
      </c>
      <c r="LI118" s="4" t="str">
        <f t="shared" si="503"/>
        <v/>
      </c>
      <c r="LJ118" s="4" t="str">
        <f t="shared" si="504"/>
        <v/>
      </c>
      <c r="LK118" s="4" t="str">
        <f t="shared" si="505"/>
        <v/>
      </c>
      <c r="LL118" s="4" t="str">
        <f t="shared" si="506"/>
        <v/>
      </c>
      <c r="LM118" s="4" t="str">
        <f t="shared" si="507"/>
        <v/>
      </c>
      <c r="LN118" s="4" t="str">
        <f t="shared" si="508"/>
        <v/>
      </c>
      <c r="LO118" s="4" t="str">
        <f t="shared" si="509"/>
        <v/>
      </c>
      <c r="LP118" s="4" t="str">
        <f t="shared" si="510"/>
        <v/>
      </c>
      <c r="LQ118" s="4" t="str">
        <f t="shared" si="511"/>
        <v/>
      </c>
      <c r="LR118" s="4" t="str">
        <f t="shared" si="512"/>
        <v/>
      </c>
      <c r="LS118" s="4" t="str">
        <f t="shared" si="513"/>
        <v/>
      </c>
      <c r="LT118" s="4" t="str">
        <f t="shared" si="514"/>
        <v/>
      </c>
      <c r="LU118" s="4" t="str">
        <f t="shared" si="515"/>
        <v/>
      </c>
      <c r="LV118" s="4" t="str">
        <f t="shared" si="516"/>
        <v/>
      </c>
      <c r="LW118" s="4" t="str">
        <f t="shared" si="517"/>
        <v/>
      </c>
      <c r="LX118" s="4" t="str">
        <f t="shared" si="518"/>
        <v/>
      </c>
      <c r="LY118" s="4" t="str">
        <f t="shared" si="519"/>
        <v/>
      </c>
      <c r="LZ118" s="4" t="str">
        <f t="shared" si="520"/>
        <v/>
      </c>
      <c r="MA118" s="4" t="str">
        <f t="shared" si="521"/>
        <v/>
      </c>
      <c r="MB118" s="4" t="str">
        <f t="shared" si="522"/>
        <v/>
      </c>
      <c r="MC118" s="4" t="str">
        <f t="shared" si="523"/>
        <v/>
      </c>
      <c r="MD118" s="4" t="str">
        <f t="shared" si="524"/>
        <v/>
      </c>
      <c r="ME118" s="4">
        <f t="shared" si="525"/>
        <v>0</v>
      </c>
    </row>
    <row r="119" spans="1:343" ht="26.25" customHeight="1" x14ac:dyDescent="0.2">
      <c r="A119" s="44">
        <v>41430</v>
      </c>
      <c r="B119" s="36" t="s">
        <v>256</v>
      </c>
      <c r="C119" s="36" t="s">
        <v>257</v>
      </c>
      <c r="D119" s="31" t="s">
        <v>111</v>
      </c>
      <c r="E119" s="4">
        <v>71</v>
      </c>
      <c r="F119" s="3">
        <v>15196</v>
      </c>
      <c r="G119" s="38" t="s">
        <v>87</v>
      </c>
      <c r="H119" s="38" t="s">
        <v>108</v>
      </c>
      <c r="I119" s="45">
        <v>1835182</v>
      </c>
      <c r="L119" s="76"/>
      <c r="M119" s="76"/>
      <c r="N119" s="76"/>
      <c r="O119" s="76"/>
      <c r="P119" s="33">
        <v>-0.5</v>
      </c>
      <c r="Q119" s="33">
        <v>-0.54</v>
      </c>
      <c r="R119" s="33" t="s">
        <v>249</v>
      </c>
      <c r="S119" s="67">
        <v>21.5</v>
      </c>
      <c r="T119" s="137">
        <v>41428</v>
      </c>
      <c r="U119" s="67">
        <v>-0.5</v>
      </c>
      <c r="V119" s="67">
        <v>3</v>
      </c>
      <c r="W119" s="4">
        <v>5</v>
      </c>
      <c r="X119" s="4">
        <v>20</v>
      </c>
      <c r="Y119" s="4">
        <v>14</v>
      </c>
      <c r="Z119" s="4">
        <v>594</v>
      </c>
      <c r="AA119" s="4">
        <v>23.73</v>
      </c>
      <c r="AB119" s="4">
        <v>11.8</v>
      </c>
      <c r="AC119" s="4">
        <v>4.95</v>
      </c>
      <c r="AD119" s="4">
        <v>3.45</v>
      </c>
      <c r="AE119" s="4">
        <v>45.24</v>
      </c>
      <c r="AF119" s="4">
        <v>97</v>
      </c>
      <c r="AG119" s="4">
        <v>46.87</v>
      </c>
      <c r="AH119" s="4">
        <v>7</v>
      </c>
      <c r="AI119" s="4">
        <v>0</v>
      </c>
      <c r="AJ119" s="4" t="b">
        <f t="shared" si="398"/>
        <v>0</v>
      </c>
      <c r="AK119" s="43" t="s">
        <v>307</v>
      </c>
      <c r="AL119" s="51" t="s">
        <v>78</v>
      </c>
      <c r="BC119" s="4" t="str">
        <f t="shared" si="400"/>
        <v/>
      </c>
      <c r="BD119" s="51" t="s">
        <v>505</v>
      </c>
      <c r="BT119" s="4" t="str">
        <f t="shared" si="401"/>
        <v/>
      </c>
      <c r="BU119" s="4" t="str">
        <f t="shared" si="402"/>
        <v/>
      </c>
      <c r="BV119" s="4">
        <f>IF(AND(ISBLANK(SPH_6),ISBLANK(SPH_12)),0,1)</f>
        <v>0</v>
      </c>
      <c r="BW119" s="4">
        <f t="shared" si="403"/>
        <v>0</v>
      </c>
      <c r="BX119" s="4" t="str">
        <f t="shared" si="404"/>
        <v/>
      </c>
      <c r="BY119" s="4" t="str">
        <f t="shared" si="405"/>
        <v/>
      </c>
      <c r="BZ119" s="4" t="str">
        <f t="shared" si="406"/>
        <v/>
      </c>
      <c r="CA119" s="53">
        <f t="shared" si="407"/>
        <v>0</v>
      </c>
      <c r="CB119" s="55" t="str">
        <f t="shared" si="408"/>
        <v/>
      </c>
      <c r="CC119" s="4" t="str">
        <f t="shared" si="409"/>
        <v/>
      </c>
      <c r="CD119" s="4" t="str">
        <f t="shared" si="410"/>
        <v/>
      </c>
      <c r="CE119" s="4" t="str">
        <f t="shared" si="411"/>
        <v/>
      </c>
      <c r="CF119" s="4" t="str">
        <f t="shared" si="412"/>
        <v/>
      </c>
      <c r="CG119" s="4" t="str">
        <f t="shared" si="526"/>
        <v/>
      </c>
      <c r="CH119" s="4" t="str">
        <f t="shared" si="413"/>
        <v/>
      </c>
      <c r="CI119" s="104" t="str">
        <f t="shared" si="414"/>
        <v/>
      </c>
      <c r="CJ119" s="94" t="str">
        <f t="shared" si="415"/>
        <v/>
      </c>
      <c r="CK119" s="4" t="str">
        <f t="shared" si="416"/>
        <v/>
      </c>
      <c r="CL119" s="107" t="str">
        <f t="shared" si="417"/>
        <v/>
      </c>
      <c r="CM119" s="107" t="str">
        <f t="shared" si="527"/>
        <v/>
      </c>
      <c r="CN119" s="139" t="str">
        <f t="shared" si="418"/>
        <v/>
      </c>
      <c r="CO119" s="139" t="str">
        <f t="shared" si="419"/>
        <v/>
      </c>
      <c r="CP119" s="149" t="str">
        <f t="shared" si="420"/>
        <v/>
      </c>
      <c r="CQ119" s="149" t="str">
        <f t="shared" si="421"/>
        <v/>
      </c>
      <c r="CR119" s="148" t="str">
        <f t="shared" si="422"/>
        <v/>
      </c>
      <c r="CS119" s="152" t="str">
        <f t="shared" si="423"/>
        <v/>
      </c>
      <c r="CT119" s="107" t="str">
        <f t="shared" si="424"/>
        <v/>
      </c>
      <c r="CU119" s="155" t="str">
        <f t="shared" si="425"/>
        <v/>
      </c>
      <c r="CV119">
        <v>7.26</v>
      </c>
      <c r="CW119" s="4">
        <v>7.55</v>
      </c>
      <c r="CX119" s="4">
        <v>107.1</v>
      </c>
      <c r="CY119" s="4">
        <v>1.8</v>
      </c>
      <c r="CZ119" s="4">
        <v>0.38</v>
      </c>
      <c r="DA119" s="4">
        <v>0.56999999999999995</v>
      </c>
      <c r="DB119" s="4">
        <v>2.54</v>
      </c>
      <c r="DC119" s="4">
        <v>3.14</v>
      </c>
      <c r="DD119" s="4">
        <v>595</v>
      </c>
      <c r="DE119" s="4">
        <v>596</v>
      </c>
      <c r="DF119" s="4">
        <v>648</v>
      </c>
      <c r="DG119" s="4">
        <v>655</v>
      </c>
      <c r="DH119" s="4">
        <v>641</v>
      </c>
      <c r="DI119" s="4">
        <v>672</v>
      </c>
      <c r="DJ119" s="4">
        <v>593</v>
      </c>
      <c r="DK119" s="4">
        <v>0.61</v>
      </c>
      <c r="DL119" s="4">
        <v>0.2</v>
      </c>
      <c r="DM119" s="4">
        <v>7.38</v>
      </c>
      <c r="DN119" s="4">
        <v>7.41</v>
      </c>
      <c r="DO119" s="4">
        <v>7.45</v>
      </c>
      <c r="DP119" s="4">
        <v>7.64</v>
      </c>
      <c r="DQ119" s="4">
        <v>7.83</v>
      </c>
      <c r="DR119" s="4">
        <v>7.91</v>
      </c>
      <c r="DS119" s="4">
        <v>0</v>
      </c>
      <c r="DT119" s="4">
        <v>1.1000000000000001</v>
      </c>
      <c r="DU119" s="4">
        <v>6.28</v>
      </c>
      <c r="DV119" s="4">
        <v>6.2</v>
      </c>
      <c r="DW119" s="4">
        <v>6.31</v>
      </c>
      <c r="DX119" s="4">
        <v>6.57</v>
      </c>
      <c r="DY119" s="4">
        <v>6.71</v>
      </c>
      <c r="DZ119" s="4">
        <v>0</v>
      </c>
      <c r="EA119" s="4">
        <v>0</v>
      </c>
      <c r="EB119" s="100">
        <v>1.1000000000000001</v>
      </c>
      <c r="EC119" s="122">
        <v>44.7</v>
      </c>
      <c r="ED119" s="122">
        <v>46.5</v>
      </c>
      <c r="EE119" s="122">
        <v>45.6</v>
      </c>
      <c r="EF119" s="122">
        <v>107.1</v>
      </c>
      <c r="EG119" s="122">
        <v>1.8</v>
      </c>
      <c r="EH119" s="122">
        <v>-6.3</v>
      </c>
      <c r="EI119" s="122">
        <v>-6.4</v>
      </c>
      <c r="EJ119" s="122">
        <v>-6.4</v>
      </c>
      <c r="EK119" s="122">
        <v>37.1</v>
      </c>
      <c r="EL119" s="122">
        <v>0.1</v>
      </c>
      <c r="EM119" s="122">
        <v>4.3</v>
      </c>
      <c r="EN119" s="122">
        <v>12.4</v>
      </c>
      <c r="EO119" s="122">
        <v>26.3</v>
      </c>
      <c r="EP119" s="122">
        <v>62.6</v>
      </c>
      <c r="EQ119" s="126">
        <v>19</v>
      </c>
      <c r="IJ119" s="94" t="str">
        <f t="shared" si="426"/>
        <v/>
      </c>
      <c r="IK119" s="4" t="str">
        <f t="shared" si="427"/>
        <v/>
      </c>
      <c r="IL119" s="4" t="str">
        <f t="shared" si="428"/>
        <v/>
      </c>
      <c r="IM119" s="4" t="str">
        <f t="shared" si="429"/>
        <v/>
      </c>
      <c r="IN119" s="4" t="str">
        <f t="shared" si="430"/>
        <v/>
      </c>
      <c r="IO119" s="4" t="str">
        <f t="shared" si="431"/>
        <v/>
      </c>
      <c r="IP119" s="4" t="str">
        <f t="shared" si="432"/>
        <v/>
      </c>
      <c r="IQ119" s="4" t="str">
        <f t="shared" si="433"/>
        <v/>
      </c>
      <c r="IR119" s="4" t="str">
        <f t="shared" si="434"/>
        <v/>
      </c>
      <c r="IS119" s="4" t="str">
        <f t="shared" si="435"/>
        <v/>
      </c>
      <c r="IT119" s="4" t="str">
        <f t="shared" si="436"/>
        <v/>
      </c>
      <c r="IU119" s="4" t="str">
        <f t="shared" si="437"/>
        <v/>
      </c>
      <c r="IV119" s="4" t="str">
        <f t="shared" si="438"/>
        <v/>
      </c>
      <c r="IW119" s="4" t="str">
        <f t="shared" si="439"/>
        <v/>
      </c>
      <c r="IX119" s="4" t="str">
        <f t="shared" si="440"/>
        <v/>
      </c>
      <c r="IY119" s="4" t="str">
        <f t="shared" si="441"/>
        <v/>
      </c>
      <c r="IZ119" s="4" t="str">
        <f t="shared" si="442"/>
        <v/>
      </c>
      <c r="JA119" s="4" t="str">
        <f t="shared" si="443"/>
        <v/>
      </c>
      <c r="JB119" s="4" t="str">
        <f t="shared" si="444"/>
        <v/>
      </c>
      <c r="JC119" s="4" t="str">
        <f t="shared" si="445"/>
        <v/>
      </c>
      <c r="JD119" s="4" t="str">
        <f t="shared" si="446"/>
        <v/>
      </c>
      <c r="JE119" s="4" t="str">
        <f t="shared" si="447"/>
        <v/>
      </c>
      <c r="JF119" s="4" t="str">
        <f t="shared" si="448"/>
        <v/>
      </c>
      <c r="JG119" s="4" t="str">
        <f t="shared" si="449"/>
        <v/>
      </c>
      <c r="JH119" s="4" t="str">
        <f t="shared" si="450"/>
        <v/>
      </c>
      <c r="JI119" s="4" t="str">
        <f t="shared" si="451"/>
        <v/>
      </c>
      <c r="JJ119" s="4" t="str">
        <f t="shared" si="452"/>
        <v/>
      </c>
      <c r="JK119" s="4" t="str">
        <f t="shared" si="453"/>
        <v/>
      </c>
      <c r="JL119" s="4" t="str">
        <f t="shared" si="454"/>
        <v/>
      </c>
      <c r="JM119" s="4" t="str">
        <f t="shared" si="455"/>
        <v/>
      </c>
      <c r="JN119" s="4" t="str">
        <f t="shared" si="456"/>
        <v/>
      </c>
      <c r="JO119" s="129" t="str">
        <f t="shared" si="457"/>
        <v/>
      </c>
      <c r="JP119" s="122" t="str">
        <f t="shared" si="458"/>
        <v/>
      </c>
      <c r="JQ119" s="122" t="str">
        <f t="shared" si="459"/>
        <v/>
      </c>
      <c r="JR119" s="122" t="str">
        <f t="shared" si="460"/>
        <v/>
      </c>
      <c r="JS119" s="122" t="str">
        <f t="shared" si="461"/>
        <v/>
      </c>
      <c r="JT119" s="122" t="str">
        <f t="shared" si="462"/>
        <v/>
      </c>
      <c r="JU119" s="122" t="str">
        <f t="shared" si="463"/>
        <v/>
      </c>
      <c r="JV119" s="122" t="str">
        <f t="shared" si="464"/>
        <v/>
      </c>
      <c r="JW119" s="122" t="str">
        <f t="shared" si="465"/>
        <v/>
      </c>
      <c r="JX119" s="122" t="str">
        <f t="shared" si="466"/>
        <v/>
      </c>
      <c r="JY119" s="122" t="str">
        <f t="shared" si="467"/>
        <v/>
      </c>
      <c r="JZ119" s="122" t="str">
        <f t="shared" si="468"/>
        <v/>
      </c>
      <c r="KA119" s="122" t="str">
        <f t="shared" si="469"/>
        <v/>
      </c>
      <c r="KB119" s="122" t="str">
        <f t="shared" si="470"/>
        <v/>
      </c>
      <c r="KC119" s="122" t="str">
        <f t="shared" si="471"/>
        <v/>
      </c>
      <c r="KD119" s="122" t="str">
        <f t="shared" si="472"/>
        <v/>
      </c>
      <c r="KE119" s="133" t="str">
        <f t="shared" si="473"/>
        <v/>
      </c>
      <c r="KF119" s="94" t="str">
        <f t="shared" si="474"/>
        <v/>
      </c>
      <c r="KG119" s="4" t="str">
        <f t="shared" si="475"/>
        <v/>
      </c>
      <c r="KH119" s="4" t="str">
        <f t="shared" si="476"/>
        <v/>
      </c>
      <c r="KI119" s="4" t="str">
        <f t="shared" si="477"/>
        <v/>
      </c>
      <c r="KJ119" s="4" t="str">
        <f t="shared" si="478"/>
        <v/>
      </c>
      <c r="KK119" s="4" t="str">
        <f t="shared" si="479"/>
        <v/>
      </c>
      <c r="KL119" s="4" t="str">
        <f t="shared" si="480"/>
        <v/>
      </c>
      <c r="KM119" s="4" t="str">
        <f t="shared" si="481"/>
        <v/>
      </c>
      <c r="KN119" s="4" t="str">
        <f t="shared" si="482"/>
        <v/>
      </c>
      <c r="KO119" s="4" t="str">
        <f t="shared" si="483"/>
        <v/>
      </c>
      <c r="KP119" s="4" t="str">
        <f t="shared" si="484"/>
        <v/>
      </c>
      <c r="KQ119" s="4" t="str">
        <f t="shared" si="485"/>
        <v/>
      </c>
      <c r="KR119" s="4" t="str">
        <f t="shared" si="486"/>
        <v/>
      </c>
      <c r="KS119" s="4" t="str">
        <f t="shared" si="487"/>
        <v/>
      </c>
      <c r="KT119" s="4" t="str">
        <f t="shared" si="488"/>
        <v/>
      </c>
      <c r="KU119" s="4" t="str">
        <f t="shared" si="489"/>
        <v/>
      </c>
      <c r="KV119" s="4" t="str">
        <f t="shared" si="490"/>
        <v/>
      </c>
      <c r="KW119" s="4" t="str">
        <f t="shared" si="491"/>
        <v/>
      </c>
      <c r="KX119" s="4" t="str">
        <f t="shared" si="492"/>
        <v/>
      </c>
      <c r="KY119" s="4" t="str">
        <f t="shared" si="493"/>
        <v/>
      </c>
      <c r="KZ119" s="4" t="str">
        <f t="shared" si="494"/>
        <v/>
      </c>
      <c r="LA119" s="4" t="str">
        <f t="shared" si="495"/>
        <v/>
      </c>
      <c r="LB119" s="4" t="str">
        <f t="shared" si="496"/>
        <v/>
      </c>
      <c r="LC119" s="4" t="str">
        <f t="shared" si="497"/>
        <v/>
      </c>
      <c r="LD119" s="4" t="str">
        <f t="shared" si="498"/>
        <v/>
      </c>
      <c r="LE119" s="4" t="str">
        <f t="shared" si="499"/>
        <v/>
      </c>
      <c r="LF119" s="4" t="str">
        <f t="shared" si="500"/>
        <v/>
      </c>
      <c r="LG119" s="4" t="str">
        <f t="shared" si="501"/>
        <v/>
      </c>
      <c r="LH119" s="4" t="str">
        <f t="shared" si="502"/>
        <v/>
      </c>
      <c r="LI119" s="4" t="str">
        <f t="shared" si="503"/>
        <v/>
      </c>
      <c r="LJ119" s="4" t="str">
        <f t="shared" si="504"/>
        <v/>
      </c>
      <c r="LK119" s="4" t="str">
        <f t="shared" si="505"/>
        <v/>
      </c>
      <c r="LL119" s="4" t="str">
        <f t="shared" si="506"/>
        <v/>
      </c>
      <c r="LM119" s="4" t="str">
        <f t="shared" si="507"/>
        <v/>
      </c>
      <c r="LN119" s="4" t="str">
        <f t="shared" si="508"/>
        <v/>
      </c>
      <c r="LO119" s="4" t="str">
        <f t="shared" si="509"/>
        <v/>
      </c>
      <c r="LP119" s="4" t="str">
        <f t="shared" si="510"/>
        <v/>
      </c>
      <c r="LQ119" s="4" t="str">
        <f t="shared" si="511"/>
        <v/>
      </c>
      <c r="LR119" s="4" t="str">
        <f t="shared" si="512"/>
        <v/>
      </c>
      <c r="LS119" s="4" t="str">
        <f t="shared" si="513"/>
        <v/>
      </c>
      <c r="LT119" s="4" t="str">
        <f t="shared" si="514"/>
        <v/>
      </c>
      <c r="LU119" s="4" t="str">
        <f t="shared" si="515"/>
        <v/>
      </c>
      <c r="LV119" s="4" t="str">
        <f t="shared" si="516"/>
        <v/>
      </c>
      <c r="LW119" s="4" t="str">
        <f t="shared" si="517"/>
        <v/>
      </c>
      <c r="LX119" s="4" t="str">
        <f t="shared" si="518"/>
        <v/>
      </c>
      <c r="LY119" s="4" t="str">
        <f t="shared" si="519"/>
        <v/>
      </c>
      <c r="LZ119" s="4" t="str">
        <f t="shared" si="520"/>
        <v/>
      </c>
      <c r="MA119" s="4" t="str">
        <f t="shared" si="521"/>
        <v/>
      </c>
      <c r="MB119" s="4" t="str">
        <f t="shared" si="522"/>
        <v/>
      </c>
      <c r="MC119" s="4" t="str">
        <f t="shared" si="523"/>
        <v/>
      </c>
      <c r="MD119" s="4" t="str">
        <f t="shared" si="524"/>
        <v/>
      </c>
      <c r="ME119" s="4">
        <f t="shared" si="525"/>
        <v>0</v>
      </c>
    </row>
    <row r="120" spans="1:343" ht="26.25" customHeight="1" x14ac:dyDescent="0.2">
      <c r="A120" s="44">
        <v>41449</v>
      </c>
      <c r="B120" s="36" t="s">
        <v>267</v>
      </c>
      <c r="C120" s="36" t="s">
        <v>268</v>
      </c>
      <c r="D120" s="31" t="s">
        <v>111</v>
      </c>
      <c r="E120" s="4">
        <v>68</v>
      </c>
      <c r="F120" s="3">
        <v>16330</v>
      </c>
      <c r="G120" s="4" t="s">
        <v>87</v>
      </c>
      <c r="H120" s="4" t="s">
        <v>108</v>
      </c>
      <c r="I120" s="45">
        <v>1835573</v>
      </c>
      <c r="J120" s="45"/>
      <c r="K120" s="82"/>
      <c r="L120" s="82"/>
      <c r="M120" s="82"/>
      <c r="N120" s="82"/>
      <c r="O120" s="82"/>
      <c r="P120" s="33">
        <v>-0.5</v>
      </c>
      <c r="Q120" s="33">
        <v>-0.54</v>
      </c>
      <c r="R120" s="33" t="s">
        <v>249</v>
      </c>
      <c r="S120" s="67">
        <v>20.5</v>
      </c>
      <c r="T120" s="137">
        <v>41439</v>
      </c>
      <c r="U120" s="67">
        <v>0</v>
      </c>
      <c r="V120" s="67">
        <v>0</v>
      </c>
      <c r="W120" s="4">
        <v>0</v>
      </c>
      <c r="X120" s="4">
        <v>60</v>
      </c>
      <c r="Y120" s="4">
        <v>17</v>
      </c>
      <c r="Z120" s="4">
        <v>506</v>
      </c>
      <c r="AI120" s="4">
        <v>0</v>
      </c>
      <c r="AJ120" s="4" t="b">
        <f t="shared" si="398"/>
        <v>0</v>
      </c>
      <c r="AL120" s="54" t="s">
        <v>78</v>
      </c>
      <c r="BA120" s="4" t="str">
        <f>IF(ISNUMBER(AN120),AN120+0.5*AO120,"")</f>
        <v/>
      </c>
      <c r="BB120" s="4" t="str">
        <f>IF(ISNUMBER(BA120),IF(ISNUMBER(Q120),BA120-Q120,"MISSING"),"")</f>
        <v/>
      </c>
      <c r="BC120" s="4" t="str">
        <f t="shared" si="400"/>
        <v/>
      </c>
      <c r="BD120" s="51" t="s">
        <v>505</v>
      </c>
      <c r="BT120" s="4" t="str">
        <f t="shared" si="401"/>
        <v/>
      </c>
      <c r="BU120" s="4" t="str">
        <f t="shared" si="402"/>
        <v/>
      </c>
      <c r="BV120" s="4">
        <f>IF(AND(ISBLANK(SPH_6),ISBLANK(SPH_12)),0,1)</f>
        <v>0</v>
      </c>
      <c r="BW120" s="4">
        <f t="shared" si="403"/>
        <v>0</v>
      </c>
      <c r="BX120" s="4" t="str">
        <f t="shared" si="404"/>
        <v/>
      </c>
      <c r="BY120" s="4" t="str">
        <f t="shared" si="405"/>
        <v/>
      </c>
      <c r="BZ120" s="4" t="str">
        <f t="shared" si="406"/>
        <v/>
      </c>
      <c r="CA120" s="53">
        <f t="shared" si="407"/>
        <v>0</v>
      </c>
      <c r="CB120" s="55" t="str">
        <f t="shared" si="408"/>
        <v/>
      </c>
      <c r="CC120" s="4" t="str">
        <f t="shared" si="409"/>
        <v/>
      </c>
      <c r="CD120" s="4" t="str">
        <f t="shared" si="410"/>
        <v/>
      </c>
      <c r="CE120" s="4" t="str">
        <f t="shared" si="411"/>
        <v/>
      </c>
      <c r="CF120" s="4" t="str">
        <f t="shared" si="412"/>
        <v/>
      </c>
      <c r="CG120" s="4" t="str">
        <f t="shared" si="526"/>
        <v/>
      </c>
      <c r="CH120" s="4" t="str">
        <f t="shared" si="413"/>
        <v/>
      </c>
      <c r="CI120" s="104" t="str">
        <f t="shared" si="414"/>
        <v/>
      </c>
      <c r="CJ120" s="94" t="str">
        <f t="shared" si="415"/>
        <v/>
      </c>
      <c r="CK120" s="4" t="str">
        <f t="shared" si="416"/>
        <v/>
      </c>
      <c r="CL120" s="107" t="str">
        <f t="shared" si="417"/>
        <v/>
      </c>
      <c r="CM120" s="107" t="str">
        <f t="shared" si="527"/>
        <v/>
      </c>
      <c r="CN120" s="139" t="str">
        <f t="shared" si="418"/>
        <v/>
      </c>
      <c r="CO120" s="139" t="str">
        <f t="shared" si="419"/>
        <v/>
      </c>
      <c r="CP120" s="149" t="str">
        <f t="shared" si="420"/>
        <v/>
      </c>
      <c r="CQ120" s="149" t="str">
        <f t="shared" si="421"/>
        <v/>
      </c>
      <c r="CR120" s="148" t="str">
        <f t="shared" si="422"/>
        <v/>
      </c>
      <c r="CS120" s="152" t="str">
        <f t="shared" si="423"/>
        <v/>
      </c>
      <c r="CT120" s="107" t="str">
        <f t="shared" si="424"/>
        <v/>
      </c>
      <c r="CU120" s="155" t="str">
        <f t="shared" si="425"/>
        <v/>
      </c>
      <c r="CV120">
        <v>544</v>
      </c>
      <c r="CW120" s="4">
        <v>-0.33</v>
      </c>
      <c r="CX120" s="4">
        <v>-0.79</v>
      </c>
      <c r="CY120" s="4">
        <v>8.31</v>
      </c>
      <c r="CZ120" s="4">
        <v>8.16</v>
      </c>
      <c r="DA120" s="4">
        <v>8.11</v>
      </c>
      <c r="DB120" s="4">
        <v>8.26</v>
      </c>
      <c r="DC120" s="4">
        <v>8.57</v>
      </c>
      <c r="DD120" s="4">
        <v>8.74</v>
      </c>
      <c r="DE120" s="4">
        <v>0</v>
      </c>
      <c r="DF120" s="4">
        <v>1</v>
      </c>
      <c r="DG120" s="4">
        <v>7.08</v>
      </c>
      <c r="DH120" s="4">
        <v>7.04</v>
      </c>
      <c r="DI120" s="4">
        <v>7.03</v>
      </c>
      <c r="DJ120" s="4">
        <v>7.19</v>
      </c>
      <c r="DK120" s="4">
        <v>7.57</v>
      </c>
      <c r="DL120" s="4">
        <v>0</v>
      </c>
      <c r="DM120" s="4">
        <v>0</v>
      </c>
      <c r="DN120" s="4">
        <v>1</v>
      </c>
      <c r="IJ120" s="94" t="str">
        <f t="shared" si="426"/>
        <v/>
      </c>
      <c r="IK120" s="4" t="str">
        <f t="shared" si="427"/>
        <v/>
      </c>
      <c r="IL120" s="4" t="str">
        <f t="shared" si="428"/>
        <v/>
      </c>
      <c r="IM120" s="4" t="str">
        <f t="shared" si="429"/>
        <v/>
      </c>
      <c r="IN120" s="4" t="str">
        <f t="shared" si="430"/>
        <v/>
      </c>
      <c r="IO120" s="4" t="str">
        <f t="shared" si="431"/>
        <v/>
      </c>
      <c r="IP120" s="4" t="str">
        <f t="shared" si="432"/>
        <v/>
      </c>
      <c r="IQ120" s="4" t="str">
        <f t="shared" si="433"/>
        <v/>
      </c>
      <c r="IR120" s="4" t="str">
        <f t="shared" si="434"/>
        <v/>
      </c>
      <c r="IS120" s="4" t="str">
        <f t="shared" si="435"/>
        <v/>
      </c>
      <c r="IT120" s="4" t="str">
        <f t="shared" si="436"/>
        <v/>
      </c>
      <c r="IU120" s="4" t="str">
        <f t="shared" si="437"/>
        <v/>
      </c>
      <c r="IV120" s="4" t="str">
        <f t="shared" si="438"/>
        <v/>
      </c>
      <c r="IW120" s="4" t="str">
        <f t="shared" si="439"/>
        <v/>
      </c>
      <c r="IX120" s="4" t="str">
        <f t="shared" si="440"/>
        <v/>
      </c>
      <c r="IY120" s="4" t="str">
        <f t="shared" si="441"/>
        <v/>
      </c>
      <c r="IZ120" s="4" t="str">
        <f t="shared" si="442"/>
        <v/>
      </c>
      <c r="JA120" s="4" t="str">
        <f t="shared" si="443"/>
        <v/>
      </c>
      <c r="JB120" s="4" t="str">
        <f t="shared" si="444"/>
        <v/>
      </c>
      <c r="JC120" s="4" t="str">
        <f t="shared" si="445"/>
        <v/>
      </c>
      <c r="JD120" s="4" t="str">
        <f t="shared" si="446"/>
        <v/>
      </c>
      <c r="JE120" s="4" t="str">
        <f t="shared" si="447"/>
        <v/>
      </c>
      <c r="JF120" s="4" t="str">
        <f t="shared" si="448"/>
        <v/>
      </c>
      <c r="JG120" s="4" t="str">
        <f t="shared" si="449"/>
        <v/>
      </c>
      <c r="JH120" s="4" t="str">
        <f t="shared" si="450"/>
        <v/>
      </c>
      <c r="JI120" s="4" t="str">
        <f t="shared" si="451"/>
        <v/>
      </c>
      <c r="JJ120" s="4" t="str">
        <f t="shared" si="452"/>
        <v/>
      </c>
      <c r="JK120" s="4" t="str">
        <f t="shared" si="453"/>
        <v/>
      </c>
      <c r="JL120" s="4" t="str">
        <f t="shared" si="454"/>
        <v/>
      </c>
      <c r="JM120" s="4" t="str">
        <f t="shared" si="455"/>
        <v/>
      </c>
      <c r="JN120" s="4" t="str">
        <f t="shared" si="456"/>
        <v/>
      </c>
      <c r="JO120" s="129" t="str">
        <f t="shared" si="457"/>
        <v/>
      </c>
      <c r="JP120" s="122" t="str">
        <f t="shared" si="458"/>
        <v/>
      </c>
      <c r="JQ120" s="122" t="str">
        <f t="shared" si="459"/>
        <v/>
      </c>
      <c r="JR120" s="122" t="str">
        <f t="shared" si="460"/>
        <v/>
      </c>
      <c r="JS120" s="122" t="str">
        <f t="shared" si="461"/>
        <v/>
      </c>
      <c r="JT120" s="122" t="str">
        <f t="shared" si="462"/>
        <v/>
      </c>
      <c r="JU120" s="122" t="str">
        <f t="shared" si="463"/>
        <v/>
      </c>
      <c r="JV120" s="122" t="str">
        <f t="shared" si="464"/>
        <v/>
      </c>
      <c r="JW120" s="122" t="str">
        <f t="shared" si="465"/>
        <v/>
      </c>
      <c r="JX120" s="122" t="str">
        <f t="shared" si="466"/>
        <v/>
      </c>
      <c r="JY120" s="122" t="str">
        <f t="shared" si="467"/>
        <v/>
      </c>
      <c r="JZ120" s="122" t="str">
        <f t="shared" si="468"/>
        <v/>
      </c>
      <c r="KA120" s="122" t="str">
        <f t="shared" si="469"/>
        <v/>
      </c>
      <c r="KB120" s="122" t="str">
        <f t="shared" si="470"/>
        <v/>
      </c>
      <c r="KC120" s="122" t="str">
        <f t="shared" si="471"/>
        <v/>
      </c>
      <c r="KD120" s="122" t="str">
        <f t="shared" si="472"/>
        <v/>
      </c>
      <c r="KE120" s="133" t="str">
        <f t="shared" si="473"/>
        <v/>
      </c>
      <c r="KF120" s="94" t="str">
        <f t="shared" si="474"/>
        <v/>
      </c>
      <c r="KG120" s="4" t="str">
        <f t="shared" si="475"/>
        <v/>
      </c>
      <c r="KH120" s="4" t="str">
        <f t="shared" si="476"/>
        <v/>
      </c>
      <c r="KI120" s="4" t="str">
        <f t="shared" si="477"/>
        <v/>
      </c>
      <c r="KJ120" s="4" t="str">
        <f t="shared" si="478"/>
        <v/>
      </c>
      <c r="KK120" s="4" t="str">
        <f t="shared" si="479"/>
        <v/>
      </c>
      <c r="KL120" s="4" t="str">
        <f t="shared" si="480"/>
        <v/>
      </c>
      <c r="KM120" s="4" t="str">
        <f t="shared" si="481"/>
        <v/>
      </c>
      <c r="KN120" s="4" t="str">
        <f t="shared" si="482"/>
        <v/>
      </c>
      <c r="KO120" s="4" t="str">
        <f t="shared" si="483"/>
        <v/>
      </c>
      <c r="KP120" s="4" t="str">
        <f t="shared" si="484"/>
        <v/>
      </c>
      <c r="KQ120" s="4" t="str">
        <f t="shared" si="485"/>
        <v/>
      </c>
      <c r="KR120" s="4" t="str">
        <f t="shared" si="486"/>
        <v/>
      </c>
      <c r="KS120" s="4" t="str">
        <f t="shared" si="487"/>
        <v/>
      </c>
      <c r="KT120" s="4" t="str">
        <f t="shared" si="488"/>
        <v/>
      </c>
      <c r="KU120" s="4" t="str">
        <f t="shared" si="489"/>
        <v/>
      </c>
      <c r="KV120" s="4" t="str">
        <f t="shared" si="490"/>
        <v/>
      </c>
      <c r="KW120" s="4" t="str">
        <f t="shared" si="491"/>
        <v/>
      </c>
      <c r="KX120" s="4" t="str">
        <f t="shared" si="492"/>
        <v/>
      </c>
      <c r="KY120" s="4" t="str">
        <f t="shared" si="493"/>
        <v/>
      </c>
      <c r="KZ120" s="4" t="str">
        <f t="shared" si="494"/>
        <v/>
      </c>
      <c r="LA120" s="4" t="str">
        <f t="shared" si="495"/>
        <v/>
      </c>
      <c r="LB120" s="4" t="str">
        <f t="shared" si="496"/>
        <v/>
      </c>
      <c r="LC120" s="4" t="str">
        <f t="shared" si="497"/>
        <v/>
      </c>
      <c r="LD120" s="4" t="str">
        <f t="shared" si="498"/>
        <v/>
      </c>
      <c r="LE120" s="4" t="str">
        <f t="shared" si="499"/>
        <v/>
      </c>
      <c r="LF120" s="4" t="str">
        <f t="shared" si="500"/>
        <v/>
      </c>
      <c r="LG120" s="4" t="str">
        <f t="shared" si="501"/>
        <v/>
      </c>
      <c r="LH120" s="4" t="str">
        <f t="shared" si="502"/>
        <v/>
      </c>
      <c r="LI120" s="4" t="str">
        <f t="shared" si="503"/>
        <v/>
      </c>
      <c r="LJ120" s="4" t="str">
        <f t="shared" si="504"/>
        <v/>
      </c>
      <c r="LK120" s="4" t="str">
        <f t="shared" si="505"/>
        <v/>
      </c>
      <c r="LL120" s="4" t="str">
        <f t="shared" si="506"/>
        <v/>
      </c>
      <c r="LM120" s="4" t="str">
        <f t="shared" si="507"/>
        <v/>
      </c>
      <c r="LN120" s="4" t="str">
        <f t="shared" si="508"/>
        <v/>
      </c>
      <c r="LO120" s="4" t="str">
        <f t="shared" si="509"/>
        <v/>
      </c>
      <c r="LP120" s="4" t="str">
        <f t="shared" si="510"/>
        <v/>
      </c>
      <c r="LQ120" s="4" t="str">
        <f t="shared" si="511"/>
        <v/>
      </c>
      <c r="LR120" s="4" t="str">
        <f t="shared" si="512"/>
        <v/>
      </c>
      <c r="LS120" s="4" t="str">
        <f t="shared" si="513"/>
        <v/>
      </c>
      <c r="LT120" s="4" t="str">
        <f t="shared" si="514"/>
        <v/>
      </c>
      <c r="LU120" s="4" t="str">
        <f t="shared" si="515"/>
        <v/>
      </c>
      <c r="LV120" s="4" t="str">
        <f t="shared" si="516"/>
        <v/>
      </c>
      <c r="LW120" s="4" t="str">
        <f t="shared" si="517"/>
        <v/>
      </c>
      <c r="LX120" s="4" t="str">
        <f t="shared" si="518"/>
        <v/>
      </c>
      <c r="LY120" s="4" t="str">
        <f t="shared" si="519"/>
        <v/>
      </c>
      <c r="LZ120" s="4" t="str">
        <f t="shared" si="520"/>
        <v/>
      </c>
      <c r="MA120" s="4" t="str">
        <f t="shared" si="521"/>
        <v/>
      </c>
      <c r="MB120" s="4" t="str">
        <f t="shared" si="522"/>
        <v/>
      </c>
      <c r="MC120" s="4" t="str">
        <f t="shared" si="523"/>
        <v/>
      </c>
      <c r="MD120" s="4" t="str">
        <f t="shared" si="524"/>
        <v/>
      </c>
      <c r="ME120" s="4">
        <f t="shared" si="525"/>
        <v>0</v>
      </c>
    </row>
    <row r="121" spans="1:343" ht="26.25" customHeight="1" x14ac:dyDescent="0.2">
      <c r="A121" s="44">
        <v>41430</v>
      </c>
      <c r="B121" s="36" t="s">
        <v>176</v>
      </c>
      <c r="C121" s="36" t="s">
        <v>258</v>
      </c>
      <c r="D121" s="31" t="s">
        <v>111</v>
      </c>
      <c r="E121" s="4">
        <v>69</v>
      </c>
      <c r="F121" s="3">
        <v>41299</v>
      </c>
      <c r="G121" s="38" t="s">
        <v>87</v>
      </c>
      <c r="H121" s="38" t="s">
        <v>112</v>
      </c>
      <c r="I121" s="45">
        <v>1835693</v>
      </c>
      <c r="P121" s="33">
        <v>-0.5</v>
      </c>
      <c r="Q121" s="33">
        <v>-0.65</v>
      </c>
      <c r="R121" s="33" t="s">
        <v>249</v>
      </c>
      <c r="S121" s="67">
        <v>21</v>
      </c>
      <c r="T121" s="137">
        <v>41417</v>
      </c>
      <c r="U121" s="67">
        <v>-0.25</v>
      </c>
      <c r="V121" s="67">
        <v>0.75</v>
      </c>
      <c r="W121" s="4">
        <v>175</v>
      </c>
      <c r="X121" s="4">
        <v>40</v>
      </c>
      <c r="Y121" s="4">
        <v>18</v>
      </c>
      <c r="Z121" s="4">
        <v>530</v>
      </c>
      <c r="AA121" s="4">
        <v>23.09</v>
      </c>
      <c r="AB121" s="4">
        <v>12.2</v>
      </c>
      <c r="AC121" s="4">
        <v>4.97</v>
      </c>
      <c r="AD121" s="4">
        <v>3.18</v>
      </c>
      <c r="AE121" s="4">
        <v>44.7</v>
      </c>
      <c r="AF121" s="4">
        <v>30</v>
      </c>
      <c r="AG121" s="4">
        <v>45.18</v>
      </c>
      <c r="AH121" s="4">
        <v>120</v>
      </c>
      <c r="AI121" s="4">
        <v>0</v>
      </c>
      <c r="AJ121" s="4" t="b">
        <f t="shared" si="398"/>
        <v>0</v>
      </c>
      <c r="AL121" s="84">
        <v>41648</v>
      </c>
      <c r="AM121" s="56">
        <v>70</v>
      </c>
      <c r="AN121" s="67">
        <v>0.75</v>
      </c>
      <c r="AO121" s="67">
        <v>1.25</v>
      </c>
      <c r="AP121" s="4">
        <v>40</v>
      </c>
      <c r="AQ121" s="4">
        <v>20</v>
      </c>
      <c r="AR121" s="4">
        <v>18</v>
      </c>
      <c r="AS121" s="4">
        <v>448</v>
      </c>
      <c r="AT121" s="4">
        <v>2315</v>
      </c>
      <c r="AU121" s="4">
        <v>23.18</v>
      </c>
      <c r="AV121" s="4">
        <v>4.67</v>
      </c>
      <c r="AW121" s="4">
        <v>42.61</v>
      </c>
      <c r="AX121" s="4">
        <v>157</v>
      </c>
      <c r="AY121" s="4">
        <v>44.47</v>
      </c>
      <c r="AZ121" s="4">
        <v>67</v>
      </c>
      <c r="BA121" s="4">
        <f>IF(ISNUMBER(AN121),AN121+0.5*AO121,"")</f>
        <v>1.375</v>
      </c>
      <c r="BB121" s="4">
        <f>IF(ISNUMBER(BA121),IF(ISNUMBER(Q121),BA121-Q121,"MISSING"),"")</f>
        <v>2.0249999999999999</v>
      </c>
      <c r="BC121" s="4">
        <f t="shared" si="400"/>
        <v>-82</v>
      </c>
      <c r="BD121" s="150">
        <v>41829</v>
      </c>
      <c r="BT121" s="4" t="str">
        <f t="shared" si="401"/>
        <v/>
      </c>
      <c r="BU121" s="4" t="str">
        <f t="shared" si="402"/>
        <v/>
      </c>
      <c r="BV121" s="4">
        <f>IF(AND(ISBLANK(SPH_6),ISBLANK(SPH_12)),0,1)</f>
        <v>1</v>
      </c>
      <c r="BW121" s="4">
        <f t="shared" si="403"/>
        <v>0</v>
      </c>
      <c r="BX121" s="4" t="str">
        <f t="shared" si="404"/>
        <v/>
      </c>
      <c r="BY121" s="4" t="str">
        <f t="shared" si="405"/>
        <v/>
      </c>
      <c r="BZ121" s="4" t="str">
        <f t="shared" si="406"/>
        <v/>
      </c>
      <c r="CA121" s="53">
        <f t="shared" si="407"/>
        <v>218</v>
      </c>
      <c r="CB121" s="55">
        <f t="shared" si="408"/>
        <v>7.2666666666666666</v>
      </c>
      <c r="CC121" s="4" t="str">
        <f t="shared" si="409"/>
        <v/>
      </c>
      <c r="CD121" s="4">
        <f t="shared" si="410"/>
        <v>-1.3999999999999986</v>
      </c>
      <c r="CE121" s="4" t="str">
        <f t="shared" si="411"/>
        <v/>
      </c>
      <c r="CF121" s="4">
        <f t="shared" si="412"/>
        <v>-1.3999999999999986</v>
      </c>
      <c r="CG121" s="4">
        <f t="shared" si="526"/>
        <v>0.125</v>
      </c>
      <c r="CH121" s="4">
        <f t="shared" si="413"/>
        <v>1.375</v>
      </c>
      <c r="CI121" s="104">
        <f t="shared" si="414"/>
        <v>2.0249999999999999</v>
      </c>
      <c r="CJ121" s="94">
        <f t="shared" si="415"/>
        <v>-82</v>
      </c>
      <c r="CK121" s="4">
        <f t="shared" si="416"/>
        <v>8.9999999999999858E-2</v>
      </c>
      <c r="CL121" s="107">
        <f t="shared" si="417"/>
        <v>-0.65</v>
      </c>
      <c r="CM121" s="107">
        <f t="shared" si="527"/>
        <v>0.3010299956639812</v>
      </c>
      <c r="CN121" s="139">
        <f t="shared" si="418"/>
        <v>1.25</v>
      </c>
      <c r="CO121" s="139">
        <f t="shared" si="419"/>
        <v>0.5</v>
      </c>
      <c r="CP121" s="149">
        <f t="shared" si="420"/>
        <v>20</v>
      </c>
      <c r="CQ121" s="149">
        <f t="shared" si="421"/>
        <v>40</v>
      </c>
      <c r="CR121" s="148">
        <f t="shared" si="422"/>
        <v>70</v>
      </c>
      <c r="CS121" s="152">
        <f t="shared" si="423"/>
        <v>0</v>
      </c>
      <c r="CT121" s="107" t="str">
        <f t="shared" si="424"/>
        <v/>
      </c>
      <c r="CU121" s="155" t="b">
        <f t="shared" si="425"/>
        <v>0</v>
      </c>
      <c r="CV121">
        <v>7.71</v>
      </c>
      <c r="CW121" s="107">
        <v>7.54</v>
      </c>
      <c r="CX121" s="107">
        <v>17.100000000000001</v>
      </c>
      <c r="CY121" s="107">
        <v>-0.9</v>
      </c>
      <c r="CZ121" s="107">
        <v>0.08</v>
      </c>
      <c r="DA121" s="107">
        <v>0.24</v>
      </c>
      <c r="DB121" s="107">
        <v>2.38</v>
      </c>
      <c r="DC121" s="107">
        <v>2.92</v>
      </c>
      <c r="DD121" s="107">
        <v>541</v>
      </c>
      <c r="DE121" s="107">
        <v>542</v>
      </c>
      <c r="DF121" s="107">
        <v>618</v>
      </c>
      <c r="DG121" s="107">
        <v>576</v>
      </c>
      <c r="DH121" s="107">
        <v>604</v>
      </c>
      <c r="DI121" s="107">
        <v>550</v>
      </c>
      <c r="DJ121" s="107">
        <v>527</v>
      </c>
      <c r="DK121" s="107">
        <v>-1.73</v>
      </c>
      <c r="DL121" s="107">
        <v>0.57999999999999996</v>
      </c>
      <c r="DM121" s="107">
        <v>7.65</v>
      </c>
      <c r="DN121" s="107">
        <v>7.6</v>
      </c>
      <c r="DO121" s="107">
        <v>7.63</v>
      </c>
      <c r="DP121" s="107">
        <v>7.65</v>
      </c>
      <c r="DQ121" s="107">
        <v>7.81</v>
      </c>
      <c r="DR121" s="107">
        <v>7.9</v>
      </c>
      <c r="DS121" s="107">
        <v>0</v>
      </c>
      <c r="DT121" s="107">
        <v>0.6</v>
      </c>
      <c r="DU121" s="107">
        <v>6.94</v>
      </c>
      <c r="DV121" s="107">
        <v>6.58</v>
      </c>
      <c r="DW121" s="107">
        <v>6.55</v>
      </c>
      <c r="DX121" s="107">
        <v>6.68</v>
      </c>
      <c r="DY121" s="107">
        <v>6.82</v>
      </c>
      <c r="DZ121" s="107">
        <v>0</v>
      </c>
      <c r="EA121" s="107">
        <v>0</v>
      </c>
      <c r="EB121" s="107">
        <v>0.6</v>
      </c>
      <c r="EC121" s="107">
        <v>43.8</v>
      </c>
      <c r="ED121" s="107">
        <v>44.7</v>
      </c>
      <c r="EE121" s="107">
        <v>44.3</v>
      </c>
      <c r="EF121" s="107">
        <v>17.100000000000001</v>
      </c>
      <c r="EG121" s="107">
        <v>0.9</v>
      </c>
      <c r="EH121" s="107">
        <v>-5.7</v>
      </c>
      <c r="EI121" s="107">
        <v>-6.2</v>
      </c>
      <c r="EJ121" s="107">
        <v>-5.9</v>
      </c>
      <c r="EK121" s="107">
        <v>172.3</v>
      </c>
      <c r="EL121" s="107">
        <v>0.4</v>
      </c>
      <c r="EM121" s="107">
        <v>3.9</v>
      </c>
      <c r="EN121" s="107">
        <v>11.1</v>
      </c>
      <c r="EO121" s="107">
        <v>23.4</v>
      </c>
      <c r="EP121" s="107">
        <v>55.5</v>
      </c>
      <c r="EQ121" s="127">
        <v>13</v>
      </c>
      <c r="ER121" s="108">
        <v>7.82</v>
      </c>
      <c r="ES121" s="142">
        <v>7.45</v>
      </c>
      <c r="ET121" s="142">
        <v>148.9</v>
      </c>
      <c r="EU121" s="142">
        <v>-2.2000000000000002</v>
      </c>
      <c r="EV121" s="142">
        <v>0</v>
      </c>
      <c r="EW121" s="142">
        <v>0.3</v>
      </c>
      <c r="EX121" s="142">
        <v>4.0999999999999996</v>
      </c>
      <c r="EY121" s="142">
        <v>4.5599999999999996</v>
      </c>
      <c r="EZ121" s="142">
        <v>462</v>
      </c>
      <c r="FA121" s="142">
        <v>461</v>
      </c>
      <c r="FB121" s="142">
        <v>575</v>
      </c>
      <c r="FC121" s="142">
        <v>536</v>
      </c>
      <c r="FD121" s="142">
        <v>552</v>
      </c>
      <c r="FE121" s="142">
        <v>516</v>
      </c>
      <c r="FF121" s="142">
        <v>443</v>
      </c>
      <c r="FG121" s="142">
        <v>-0.85</v>
      </c>
      <c r="FH121" s="142">
        <v>-1.1100000000000001</v>
      </c>
      <c r="FI121" s="142">
        <v>7.6</v>
      </c>
      <c r="FJ121" s="142">
        <v>7.65</v>
      </c>
      <c r="FK121" s="142">
        <v>7.68</v>
      </c>
      <c r="FL121" s="142">
        <v>7.7</v>
      </c>
      <c r="FM121" s="142">
        <v>7.85</v>
      </c>
      <c r="FN121" s="142">
        <v>8.01</v>
      </c>
      <c r="FO121" s="142">
        <v>0</v>
      </c>
      <c r="FP121" s="142">
        <v>1</v>
      </c>
      <c r="FQ121" s="142">
        <v>6.43</v>
      </c>
      <c r="FR121" s="142">
        <v>6.29</v>
      </c>
      <c r="FS121" s="142">
        <v>6.48</v>
      </c>
      <c r="FT121" s="142">
        <v>6.82</v>
      </c>
      <c r="FU121" s="142">
        <v>6.91</v>
      </c>
      <c r="FV121" s="142">
        <v>0</v>
      </c>
      <c r="FW121" s="142">
        <v>0</v>
      </c>
      <c r="FX121" s="159">
        <v>1</v>
      </c>
      <c r="FY121" s="124">
        <v>43.2</v>
      </c>
      <c r="FZ121" s="124">
        <v>45.3</v>
      </c>
      <c r="GA121" s="124">
        <v>44.2</v>
      </c>
      <c r="GB121" s="124">
        <v>148.9</v>
      </c>
      <c r="GC121" s="124">
        <v>2.2000000000000002</v>
      </c>
      <c r="GD121" s="124">
        <v>-6.2</v>
      </c>
      <c r="GE121" s="124">
        <v>-6.5</v>
      </c>
      <c r="GF121" s="124">
        <v>-6.3</v>
      </c>
      <c r="GG121" s="124">
        <v>14.4</v>
      </c>
      <c r="GH121" s="124">
        <v>0.3</v>
      </c>
      <c r="GI121" s="124">
        <v>3.3</v>
      </c>
      <c r="GJ121" s="124">
        <v>9.8000000000000007</v>
      </c>
      <c r="GK121" s="124">
        <v>21.3</v>
      </c>
      <c r="GL121" s="124">
        <v>51.3</v>
      </c>
      <c r="GM121" s="160">
        <v>27</v>
      </c>
      <c r="IJ121" s="94">
        <f t="shared" si="426"/>
        <v>7.82</v>
      </c>
      <c r="IK121" s="4">
        <f t="shared" si="427"/>
        <v>7.45</v>
      </c>
      <c r="IL121" s="4">
        <f t="shared" si="428"/>
        <v>148.9</v>
      </c>
      <c r="IM121" s="4">
        <f t="shared" si="429"/>
        <v>-2.2000000000000002</v>
      </c>
      <c r="IN121" s="4">
        <f t="shared" si="430"/>
        <v>0</v>
      </c>
      <c r="IO121" s="4">
        <f t="shared" si="431"/>
        <v>0.3</v>
      </c>
      <c r="IP121" s="4">
        <f t="shared" si="432"/>
        <v>4.0999999999999996</v>
      </c>
      <c r="IQ121" s="4">
        <f t="shared" si="433"/>
        <v>4.5599999999999996</v>
      </c>
      <c r="IR121" s="4">
        <f t="shared" si="434"/>
        <v>462</v>
      </c>
      <c r="IS121" s="4">
        <f t="shared" si="435"/>
        <v>461</v>
      </c>
      <c r="IT121" s="4">
        <f t="shared" si="436"/>
        <v>575</v>
      </c>
      <c r="IU121" s="4">
        <f t="shared" si="437"/>
        <v>536</v>
      </c>
      <c r="IV121" s="4">
        <f t="shared" si="438"/>
        <v>552</v>
      </c>
      <c r="IW121" s="4">
        <f t="shared" si="439"/>
        <v>516</v>
      </c>
      <c r="IX121" s="4">
        <f t="shared" si="440"/>
        <v>443</v>
      </c>
      <c r="IY121" s="4">
        <f t="shared" si="441"/>
        <v>-0.85</v>
      </c>
      <c r="IZ121" s="4">
        <f t="shared" si="442"/>
        <v>-1.1100000000000001</v>
      </c>
      <c r="JA121" s="4">
        <f t="shared" si="443"/>
        <v>7.6</v>
      </c>
      <c r="JB121" s="4">
        <f t="shared" si="444"/>
        <v>7.65</v>
      </c>
      <c r="JC121" s="4">
        <f t="shared" si="445"/>
        <v>7.68</v>
      </c>
      <c r="JD121" s="4">
        <f t="shared" si="446"/>
        <v>7.7</v>
      </c>
      <c r="JE121" s="4">
        <f t="shared" si="447"/>
        <v>7.85</v>
      </c>
      <c r="JF121" s="4">
        <f t="shared" si="448"/>
        <v>8.01</v>
      </c>
      <c r="JG121" s="4">
        <f t="shared" si="449"/>
        <v>0</v>
      </c>
      <c r="JH121" s="4">
        <f t="shared" si="450"/>
        <v>1</v>
      </c>
      <c r="JI121" s="4">
        <f t="shared" si="451"/>
        <v>6.43</v>
      </c>
      <c r="JJ121" s="4">
        <f t="shared" si="452"/>
        <v>6.29</v>
      </c>
      <c r="JK121" s="4">
        <f t="shared" si="453"/>
        <v>6.48</v>
      </c>
      <c r="JL121" s="4">
        <f t="shared" si="454"/>
        <v>6.82</v>
      </c>
      <c r="JM121" s="4">
        <f t="shared" si="455"/>
        <v>6.91</v>
      </c>
      <c r="JN121" s="4">
        <f t="shared" si="456"/>
        <v>0</v>
      </c>
      <c r="JO121" s="129">
        <f t="shared" si="457"/>
        <v>0</v>
      </c>
      <c r="JP121" s="122">
        <f t="shared" si="458"/>
        <v>1</v>
      </c>
      <c r="JQ121" s="122">
        <f t="shared" si="459"/>
        <v>43.2</v>
      </c>
      <c r="JR121" s="122">
        <f t="shared" si="460"/>
        <v>45.3</v>
      </c>
      <c r="JS121" s="122">
        <f t="shared" si="461"/>
        <v>44.2</v>
      </c>
      <c r="JT121" s="122">
        <f t="shared" si="462"/>
        <v>148.9</v>
      </c>
      <c r="JU121" s="122">
        <f t="shared" si="463"/>
        <v>2.2000000000000002</v>
      </c>
      <c r="JV121" s="122">
        <f t="shared" si="464"/>
        <v>-6.2</v>
      </c>
      <c r="JW121" s="122">
        <f t="shared" si="465"/>
        <v>-6.5</v>
      </c>
      <c r="JX121" s="122">
        <f t="shared" si="466"/>
        <v>-6.3</v>
      </c>
      <c r="JY121" s="122">
        <f t="shared" si="467"/>
        <v>14.4</v>
      </c>
      <c r="JZ121" s="122">
        <f t="shared" si="468"/>
        <v>0.3</v>
      </c>
      <c r="KA121" s="122">
        <f t="shared" si="469"/>
        <v>3.3</v>
      </c>
      <c r="KB121" s="122">
        <f t="shared" si="470"/>
        <v>9.8000000000000007</v>
      </c>
      <c r="KC121" s="122">
        <f t="shared" si="471"/>
        <v>21.3</v>
      </c>
      <c r="KD121" s="122">
        <f t="shared" si="472"/>
        <v>51.3</v>
      </c>
      <c r="KE121" s="133">
        <f t="shared" si="473"/>
        <v>27</v>
      </c>
      <c r="KF121" s="94">
        <f t="shared" si="474"/>
        <v>0.11000000000000032</v>
      </c>
      <c r="KG121" s="4">
        <f t="shared" si="475"/>
        <v>-8.9999999999999858E-2</v>
      </c>
      <c r="KH121" s="4">
        <f t="shared" si="476"/>
        <v>131.80000000000001</v>
      </c>
      <c r="KI121" s="4">
        <f t="shared" si="477"/>
        <v>-1.3000000000000003</v>
      </c>
      <c r="KJ121" s="4">
        <f t="shared" si="478"/>
        <v>-0.08</v>
      </c>
      <c r="KK121" s="4">
        <f t="shared" si="479"/>
        <v>0.06</v>
      </c>
      <c r="KL121" s="4">
        <f t="shared" si="480"/>
        <v>1.7199999999999998</v>
      </c>
      <c r="KM121" s="4">
        <f t="shared" si="481"/>
        <v>1.6399999999999997</v>
      </c>
      <c r="KN121" s="4">
        <f t="shared" si="482"/>
        <v>-79</v>
      </c>
      <c r="KO121" s="4">
        <f t="shared" si="483"/>
        <v>-81</v>
      </c>
      <c r="KP121" s="4">
        <f t="shared" si="484"/>
        <v>-43</v>
      </c>
      <c r="KQ121" s="4">
        <f t="shared" si="485"/>
        <v>-40</v>
      </c>
      <c r="KR121" s="4">
        <f t="shared" si="486"/>
        <v>-52</v>
      </c>
      <c r="KS121" s="4">
        <f t="shared" si="487"/>
        <v>-34</v>
      </c>
      <c r="KT121" s="4">
        <f t="shared" si="488"/>
        <v>-84</v>
      </c>
      <c r="KU121" s="4">
        <f t="shared" si="489"/>
        <v>0.88</v>
      </c>
      <c r="KV121" s="4">
        <f t="shared" si="490"/>
        <v>-1.69</v>
      </c>
      <c r="KW121" s="4">
        <f t="shared" si="491"/>
        <v>-5.0000000000000711E-2</v>
      </c>
      <c r="KX121" s="4">
        <f t="shared" si="492"/>
        <v>5.0000000000000711E-2</v>
      </c>
      <c r="KY121" s="4">
        <f t="shared" si="493"/>
        <v>4.9999999999999822E-2</v>
      </c>
      <c r="KZ121" s="4">
        <f t="shared" si="494"/>
        <v>4.9999999999999822E-2</v>
      </c>
      <c r="LA121" s="4">
        <f t="shared" si="495"/>
        <v>4.0000000000000036E-2</v>
      </c>
      <c r="LB121" s="4">
        <f t="shared" si="496"/>
        <v>0.10999999999999943</v>
      </c>
      <c r="LC121" s="4">
        <f t="shared" si="497"/>
        <v>0</v>
      </c>
      <c r="LD121" s="4">
        <f t="shared" si="498"/>
        <v>0.4</v>
      </c>
      <c r="LE121" s="4">
        <f t="shared" si="499"/>
        <v>-0.51000000000000068</v>
      </c>
      <c r="LF121" s="4">
        <f t="shared" si="500"/>
        <v>-0.29000000000000004</v>
      </c>
      <c r="LG121" s="4">
        <f t="shared" si="501"/>
        <v>-6.9999999999999396E-2</v>
      </c>
      <c r="LH121" s="4">
        <f t="shared" si="502"/>
        <v>0.14000000000000057</v>
      </c>
      <c r="LI121" s="4">
        <f t="shared" si="503"/>
        <v>8.9999999999999858E-2</v>
      </c>
      <c r="LJ121" s="4">
        <f t="shared" si="504"/>
        <v>0</v>
      </c>
      <c r="LK121" s="4">
        <f t="shared" si="505"/>
        <v>0</v>
      </c>
      <c r="LL121" s="4">
        <f t="shared" si="506"/>
        <v>0.4</v>
      </c>
      <c r="LM121" s="4">
        <f t="shared" si="507"/>
        <v>-0.59999999999999432</v>
      </c>
      <c r="LN121" s="4">
        <f t="shared" si="508"/>
        <v>0.59999999999999432</v>
      </c>
      <c r="LO121" s="4">
        <f t="shared" si="509"/>
        <v>-9.9999999999994316E-2</v>
      </c>
      <c r="LP121" s="4">
        <f t="shared" si="510"/>
        <v>131.80000000000001</v>
      </c>
      <c r="LQ121" s="4">
        <f t="shared" si="511"/>
        <v>1.3000000000000003</v>
      </c>
      <c r="LR121" s="4">
        <f t="shared" si="512"/>
        <v>-0.5</v>
      </c>
      <c r="LS121" s="4">
        <f t="shared" si="513"/>
        <v>-0.29999999999999982</v>
      </c>
      <c r="LT121" s="4">
        <f t="shared" si="514"/>
        <v>-0.39999999999999947</v>
      </c>
      <c r="LU121" s="4">
        <f t="shared" si="515"/>
        <v>-157.9</v>
      </c>
      <c r="LV121" s="4">
        <f t="shared" si="516"/>
        <v>-0.10000000000000003</v>
      </c>
      <c r="LW121" s="4">
        <f t="shared" si="517"/>
        <v>-0.60000000000000009</v>
      </c>
      <c r="LX121" s="4">
        <f t="shared" si="518"/>
        <v>-1.2999999999999989</v>
      </c>
      <c r="LY121" s="4">
        <f t="shared" si="519"/>
        <v>-2.0999999999999979</v>
      </c>
      <c r="LZ121" s="4">
        <f t="shared" si="520"/>
        <v>-4.2000000000000028</v>
      </c>
      <c r="MA121" s="4">
        <f t="shared" si="521"/>
        <v>14</v>
      </c>
      <c r="MB121" s="4" t="str">
        <f t="shared" si="522"/>
        <v/>
      </c>
      <c r="MC121" s="4" t="str">
        <f t="shared" si="523"/>
        <v/>
      </c>
      <c r="MD121" s="4" t="str">
        <f t="shared" si="524"/>
        <v/>
      </c>
      <c r="ME121" s="4">
        <f t="shared" si="525"/>
        <v>6.5</v>
      </c>
    </row>
    <row r="122" spans="1:343" ht="26.25" customHeight="1" x14ac:dyDescent="0.2">
      <c r="A122" s="44">
        <v>41430</v>
      </c>
      <c r="B122" s="36" t="s">
        <v>259</v>
      </c>
      <c r="C122" s="36" t="s">
        <v>260</v>
      </c>
      <c r="D122" s="31" t="s">
        <v>111</v>
      </c>
      <c r="E122" s="4">
        <v>63</v>
      </c>
      <c r="F122" s="3">
        <v>18392</v>
      </c>
      <c r="G122" s="38" t="s">
        <v>243</v>
      </c>
      <c r="H122" s="38" t="s">
        <v>112</v>
      </c>
      <c r="I122" s="45">
        <v>1836709</v>
      </c>
      <c r="J122" s="45"/>
      <c r="K122" s="82"/>
      <c r="L122" s="82"/>
      <c r="M122" s="82"/>
      <c r="N122" s="82"/>
      <c r="O122" s="82"/>
      <c r="P122" s="33">
        <v>-0.5</v>
      </c>
      <c r="Q122" s="33">
        <v>-0.76</v>
      </c>
      <c r="R122" s="33" t="s">
        <v>249</v>
      </c>
      <c r="S122" s="67">
        <v>19.75</v>
      </c>
      <c r="T122" s="137">
        <v>41393</v>
      </c>
      <c r="U122" s="67">
        <v>0</v>
      </c>
      <c r="V122" s="67">
        <v>0</v>
      </c>
      <c r="W122" s="4">
        <v>0</v>
      </c>
      <c r="X122" s="4">
        <v>40</v>
      </c>
      <c r="Y122" s="4">
        <v>16</v>
      </c>
      <c r="Z122" s="4">
        <v>651</v>
      </c>
      <c r="AA122" s="4">
        <v>23.51</v>
      </c>
      <c r="AB122" s="4">
        <v>11.8</v>
      </c>
      <c r="AC122" s="4">
        <v>4.54</v>
      </c>
      <c r="AD122" s="4">
        <v>3.49</v>
      </c>
      <c r="AI122" s="4">
        <v>2</v>
      </c>
      <c r="AJ122" s="4" t="b">
        <f t="shared" si="398"/>
        <v>1</v>
      </c>
      <c r="AK122" s="54"/>
      <c r="AL122" s="51" t="s">
        <v>78</v>
      </c>
      <c r="BC122" s="4" t="str">
        <f t="shared" si="400"/>
        <v/>
      </c>
      <c r="BD122" s="150">
        <v>41821</v>
      </c>
      <c r="BT122" s="4" t="str">
        <f t="shared" si="401"/>
        <v/>
      </c>
      <c r="BU122" s="4" t="str">
        <f t="shared" si="402"/>
        <v/>
      </c>
      <c r="BV122" s="4">
        <f>IF(AND(ISBLANK(SPH_6),ISBLANK(SPH_12)),0,1)</f>
        <v>0</v>
      </c>
      <c r="BW122" s="4">
        <f t="shared" si="403"/>
        <v>0</v>
      </c>
      <c r="BX122" s="4" t="str">
        <f t="shared" si="404"/>
        <v/>
      </c>
      <c r="BY122" s="4" t="str">
        <f t="shared" si="405"/>
        <v/>
      </c>
      <c r="BZ122" s="4" t="str">
        <f t="shared" si="406"/>
        <v/>
      </c>
      <c r="CA122" s="53">
        <f t="shared" si="407"/>
        <v>0</v>
      </c>
      <c r="CB122" s="55" t="str">
        <f t="shared" si="408"/>
        <v/>
      </c>
      <c r="CC122" s="4" t="str">
        <f t="shared" si="409"/>
        <v/>
      </c>
      <c r="CD122" s="4" t="str">
        <f t="shared" si="410"/>
        <v/>
      </c>
      <c r="CE122" s="4" t="str">
        <f t="shared" si="411"/>
        <v/>
      </c>
      <c r="CF122" s="4" t="str">
        <f t="shared" si="412"/>
        <v/>
      </c>
      <c r="CH122" s="4" t="str">
        <f t="shared" si="413"/>
        <v/>
      </c>
      <c r="CI122" s="104" t="str">
        <f t="shared" si="414"/>
        <v/>
      </c>
      <c r="CJ122" s="94" t="str">
        <f t="shared" si="415"/>
        <v/>
      </c>
      <c r="CK122" s="4" t="str">
        <f t="shared" si="416"/>
        <v/>
      </c>
      <c r="CL122" s="107" t="str">
        <f t="shared" si="417"/>
        <v/>
      </c>
      <c r="CM122" s="107" t="str">
        <f t="shared" si="527"/>
        <v/>
      </c>
      <c r="CN122" s="139" t="str">
        <f t="shared" si="418"/>
        <v/>
      </c>
      <c r="CO122" s="139" t="str">
        <f t="shared" si="419"/>
        <v/>
      </c>
      <c r="CP122" s="149" t="str">
        <f t="shared" si="420"/>
        <v/>
      </c>
      <c r="CQ122" s="149" t="str">
        <f t="shared" si="421"/>
        <v/>
      </c>
      <c r="CR122" s="148" t="str">
        <f t="shared" si="422"/>
        <v/>
      </c>
      <c r="CS122" s="152" t="str">
        <f t="shared" si="423"/>
        <v/>
      </c>
      <c r="CT122" s="107" t="str">
        <f t="shared" si="424"/>
        <v/>
      </c>
      <c r="CU122" s="155" t="str">
        <f t="shared" si="425"/>
        <v/>
      </c>
      <c r="IJ122" s="94" t="str">
        <f t="shared" si="426"/>
        <v/>
      </c>
      <c r="IK122" s="4" t="str">
        <f t="shared" si="427"/>
        <v/>
      </c>
      <c r="IL122" s="4" t="str">
        <f t="shared" si="428"/>
        <v/>
      </c>
      <c r="IM122" s="4" t="str">
        <f t="shared" si="429"/>
        <v/>
      </c>
      <c r="IN122" s="4" t="str">
        <f t="shared" si="430"/>
        <v/>
      </c>
      <c r="IO122" s="4" t="str">
        <f t="shared" si="431"/>
        <v/>
      </c>
      <c r="IP122" s="4" t="str">
        <f t="shared" si="432"/>
        <v/>
      </c>
      <c r="IQ122" s="4" t="str">
        <f t="shared" si="433"/>
        <v/>
      </c>
      <c r="IR122" s="4" t="str">
        <f t="shared" si="434"/>
        <v/>
      </c>
      <c r="IS122" s="4" t="str">
        <f t="shared" si="435"/>
        <v/>
      </c>
      <c r="IT122" s="4" t="str">
        <f t="shared" si="436"/>
        <v/>
      </c>
      <c r="IU122" s="4" t="str">
        <f t="shared" si="437"/>
        <v/>
      </c>
      <c r="IV122" s="4" t="str">
        <f t="shared" si="438"/>
        <v/>
      </c>
      <c r="IW122" s="4" t="str">
        <f t="shared" si="439"/>
        <v/>
      </c>
      <c r="IX122" s="4" t="str">
        <f t="shared" si="440"/>
        <v/>
      </c>
      <c r="IY122" s="4" t="str">
        <f t="shared" si="441"/>
        <v/>
      </c>
      <c r="IZ122" s="4" t="str">
        <f t="shared" si="442"/>
        <v/>
      </c>
      <c r="JA122" s="4" t="str">
        <f t="shared" si="443"/>
        <v/>
      </c>
      <c r="JB122" s="4" t="str">
        <f t="shared" si="444"/>
        <v/>
      </c>
      <c r="JC122" s="4" t="str">
        <f t="shared" si="445"/>
        <v/>
      </c>
      <c r="JD122" s="4" t="str">
        <f t="shared" si="446"/>
        <v/>
      </c>
      <c r="JE122" s="4" t="str">
        <f t="shared" si="447"/>
        <v/>
      </c>
      <c r="JF122" s="4" t="str">
        <f t="shared" si="448"/>
        <v/>
      </c>
      <c r="JG122" s="4" t="str">
        <f t="shared" si="449"/>
        <v/>
      </c>
      <c r="JH122" s="4" t="str">
        <f t="shared" si="450"/>
        <v/>
      </c>
      <c r="JI122" s="4" t="str">
        <f t="shared" si="451"/>
        <v/>
      </c>
      <c r="JJ122" s="4" t="str">
        <f t="shared" si="452"/>
        <v/>
      </c>
      <c r="JK122" s="4" t="str">
        <f t="shared" si="453"/>
        <v/>
      </c>
      <c r="JL122" s="4" t="str">
        <f t="shared" si="454"/>
        <v/>
      </c>
      <c r="JM122" s="4" t="str">
        <f t="shared" si="455"/>
        <v/>
      </c>
      <c r="JN122" s="4" t="str">
        <f t="shared" si="456"/>
        <v/>
      </c>
      <c r="JO122" s="129" t="str">
        <f t="shared" si="457"/>
        <v/>
      </c>
      <c r="JP122" s="122" t="str">
        <f t="shared" si="458"/>
        <v/>
      </c>
      <c r="JQ122" s="122" t="str">
        <f t="shared" si="459"/>
        <v/>
      </c>
      <c r="JR122" s="122" t="str">
        <f t="shared" si="460"/>
        <v/>
      </c>
      <c r="JS122" s="122" t="str">
        <f t="shared" si="461"/>
        <v/>
      </c>
      <c r="JT122" s="122" t="str">
        <f t="shared" si="462"/>
        <v/>
      </c>
      <c r="JU122" s="122" t="str">
        <f t="shared" si="463"/>
        <v/>
      </c>
      <c r="JV122" s="122" t="str">
        <f t="shared" si="464"/>
        <v/>
      </c>
      <c r="JW122" s="122" t="str">
        <f t="shared" si="465"/>
        <v/>
      </c>
      <c r="JX122" s="122" t="str">
        <f t="shared" si="466"/>
        <v/>
      </c>
      <c r="JY122" s="122" t="str">
        <f t="shared" si="467"/>
        <v/>
      </c>
      <c r="JZ122" s="122" t="str">
        <f t="shared" si="468"/>
        <v/>
      </c>
      <c r="KA122" s="122" t="str">
        <f t="shared" si="469"/>
        <v/>
      </c>
      <c r="KB122" s="122" t="str">
        <f t="shared" si="470"/>
        <v/>
      </c>
      <c r="KC122" s="122" t="str">
        <f t="shared" si="471"/>
        <v/>
      </c>
      <c r="KD122" s="122" t="str">
        <f t="shared" si="472"/>
        <v/>
      </c>
      <c r="KE122" s="133" t="str">
        <f t="shared" si="473"/>
        <v/>
      </c>
      <c r="KF122" s="94" t="str">
        <f t="shared" si="474"/>
        <v/>
      </c>
      <c r="KG122" s="4" t="str">
        <f t="shared" si="475"/>
        <v/>
      </c>
      <c r="KH122" s="4" t="str">
        <f t="shared" si="476"/>
        <v/>
      </c>
      <c r="KI122" s="4" t="str">
        <f t="shared" si="477"/>
        <v/>
      </c>
      <c r="KJ122" s="4" t="str">
        <f t="shared" si="478"/>
        <v/>
      </c>
      <c r="KK122" s="4" t="str">
        <f t="shared" si="479"/>
        <v/>
      </c>
      <c r="KL122" s="4" t="str">
        <f t="shared" si="480"/>
        <v/>
      </c>
      <c r="KM122" s="4" t="str">
        <f t="shared" si="481"/>
        <v/>
      </c>
      <c r="KN122" s="4" t="str">
        <f t="shared" si="482"/>
        <v/>
      </c>
      <c r="KO122" s="4" t="str">
        <f t="shared" si="483"/>
        <v/>
      </c>
      <c r="KP122" s="4" t="str">
        <f t="shared" si="484"/>
        <v/>
      </c>
      <c r="KQ122" s="4" t="str">
        <f t="shared" si="485"/>
        <v/>
      </c>
      <c r="KR122" s="4" t="str">
        <f t="shared" si="486"/>
        <v/>
      </c>
      <c r="KS122" s="4" t="str">
        <f t="shared" si="487"/>
        <v/>
      </c>
      <c r="KT122" s="4" t="str">
        <f t="shared" si="488"/>
        <v/>
      </c>
      <c r="KU122" s="4" t="str">
        <f t="shared" si="489"/>
        <v/>
      </c>
      <c r="KV122" s="4" t="str">
        <f t="shared" si="490"/>
        <v/>
      </c>
      <c r="KW122" s="4" t="str">
        <f t="shared" si="491"/>
        <v/>
      </c>
      <c r="KX122" s="4" t="str">
        <f t="shared" si="492"/>
        <v/>
      </c>
      <c r="KY122" s="4" t="str">
        <f t="shared" si="493"/>
        <v/>
      </c>
      <c r="KZ122" s="4" t="str">
        <f t="shared" si="494"/>
        <v/>
      </c>
      <c r="LA122" s="4" t="str">
        <f t="shared" si="495"/>
        <v/>
      </c>
      <c r="LB122" s="4" t="str">
        <f t="shared" si="496"/>
        <v/>
      </c>
      <c r="LC122" s="4" t="str">
        <f t="shared" si="497"/>
        <v/>
      </c>
      <c r="LD122" s="4" t="str">
        <f t="shared" si="498"/>
        <v/>
      </c>
      <c r="LE122" s="4" t="str">
        <f t="shared" si="499"/>
        <v/>
      </c>
      <c r="LF122" s="4" t="str">
        <f t="shared" si="500"/>
        <v/>
      </c>
      <c r="LG122" s="4" t="str">
        <f t="shared" si="501"/>
        <v/>
      </c>
      <c r="LH122" s="4" t="str">
        <f t="shared" si="502"/>
        <v/>
      </c>
      <c r="LI122" s="4" t="str">
        <f t="shared" si="503"/>
        <v/>
      </c>
      <c r="LJ122" s="4" t="str">
        <f t="shared" si="504"/>
        <v/>
      </c>
      <c r="LK122" s="4" t="str">
        <f t="shared" si="505"/>
        <v/>
      </c>
      <c r="LL122" s="4" t="str">
        <f t="shared" si="506"/>
        <v/>
      </c>
      <c r="LM122" s="4" t="str">
        <f t="shared" si="507"/>
        <v/>
      </c>
      <c r="LN122" s="4" t="str">
        <f t="shared" si="508"/>
        <v/>
      </c>
      <c r="LO122" s="4" t="str">
        <f t="shared" si="509"/>
        <v/>
      </c>
      <c r="LP122" s="4" t="str">
        <f t="shared" si="510"/>
        <v/>
      </c>
      <c r="LQ122" s="4" t="str">
        <f t="shared" si="511"/>
        <v/>
      </c>
      <c r="LR122" s="4" t="str">
        <f t="shared" si="512"/>
        <v/>
      </c>
      <c r="LS122" s="4" t="str">
        <f t="shared" si="513"/>
        <v/>
      </c>
      <c r="LT122" s="4" t="str">
        <f t="shared" si="514"/>
        <v/>
      </c>
      <c r="LU122" s="4" t="str">
        <f t="shared" si="515"/>
        <v/>
      </c>
      <c r="LV122" s="4" t="str">
        <f t="shared" si="516"/>
        <v/>
      </c>
      <c r="LW122" s="4" t="str">
        <f t="shared" si="517"/>
        <v/>
      </c>
      <c r="LX122" s="4" t="str">
        <f t="shared" si="518"/>
        <v/>
      </c>
      <c r="LY122" s="4" t="str">
        <f t="shared" si="519"/>
        <v/>
      </c>
      <c r="LZ122" s="4" t="str">
        <f t="shared" si="520"/>
        <v/>
      </c>
      <c r="MA122" s="4" t="str">
        <f t="shared" si="521"/>
        <v/>
      </c>
      <c r="MB122" s="4" t="str">
        <f t="shared" si="522"/>
        <v/>
      </c>
      <c r="MC122" s="4" t="str">
        <f t="shared" si="523"/>
        <v/>
      </c>
      <c r="MD122" s="4" t="str">
        <f t="shared" si="524"/>
        <v/>
      </c>
      <c r="ME122" s="4">
        <f t="shared" si="525"/>
        <v>0</v>
      </c>
    </row>
    <row r="123" spans="1:343" ht="26.25" customHeight="1" x14ac:dyDescent="0.2">
      <c r="A123" s="44">
        <v>41437</v>
      </c>
      <c r="B123" s="36" t="s">
        <v>261</v>
      </c>
      <c r="C123" s="36" t="s">
        <v>262</v>
      </c>
      <c r="D123" s="31" t="s">
        <v>111</v>
      </c>
      <c r="E123" s="4">
        <v>52</v>
      </c>
      <c r="F123" s="3">
        <v>22257</v>
      </c>
      <c r="G123" s="4" t="s">
        <v>87</v>
      </c>
      <c r="H123" s="4" t="s">
        <v>108</v>
      </c>
      <c r="I123" s="45">
        <v>1836794</v>
      </c>
      <c r="J123" s="45"/>
      <c r="K123" s="82"/>
      <c r="L123" s="82"/>
      <c r="M123" s="82"/>
      <c r="N123" s="82"/>
      <c r="O123" s="82"/>
      <c r="P123" s="33">
        <v>-0.5</v>
      </c>
      <c r="Q123" s="33">
        <v>-0.48</v>
      </c>
      <c r="R123" s="33" t="s">
        <v>249</v>
      </c>
      <c r="S123" s="67">
        <v>20.25</v>
      </c>
      <c r="T123" s="137">
        <v>41407</v>
      </c>
      <c r="U123" s="67">
        <v>1.25</v>
      </c>
      <c r="V123" s="67">
        <v>0</v>
      </c>
      <c r="W123" s="4">
        <v>0</v>
      </c>
      <c r="X123" s="4">
        <v>40</v>
      </c>
      <c r="Y123" s="4">
        <v>14</v>
      </c>
      <c r="Z123" s="4">
        <v>604</v>
      </c>
      <c r="AA123" s="4">
        <v>22.93</v>
      </c>
      <c r="AB123" s="4">
        <v>12.1</v>
      </c>
      <c r="AC123" s="4">
        <v>4.26</v>
      </c>
      <c r="AD123" s="4">
        <v>3.83</v>
      </c>
      <c r="AE123" s="4">
        <v>45.92</v>
      </c>
      <c r="AF123" s="4">
        <v>136</v>
      </c>
      <c r="AG123" s="4">
        <v>46.68</v>
      </c>
      <c r="AH123" s="4">
        <v>46</v>
      </c>
      <c r="AI123" s="4">
        <v>1</v>
      </c>
      <c r="AJ123" s="4" t="b">
        <f t="shared" si="398"/>
        <v>1</v>
      </c>
      <c r="AK123" s="54"/>
      <c r="AL123" s="51" t="s">
        <v>78</v>
      </c>
      <c r="BC123" s="4" t="str">
        <f t="shared" si="400"/>
        <v/>
      </c>
      <c r="BD123" s="51" t="s">
        <v>505</v>
      </c>
      <c r="BT123" s="4" t="str">
        <f t="shared" si="401"/>
        <v/>
      </c>
      <c r="BU123" s="4" t="str">
        <f t="shared" si="402"/>
        <v/>
      </c>
      <c r="BV123" s="4">
        <f>IF(AND(ISBLANK(SPH_6),ISBLANK(SPH_12)),0,1)</f>
        <v>0</v>
      </c>
      <c r="BW123" s="4">
        <f t="shared" si="403"/>
        <v>0</v>
      </c>
      <c r="BX123" s="4" t="str">
        <f t="shared" si="404"/>
        <v/>
      </c>
      <c r="BY123" s="4" t="str">
        <f t="shared" si="405"/>
        <v/>
      </c>
      <c r="BZ123" s="4" t="str">
        <f t="shared" si="406"/>
        <v/>
      </c>
      <c r="CA123" s="53">
        <f t="shared" si="407"/>
        <v>0</v>
      </c>
      <c r="CB123" s="55" t="str">
        <f t="shared" si="408"/>
        <v/>
      </c>
      <c r="CC123" s="4" t="str">
        <f t="shared" si="409"/>
        <v/>
      </c>
      <c r="CD123" s="4" t="str">
        <f t="shared" si="410"/>
        <v/>
      </c>
      <c r="CE123" s="4" t="str">
        <f t="shared" si="411"/>
        <v/>
      </c>
      <c r="CF123" s="4" t="str">
        <f t="shared" si="412"/>
        <v/>
      </c>
      <c r="CH123" s="4" t="str">
        <f t="shared" si="413"/>
        <v/>
      </c>
      <c r="CI123" s="104" t="str">
        <f t="shared" si="414"/>
        <v/>
      </c>
      <c r="CJ123" s="94" t="str">
        <f t="shared" si="415"/>
        <v/>
      </c>
      <c r="CK123" s="4" t="str">
        <f t="shared" si="416"/>
        <v/>
      </c>
      <c r="CL123" s="107" t="str">
        <f t="shared" si="417"/>
        <v/>
      </c>
      <c r="CM123" s="107" t="str">
        <f t="shared" si="527"/>
        <v/>
      </c>
      <c r="CN123" s="139" t="str">
        <f t="shared" si="418"/>
        <v/>
      </c>
      <c r="CO123" s="139" t="str">
        <f t="shared" si="419"/>
        <v/>
      </c>
      <c r="CP123" s="149" t="str">
        <f t="shared" si="420"/>
        <v/>
      </c>
      <c r="CQ123" s="149" t="str">
        <f t="shared" si="421"/>
        <v/>
      </c>
      <c r="CR123" s="148" t="str">
        <f t="shared" si="422"/>
        <v/>
      </c>
      <c r="CS123" s="152" t="str">
        <f t="shared" si="423"/>
        <v/>
      </c>
      <c r="CT123" s="107" t="str">
        <f t="shared" si="424"/>
        <v/>
      </c>
      <c r="CU123" s="155" t="str">
        <f t="shared" si="425"/>
        <v/>
      </c>
      <c r="CV123">
        <v>7.42</v>
      </c>
      <c r="CW123" s="4">
        <v>7.27</v>
      </c>
      <c r="CX123" s="4">
        <v>6.7</v>
      </c>
      <c r="CY123" s="4">
        <v>-0.9</v>
      </c>
      <c r="CZ123" s="4">
        <v>0.56999999999999995</v>
      </c>
      <c r="DA123" s="4">
        <v>0.57999999999999996</v>
      </c>
      <c r="DB123" s="4">
        <v>2.91</v>
      </c>
      <c r="DC123" s="4">
        <v>3.55</v>
      </c>
      <c r="DD123" s="4">
        <v>640</v>
      </c>
      <c r="DE123" s="4">
        <v>654</v>
      </c>
      <c r="DF123" s="4">
        <v>623</v>
      </c>
      <c r="DG123" s="4">
        <v>674</v>
      </c>
      <c r="DH123" s="4">
        <v>634</v>
      </c>
      <c r="DI123" s="4">
        <v>673</v>
      </c>
      <c r="DJ123" s="4">
        <v>594</v>
      </c>
      <c r="DK123" s="4">
        <v>0.85</v>
      </c>
      <c r="DL123" s="4">
        <v>1.5</v>
      </c>
      <c r="DM123" s="4">
        <v>7.35</v>
      </c>
      <c r="DN123" s="4">
        <v>7.4</v>
      </c>
      <c r="DO123" s="4">
        <v>7.49</v>
      </c>
      <c r="DP123" s="4">
        <v>7.64</v>
      </c>
      <c r="DQ123" s="4">
        <v>7.98</v>
      </c>
      <c r="DR123" s="4">
        <v>8.0399999999999991</v>
      </c>
      <c r="DS123" s="4">
        <v>0</v>
      </c>
      <c r="DT123" s="4">
        <v>0.7</v>
      </c>
      <c r="DU123" s="4">
        <v>6.82</v>
      </c>
      <c r="DV123" s="4">
        <v>6.73</v>
      </c>
      <c r="DW123" s="4">
        <v>6.6</v>
      </c>
      <c r="DX123" s="4">
        <v>6.47</v>
      </c>
      <c r="DY123" s="4">
        <v>6.53</v>
      </c>
      <c r="DZ123" s="4">
        <v>0</v>
      </c>
      <c r="EA123" s="4">
        <v>0</v>
      </c>
      <c r="EB123" s="100">
        <v>0.7</v>
      </c>
      <c r="IJ123" s="94" t="str">
        <f t="shared" si="426"/>
        <v/>
      </c>
      <c r="IK123" s="4" t="str">
        <f t="shared" si="427"/>
        <v/>
      </c>
      <c r="IL123" s="4" t="str">
        <f t="shared" si="428"/>
        <v/>
      </c>
      <c r="IM123" s="4" t="str">
        <f t="shared" si="429"/>
        <v/>
      </c>
      <c r="IN123" s="4" t="str">
        <f t="shared" si="430"/>
        <v/>
      </c>
      <c r="IO123" s="4" t="str">
        <f t="shared" si="431"/>
        <v/>
      </c>
      <c r="IP123" s="4" t="str">
        <f t="shared" si="432"/>
        <v/>
      </c>
      <c r="IQ123" s="4" t="str">
        <f t="shared" si="433"/>
        <v/>
      </c>
      <c r="IR123" s="4" t="str">
        <f t="shared" si="434"/>
        <v/>
      </c>
      <c r="IS123" s="4" t="str">
        <f t="shared" si="435"/>
        <v/>
      </c>
      <c r="IT123" s="4" t="str">
        <f t="shared" si="436"/>
        <v/>
      </c>
      <c r="IU123" s="4" t="str">
        <f t="shared" si="437"/>
        <v/>
      </c>
      <c r="IV123" s="4" t="str">
        <f t="shared" si="438"/>
        <v/>
      </c>
      <c r="IW123" s="4" t="str">
        <f t="shared" si="439"/>
        <v/>
      </c>
      <c r="IX123" s="4" t="str">
        <f t="shared" si="440"/>
        <v/>
      </c>
      <c r="IY123" s="4" t="str">
        <f t="shared" si="441"/>
        <v/>
      </c>
      <c r="IZ123" s="4" t="str">
        <f t="shared" si="442"/>
        <v/>
      </c>
      <c r="JA123" s="4" t="str">
        <f t="shared" si="443"/>
        <v/>
      </c>
      <c r="JB123" s="4" t="str">
        <f t="shared" si="444"/>
        <v/>
      </c>
      <c r="JC123" s="4" t="str">
        <f t="shared" si="445"/>
        <v/>
      </c>
      <c r="JD123" s="4" t="str">
        <f t="shared" si="446"/>
        <v/>
      </c>
      <c r="JE123" s="4" t="str">
        <f t="shared" si="447"/>
        <v/>
      </c>
      <c r="JF123" s="4" t="str">
        <f t="shared" si="448"/>
        <v/>
      </c>
      <c r="JG123" s="4" t="str">
        <f t="shared" si="449"/>
        <v/>
      </c>
      <c r="JH123" s="4" t="str">
        <f t="shared" si="450"/>
        <v/>
      </c>
      <c r="JI123" s="4" t="str">
        <f t="shared" si="451"/>
        <v/>
      </c>
      <c r="JJ123" s="4" t="str">
        <f t="shared" si="452"/>
        <v/>
      </c>
      <c r="JK123" s="4" t="str">
        <f t="shared" si="453"/>
        <v/>
      </c>
      <c r="JL123" s="4" t="str">
        <f t="shared" si="454"/>
        <v/>
      </c>
      <c r="JM123" s="4" t="str">
        <f t="shared" si="455"/>
        <v/>
      </c>
      <c r="JN123" s="4" t="str">
        <f t="shared" si="456"/>
        <v/>
      </c>
      <c r="JO123" s="129" t="str">
        <f t="shared" si="457"/>
        <v/>
      </c>
      <c r="JP123" s="122" t="str">
        <f t="shared" si="458"/>
        <v/>
      </c>
      <c r="JQ123" s="122" t="str">
        <f t="shared" si="459"/>
        <v/>
      </c>
      <c r="JR123" s="122" t="str">
        <f t="shared" si="460"/>
        <v/>
      </c>
      <c r="JS123" s="122" t="str">
        <f t="shared" si="461"/>
        <v/>
      </c>
      <c r="JT123" s="122" t="str">
        <f t="shared" si="462"/>
        <v/>
      </c>
      <c r="JU123" s="122" t="str">
        <f t="shared" si="463"/>
        <v/>
      </c>
      <c r="JV123" s="122" t="str">
        <f t="shared" si="464"/>
        <v/>
      </c>
      <c r="JW123" s="122" t="str">
        <f t="shared" si="465"/>
        <v/>
      </c>
      <c r="JX123" s="122" t="str">
        <f t="shared" si="466"/>
        <v/>
      </c>
      <c r="JY123" s="122" t="str">
        <f t="shared" si="467"/>
        <v/>
      </c>
      <c r="JZ123" s="122" t="str">
        <f t="shared" si="468"/>
        <v/>
      </c>
      <c r="KA123" s="122" t="str">
        <f t="shared" si="469"/>
        <v/>
      </c>
      <c r="KB123" s="122" t="str">
        <f t="shared" si="470"/>
        <v/>
      </c>
      <c r="KC123" s="122" t="str">
        <f t="shared" si="471"/>
        <v/>
      </c>
      <c r="KD123" s="122" t="str">
        <f t="shared" si="472"/>
        <v/>
      </c>
      <c r="KE123" s="133" t="str">
        <f t="shared" si="473"/>
        <v/>
      </c>
      <c r="KF123" s="94" t="str">
        <f t="shared" si="474"/>
        <v/>
      </c>
      <c r="KG123" s="4" t="str">
        <f t="shared" si="475"/>
        <v/>
      </c>
      <c r="KH123" s="4" t="str">
        <f t="shared" si="476"/>
        <v/>
      </c>
      <c r="KI123" s="4" t="str">
        <f t="shared" si="477"/>
        <v/>
      </c>
      <c r="KJ123" s="4" t="str">
        <f t="shared" si="478"/>
        <v/>
      </c>
      <c r="KK123" s="4" t="str">
        <f t="shared" si="479"/>
        <v/>
      </c>
      <c r="KL123" s="4" t="str">
        <f t="shared" si="480"/>
        <v/>
      </c>
      <c r="KM123" s="4" t="str">
        <f t="shared" si="481"/>
        <v/>
      </c>
      <c r="KN123" s="4" t="str">
        <f t="shared" si="482"/>
        <v/>
      </c>
      <c r="KO123" s="4" t="str">
        <f t="shared" si="483"/>
        <v/>
      </c>
      <c r="KP123" s="4" t="str">
        <f t="shared" si="484"/>
        <v/>
      </c>
      <c r="KQ123" s="4" t="str">
        <f t="shared" si="485"/>
        <v/>
      </c>
      <c r="KR123" s="4" t="str">
        <f t="shared" si="486"/>
        <v/>
      </c>
      <c r="KS123" s="4" t="str">
        <f t="shared" si="487"/>
        <v/>
      </c>
      <c r="KT123" s="4" t="str">
        <f t="shared" si="488"/>
        <v/>
      </c>
      <c r="KU123" s="4" t="str">
        <f t="shared" si="489"/>
        <v/>
      </c>
      <c r="KV123" s="4" t="str">
        <f t="shared" si="490"/>
        <v/>
      </c>
      <c r="KW123" s="4" t="str">
        <f t="shared" si="491"/>
        <v/>
      </c>
      <c r="KX123" s="4" t="str">
        <f t="shared" si="492"/>
        <v/>
      </c>
      <c r="KY123" s="4" t="str">
        <f t="shared" si="493"/>
        <v/>
      </c>
      <c r="KZ123" s="4" t="str">
        <f t="shared" si="494"/>
        <v/>
      </c>
      <c r="LA123" s="4" t="str">
        <f t="shared" si="495"/>
        <v/>
      </c>
      <c r="LB123" s="4" t="str">
        <f t="shared" si="496"/>
        <v/>
      </c>
      <c r="LC123" s="4" t="str">
        <f t="shared" si="497"/>
        <v/>
      </c>
      <c r="LD123" s="4" t="str">
        <f t="shared" si="498"/>
        <v/>
      </c>
      <c r="LE123" s="4" t="str">
        <f t="shared" si="499"/>
        <v/>
      </c>
      <c r="LF123" s="4" t="str">
        <f t="shared" si="500"/>
        <v/>
      </c>
      <c r="LG123" s="4" t="str">
        <f t="shared" si="501"/>
        <v/>
      </c>
      <c r="LH123" s="4" t="str">
        <f t="shared" si="502"/>
        <v/>
      </c>
      <c r="LI123" s="4" t="str">
        <f t="shared" si="503"/>
        <v/>
      </c>
      <c r="LJ123" s="4" t="str">
        <f t="shared" si="504"/>
        <v/>
      </c>
      <c r="LK123" s="4" t="str">
        <f t="shared" si="505"/>
        <v/>
      </c>
      <c r="LL123" s="4" t="str">
        <f t="shared" si="506"/>
        <v/>
      </c>
      <c r="LM123" s="4" t="str">
        <f t="shared" si="507"/>
        <v/>
      </c>
      <c r="LN123" s="4" t="str">
        <f t="shared" si="508"/>
        <v/>
      </c>
      <c r="LO123" s="4" t="str">
        <f t="shared" si="509"/>
        <v/>
      </c>
      <c r="LP123" s="4" t="str">
        <f t="shared" si="510"/>
        <v/>
      </c>
      <c r="LQ123" s="4" t="str">
        <f t="shared" si="511"/>
        <v/>
      </c>
      <c r="LR123" s="4" t="str">
        <f t="shared" si="512"/>
        <v/>
      </c>
      <c r="LS123" s="4" t="str">
        <f t="shared" si="513"/>
        <v/>
      </c>
      <c r="LT123" s="4" t="str">
        <f t="shared" si="514"/>
        <v/>
      </c>
      <c r="LU123" s="4" t="str">
        <f t="shared" si="515"/>
        <v/>
      </c>
      <c r="LV123" s="4" t="str">
        <f t="shared" si="516"/>
        <v/>
      </c>
      <c r="LW123" s="4" t="str">
        <f t="shared" si="517"/>
        <v/>
      </c>
      <c r="LX123" s="4" t="str">
        <f t="shared" si="518"/>
        <v/>
      </c>
      <c r="LY123" s="4" t="str">
        <f t="shared" si="519"/>
        <v/>
      </c>
      <c r="LZ123" s="4" t="str">
        <f t="shared" si="520"/>
        <v/>
      </c>
      <c r="MA123" s="4" t="str">
        <f t="shared" si="521"/>
        <v/>
      </c>
      <c r="MB123" s="4" t="str">
        <f t="shared" si="522"/>
        <v/>
      </c>
      <c r="MC123" s="4" t="str">
        <f t="shared" si="523"/>
        <v/>
      </c>
      <c r="MD123" s="4" t="str">
        <f t="shared" si="524"/>
        <v/>
      </c>
      <c r="ME123" s="4">
        <f t="shared" si="525"/>
        <v>0</v>
      </c>
    </row>
    <row r="124" spans="1:343" ht="26.25" customHeight="1" x14ac:dyDescent="0.2">
      <c r="A124" s="44">
        <v>41437</v>
      </c>
      <c r="B124" s="36" t="s">
        <v>146</v>
      </c>
      <c r="C124" s="36" t="s">
        <v>264</v>
      </c>
      <c r="D124" s="31" t="s">
        <v>111</v>
      </c>
      <c r="E124" s="4">
        <v>65</v>
      </c>
      <c r="F124" s="3">
        <v>17341</v>
      </c>
      <c r="G124" s="4" t="s">
        <v>87</v>
      </c>
      <c r="H124" s="4" t="s">
        <v>108</v>
      </c>
      <c r="I124" s="45">
        <v>1836982</v>
      </c>
      <c r="J124" s="45"/>
      <c r="K124" s="82"/>
      <c r="L124" s="82"/>
      <c r="M124" s="82"/>
      <c r="N124" s="82"/>
      <c r="O124" s="82"/>
      <c r="P124" s="33">
        <v>-0.5</v>
      </c>
      <c r="Q124" s="33">
        <v>-0.49</v>
      </c>
      <c r="R124" s="4" t="s">
        <v>249</v>
      </c>
      <c r="S124" s="67">
        <v>15.25</v>
      </c>
      <c r="T124" s="137">
        <v>41435</v>
      </c>
      <c r="U124" s="67">
        <v>-3.75</v>
      </c>
      <c r="V124" s="67">
        <v>0.5</v>
      </c>
      <c r="W124" s="4">
        <v>1</v>
      </c>
      <c r="X124" s="4">
        <v>60</v>
      </c>
      <c r="Y124" s="4">
        <v>15</v>
      </c>
      <c r="Z124" s="4">
        <v>648</v>
      </c>
      <c r="AA124" s="4">
        <v>25.03</v>
      </c>
      <c r="AB124" s="4">
        <v>11.7</v>
      </c>
      <c r="AC124" s="4">
        <v>4.38</v>
      </c>
      <c r="AD124" s="4">
        <v>3.54</v>
      </c>
      <c r="AE124" s="4">
        <v>44.18</v>
      </c>
      <c r="AF124" s="4">
        <v>106</v>
      </c>
      <c r="AG124" s="4">
        <v>44.88</v>
      </c>
      <c r="AH124" s="4">
        <v>16</v>
      </c>
      <c r="AI124" s="4">
        <v>2</v>
      </c>
      <c r="AJ124" s="4" t="b">
        <f t="shared" si="398"/>
        <v>1</v>
      </c>
      <c r="AL124" s="51" t="s">
        <v>78</v>
      </c>
      <c r="BC124" s="4" t="str">
        <f t="shared" si="400"/>
        <v/>
      </c>
      <c r="BD124" s="150">
        <v>41701</v>
      </c>
      <c r="BT124" s="4" t="str">
        <f t="shared" si="401"/>
        <v/>
      </c>
      <c r="BU124" s="4" t="str">
        <f t="shared" si="402"/>
        <v/>
      </c>
      <c r="BV124" s="4">
        <f>IF(AND(ISBLANK(SPH_6),ISBLANK(SPH_12)),0,1)</f>
        <v>0</v>
      </c>
      <c r="BW124" s="4">
        <f t="shared" si="403"/>
        <v>0</v>
      </c>
      <c r="BX124" s="4" t="str">
        <f t="shared" si="404"/>
        <v/>
      </c>
      <c r="BY124" s="4" t="str">
        <f t="shared" si="405"/>
        <v/>
      </c>
      <c r="BZ124" s="4" t="str">
        <f t="shared" si="406"/>
        <v/>
      </c>
      <c r="CA124" s="53">
        <f t="shared" si="407"/>
        <v>0</v>
      </c>
      <c r="CB124" s="55" t="str">
        <f t="shared" si="408"/>
        <v/>
      </c>
      <c r="CC124" s="4" t="str">
        <f t="shared" si="409"/>
        <v/>
      </c>
      <c r="CD124" s="4" t="str">
        <f t="shared" si="410"/>
        <v/>
      </c>
      <c r="CE124" s="4" t="str">
        <f t="shared" si="411"/>
        <v/>
      </c>
      <c r="CF124" s="4" t="str">
        <f t="shared" si="412"/>
        <v/>
      </c>
      <c r="CH124" s="4" t="str">
        <f t="shared" si="413"/>
        <v/>
      </c>
      <c r="CI124" s="104" t="str">
        <f t="shared" si="414"/>
        <v/>
      </c>
      <c r="CJ124" s="94" t="str">
        <f t="shared" si="415"/>
        <v/>
      </c>
      <c r="CK124" s="4" t="str">
        <f t="shared" si="416"/>
        <v/>
      </c>
      <c r="CL124" s="107" t="str">
        <f t="shared" si="417"/>
        <v/>
      </c>
      <c r="CM124" s="107" t="str">
        <f t="shared" si="527"/>
        <v/>
      </c>
      <c r="CN124" s="139" t="str">
        <f t="shared" si="418"/>
        <v/>
      </c>
      <c r="CO124" s="139" t="str">
        <f t="shared" si="419"/>
        <v/>
      </c>
      <c r="CP124" s="149" t="str">
        <f t="shared" si="420"/>
        <v/>
      </c>
      <c r="CQ124" s="149" t="str">
        <f t="shared" si="421"/>
        <v/>
      </c>
      <c r="CR124" s="148" t="str">
        <f t="shared" si="422"/>
        <v/>
      </c>
      <c r="CS124" s="152" t="str">
        <f t="shared" si="423"/>
        <v/>
      </c>
      <c r="CT124" s="107" t="str">
        <f t="shared" si="424"/>
        <v/>
      </c>
      <c r="CU124" s="155" t="str">
        <f t="shared" si="425"/>
        <v/>
      </c>
      <c r="CV124">
        <v>7.53</v>
      </c>
      <c r="CW124" s="4">
        <v>7.62</v>
      </c>
      <c r="CX124" s="4">
        <v>132.6</v>
      </c>
      <c r="CY124" s="4">
        <v>0.5</v>
      </c>
      <c r="CZ124" s="4">
        <v>0.65</v>
      </c>
      <c r="DA124" s="4">
        <v>0.75</v>
      </c>
      <c r="DB124" s="4">
        <v>2.71</v>
      </c>
      <c r="DC124" s="4">
        <v>3.34</v>
      </c>
      <c r="DD124" s="4">
        <v>631</v>
      </c>
      <c r="DE124" s="4">
        <v>634</v>
      </c>
      <c r="DF124" s="4">
        <v>709</v>
      </c>
      <c r="DG124" s="4">
        <v>671</v>
      </c>
      <c r="DH124" s="4">
        <v>649</v>
      </c>
      <c r="DI124" s="4">
        <v>685</v>
      </c>
      <c r="DJ124" s="4">
        <v>622</v>
      </c>
      <c r="DK124" s="4">
        <v>1.24</v>
      </c>
      <c r="DL124" s="4">
        <v>0</v>
      </c>
      <c r="DM124" s="4">
        <v>7.56</v>
      </c>
      <c r="DN124" s="4">
        <v>7.6</v>
      </c>
      <c r="DO124" s="4">
        <v>7.69</v>
      </c>
      <c r="DP124" s="4">
        <v>7.98</v>
      </c>
      <c r="DQ124" s="4">
        <v>8.3000000000000007</v>
      </c>
      <c r="DR124" s="4">
        <v>8.5399999999999991</v>
      </c>
      <c r="DS124" s="4">
        <v>0</v>
      </c>
      <c r="DT124" s="4">
        <v>1</v>
      </c>
      <c r="DU124" s="4">
        <v>6.5</v>
      </c>
      <c r="DV124" s="4">
        <v>6.46</v>
      </c>
      <c r="DW124" s="4">
        <v>6.51</v>
      </c>
      <c r="DX124" s="4">
        <v>6.66</v>
      </c>
      <c r="DY124" s="4">
        <v>6.92</v>
      </c>
      <c r="DZ124" s="4">
        <v>0</v>
      </c>
      <c r="EA124" s="4">
        <v>0</v>
      </c>
      <c r="EB124" s="100">
        <v>1</v>
      </c>
      <c r="IJ124" s="94" t="str">
        <f t="shared" si="426"/>
        <v/>
      </c>
      <c r="IK124" s="4" t="str">
        <f t="shared" si="427"/>
        <v/>
      </c>
      <c r="IL124" s="4" t="str">
        <f t="shared" si="428"/>
        <v/>
      </c>
      <c r="IM124" s="4" t="str">
        <f t="shared" si="429"/>
        <v/>
      </c>
      <c r="IN124" s="4" t="str">
        <f t="shared" si="430"/>
        <v/>
      </c>
      <c r="IO124" s="4" t="str">
        <f t="shared" si="431"/>
        <v/>
      </c>
      <c r="IP124" s="4" t="str">
        <f t="shared" si="432"/>
        <v/>
      </c>
      <c r="IQ124" s="4" t="str">
        <f t="shared" si="433"/>
        <v/>
      </c>
      <c r="IR124" s="4" t="str">
        <f t="shared" si="434"/>
        <v/>
      </c>
      <c r="IS124" s="4" t="str">
        <f t="shared" si="435"/>
        <v/>
      </c>
      <c r="IT124" s="4" t="str">
        <f t="shared" si="436"/>
        <v/>
      </c>
      <c r="IU124" s="4" t="str">
        <f t="shared" si="437"/>
        <v/>
      </c>
      <c r="IV124" s="4" t="str">
        <f t="shared" si="438"/>
        <v/>
      </c>
      <c r="IW124" s="4" t="str">
        <f t="shared" si="439"/>
        <v/>
      </c>
      <c r="IX124" s="4" t="str">
        <f t="shared" si="440"/>
        <v/>
      </c>
      <c r="IY124" s="4" t="str">
        <f t="shared" si="441"/>
        <v/>
      </c>
      <c r="IZ124" s="4" t="str">
        <f t="shared" si="442"/>
        <v/>
      </c>
      <c r="JA124" s="4" t="str">
        <f t="shared" si="443"/>
        <v/>
      </c>
      <c r="JB124" s="4" t="str">
        <f t="shared" si="444"/>
        <v/>
      </c>
      <c r="JC124" s="4" t="str">
        <f t="shared" si="445"/>
        <v/>
      </c>
      <c r="JD124" s="4" t="str">
        <f t="shared" si="446"/>
        <v/>
      </c>
      <c r="JE124" s="4" t="str">
        <f t="shared" si="447"/>
        <v/>
      </c>
      <c r="JF124" s="4" t="str">
        <f t="shared" si="448"/>
        <v/>
      </c>
      <c r="JG124" s="4" t="str">
        <f t="shared" si="449"/>
        <v/>
      </c>
      <c r="JH124" s="4" t="str">
        <f t="shared" si="450"/>
        <v/>
      </c>
      <c r="JI124" s="4" t="str">
        <f t="shared" si="451"/>
        <v/>
      </c>
      <c r="JJ124" s="4" t="str">
        <f t="shared" si="452"/>
        <v/>
      </c>
      <c r="JK124" s="4" t="str">
        <f t="shared" si="453"/>
        <v/>
      </c>
      <c r="JL124" s="4" t="str">
        <f t="shared" si="454"/>
        <v/>
      </c>
      <c r="JM124" s="4" t="str">
        <f t="shared" si="455"/>
        <v/>
      </c>
      <c r="JN124" s="4" t="str">
        <f t="shared" si="456"/>
        <v/>
      </c>
      <c r="JO124" s="129" t="str">
        <f t="shared" si="457"/>
        <v/>
      </c>
      <c r="JP124" s="122" t="str">
        <f t="shared" si="458"/>
        <v/>
      </c>
      <c r="JQ124" s="122" t="str">
        <f t="shared" si="459"/>
        <v/>
      </c>
      <c r="JR124" s="122" t="str">
        <f t="shared" si="460"/>
        <v/>
      </c>
      <c r="JS124" s="122" t="str">
        <f t="shared" si="461"/>
        <v/>
      </c>
      <c r="JT124" s="122" t="str">
        <f t="shared" si="462"/>
        <v/>
      </c>
      <c r="JU124" s="122" t="str">
        <f t="shared" si="463"/>
        <v/>
      </c>
      <c r="JV124" s="122" t="str">
        <f t="shared" si="464"/>
        <v/>
      </c>
      <c r="JW124" s="122" t="str">
        <f t="shared" si="465"/>
        <v/>
      </c>
      <c r="JX124" s="122" t="str">
        <f t="shared" si="466"/>
        <v/>
      </c>
      <c r="JY124" s="122" t="str">
        <f t="shared" si="467"/>
        <v/>
      </c>
      <c r="JZ124" s="122" t="str">
        <f t="shared" si="468"/>
        <v/>
      </c>
      <c r="KA124" s="122" t="str">
        <f t="shared" si="469"/>
        <v/>
      </c>
      <c r="KB124" s="122" t="str">
        <f t="shared" si="470"/>
        <v/>
      </c>
      <c r="KC124" s="122" t="str">
        <f t="shared" si="471"/>
        <v/>
      </c>
      <c r="KD124" s="122" t="str">
        <f t="shared" si="472"/>
        <v/>
      </c>
      <c r="KE124" s="133" t="str">
        <f t="shared" si="473"/>
        <v/>
      </c>
      <c r="KF124" s="94" t="str">
        <f t="shared" si="474"/>
        <v/>
      </c>
      <c r="KG124" s="4" t="str">
        <f t="shared" si="475"/>
        <v/>
      </c>
      <c r="KH124" s="4" t="str">
        <f t="shared" si="476"/>
        <v/>
      </c>
      <c r="KI124" s="4" t="str">
        <f t="shared" si="477"/>
        <v/>
      </c>
      <c r="KJ124" s="4" t="str">
        <f t="shared" si="478"/>
        <v/>
      </c>
      <c r="KK124" s="4" t="str">
        <f t="shared" si="479"/>
        <v/>
      </c>
      <c r="KL124" s="4" t="str">
        <f t="shared" si="480"/>
        <v/>
      </c>
      <c r="KM124" s="4" t="str">
        <f t="shared" si="481"/>
        <v/>
      </c>
      <c r="KN124" s="4" t="str">
        <f t="shared" si="482"/>
        <v/>
      </c>
      <c r="KO124" s="4" t="str">
        <f t="shared" si="483"/>
        <v/>
      </c>
      <c r="KP124" s="4" t="str">
        <f t="shared" si="484"/>
        <v/>
      </c>
      <c r="KQ124" s="4" t="str">
        <f t="shared" si="485"/>
        <v/>
      </c>
      <c r="KR124" s="4" t="str">
        <f t="shared" si="486"/>
        <v/>
      </c>
      <c r="KS124" s="4" t="str">
        <f t="shared" si="487"/>
        <v/>
      </c>
      <c r="KT124" s="4" t="str">
        <f t="shared" si="488"/>
        <v/>
      </c>
      <c r="KU124" s="4" t="str">
        <f t="shared" si="489"/>
        <v/>
      </c>
      <c r="KV124" s="4" t="str">
        <f t="shared" si="490"/>
        <v/>
      </c>
      <c r="KW124" s="4" t="str">
        <f t="shared" si="491"/>
        <v/>
      </c>
      <c r="KX124" s="4" t="str">
        <f t="shared" si="492"/>
        <v/>
      </c>
      <c r="KY124" s="4" t="str">
        <f t="shared" si="493"/>
        <v/>
      </c>
      <c r="KZ124" s="4" t="str">
        <f t="shared" si="494"/>
        <v/>
      </c>
      <c r="LA124" s="4" t="str">
        <f t="shared" si="495"/>
        <v/>
      </c>
      <c r="LB124" s="4" t="str">
        <f t="shared" si="496"/>
        <v/>
      </c>
      <c r="LC124" s="4" t="str">
        <f t="shared" si="497"/>
        <v/>
      </c>
      <c r="LD124" s="4" t="str">
        <f t="shared" si="498"/>
        <v/>
      </c>
      <c r="LE124" s="4" t="str">
        <f t="shared" si="499"/>
        <v/>
      </c>
      <c r="LF124" s="4" t="str">
        <f t="shared" si="500"/>
        <v/>
      </c>
      <c r="LG124" s="4" t="str">
        <f t="shared" si="501"/>
        <v/>
      </c>
      <c r="LH124" s="4" t="str">
        <f t="shared" si="502"/>
        <v/>
      </c>
      <c r="LI124" s="4" t="str">
        <f t="shared" si="503"/>
        <v/>
      </c>
      <c r="LJ124" s="4" t="str">
        <f t="shared" si="504"/>
        <v/>
      </c>
      <c r="LK124" s="4" t="str">
        <f t="shared" si="505"/>
        <v/>
      </c>
      <c r="LL124" s="4" t="str">
        <f t="shared" si="506"/>
        <v/>
      </c>
      <c r="LM124" s="4" t="str">
        <f t="shared" si="507"/>
        <v/>
      </c>
      <c r="LN124" s="4" t="str">
        <f t="shared" si="508"/>
        <v/>
      </c>
      <c r="LO124" s="4" t="str">
        <f t="shared" si="509"/>
        <v/>
      </c>
      <c r="LP124" s="4" t="str">
        <f t="shared" si="510"/>
        <v/>
      </c>
      <c r="LQ124" s="4" t="str">
        <f t="shared" si="511"/>
        <v/>
      </c>
      <c r="LR124" s="4" t="str">
        <f t="shared" si="512"/>
        <v/>
      </c>
      <c r="LS124" s="4" t="str">
        <f t="shared" si="513"/>
        <v/>
      </c>
      <c r="LT124" s="4" t="str">
        <f t="shared" si="514"/>
        <v/>
      </c>
      <c r="LU124" s="4" t="str">
        <f t="shared" si="515"/>
        <v/>
      </c>
      <c r="LV124" s="4" t="str">
        <f t="shared" si="516"/>
        <v/>
      </c>
      <c r="LW124" s="4" t="str">
        <f t="shared" si="517"/>
        <v/>
      </c>
      <c r="LX124" s="4" t="str">
        <f t="shared" si="518"/>
        <v/>
      </c>
      <c r="LY124" s="4" t="str">
        <f t="shared" si="519"/>
        <v/>
      </c>
      <c r="LZ124" s="4" t="str">
        <f t="shared" si="520"/>
        <v/>
      </c>
      <c r="MA124" s="4" t="str">
        <f t="shared" si="521"/>
        <v/>
      </c>
      <c r="MB124" s="4" t="str">
        <f t="shared" si="522"/>
        <v/>
      </c>
      <c r="MC124" s="4" t="str">
        <f t="shared" si="523"/>
        <v/>
      </c>
      <c r="MD124" s="4" t="str">
        <f t="shared" si="524"/>
        <v/>
      </c>
      <c r="ME124" s="4">
        <f t="shared" si="525"/>
        <v>0</v>
      </c>
    </row>
    <row r="125" spans="1:343" ht="26.25" customHeight="1" x14ac:dyDescent="0.2">
      <c r="A125" s="44">
        <v>41437</v>
      </c>
      <c r="B125" s="36" t="s">
        <v>263</v>
      </c>
      <c r="C125" s="36" t="s">
        <v>81</v>
      </c>
      <c r="D125" s="31" t="s">
        <v>110</v>
      </c>
      <c r="E125" s="4">
        <v>69</v>
      </c>
      <c r="F125" s="3">
        <v>16070</v>
      </c>
      <c r="G125" s="4" t="s">
        <v>87</v>
      </c>
      <c r="H125" s="4" t="s">
        <v>108</v>
      </c>
      <c r="I125" s="45">
        <v>1836983</v>
      </c>
      <c r="J125" s="45"/>
      <c r="K125" s="82"/>
      <c r="L125" s="82"/>
      <c r="M125" s="82"/>
      <c r="N125" s="82"/>
      <c r="O125" s="82"/>
      <c r="P125" s="33">
        <v>-0.5</v>
      </c>
      <c r="Q125" s="33">
        <v>-0.67</v>
      </c>
      <c r="R125" s="4" t="s">
        <v>249</v>
      </c>
      <c r="S125" s="67">
        <v>15.5</v>
      </c>
      <c r="T125" s="137">
        <v>41428</v>
      </c>
      <c r="U125" s="67">
        <v>-5</v>
      </c>
      <c r="V125" s="67">
        <v>2</v>
      </c>
      <c r="W125" s="4">
        <v>100</v>
      </c>
      <c r="X125" s="4">
        <v>40</v>
      </c>
      <c r="Y125" s="4">
        <v>15</v>
      </c>
      <c r="Z125" s="4">
        <v>582</v>
      </c>
      <c r="AA125" s="4">
        <v>25.51</v>
      </c>
      <c r="AB125" s="4">
        <v>11.9</v>
      </c>
      <c r="AC125" s="4">
        <v>4.87</v>
      </c>
      <c r="AD125" s="4">
        <v>3.57</v>
      </c>
      <c r="AE125" s="4">
        <v>42.51</v>
      </c>
      <c r="AF125" s="4">
        <v>178</v>
      </c>
      <c r="AG125" s="4">
        <v>44.53</v>
      </c>
      <c r="AH125" s="4">
        <v>88</v>
      </c>
      <c r="AI125" s="4">
        <v>0</v>
      </c>
      <c r="AJ125" s="4" t="b">
        <f t="shared" si="398"/>
        <v>0</v>
      </c>
      <c r="AL125" s="3">
        <v>41648</v>
      </c>
      <c r="AM125" s="56">
        <v>50</v>
      </c>
      <c r="AN125" s="67">
        <v>-1.5</v>
      </c>
      <c r="AO125" s="67">
        <v>1.25</v>
      </c>
      <c r="AP125" s="4">
        <v>75</v>
      </c>
      <c r="AQ125" s="4">
        <v>20</v>
      </c>
      <c r="AR125" s="4">
        <v>11</v>
      </c>
      <c r="AS125" s="4">
        <v>564</v>
      </c>
      <c r="BA125" s="4">
        <f>IF(ISNUMBER(AN125),AN125+0.5*AO125,"")</f>
        <v>-0.875</v>
      </c>
      <c r="BB125" s="4">
        <f>IF(ISNUMBER(BA125),IF(ISNUMBER(Q125),BA125-Q125,"MISSING"),"")</f>
        <v>-0.20499999999999996</v>
      </c>
      <c r="BC125" s="4">
        <f t="shared" si="400"/>
        <v>-18</v>
      </c>
      <c r="BD125" s="150">
        <v>41709</v>
      </c>
      <c r="BT125" s="4" t="str">
        <f t="shared" si="401"/>
        <v/>
      </c>
      <c r="BU125" s="4" t="str">
        <f t="shared" si="402"/>
        <v/>
      </c>
      <c r="BV125" s="4">
        <f>IF(AND(ISBLANK(SPH_6),ISBLANK(SPH_12)),0,1)</f>
        <v>1</v>
      </c>
      <c r="BW125" s="4">
        <f t="shared" si="403"/>
        <v>0</v>
      </c>
      <c r="BX125" s="4" t="str">
        <f t="shared" si="404"/>
        <v/>
      </c>
      <c r="BY125" s="4" t="str">
        <f t="shared" si="405"/>
        <v/>
      </c>
      <c r="BZ125" s="4" t="str">
        <f t="shared" si="406"/>
        <v/>
      </c>
      <c r="CA125" s="53">
        <f t="shared" si="407"/>
        <v>211</v>
      </c>
      <c r="CB125" s="55">
        <f t="shared" si="408"/>
        <v>7.0333333333333332</v>
      </c>
      <c r="CC125" s="4" t="str">
        <f t="shared" si="409"/>
        <v/>
      </c>
      <c r="CD125" s="4" t="str">
        <f t="shared" si="410"/>
        <v/>
      </c>
      <c r="CE125" s="4" t="str">
        <f t="shared" si="411"/>
        <v/>
      </c>
      <c r="CF125" s="4" t="str">
        <f t="shared" si="412"/>
        <v/>
      </c>
      <c r="CG125" s="4">
        <f>IF(AND(ISNUMBER(SPH_PREOP),ISNUMBER(SE_LAST_)),SPH_PREOP+CYL_PREOP/2,"")</f>
        <v>-4</v>
      </c>
      <c r="CH125" s="4">
        <f t="shared" si="413"/>
        <v>-0.875</v>
      </c>
      <c r="CI125" s="104">
        <f t="shared" si="414"/>
        <v>-0.20499999999999996</v>
      </c>
      <c r="CJ125" s="94">
        <f t="shared" si="415"/>
        <v>-18</v>
      </c>
      <c r="CK125" s="4" t="str">
        <f t="shared" si="416"/>
        <v/>
      </c>
      <c r="CL125" s="107">
        <f t="shared" si="417"/>
        <v>-0.67</v>
      </c>
      <c r="CM125" s="107">
        <f t="shared" si="527"/>
        <v>0.3010299956639812</v>
      </c>
      <c r="CN125" s="139">
        <f t="shared" si="418"/>
        <v>1.25</v>
      </c>
      <c r="CO125" s="139">
        <f t="shared" si="419"/>
        <v>-0.75</v>
      </c>
      <c r="CP125" s="149">
        <f t="shared" si="420"/>
        <v>20</v>
      </c>
      <c r="CQ125" s="149">
        <f t="shared" si="421"/>
        <v>40</v>
      </c>
      <c r="CR125" s="148">
        <f t="shared" si="422"/>
        <v>50</v>
      </c>
      <c r="CS125" s="152">
        <f t="shared" si="423"/>
        <v>1</v>
      </c>
      <c r="CT125" s="107" t="str">
        <f t="shared" si="424"/>
        <v/>
      </c>
      <c r="CU125" s="155" t="b">
        <f t="shared" si="425"/>
        <v>1</v>
      </c>
      <c r="CV125">
        <v>8</v>
      </c>
      <c r="CW125" s="4">
        <v>7.62</v>
      </c>
      <c r="CX125" s="4">
        <v>5.0999999999999996</v>
      </c>
      <c r="CY125" s="4">
        <v>-2.1</v>
      </c>
      <c r="CZ125" s="4">
        <v>0.5</v>
      </c>
      <c r="DA125" s="4">
        <v>0.57999999999999996</v>
      </c>
      <c r="DB125" s="4">
        <v>2.66</v>
      </c>
      <c r="DC125" s="4">
        <v>3.25</v>
      </c>
      <c r="DD125" s="4">
        <v>588</v>
      </c>
      <c r="DE125" s="4">
        <v>585</v>
      </c>
      <c r="DF125" s="4">
        <v>667</v>
      </c>
      <c r="DG125" s="4">
        <v>672</v>
      </c>
      <c r="DH125" s="4">
        <v>648</v>
      </c>
      <c r="DI125" s="4">
        <v>656</v>
      </c>
      <c r="DJ125" s="4">
        <v>584</v>
      </c>
      <c r="DK125" s="4">
        <v>0.74</v>
      </c>
      <c r="DL125" s="4">
        <v>-0.14000000000000001</v>
      </c>
      <c r="DM125" s="4">
        <v>7.81</v>
      </c>
      <c r="DN125" s="4">
        <v>7.77</v>
      </c>
      <c r="DO125" s="4">
        <v>7.79</v>
      </c>
      <c r="DP125" s="4">
        <v>7.98</v>
      </c>
      <c r="DQ125" s="4">
        <v>8.19</v>
      </c>
      <c r="DR125" s="4">
        <v>8.41</v>
      </c>
      <c r="DS125" s="4">
        <v>0</v>
      </c>
      <c r="DT125" s="4">
        <v>1.4</v>
      </c>
      <c r="DU125" s="4">
        <v>6.39</v>
      </c>
      <c r="DV125" s="4">
        <v>6.42</v>
      </c>
      <c r="DW125" s="4">
        <v>6.52</v>
      </c>
      <c r="DX125" s="4">
        <v>6.54</v>
      </c>
      <c r="DY125" s="4">
        <v>6.69</v>
      </c>
      <c r="DZ125" s="4">
        <v>0</v>
      </c>
      <c r="EA125" s="4">
        <v>0</v>
      </c>
      <c r="EB125" s="100">
        <v>1.4</v>
      </c>
      <c r="IJ125" s="94" t="str">
        <f t="shared" si="426"/>
        <v/>
      </c>
      <c r="IK125" s="4" t="str">
        <f t="shared" si="427"/>
        <v/>
      </c>
      <c r="IL125" s="4" t="str">
        <f t="shared" si="428"/>
        <v/>
      </c>
      <c r="IM125" s="4" t="str">
        <f t="shared" si="429"/>
        <v/>
      </c>
      <c r="IN125" s="4" t="str">
        <f t="shared" si="430"/>
        <v/>
      </c>
      <c r="IO125" s="4" t="str">
        <f t="shared" si="431"/>
        <v/>
      </c>
      <c r="IP125" s="4" t="str">
        <f t="shared" si="432"/>
        <v/>
      </c>
      <c r="IQ125" s="4" t="str">
        <f t="shared" si="433"/>
        <v/>
      </c>
      <c r="IR125" s="4" t="str">
        <f t="shared" si="434"/>
        <v/>
      </c>
      <c r="IS125" s="4" t="str">
        <f t="shared" si="435"/>
        <v/>
      </c>
      <c r="IT125" s="4" t="str">
        <f t="shared" si="436"/>
        <v/>
      </c>
      <c r="IU125" s="4" t="str">
        <f t="shared" si="437"/>
        <v/>
      </c>
      <c r="IV125" s="4" t="str">
        <f t="shared" si="438"/>
        <v/>
      </c>
      <c r="IW125" s="4" t="str">
        <f t="shared" si="439"/>
        <v/>
      </c>
      <c r="IX125" s="4" t="str">
        <f t="shared" si="440"/>
        <v/>
      </c>
      <c r="IY125" s="4" t="str">
        <f t="shared" si="441"/>
        <v/>
      </c>
      <c r="IZ125" s="4" t="str">
        <f t="shared" si="442"/>
        <v/>
      </c>
      <c r="JA125" s="4" t="str">
        <f t="shared" si="443"/>
        <v/>
      </c>
      <c r="JB125" s="4" t="str">
        <f t="shared" si="444"/>
        <v/>
      </c>
      <c r="JC125" s="4" t="str">
        <f t="shared" si="445"/>
        <v/>
      </c>
      <c r="JD125" s="4" t="str">
        <f t="shared" si="446"/>
        <v/>
      </c>
      <c r="JE125" s="4" t="str">
        <f t="shared" si="447"/>
        <v/>
      </c>
      <c r="JF125" s="4" t="str">
        <f t="shared" si="448"/>
        <v/>
      </c>
      <c r="JG125" s="4" t="str">
        <f t="shared" si="449"/>
        <v/>
      </c>
      <c r="JH125" s="4" t="str">
        <f t="shared" si="450"/>
        <v/>
      </c>
      <c r="JI125" s="4" t="str">
        <f t="shared" si="451"/>
        <v/>
      </c>
      <c r="JJ125" s="4" t="str">
        <f t="shared" si="452"/>
        <v/>
      </c>
      <c r="JK125" s="4" t="str">
        <f t="shared" si="453"/>
        <v/>
      </c>
      <c r="JL125" s="4" t="str">
        <f t="shared" si="454"/>
        <v/>
      </c>
      <c r="JM125" s="4" t="str">
        <f t="shared" si="455"/>
        <v/>
      </c>
      <c r="JN125" s="4" t="str">
        <f t="shared" si="456"/>
        <v/>
      </c>
      <c r="JO125" s="129" t="str">
        <f t="shared" si="457"/>
        <v/>
      </c>
      <c r="JP125" s="122" t="str">
        <f t="shared" si="458"/>
        <v/>
      </c>
      <c r="JQ125" s="122" t="str">
        <f t="shared" si="459"/>
        <v/>
      </c>
      <c r="JR125" s="122" t="str">
        <f t="shared" si="460"/>
        <v/>
      </c>
      <c r="JS125" s="122" t="str">
        <f t="shared" si="461"/>
        <v/>
      </c>
      <c r="JT125" s="122" t="str">
        <f t="shared" si="462"/>
        <v/>
      </c>
      <c r="JU125" s="122" t="str">
        <f t="shared" si="463"/>
        <v/>
      </c>
      <c r="JV125" s="122" t="str">
        <f t="shared" si="464"/>
        <v/>
      </c>
      <c r="JW125" s="122" t="str">
        <f t="shared" si="465"/>
        <v/>
      </c>
      <c r="JX125" s="122" t="str">
        <f t="shared" si="466"/>
        <v/>
      </c>
      <c r="JY125" s="122" t="str">
        <f t="shared" si="467"/>
        <v/>
      </c>
      <c r="JZ125" s="122" t="str">
        <f t="shared" si="468"/>
        <v/>
      </c>
      <c r="KA125" s="122" t="str">
        <f t="shared" si="469"/>
        <v/>
      </c>
      <c r="KB125" s="122" t="str">
        <f t="shared" si="470"/>
        <v/>
      </c>
      <c r="KC125" s="122" t="str">
        <f t="shared" si="471"/>
        <v/>
      </c>
      <c r="KD125" s="122" t="str">
        <f t="shared" si="472"/>
        <v/>
      </c>
      <c r="KE125" s="133" t="str">
        <f t="shared" si="473"/>
        <v/>
      </c>
      <c r="KF125" s="94" t="str">
        <f t="shared" si="474"/>
        <v/>
      </c>
      <c r="KG125" s="4" t="str">
        <f t="shared" si="475"/>
        <v/>
      </c>
      <c r="KH125" s="4" t="str">
        <f t="shared" si="476"/>
        <v/>
      </c>
      <c r="KI125" s="4" t="str">
        <f t="shared" si="477"/>
        <v/>
      </c>
      <c r="KJ125" s="4" t="str">
        <f t="shared" si="478"/>
        <v/>
      </c>
      <c r="KK125" s="4" t="str">
        <f t="shared" si="479"/>
        <v/>
      </c>
      <c r="KL125" s="4" t="str">
        <f t="shared" si="480"/>
        <v/>
      </c>
      <c r="KM125" s="4" t="str">
        <f t="shared" si="481"/>
        <v/>
      </c>
      <c r="KN125" s="4" t="str">
        <f t="shared" si="482"/>
        <v/>
      </c>
      <c r="KO125" s="4" t="str">
        <f t="shared" si="483"/>
        <v/>
      </c>
      <c r="KP125" s="4" t="str">
        <f t="shared" si="484"/>
        <v/>
      </c>
      <c r="KQ125" s="4" t="str">
        <f t="shared" si="485"/>
        <v/>
      </c>
      <c r="KR125" s="4" t="str">
        <f t="shared" si="486"/>
        <v/>
      </c>
      <c r="KS125" s="4" t="str">
        <f t="shared" si="487"/>
        <v/>
      </c>
      <c r="KT125" s="4" t="str">
        <f t="shared" si="488"/>
        <v/>
      </c>
      <c r="KU125" s="4" t="str">
        <f t="shared" si="489"/>
        <v/>
      </c>
      <c r="KV125" s="4" t="str">
        <f t="shared" si="490"/>
        <v/>
      </c>
      <c r="KW125" s="4" t="str">
        <f t="shared" si="491"/>
        <v/>
      </c>
      <c r="KX125" s="4" t="str">
        <f t="shared" si="492"/>
        <v/>
      </c>
      <c r="KY125" s="4" t="str">
        <f t="shared" si="493"/>
        <v/>
      </c>
      <c r="KZ125" s="4" t="str">
        <f t="shared" si="494"/>
        <v/>
      </c>
      <c r="LA125" s="4" t="str">
        <f t="shared" si="495"/>
        <v/>
      </c>
      <c r="LB125" s="4" t="str">
        <f t="shared" si="496"/>
        <v/>
      </c>
      <c r="LC125" s="4" t="str">
        <f t="shared" si="497"/>
        <v/>
      </c>
      <c r="LD125" s="4" t="str">
        <f t="shared" si="498"/>
        <v/>
      </c>
      <c r="LE125" s="4" t="str">
        <f t="shared" si="499"/>
        <v/>
      </c>
      <c r="LF125" s="4" t="str">
        <f t="shared" si="500"/>
        <v/>
      </c>
      <c r="LG125" s="4" t="str">
        <f t="shared" si="501"/>
        <v/>
      </c>
      <c r="LH125" s="4" t="str">
        <f t="shared" si="502"/>
        <v/>
      </c>
      <c r="LI125" s="4" t="str">
        <f t="shared" si="503"/>
        <v/>
      </c>
      <c r="LJ125" s="4" t="str">
        <f t="shared" si="504"/>
        <v/>
      </c>
      <c r="LK125" s="4" t="str">
        <f t="shared" si="505"/>
        <v/>
      </c>
      <c r="LL125" s="4" t="str">
        <f t="shared" si="506"/>
        <v/>
      </c>
      <c r="LM125" s="4" t="str">
        <f t="shared" si="507"/>
        <v/>
      </c>
      <c r="LN125" s="4" t="str">
        <f t="shared" si="508"/>
        <v/>
      </c>
      <c r="LO125" s="4" t="str">
        <f t="shared" si="509"/>
        <v/>
      </c>
      <c r="LP125" s="4" t="str">
        <f t="shared" si="510"/>
        <v/>
      </c>
      <c r="LQ125" s="4" t="str">
        <f t="shared" si="511"/>
        <v/>
      </c>
      <c r="LR125" s="4" t="str">
        <f t="shared" si="512"/>
        <v/>
      </c>
      <c r="LS125" s="4" t="str">
        <f t="shared" si="513"/>
        <v/>
      </c>
      <c r="LT125" s="4" t="str">
        <f t="shared" si="514"/>
        <v/>
      </c>
      <c r="LU125" s="4" t="str">
        <f t="shared" si="515"/>
        <v/>
      </c>
      <c r="LV125" s="4" t="str">
        <f t="shared" si="516"/>
        <v/>
      </c>
      <c r="LW125" s="4" t="str">
        <f t="shared" si="517"/>
        <v/>
      </c>
      <c r="LX125" s="4" t="str">
        <f t="shared" si="518"/>
        <v/>
      </c>
      <c r="LY125" s="4" t="str">
        <f t="shared" si="519"/>
        <v/>
      </c>
      <c r="LZ125" s="4" t="str">
        <f t="shared" si="520"/>
        <v/>
      </c>
      <c r="MA125" s="4" t="str">
        <f t="shared" si="521"/>
        <v/>
      </c>
      <c r="MB125" s="4" t="str">
        <f t="shared" si="522"/>
        <v/>
      </c>
      <c r="MC125" s="4" t="str">
        <f t="shared" si="523"/>
        <v/>
      </c>
      <c r="MD125" s="4" t="str">
        <f t="shared" si="524"/>
        <v/>
      </c>
      <c r="ME125" s="4">
        <f t="shared" si="525"/>
        <v>0</v>
      </c>
    </row>
    <row r="126" spans="1:343" ht="26.25" customHeight="1" x14ac:dyDescent="0.2">
      <c r="BV126" s="4">
        <f>IF(AND(ISBLANK(SPH_6),ISBLANK(SPH_12)),0,1)</f>
        <v>0</v>
      </c>
      <c r="BW126" s="4">
        <f t="shared" si="403"/>
        <v>0</v>
      </c>
      <c r="BX126" s="4" t="str">
        <f t="shared" si="404"/>
        <v/>
      </c>
      <c r="BY126" s="4" t="str">
        <f t="shared" si="405"/>
        <v/>
      </c>
      <c r="BZ126" s="4" t="str">
        <f t="shared" si="406"/>
        <v/>
      </c>
      <c r="CA126" s="53">
        <f>IF(AND(ISNUMBER(BD126),ISNUMBER(BF126)),BD126-A126,IF(ISNUMBER(AL126),AL126-A126,0))</f>
        <v>0</v>
      </c>
      <c r="CB126" s="55" t="str">
        <f>IF(CA126&gt;0,CA126/30,"")</f>
        <v/>
      </c>
      <c r="CC126" s="4" t="str">
        <f>IF(AND(ISNUMBER(BA126),ISNUMBER(BS126)),(BS126-BA126),"")</f>
        <v/>
      </c>
      <c r="CD126" s="4" t="str">
        <f>IF(AND(ISNUMBER(AY126), ISNUMBER(AE126)), AVERAGE(AY126,AW126)-AVERAGE(AE126,AG126),"")</f>
        <v/>
      </c>
      <c r="CE126" s="4" t="str">
        <f>IF(AND(ISNUMBER(BO126), ISNUMBER(AE126)), AVERAGE(BO126,BQ126)-AVERAGE(AE126,AG126),"")</f>
        <v/>
      </c>
      <c r="CF126" s="4" t="str">
        <f>IF(ISNUMBER(CE126),CE126,IF(ISNUMBER(CD126),CD126,""))</f>
        <v/>
      </c>
      <c r="CG126" s="4" t="str">
        <f>IF(AND(ISNUMBER(SPH_PREOP),ISNUMBER(SE_LAST_)),SPH_PREOP+CYL_PREOP/2,"")</f>
        <v/>
      </c>
      <c r="CH126" s="4" t="str">
        <f t="shared" si="413"/>
        <v/>
      </c>
      <c r="CI126" s="104" t="str">
        <f t="shared" si="414"/>
        <v/>
      </c>
      <c r="CJ126" s="94" t="str">
        <f>IF(ISNUMBER(Z126),IF(ISNUMBER(BK126),BK126-Z126,IF(ISNUMBER(AS126),AS126-Z126,"")),"")</f>
        <v/>
      </c>
      <c r="CK126" s="4" t="str">
        <f>IF(ISNUMBER(AA126),IF(ISNUMBER(AU126),AU126-AA126,IF(ISNUMBER(BM126),BM126-AA126,"")),"")</f>
        <v/>
      </c>
      <c r="CL126" s="107" t="str">
        <f t="shared" si="417"/>
        <v/>
      </c>
      <c r="CP126" s="149" t="str">
        <f t="shared" si="420"/>
        <v/>
      </c>
      <c r="CQ126" s="149" t="str">
        <f t="shared" si="421"/>
        <v/>
      </c>
      <c r="CR126" s="148" t="str">
        <f t="shared" si="422"/>
        <v/>
      </c>
      <c r="CS126" s="152" t="str">
        <f t="shared" si="423"/>
        <v/>
      </c>
      <c r="CT126" s="107" t="str">
        <f t="shared" si="424"/>
        <v/>
      </c>
      <c r="CU126" s="155" t="str">
        <f t="shared" si="425"/>
        <v/>
      </c>
      <c r="JP126" s="122"/>
    </row>
    <row r="127" spans="1:343" ht="26.25" customHeight="1" x14ac:dyDescent="0.2">
      <c r="CS127" s="152" t="str">
        <f t="shared" si="423"/>
        <v/>
      </c>
      <c r="CT127" s="107" t="str">
        <f t="shared" si="424"/>
        <v/>
      </c>
    </row>
    <row r="128" spans="1:343" ht="26.25" customHeight="1" x14ac:dyDescent="0.2">
      <c r="CE128" s="4" t="str">
        <f>IF(AND(ISNUMBER(BO128), ISNUMBER(AE128)), AVERAGE(BO128,BQ128)-AVERAGE(AE128,AG128),"")</f>
        <v/>
      </c>
      <c r="CQ128" s="149" t="str">
        <f t="shared" ref="CQ128:CQ137" si="528">IF(ISNUMBER(CP128),PREOP_BCVA,"")</f>
        <v/>
      </c>
      <c r="CR128" s="148" t="str">
        <f>IF(AND(REF_TARGET&lt;=0,REF_TARGET&gt;-1),IF(ISNUMBER(UDVA_12),UDVA_12,IF(ISNUMBER(UDVA_6),UDVA_6,"")),"")</f>
        <v/>
      </c>
      <c r="CS128" s="152" t="str">
        <f t="shared" si="423"/>
        <v/>
      </c>
      <c r="CT128" s="107" t="str">
        <f t="shared" si="424"/>
        <v/>
      </c>
    </row>
    <row r="129" spans="83:98" ht="26.25" customHeight="1" x14ac:dyDescent="0.2">
      <c r="CE129" s="4" t="str">
        <f>IF(AND(ISNUMBER(BO129), ISNUMBER(AE129)), AVERAGE(BO129,BQ129)-AVERAGE(AE129,AG129),"")</f>
        <v/>
      </c>
      <c r="CQ129" s="149" t="str">
        <f t="shared" si="528"/>
        <v/>
      </c>
      <c r="CR129" s="148" t="str">
        <f t="shared" ref="CR129:CR136" si="529">IF(AND(Q129&lt;=0,Q129&gt;-1),IF(ISNUMBER(BE129),BE129,IF(ISNUMBER(AM129),AM129,"")),"")</f>
        <v/>
      </c>
      <c r="CT129" s="107" t="str">
        <f t="shared" si="424"/>
        <v/>
      </c>
    </row>
    <row r="130" spans="83:98" ht="26.25" customHeight="1" x14ac:dyDescent="0.2">
      <c r="CQ130" s="149" t="str">
        <f t="shared" si="528"/>
        <v/>
      </c>
      <c r="CR130" s="148" t="str">
        <f t="shared" si="529"/>
        <v/>
      </c>
      <c r="CT130" s="107" t="str">
        <f t="shared" si="424"/>
        <v/>
      </c>
    </row>
    <row r="131" spans="83:98" ht="26.25" customHeight="1" x14ac:dyDescent="0.2">
      <c r="CQ131" s="149" t="str">
        <f t="shared" si="528"/>
        <v/>
      </c>
      <c r="CR131" s="148" t="str">
        <f t="shared" si="529"/>
        <v/>
      </c>
      <c r="CT131" s="107" t="str">
        <f t="shared" si="424"/>
        <v/>
      </c>
    </row>
    <row r="132" spans="83:98" ht="26.25" customHeight="1" x14ac:dyDescent="0.2">
      <c r="CQ132" s="149" t="str">
        <f t="shared" si="528"/>
        <v/>
      </c>
      <c r="CR132" s="148" t="str">
        <f t="shared" si="529"/>
        <v/>
      </c>
      <c r="CT132" s="107" t="str">
        <f t="shared" si="424"/>
        <v/>
      </c>
    </row>
    <row r="133" spans="83:98" ht="26.25" customHeight="1" x14ac:dyDescent="0.2">
      <c r="CQ133" s="149" t="str">
        <f t="shared" si="528"/>
        <v/>
      </c>
      <c r="CR133" s="148" t="str">
        <f t="shared" si="529"/>
        <v/>
      </c>
      <c r="CT133" s="107" t="str">
        <f t="shared" si="424"/>
        <v/>
      </c>
    </row>
    <row r="134" spans="83:98" ht="26.25" customHeight="1" x14ac:dyDescent="0.2">
      <c r="CQ134" s="149" t="str">
        <f t="shared" si="528"/>
        <v/>
      </c>
      <c r="CR134" s="148" t="str">
        <f t="shared" si="529"/>
        <v/>
      </c>
    </row>
    <row r="135" spans="83:98" ht="26.25" customHeight="1" x14ac:dyDescent="0.2">
      <c r="CQ135" s="149" t="str">
        <f t="shared" si="528"/>
        <v/>
      </c>
      <c r="CR135" s="148" t="str">
        <f t="shared" si="529"/>
        <v/>
      </c>
    </row>
    <row r="136" spans="83:98" ht="26.25" customHeight="1" x14ac:dyDescent="0.2">
      <c r="CQ136" s="149" t="str">
        <f t="shared" si="528"/>
        <v/>
      </c>
      <c r="CR136" s="148" t="str">
        <f t="shared" si="529"/>
        <v/>
      </c>
    </row>
    <row r="137" spans="83:98" ht="26.25" customHeight="1" x14ac:dyDescent="0.2">
      <c r="CQ137" s="149" t="str">
        <f t="shared" si="528"/>
        <v/>
      </c>
      <c r="CR137" s="148" t="str">
        <f>IF(AND(Q137&lt;=0,Q137&gt;-1),IF(ISNUMBER(BC),BC,IF(ISNUMBER(AK),AK,"")),"")</f>
        <v/>
      </c>
    </row>
    <row r="138" spans="83:98" ht="26.25" customHeight="1" x14ac:dyDescent="0.2">
      <c r="CR138" s="148" t="str">
        <f>IF(AND(Q138&lt;=0,Q138&gt;-1),IF(ISNUMBER(BC),BC,IF(ISNUMBER(AK),AK,"")),"")</f>
        <v/>
      </c>
    </row>
    <row r="139" spans="83:98" ht="26.25" customHeight="1" x14ac:dyDescent="0.2">
      <c r="CR139" s="148" t="str">
        <f>IF(AND(Q139&lt;=0,Q139&gt;-1),IF(ISNUMBER(BC),BC,IF(ISNUMBER(AK),AK,"")),"")</f>
        <v/>
      </c>
    </row>
    <row r="140" spans="83:98" ht="26.25" customHeight="1" x14ac:dyDescent="0.2">
      <c r="CR140" s="148" t="str">
        <f>IF(AND(Q140&lt;=0,Q140&gt;-1),IF(ISNUMBER(BC),BC,IF(ISNUMBER(AK),AK,"")),"")</f>
        <v/>
      </c>
    </row>
    <row r="141" spans="83:98" ht="26.25" customHeight="1" x14ac:dyDescent="0.2">
      <c r="CR141" s="148" t="str">
        <f>IF(AND(Q141&lt;=0,Q141&gt;-1),IF(ISNUMBER(BC),BC,IF(ISNUMBER(AK),AK,"")),"")</f>
        <v/>
      </c>
    </row>
  </sheetData>
  <sortState ref="A2:ME141">
    <sortCondition ref="BV2:BV141"/>
    <sortCondition ref="I2:I141"/>
  </sortState>
  <dataConsolidate/>
  <customSheetViews>
    <customSheetView guid="{9D4EC4DC-E305-42C0-86D3-802895C39393}" hiddenColumns="1">
      <pane xSplit="9" ySplit="1" topLeftCell="A22" activePane="bottomRight"/>
      <selection pane="bottomRight" activeCell="A27" sqref="A27"/>
      <pageMargins left="0.75" right="0.75" top="1" bottom="1" header="0.5" footer="0.5"/>
      <pageSetup orientation="portrait" r:id="rId1"/>
      <headerFooter alignWithMargins="0"/>
    </customSheetView>
    <customSheetView guid="{54C114DD-C157-4E30-91DC-9B94C55E8054}" hiddenColumns="1">
      <pane ySplit="1" topLeftCell="A2" activePane="bottomLeft" state="frozen"/>
      <selection pane="bottomLeft" activeCell="AK11" sqref="AK11"/>
      <pageMargins left="0.75" right="0.75" top="1" bottom="1" header="0.5" footer="0.5"/>
      <pageSetup orientation="portrait" r:id="rId2"/>
      <headerFooter alignWithMargins="0"/>
    </customSheetView>
  </customSheetViews>
  <phoneticPr fontId="23" type="noConversion"/>
  <conditionalFormatting sqref="BB1:BC2 BB18:BB102 BB3:BB16 BU2:BU102 BB104:BB106 BC3:BC106 BB108:BC65533 BU104:BU106 BU108:BU126">
    <cfRule type="cellIs" dxfId="40" priority="13" stopIfTrue="1" operator="equal">
      <formula>"MISSING"</formula>
    </cfRule>
  </conditionalFormatting>
  <conditionalFormatting sqref="BD18:BD102 BD2:BD16 BD104:BD106 BD108:BD119">
    <cfRule type="expression" dxfId="39" priority="10">
      <formula>(TODAY()-$A2)&gt;9*30</formula>
    </cfRule>
  </conditionalFormatting>
  <conditionalFormatting sqref="AL18:AL102 AL2:AL16 AL104:AL106 AL108:AL127">
    <cfRule type="expression" dxfId="38" priority="9">
      <formula>AND((TODAY()-$A2)&gt;6*30,(TODAY()-$A2)&lt;9*30)</formula>
    </cfRule>
  </conditionalFormatting>
  <conditionalFormatting sqref="BD1:BD102 BD104:BD106 BD108:BD65533">
    <cfRule type="expression" dxfId="37" priority="7" stopIfTrue="1">
      <formula>(TODAY()-BD1)&lt;1</formula>
    </cfRule>
    <cfRule type="expression" dxfId="36" priority="8" stopIfTrue="1">
      <formula>AND((BD1&gt;1),(TODAY()-BD1)&gt;1)</formula>
    </cfRule>
  </conditionalFormatting>
  <conditionalFormatting sqref="K106:O106 K108:O110 K3:O3 K15:O15 K11 K23:O25 O21:O22 K27:O27 K31:O31 K36:O38 K41:O41 K49:O49 K52:O62 K65:O66 K70:O71 K73:O77 K83:O85 K78 K88:O89 K92:O94 K96:O101 K104 K112:O65533">
    <cfRule type="duplicateValues" dxfId="35" priority="6"/>
  </conditionalFormatting>
  <conditionalFormatting sqref="R109:X109 AD111:AJ111 Q1:AJ1 Q110:X126 Y112:AJ126 Y111:AB111 Q127:AJ65533 R2:AJ2 Q3:AJ102 Q108:X108 Q104:AJ106 Y108:AJ110">
    <cfRule type="containsBlanks" dxfId="34" priority="5">
      <formula>LEN(TRIM(Q1))=0</formula>
    </cfRule>
  </conditionalFormatting>
  <conditionalFormatting sqref="I1:I106 I108:I1048576">
    <cfRule type="duplicateValues" dxfId="33" priority="2"/>
  </conditionalFormatting>
  <conditionalFormatting sqref="Q2">
    <cfRule type="containsBlanks" dxfId="32" priority="1">
      <formula>LEN(TRIM(Q2))=0</formula>
    </cfRule>
  </conditionalFormatting>
  <hyperlinks>
    <hyperlink ref="AL64711" r:id="rId3" display="CF@6in"/>
    <hyperlink ref="AS64738" r:id="rId4" display="HM@6in"/>
    <hyperlink ref="CX64711" r:id="rId5" display="CF@3ft"/>
    <hyperlink ref="U64808" r:id="rId6" display="Cf@4ft"/>
    <hyperlink ref="AL64783" r:id="rId7" display="CF@ 2 ft"/>
    <hyperlink ref="AL64831" r:id="rId8" display="CF@3ft"/>
    <hyperlink ref="AL65049" r:id="rId9" display="CF@2ft"/>
    <hyperlink ref="DG64834" r:id="rId10" display="CF@3ft "/>
    <hyperlink ref="AL65069" r:id="rId11" display="CF@6in"/>
    <hyperlink ref="AS65096" r:id="rId12" display="HM@6in"/>
    <hyperlink ref="F64711" r:id="rId13" display="CF@3ft"/>
    <hyperlink ref="V64834" r:id="rId14" display="CF@3ft "/>
    <hyperlink ref="G64834" r:id="rId15" display="CF@3ft "/>
    <hyperlink ref="G64711" r:id="rId16" display="CF@3ft"/>
    <hyperlink ref="U64834" r:id="rId17" display="CF@3ft "/>
    <hyperlink ref="Z64740" r:id="rId18" display="HM@6in"/>
    <hyperlink ref="CD64713" r:id="rId19" display="CF@3ft"/>
    <hyperlink ref="I64810" r:id="rId20" display="Cf@4ft"/>
    <hyperlink ref="CZ64836" r:id="rId21" display="CF@3ft "/>
    <hyperlink ref="Z65098" r:id="rId22" display="HM@6in"/>
    <hyperlink ref="A64713" r:id="rId23" display="CF@3ft"/>
    <hyperlink ref="Z64738" r:id="rId24" display="HM@6in"/>
    <hyperlink ref="CD64711" r:id="rId25" display="CF@3ft"/>
    <hyperlink ref="I64808" r:id="rId26" display="Cf@4ft"/>
    <hyperlink ref="CZ64834" r:id="rId27" display="CF@3ft "/>
    <hyperlink ref="Z65096" r:id="rId28" display="HM@6in"/>
    <hyperlink ref="A64711" r:id="rId29" display="CF@3ft"/>
    <hyperlink ref="Y64711" r:id="rId30" display="CF@6in"/>
    <hyperlink ref="AQ64738" r:id="rId31" display="HM@6in"/>
    <hyperlink ref="CK64711" r:id="rId32" display="CF@3ft"/>
    <hyperlink ref="T64808" r:id="rId33" display="Cf@4ft"/>
    <hyperlink ref="Y64783" r:id="rId34" display="CF@ 2 ft"/>
    <hyperlink ref="Y64831" r:id="rId35" display="CF@3ft"/>
    <hyperlink ref="Y65049" r:id="rId36" display="CF@2ft"/>
    <hyperlink ref="DE64834" r:id="rId37" display="CF@3ft "/>
    <hyperlink ref="Y65069" r:id="rId38" display="CF@6in"/>
    <hyperlink ref="AQ65096" r:id="rId39" display="HM@6in"/>
    <hyperlink ref="E64834" r:id="rId40" display="CF@3ft "/>
    <hyperlink ref="E64711" r:id="rId41" display="CF@3ft"/>
    <hyperlink ref="T64834" r:id="rId42" display="CF@3ft "/>
    <hyperlink ref="Q64713" r:id="rId43" display="CF@6in"/>
    <hyperlink ref="X64740" r:id="rId44" display="HM@6in"/>
    <hyperlink ref="CB64713" r:id="rId45" display="CF@3ft"/>
    <hyperlink ref="G64810" r:id="rId46" display="Cf@4ft"/>
    <hyperlink ref="Q64785" r:id="rId47" display="CF@ 2 ft"/>
    <hyperlink ref="Q64833" r:id="rId48" display="CF@3ft"/>
    <hyperlink ref="Q65051" r:id="rId49" display="CF@2ft"/>
    <hyperlink ref="CX64836" r:id="rId50" display="CF@3ft "/>
    <hyperlink ref="Q65071" r:id="rId51" display="CF@6in"/>
    <hyperlink ref="X65098" r:id="rId52" display="HM@6in"/>
    <hyperlink ref="H64836" r:id="rId53" display="CF@3ft "/>
    <hyperlink ref="Q64711" r:id="rId54" display="CF@6in"/>
    <hyperlink ref="X64738" r:id="rId55" display="HM@6in"/>
    <hyperlink ref="CB64711" r:id="rId56" display="CF@3ft"/>
    <hyperlink ref="G64808" r:id="rId57" display="Cf@4ft"/>
    <hyperlink ref="Q64783" r:id="rId58" display="CF@ 2 ft"/>
    <hyperlink ref="Q64831" r:id="rId59" display="CF@3ft"/>
    <hyperlink ref="Q65049" r:id="rId60" display="CF@2ft"/>
    <hyperlink ref="CX64834" r:id="rId61" display="CF@3ft "/>
    <hyperlink ref="Q65069" r:id="rId62" display="CF@6in"/>
    <hyperlink ref="X65096" r:id="rId63" display="HM@6in"/>
    <hyperlink ref="H64834" r:id="rId64" display="CF@3ft "/>
    <hyperlink ref="AR39" r:id="rId65" display="HM@6in"/>
    <hyperlink ref="CW49" r:id="rId66" display="CF@3ft"/>
    <hyperlink ref="Z343" r:id="rId67" display="CF@2ft"/>
    <hyperlink ref="DF129" r:id="rId68" display="CF@3ft "/>
    <hyperlink ref="Z363" r:id="rId69" display="CF@6in"/>
    <hyperlink ref="AR390" r:id="rId70" display="HM@6in"/>
    <hyperlink ref="Z708" r:id="rId71" display="CF@2ft"/>
    <hyperlink ref="U129" r:id="rId72" display="CF@3ft "/>
    <hyperlink ref="AP39" r:id="rId73" display="HM@6in"/>
    <hyperlink ref="X343" r:id="rId74" display="CF@2ft"/>
    <hyperlink ref="DD129" r:id="rId75" display="CF@3ft "/>
    <hyperlink ref="X363" r:id="rId76" display="CF@6in"/>
    <hyperlink ref="AP390" r:id="rId77" display="HM@6in"/>
    <hyperlink ref="X708" r:id="rId78" display="CF@2ft"/>
    <hyperlink ref="T129" r:id="rId79" display="CF@3ft "/>
    <hyperlink ref="AQ6" r:id="rId80" display="CF@3ft"/>
    <hyperlink ref="BJ129" r:id="rId81" display="CF@3ft "/>
    <hyperlink ref="B39" r:id="rId82" display="HM@6in"/>
    <hyperlink ref="AP6" r:id="rId83" display="CF@3ft"/>
    <hyperlink ref="BI129" r:id="rId84" display="CF@3ft "/>
    <hyperlink ref="B390" r:id="rId85" display="HM@6in"/>
    <hyperlink ref="C6" r:id="rId86" display="CF@3ft"/>
    <hyperlink ref="C39" r:id="rId87" display="CF@2ft"/>
    <hyperlink ref="C390" r:id="rId88" display="HM@6in"/>
    <hyperlink ref="AA64800" r:id="rId89" display="CF@6in"/>
    <hyperlink ref="AL64827" r:id="rId90" display="HM@6in"/>
    <hyperlink ref="BM64800" r:id="rId91" display="CF@3ft"/>
    <hyperlink ref="U64897" r:id="rId92" display="Cf@4ft"/>
    <hyperlink ref="AA64872" r:id="rId93" display="CF@3ft"/>
    <hyperlink ref="AA64919" r:id="rId94" display="CF@3ft"/>
    <hyperlink ref="AA65136" r:id="rId95" display="CF@2ft"/>
    <hyperlink ref="CB64922" r:id="rId96" display="CF@3ft "/>
    <hyperlink ref="AA65156" r:id="rId97" display="CF@6in"/>
    <hyperlink ref="AL65183" r:id="rId98" display="HM@6in"/>
    <hyperlink ref="AA65501" r:id="rId99" display="CF@2ft"/>
    <hyperlink ref="E64800" r:id="rId100" display="CF@3ft"/>
    <hyperlink ref="V64922" r:id="rId101" display="CF@3ft "/>
    <hyperlink ref="X64800" r:id="rId102" display="CF@6in"/>
    <hyperlink ref="AF64827" r:id="rId103" display="HM@6in"/>
    <hyperlink ref="BJ64800" r:id="rId104" display="CF@3ft"/>
    <hyperlink ref="P64897" r:id="rId105" display="Cf@4ft"/>
    <hyperlink ref="X64872" r:id="rId106" display="CF@3ft"/>
    <hyperlink ref="X64919" r:id="rId107" display="CF@3ft"/>
    <hyperlink ref="X65136" r:id="rId108" display="CF@2ft"/>
    <hyperlink ref="BT64922" r:id="rId109" display="CF@3ft "/>
    <hyperlink ref="X65156" r:id="rId110" display="CF@6in"/>
    <hyperlink ref="AF65183" r:id="rId111" display="HM@6in"/>
    <hyperlink ref="X65501" r:id="rId112" display="CF@2ft"/>
    <hyperlink ref="B64800" r:id="rId113" display="CF@3ft"/>
    <hyperlink ref="Q64922" r:id="rId114" display="CF@3ft "/>
    <hyperlink ref="Y64800" r:id="rId115" display="CF@6in"/>
    <hyperlink ref="AG64827" r:id="rId116" display="HM@6in"/>
    <hyperlink ref="BK64800" r:id="rId117" display="CF@3ft"/>
    <hyperlink ref="Q64897" r:id="rId118" display="Cf@4ft"/>
    <hyperlink ref="Y64872" r:id="rId119" display="CF@3ft"/>
    <hyperlink ref="Y64919" r:id="rId120" display="CF@3ft"/>
    <hyperlink ref="Y65136" r:id="rId121" display="CF@2ft"/>
    <hyperlink ref="BV64922" r:id="rId122" display="CF@3ft "/>
    <hyperlink ref="Y65156" r:id="rId123" display="CF@6in"/>
    <hyperlink ref="AG65183" r:id="rId124" display="HM@6in"/>
    <hyperlink ref="Y65501" r:id="rId125" display="CF@2ft"/>
    <hyperlink ref="C64800" r:id="rId126" display="CF@3ft"/>
    <hyperlink ref="T64922" r:id="rId127" display="CF@3ft "/>
    <hyperlink ref="AA64741" r:id="rId128" display="CF@6in"/>
    <hyperlink ref="AL64768" r:id="rId129" display="HM@6in"/>
    <hyperlink ref="BM64741" r:id="rId130" display="CF@3ft"/>
    <hyperlink ref="U64838" r:id="rId131" display="Cf@4ft"/>
    <hyperlink ref="AA64813" r:id="rId132" display="CF@ 2 ft"/>
    <hyperlink ref="AA64860" r:id="rId133" display="CF@3ft"/>
    <hyperlink ref="AA65077" r:id="rId134" display="CF@2ft"/>
    <hyperlink ref="CB64863" r:id="rId135" display="CF@3ft "/>
    <hyperlink ref="AA65097" r:id="rId136" display="CF@6in"/>
    <hyperlink ref="AL65124" r:id="rId137" display="HM@6in"/>
    <hyperlink ref="AA65442" r:id="rId138" display="CF@2ft"/>
    <hyperlink ref="E64741" r:id="rId139" display="CF@3ft"/>
    <hyperlink ref="V64863" r:id="rId140" display="CF@3ft "/>
    <hyperlink ref="Y64741" r:id="rId141" display="CF@6in"/>
    <hyperlink ref="AG64768" r:id="rId142" display="HM@6in"/>
    <hyperlink ref="BK64741" r:id="rId143" display="CF@3ft"/>
    <hyperlink ref="Q64838" r:id="rId144" display="Cf@4ft"/>
    <hyperlink ref="Y64813" r:id="rId145" display="CF@ 2 ft"/>
    <hyperlink ref="Y64860" r:id="rId146" display="CF@3ft"/>
    <hyperlink ref="Y65077" r:id="rId147" display="CF@2ft"/>
    <hyperlink ref="BV64863" r:id="rId148" display="CF@3ft "/>
    <hyperlink ref="Y65097" r:id="rId149" display="CF@6in"/>
    <hyperlink ref="AG65124" r:id="rId150" display="HM@6in"/>
    <hyperlink ref="Y65442" r:id="rId151" display="CF@2ft"/>
    <hyperlink ref="C64741" r:id="rId152" display="CF@3ft"/>
    <hyperlink ref="T64863" r:id="rId153" display="CF@3ft "/>
    <hyperlink ref="X64741" r:id="rId154" display="CF@6in"/>
    <hyperlink ref="AF64768" r:id="rId155" display="HM@6in"/>
    <hyperlink ref="BJ64741" r:id="rId156" display="CF@3ft"/>
    <hyperlink ref="P64838" r:id="rId157" display="Cf@4ft"/>
    <hyperlink ref="X64813" r:id="rId158" display="CF@ 2 ft"/>
    <hyperlink ref="X64860" r:id="rId159" display="CF@3ft"/>
    <hyperlink ref="X65077" r:id="rId160" display="CF@2ft"/>
    <hyperlink ref="BT64863" r:id="rId161" display="CF@3ft "/>
    <hyperlink ref="X65097" r:id="rId162" display="CF@6in"/>
    <hyperlink ref="AF65124" r:id="rId163" display="HM@6in"/>
    <hyperlink ref="X65442" r:id="rId164" display="CF@2ft"/>
    <hyperlink ref="B64741" r:id="rId165" display="CF@3ft"/>
    <hyperlink ref="Q64863" r:id="rId166" display="CF@3ft "/>
    <hyperlink ref="AA64777" r:id="rId167" display="CF@6in"/>
    <hyperlink ref="AL64804" r:id="rId168" display="HM@6in"/>
    <hyperlink ref="BM64777" r:id="rId169" display="CF@3ft"/>
    <hyperlink ref="U64874" r:id="rId170" display="Cf@4ft"/>
    <hyperlink ref="AA64849" r:id="rId171" display="CF@ 2 ft"/>
    <hyperlink ref="AA64896" r:id="rId172" display="CF@3ft"/>
    <hyperlink ref="AA65113" r:id="rId173" display="CF@2ft"/>
    <hyperlink ref="CB64899" r:id="rId174" display="CF@3ft "/>
    <hyperlink ref="AA65133" r:id="rId175" display="CF@6in"/>
    <hyperlink ref="AL65160" r:id="rId176" display="HM@6in"/>
    <hyperlink ref="AA65478" r:id="rId177" display="CF@2ft"/>
    <hyperlink ref="E64777" r:id="rId178" display="CF@3ft"/>
    <hyperlink ref="V64899" r:id="rId179" display="CF@3ft "/>
    <hyperlink ref="Y64777" r:id="rId180" display="CF@6in"/>
    <hyperlink ref="AG64804" r:id="rId181" display="HM@6in"/>
    <hyperlink ref="BK64777" r:id="rId182" display="CF@3ft"/>
    <hyperlink ref="Q64874" r:id="rId183" display="Cf@4ft"/>
    <hyperlink ref="Y64849" r:id="rId184" display="CF@ 2 ft"/>
    <hyperlink ref="Y64896" r:id="rId185" display="CF@3ft"/>
    <hyperlink ref="Y65113" r:id="rId186" display="CF@2ft"/>
    <hyperlink ref="BV64899" r:id="rId187" display="CF@3ft "/>
    <hyperlink ref="Y65133" r:id="rId188" display="CF@6in"/>
    <hyperlink ref="AG65160" r:id="rId189" display="HM@6in"/>
    <hyperlink ref="Y65478" r:id="rId190" display="CF@2ft"/>
    <hyperlink ref="C64777" r:id="rId191" display="CF@3ft"/>
    <hyperlink ref="T64899" r:id="rId192" display="CF@3ft "/>
    <hyperlink ref="X64777" r:id="rId193" display="CF@6in"/>
    <hyperlink ref="AF64804" r:id="rId194" display="HM@6in"/>
    <hyperlink ref="BJ64777" r:id="rId195" display="CF@3ft"/>
    <hyperlink ref="P64874" r:id="rId196" display="Cf@4ft"/>
    <hyperlink ref="X64849" r:id="rId197" display="CF@ 2 ft"/>
    <hyperlink ref="X64896" r:id="rId198" display="CF@3ft"/>
    <hyperlink ref="X65113" r:id="rId199" display="CF@2ft"/>
    <hyperlink ref="BT64899" r:id="rId200" display="CF@3ft "/>
    <hyperlink ref="X65133" r:id="rId201" display="CF@6in"/>
    <hyperlink ref="AF65160" r:id="rId202" display="HM@6in"/>
    <hyperlink ref="X65478" r:id="rId203" display="CF@2ft"/>
    <hyperlink ref="B64777" r:id="rId204" display="CF@3ft"/>
    <hyperlink ref="Q64899" r:id="rId205" display="CF@3ft "/>
    <hyperlink ref="AA64753" r:id="rId206" display="CF@6in"/>
    <hyperlink ref="AL64780" r:id="rId207" display="HM@6in"/>
    <hyperlink ref="BM64753" r:id="rId208" display="CF@3ft"/>
    <hyperlink ref="U64850" r:id="rId209" display="Cf@4ft"/>
    <hyperlink ref="AA64825" r:id="rId210" display="CF@ 2 ft"/>
    <hyperlink ref="AA65089" r:id="rId211" display="CF@2ft"/>
    <hyperlink ref="CB64875" r:id="rId212" display="CF@3ft "/>
    <hyperlink ref="AA65109" r:id="rId213" display="CF@6in"/>
    <hyperlink ref="AL65136" r:id="rId214" display="HM@6in"/>
    <hyperlink ref="AA65454" r:id="rId215" display="CF@2ft"/>
    <hyperlink ref="E64753" r:id="rId216" display="CF@3ft"/>
    <hyperlink ref="V64875" r:id="rId217" display="CF@3ft "/>
    <hyperlink ref="Y64753" r:id="rId218" display="CF@6in"/>
    <hyperlink ref="AG64780" r:id="rId219" display="HM@6in"/>
    <hyperlink ref="BK64753" r:id="rId220" display="CF@3ft"/>
    <hyperlink ref="Q64850" r:id="rId221" display="Cf@4ft"/>
    <hyperlink ref="Y64825" r:id="rId222" display="CF@ 2 ft"/>
    <hyperlink ref="Y65089" r:id="rId223" display="CF@2ft"/>
    <hyperlink ref="BV64875" r:id="rId224" display="CF@3ft "/>
    <hyperlink ref="Y65109" r:id="rId225" display="CF@6in"/>
    <hyperlink ref="AG65136" r:id="rId226" display="HM@6in"/>
    <hyperlink ref="Y65454" r:id="rId227" display="CF@2ft"/>
    <hyperlink ref="C64753" r:id="rId228" display="CF@3ft"/>
    <hyperlink ref="T64875" r:id="rId229" display="CF@3ft "/>
    <hyperlink ref="X64753" r:id="rId230" display="CF@6in"/>
    <hyperlink ref="AF64780" r:id="rId231" display="HM@6in"/>
    <hyperlink ref="BJ64753" r:id="rId232" display="CF@3ft"/>
    <hyperlink ref="P64850" r:id="rId233" display="Cf@4ft"/>
    <hyperlink ref="X64825" r:id="rId234" display="CF@ 2 ft"/>
    <hyperlink ref="X65089" r:id="rId235" display="CF@2ft"/>
    <hyperlink ref="BT64875" r:id="rId236" display="CF@3ft "/>
    <hyperlink ref="X65109" r:id="rId237" display="CF@6in"/>
    <hyperlink ref="AF65136" r:id="rId238" display="HM@6in"/>
    <hyperlink ref="X65454" r:id="rId239" display="CF@2ft"/>
    <hyperlink ref="B64753" r:id="rId240" display="CF@3ft"/>
    <hyperlink ref="Q64875" r:id="rId241" display="CF@3ft "/>
    <hyperlink ref="AA64862" r:id="rId242" display="CF@6in"/>
    <hyperlink ref="AL64889" r:id="rId243" display="HM@6in"/>
    <hyperlink ref="BM64862" r:id="rId244" display="CF@3ft"/>
    <hyperlink ref="U64959" r:id="rId245" display="Cf@4ft"/>
    <hyperlink ref="AA64934" r:id="rId246" display="CF@ 2 ft"/>
    <hyperlink ref="AA64981" r:id="rId247" display="CF@3ft"/>
    <hyperlink ref="AA65198" r:id="rId248" display="CF@2ft"/>
    <hyperlink ref="CB64984" r:id="rId249" display="CF@3ft "/>
    <hyperlink ref="AA65218" r:id="rId250" display="CF@6in"/>
    <hyperlink ref="AL65245" r:id="rId251" display="HM@6in"/>
    <hyperlink ref="E64862" r:id="rId252" display="CF@3ft"/>
    <hyperlink ref="V64984" r:id="rId253" display="CF@3ft "/>
    <hyperlink ref="Y64862" r:id="rId254" display="CF@6in"/>
    <hyperlink ref="AG64889" r:id="rId255" display="HM@6in"/>
    <hyperlink ref="BK64862" r:id="rId256" display="CF@3ft"/>
    <hyperlink ref="Q64959" r:id="rId257" display="Cf@4ft"/>
    <hyperlink ref="Y64934" r:id="rId258" display="CF@ 2 ft"/>
    <hyperlink ref="Y64981" r:id="rId259" display="CF@3ft"/>
    <hyperlink ref="Y65198" r:id="rId260" display="CF@2ft"/>
    <hyperlink ref="BV64984" r:id="rId261" display="CF@3ft "/>
    <hyperlink ref="Y65218" r:id="rId262" display="CF@6in"/>
    <hyperlink ref="AG65245" r:id="rId263" display="HM@6in"/>
    <hyperlink ref="C64862" r:id="rId264" display="CF@6in"/>
    <hyperlink ref="T64984" r:id="rId265" display="CF@3ft "/>
    <hyperlink ref="X64862" r:id="rId266" display="CF@6in"/>
    <hyperlink ref="AF64889" r:id="rId267" display="HM@6in"/>
    <hyperlink ref="BJ64862" r:id="rId268" display="CF@3ft"/>
    <hyperlink ref="P64959" r:id="rId269" display="Cf@4ft"/>
    <hyperlink ref="X64934" r:id="rId270" display="CF@ 2 ft"/>
    <hyperlink ref="X64981" r:id="rId271" display="CF@3ft"/>
    <hyperlink ref="X65198" r:id="rId272" display="CF@2ft"/>
    <hyperlink ref="BT64984" r:id="rId273" display="CF@3ft "/>
    <hyperlink ref="X65218" r:id="rId274" display="CF@6in"/>
    <hyperlink ref="AF65245" r:id="rId275" display="HM@6in"/>
    <hyperlink ref="B64862" r:id="rId276" display="CF@3ft"/>
    <hyperlink ref="Q64984" r:id="rId277" display="CF@3ft "/>
    <hyperlink ref="I64889" r:id="rId278" display="HM@6in"/>
    <hyperlink ref="AQ64862" r:id="rId279" display="CF@3ft"/>
    <hyperlink ref="C64934" r:id="rId280" display="CF@ 2 ft"/>
    <hyperlink ref="C64981" r:id="rId281" display="CF@3ft"/>
    <hyperlink ref="C65198" r:id="rId282" display="CF@2ft"/>
    <hyperlink ref="AZ64984" r:id="rId283" display="CF@3ft "/>
    <hyperlink ref="C65218" r:id="rId284" display="CF@6in"/>
    <hyperlink ref="I65245" r:id="rId285" display="HM@6in"/>
    <hyperlink ref="C21" r:id="rId286" display="CF@2ft"/>
    <hyperlink ref="AA64883" r:id="rId287" display="CF@6in"/>
    <hyperlink ref="AL64910" r:id="rId288" display="HM@6in"/>
    <hyperlink ref="BM64883" r:id="rId289" display="CF@3ft"/>
    <hyperlink ref="U64980" r:id="rId290" display="Cf@4ft"/>
    <hyperlink ref="AA64955" r:id="rId291" display="CF@ 2 ft"/>
    <hyperlink ref="AA65002" r:id="rId292" display="CF@3ft"/>
    <hyperlink ref="AA65219" r:id="rId293" display="CF@2ft"/>
    <hyperlink ref="CB65005" r:id="rId294" display="CF@3ft "/>
    <hyperlink ref="AA65239" r:id="rId295" display="CF@6in"/>
    <hyperlink ref="AL65266" r:id="rId296" display="HM@6in"/>
    <hyperlink ref="AA18" r:id="rId297" display="CF@2ft"/>
    <hyperlink ref="E64883" r:id="rId298" display="CF@3ft"/>
    <hyperlink ref="V65005" r:id="rId299" display="CF@3ft "/>
    <hyperlink ref="Y64883" r:id="rId300" display="CF@6in"/>
    <hyperlink ref="AG64910" r:id="rId301" display="HM@6in"/>
    <hyperlink ref="BK64883" r:id="rId302" display="CF@3ft"/>
    <hyperlink ref="Q64980" r:id="rId303" display="Cf@4ft"/>
    <hyperlink ref="Y64955" r:id="rId304" display="CF@ 2 ft"/>
    <hyperlink ref="Y65002" r:id="rId305" display="CF@3ft"/>
    <hyperlink ref="Y65219" r:id="rId306" display="CF@2ft"/>
    <hyperlink ref="BV65005" r:id="rId307" display="CF@3ft "/>
    <hyperlink ref="Y65239" r:id="rId308" display="CF@6in"/>
    <hyperlink ref="AG65266" r:id="rId309" display="HM@6in"/>
    <hyperlink ref="T65005" r:id="rId310" display="CF@3ft "/>
    <hyperlink ref="X64883" r:id="rId311" display="CF@6in"/>
    <hyperlink ref="AF64910" r:id="rId312" display="HM@6in"/>
    <hyperlink ref="BJ64883" r:id="rId313" display="CF@3ft"/>
    <hyperlink ref="P64980" r:id="rId314" display="Cf@4ft"/>
    <hyperlink ref="X64955" r:id="rId315" display="CF@ 2 ft"/>
    <hyperlink ref="X65002" r:id="rId316" display="CF@3ft"/>
    <hyperlink ref="X65219" r:id="rId317" display="CF@2ft"/>
    <hyperlink ref="BT65005" r:id="rId318" display="CF@3ft "/>
    <hyperlink ref="X65239" r:id="rId319" display="CF@6in"/>
    <hyperlink ref="AF65266" r:id="rId320" display="HM@6in"/>
    <hyperlink ref="B64883" r:id="rId321" display="CF@3ft"/>
    <hyperlink ref="Q65005" r:id="rId322" display="CF@3ft "/>
    <hyperlink ref="C18" r:id="rId323" display="CF@2ft"/>
    <hyperlink ref="I65266" r:id="rId324" display="HM@6in"/>
    <hyperlink ref="C65239" r:id="rId325" display="CF@6in"/>
    <hyperlink ref="AZ65005" r:id="rId326" display="CF@3ft "/>
    <hyperlink ref="C65219" r:id="rId327" display="CF@2ft"/>
    <hyperlink ref="C65002" r:id="rId328" display="CF@3ft"/>
    <hyperlink ref="C64955" r:id="rId329" display="CF@ 2 ft"/>
    <hyperlink ref="AQ64883" r:id="rId330" display="CF@3ft"/>
    <hyperlink ref="I64910" r:id="rId331" display="HM@6in"/>
    <hyperlink ref="C64883" r:id="rId332" display="CF@6in"/>
    <hyperlink ref="AA64877" r:id="rId333" display="CF@6in"/>
    <hyperlink ref="AL64904" r:id="rId334" display="HM@6in"/>
    <hyperlink ref="BM64877" r:id="rId335" display="CF@3ft"/>
    <hyperlink ref="U64974" r:id="rId336" display="Cf@4ft"/>
    <hyperlink ref="AA64949" r:id="rId337" display="CF@ 2 ft"/>
    <hyperlink ref="AA64996" r:id="rId338" display="CF@3ft"/>
    <hyperlink ref="AA65213" r:id="rId339" display="CF@2ft"/>
    <hyperlink ref="CB64999" r:id="rId340" display="CF@3ft "/>
    <hyperlink ref="AA65233" r:id="rId341" display="CF@6in"/>
    <hyperlink ref="AL65260" r:id="rId342" display="HM@6in"/>
    <hyperlink ref="AA77" r:id="rId343" display="CF@2ft"/>
    <hyperlink ref="E64877" r:id="rId344" display="CF@3ft"/>
    <hyperlink ref="V64999" r:id="rId345" display="CF@3ft "/>
    <hyperlink ref="Y64877" r:id="rId346" display="CF@6in"/>
    <hyperlink ref="AG64904" r:id="rId347" display="HM@6in"/>
    <hyperlink ref="BK64877" r:id="rId348" display="CF@3ft"/>
    <hyperlink ref="Q64974" r:id="rId349" display="Cf@4ft"/>
    <hyperlink ref="Y64949" r:id="rId350" display="CF@ 2 ft"/>
    <hyperlink ref="Y64996" r:id="rId351" display="CF@3ft"/>
    <hyperlink ref="Y65213" r:id="rId352" display="CF@2ft"/>
    <hyperlink ref="BV64999" r:id="rId353" display="CF@3ft "/>
    <hyperlink ref="Y65233" r:id="rId354" display="CF@6in"/>
    <hyperlink ref="AG65260" r:id="rId355" display="HM@6in"/>
    <hyperlink ref="C64877" r:id="rId356" display="CF@6in"/>
    <hyperlink ref="T64999" r:id="rId357" display="CF@3ft "/>
    <hyperlink ref="X64877" r:id="rId358" display="CF@6in"/>
    <hyperlink ref="AF64904" r:id="rId359" display="HM@6in"/>
    <hyperlink ref="BJ64877" r:id="rId360" display="CF@3ft"/>
    <hyperlink ref="P64974" r:id="rId361" display="Cf@4ft"/>
    <hyperlink ref="X64949" r:id="rId362" display="CF@ 2 ft"/>
    <hyperlink ref="X64996" r:id="rId363" display="CF@3ft"/>
    <hyperlink ref="X65213" r:id="rId364" display="CF@2ft"/>
    <hyperlink ref="BT64999" r:id="rId365" display="CF@3ft "/>
    <hyperlink ref="X65233" r:id="rId366" display="CF@6in"/>
    <hyperlink ref="AF65260" r:id="rId367" display="HM@6in"/>
    <hyperlink ref="B64877" r:id="rId368" display="CF@3ft"/>
    <hyperlink ref="Q64999" r:id="rId369" display="CF@3ft "/>
    <hyperlink ref="I64904" r:id="rId370" display="HM@6in"/>
    <hyperlink ref="AQ64877" r:id="rId371" display="CF@3ft"/>
    <hyperlink ref="C64949" r:id="rId372" display="CF@ 2 ft"/>
    <hyperlink ref="C64996" r:id="rId373" display="CF@3ft"/>
    <hyperlink ref="C65213" r:id="rId374" display="CF@2ft"/>
    <hyperlink ref="AZ64999" r:id="rId375" display="CF@3ft "/>
    <hyperlink ref="C65233" r:id="rId376" display="CF@6in"/>
    <hyperlink ref="I65260" r:id="rId377" display="HM@6in"/>
    <hyperlink ref="C77" r:id="rId378" display="CF@2ft"/>
    <hyperlink ref="AA64876" r:id="rId379" display="CF@6in"/>
    <hyperlink ref="AL64903" r:id="rId380" display="HM@6in"/>
    <hyperlink ref="BM64876" r:id="rId381" display="CF@3ft"/>
    <hyperlink ref="U64973" r:id="rId382" display="Cf@4ft"/>
    <hyperlink ref="AA64948" r:id="rId383" display="CF@ 2 ft"/>
    <hyperlink ref="AA64995" r:id="rId384" display="CF@3ft"/>
    <hyperlink ref="AA65212" r:id="rId385" display="CF@2ft"/>
    <hyperlink ref="CB64998" r:id="rId386" display="CF@3ft "/>
    <hyperlink ref="AA65232" r:id="rId387" display="CF@6in"/>
    <hyperlink ref="AL65259" r:id="rId388" display="HM@6in"/>
    <hyperlink ref="AA53" r:id="rId389" display="CF@2ft"/>
    <hyperlink ref="E64876" r:id="rId390" display="CF@3ft"/>
    <hyperlink ref="V64998" r:id="rId391" display="CF@3ft "/>
    <hyperlink ref="Y64876" r:id="rId392" display="CF@6in"/>
    <hyperlink ref="AG64903" r:id="rId393" display="HM@6in"/>
    <hyperlink ref="BK64876" r:id="rId394" display="CF@3ft"/>
    <hyperlink ref="Q64973" r:id="rId395" display="Cf@4ft"/>
    <hyperlink ref="Y64948" r:id="rId396" display="CF@ 2 ft"/>
    <hyperlink ref="Y64995" r:id="rId397" display="CF@3ft"/>
    <hyperlink ref="Y65212" r:id="rId398" display="CF@2ft"/>
    <hyperlink ref="BV64998" r:id="rId399" display="CF@3ft "/>
    <hyperlink ref="Y65232" r:id="rId400" display="CF@6in"/>
    <hyperlink ref="AG65259" r:id="rId401" display="HM@6in"/>
    <hyperlink ref="C64876" r:id="rId402" display="CF@6in"/>
    <hyperlink ref="T64998" r:id="rId403" display="CF@3ft "/>
    <hyperlink ref="X64876" r:id="rId404" display="CF@6in"/>
    <hyperlink ref="AF64903" r:id="rId405" display="HM@6in"/>
    <hyperlink ref="BJ64876" r:id="rId406" display="CF@3ft"/>
    <hyperlink ref="P64973" r:id="rId407" display="Cf@4ft"/>
    <hyperlink ref="X64948" r:id="rId408" display="CF@ 2 ft"/>
    <hyperlink ref="X64995" r:id="rId409" display="CF@3ft"/>
    <hyperlink ref="X65212" r:id="rId410" display="CF@2ft"/>
    <hyperlink ref="BT64998" r:id="rId411" display="CF@3ft "/>
    <hyperlink ref="X65232" r:id="rId412" display="CF@6in"/>
    <hyperlink ref="AF65259" r:id="rId413" display="HM@6in"/>
    <hyperlink ref="B64876" r:id="rId414" display="CF@3ft"/>
    <hyperlink ref="Q64998" r:id="rId415" display="CF@3ft "/>
    <hyperlink ref="I64903" r:id="rId416" display="HM@6in"/>
    <hyperlink ref="AQ64876" r:id="rId417" display="CF@3ft"/>
    <hyperlink ref="C64948" r:id="rId418" display="CF@ 2 ft"/>
    <hyperlink ref="C64995" r:id="rId419" display="CF@3ft"/>
    <hyperlink ref="C65212" r:id="rId420" display="CF@2ft"/>
    <hyperlink ref="AZ64998" r:id="rId421" display="CF@3ft "/>
    <hyperlink ref="C65232" r:id="rId422" display="CF@6in"/>
    <hyperlink ref="I65259" r:id="rId423" display="HM@6in"/>
    <hyperlink ref="C53" r:id="rId424" display="CF@2ft"/>
    <hyperlink ref="AA64869" r:id="rId425" display="CF@6in"/>
    <hyperlink ref="AL64896" r:id="rId426" display="HM@6in"/>
    <hyperlink ref="BM64869" r:id="rId427" display="CF@3ft"/>
    <hyperlink ref="U64966" r:id="rId428" display="Cf@4ft"/>
    <hyperlink ref="AA64941" r:id="rId429" display="CF@ 2 ft"/>
    <hyperlink ref="AA64988" r:id="rId430" display="CF@3ft"/>
    <hyperlink ref="AA65205" r:id="rId431" display="CF@2ft"/>
    <hyperlink ref="CB64991" r:id="rId432" display="CF@3ft "/>
    <hyperlink ref="AA65225" r:id="rId433" display="CF@6in"/>
    <hyperlink ref="AL65252" r:id="rId434" display="HM@6in"/>
    <hyperlink ref="E64869" r:id="rId435" display="CF@3ft"/>
    <hyperlink ref="V64991" r:id="rId436" display="CF@3ft "/>
    <hyperlink ref="Y64869" r:id="rId437" display="CF@6in"/>
    <hyperlink ref="AG64896" r:id="rId438" display="HM@6in"/>
    <hyperlink ref="BK64869" r:id="rId439" display="CF@3ft"/>
    <hyperlink ref="Q64966" r:id="rId440" display="Cf@4ft"/>
    <hyperlink ref="Y64941" r:id="rId441" display="CF@ 2 ft"/>
    <hyperlink ref="Y64988" r:id="rId442" display="CF@3ft"/>
    <hyperlink ref="Y65205" r:id="rId443" display="CF@2ft"/>
    <hyperlink ref="BV64991" r:id="rId444" display="CF@3ft "/>
    <hyperlink ref="Y65225" r:id="rId445" display="CF@6in"/>
    <hyperlink ref="AG65252" r:id="rId446" display="HM@6in"/>
    <hyperlink ref="C64869" r:id="rId447" display="CF@6in"/>
    <hyperlink ref="T64991" r:id="rId448" display="CF@3ft "/>
    <hyperlink ref="X64869" r:id="rId449" display="CF@6in"/>
    <hyperlink ref="AF64896" r:id="rId450" display="HM@6in"/>
    <hyperlink ref="BJ64869" r:id="rId451" display="CF@3ft"/>
    <hyperlink ref="P64966" r:id="rId452" display="Cf@4ft"/>
    <hyperlink ref="X64941" r:id="rId453" display="CF@ 2 ft"/>
    <hyperlink ref="X64988" r:id="rId454" display="CF@3ft"/>
    <hyperlink ref="X65205" r:id="rId455" display="CF@2ft"/>
    <hyperlink ref="BT64991" r:id="rId456" display="CF@3ft "/>
    <hyperlink ref="X65225" r:id="rId457" display="CF@6in"/>
    <hyperlink ref="AF65252" r:id="rId458" display="HM@6in"/>
    <hyperlink ref="B64869" r:id="rId459" display="CF@3ft"/>
    <hyperlink ref="Q64991" r:id="rId460" display="CF@3ft "/>
    <hyperlink ref="I64896" r:id="rId461" display="HM@6in"/>
    <hyperlink ref="AQ64869" r:id="rId462" display="CF@3ft"/>
    <hyperlink ref="C64941" r:id="rId463" display="CF@ 2 ft"/>
    <hyperlink ref="C64988" r:id="rId464" display="CF@3ft"/>
    <hyperlink ref="C65205" r:id="rId465" display="CF@2ft"/>
    <hyperlink ref="AZ64991" r:id="rId466" display="CF@3ft "/>
    <hyperlink ref="C65225" r:id="rId467" display="CF@6in"/>
    <hyperlink ref="I65252" r:id="rId468" display="HM@6in"/>
  </hyperlinks>
  <pageMargins left="0.75" right="0.75" top="1" bottom="1" header="0.5" footer="0.5"/>
  <pageSetup orientation="portrait" r:id="rId469"/>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X11"/>
  <sheetViews>
    <sheetView topLeftCell="I1" workbookViewId="0">
      <selection activeCell="M7" sqref="M7"/>
    </sheetView>
  </sheetViews>
  <sheetFormatPr defaultRowHeight="12.75" x14ac:dyDescent="0.2"/>
  <cols>
    <col min="1" max="1" width="13" customWidth="1"/>
    <col min="6" max="6" width="14.42578125" customWidth="1"/>
    <col min="13" max="13" width="13.28515625" customWidth="1"/>
    <col min="14" max="14" width="11.7109375" customWidth="1"/>
    <col min="19" max="19" width="15.42578125" customWidth="1"/>
    <col min="29" max="29" width="14.85546875" customWidth="1"/>
    <col min="46" max="46" width="13.42578125" customWidth="1"/>
  </cols>
  <sheetData>
    <row r="1" spans="1:336" s="4" customFormat="1" ht="76.5" x14ac:dyDescent="0.2">
      <c r="A1" s="41" t="s">
        <v>106</v>
      </c>
      <c r="B1" s="41" t="s">
        <v>101</v>
      </c>
      <c r="C1" s="41" t="s">
        <v>100</v>
      </c>
      <c r="D1" s="5" t="s">
        <v>109</v>
      </c>
      <c r="E1" s="2" t="s">
        <v>105</v>
      </c>
      <c r="F1" s="1" t="s">
        <v>103</v>
      </c>
      <c r="G1" s="2" t="s">
        <v>107</v>
      </c>
      <c r="H1" s="2" t="s">
        <v>104</v>
      </c>
      <c r="I1" s="6" t="s">
        <v>68</v>
      </c>
      <c r="J1" s="7" t="s">
        <v>252</v>
      </c>
      <c r="K1" s="7" t="s">
        <v>253</v>
      </c>
      <c r="L1" s="7" t="s">
        <v>248</v>
      </c>
      <c r="M1" s="8" t="s">
        <v>69</v>
      </c>
      <c r="N1" s="9" t="s">
        <v>71</v>
      </c>
      <c r="O1" s="10" t="s">
        <v>92</v>
      </c>
      <c r="P1" s="11" t="s">
        <v>93</v>
      </c>
      <c r="Q1" s="12" t="s">
        <v>0</v>
      </c>
      <c r="R1" s="12" t="s">
        <v>64</v>
      </c>
      <c r="S1" s="13" t="s">
        <v>65</v>
      </c>
      <c r="T1" s="14" t="s">
        <v>58</v>
      </c>
      <c r="U1" s="14" t="s">
        <v>273</v>
      </c>
      <c r="V1" s="14" t="s">
        <v>272</v>
      </c>
      <c r="W1" s="14" t="s">
        <v>271</v>
      </c>
      <c r="X1" s="14" t="s">
        <v>59</v>
      </c>
      <c r="Y1" s="13" t="s">
        <v>60</v>
      </c>
      <c r="Z1" s="13" t="s">
        <v>61</v>
      </c>
      <c r="AA1" s="13" t="s">
        <v>62</v>
      </c>
      <c r="AB1" s="14" t="s">
        <v>274</v>
      </c>
      <c r="AC1" s="15" t="s">
        <v>247</v>
      </c>
      <c r="AD1" s="21" t="s">
        <v>278</v>
      </c>
      <c r="AE1" s="16" t="s">
        <v>85</v>
      </c>
      <c r="AF1" s="17" t="s">
        <v>73</v>
      </c>
      <c r="AG1" s="18" t="s">
        <v>93</v>
      </c>
      <c r="AH1" s="19" t="s">
        <v>74</v>
      </c>
      <c r="AI1" s="19" t="s">
        <v>75</v>
      </c>
      <c r="AJ1" s="20" t="s">
        <v>76</v>
      </c>
      <c r="AK1" s="19" t="s">
        <v>77</v>
      </c>
      <c r="AL1" s="21" t="s">
        <v>58</v>
      </c>
      <c r="AM1" s="21" t="s">
        <v>242</v>
      </c>
      <c r="AN1" s="21" t="s">
        <v>59</v>
      </c>
      <c r="AO1" s="22" t="s">
        <v>60</v>
      </c>
      <c r="AP1" s="22" t="s">
        <v>61</v>
      </c>
      <c r="AQ1" s="22" t="s">
        <v>62</v>
      </c>
      <c r="AR1" s="21" t="s">
        <v>290</v>
      </c>
      <c r="AS1" s="21" t="s">
        <v>254</v>
      </c>
      <c r="AT1" s="23" t="s">
        <v>246</v>
      </c>
      <c r="AU1" s="30" t="s">
        <v>279</v>
      </c>
      <c r="AV1" s="24" t="s">
        <v>84</v>
      </c>
      <c r="AW1" s="25" t="s">
        <v>83</v>
      </c>
      <c r="AX1" s="26" t="s">
        <v>93</v>
      </c>
      <c r="AY1" s="27" t="s">
        <v>89</v>
      </c>
      <c r="AZ1" s="27" t="s">
        <v>70</v>
      </c>
      <c r="BA1" s="28" t="s">
        <v>72</v>
      </c>
      <c r="BB1" s="29" t="s">
        <v>80</v>
      </c>
      <c r="BC1" s="30" t="s">
        <v>58</v>
      </c>
      <c r="BD1" s="30" t="s">
        <v>242</v>
      </c>
      <c r="BE1" s="30" t="s">
        <v>59</v>
      </c>
      <c r="BF1" s="29" t="s">
        <v>60</v>
      </c>
      <c r="BG1" s="29" t="s">
        <v>61</v>
      </c>
      <c r="BH1" s="29" t="s">
        <v>62</v>
      </c>
      <c r="BI1" s="30" t="s">
        <v>291</v>
      </c>
      <c r="BJ1" s="30" t="s">
        <v>254</v>
      </c>
      <c r="BK1" s="52" t="s">
        <v>255</v>
      </c>
      <c r="BL1" s="52" t="s">
        <v>280</v>
      </c>
      <c r="BM1" s="52" t="s">
        <v>281</v>
      </c>
      <c r="BN1" s="52" t="s">
        <v>283</v>
      </c>
      <c r="BO1" s="52" t="s">
        <v>284</v>
      </c>
      <c r="BP1" s="52" t="s">
        <v>285</v>
      </c>
      <c r="BQ1" s="52" t="s">
        <v>292</v>
      </c>
    </row>
    <row r="2" spans="1:336" s="4" customFormat="1" ht="25.5" x14ac:dyDescent="0.2">
      <c r="A2" s="35">
        <v>41402</v>
      </c>
      <c r="B2" s="36" t="s">
        <v>188</v>
      </c>
      <c r="C2" s="36" t="s">
        <v>79</v>
      </c>
      <c r="D2" s="31" t="s">
        <v>110</v>
      </c>
      <c r="E2" s="4">
        <v>64</v>
      </c>
      <c r="F2" s="3">
        <v>17754</v>
      </c>
      <c r="G2" s="4" t="s">
        <v>87</v>
      </c>
      <c r="H2" s="4" t="s">
        <v>108</v>
      </c>
      <c r="I2" s="4">
        <v>1836327</v>
      </c>
      <c r="J2" s="33">
        <v>-2.5</v>
      </c>
      <c r="K2" s="33"/>
      <c r="L2" s="33"/>
      <c r="M2" s="3">
        <v>41323</v>
      </c>
      <c r="N2" s="4">
        <v>3.5</v>
      </c>
      <c r="O2" s="4">
        <v>-8</v>
      </c>
      <c r="P2" s="4">
        <v>92</v>
      </c>
      <c r="Q2" s="4">
        <v>300</v>
      </c>
      <c r="R2" s="4">
        <v>12</v>
      </c>
      <c r="S2" s="4">
        <v>634</v>
      </c>
      <c r="AB2" s="54" t="s">
        <v>293</v>
      </c>
      <c r="AC2" s="37">
        <v>41548</v>
      </c>
      <c r="AD2" s="59"/>
      <c r="AE2" s="4">
        <v>4.75</v>
      </c>
      <c r="AF2" s="4">
        <v>-1.75</v>
      </c>
      <c r="AG2" s="4">
        <v>135</v>
      </c>
      <c r="AH2" s="4">
        <v>60</v>
      </c>
      <c r="AI2" s="4">
        <v>12</v>
      </c>
      <c r="AJ2" s="4">
        <v>465</v>
      </c>
      <c r="AK2" s="4">
        <v>2476</v>
      </c>
      <c r="AR2" s="4">
        <f>IF(ISNUMBER(AE2),AE2+0.5*AF2,"")</f>
        <v>3.875</v>
      </c>
      <c r="AS2" s="4" t="str">
        <f>IF(ISNUMBER(AR2),IF(ISNUMBER(K2),AR2-K2,"MISSING"),"")</f>
        <v>MISSING</v>
      </c>
      <c r="AU2" s="56"/>
      <c r="BI2" s="4" t="str">
        <f>IF(ISNUMBER(AV2),AV2+0.5*AW2,"")</f>
        <v/>
      </c>
      <c r="BJ2" s="4" t="str">
        <f>IF(ISNUMBER(BI2),IF(ISNUMBER($K2),BI2-$K2,"MISSING"),"")</f>
        <v/>
      </c>
      <c r="BK2" s="4">
        <f>IF(AND(ISBLANK($AE2),ISBLANK($AV2)),0,1)</f>
        <v>1</v>
      </c>
      <c r="BL2" s="53">
        <f>IF(ISNUMBER(AT2),AT2-A2,IF(ISNUMBER(AC2),AC2-A2,0))</f>
        <v>146</v>
      </c>
      <c r="BM2" s="55">
        <f>IF(BL2&gt;0,BL2/30,"")</f>
        <v>4.8666666666666663</v>
      </c>
      <c r="BN2" s="4" t="str">
        <f>IF(AND(ISNUMBER(AR2),ISNUMBER(BI2)),ABS(BI2-AR2),"")</f>
        <v/>
      </c>
      <c r="BO2" s="4" t="str">
        <f>IF(AND(ISNUMBER(AP2), ISNUMBER(X2)), AVERAGE(AP2,AN2)-AVERAGE(X2,Z2),"")</f>
        <v/>
      </c>
      <c r="BP2" s="4" t="str">
        <f>IF(AND(ISNUMBER(BE2), ISNUMBER(X2)), AVERAGE(BE2,BG2)-AVERAGE(X2,Z2),"")</f>
        <v/>
      </c>
      <c r="BQ2" s="4">
        <f>IF(ISNUMBER(BI2),BI2,IF(ISNUMBER(AR2),AR2,""))</f>
        <v>3.875</v>
      </c>
    </row>
    <row r="3" spans="1:336" s="4" customFormat="1" ht="76.5" x14ac:dyDescent="0.2">
      <c r="A3" s="47">
        <v>41199</v>
      </c>
      <c r="B3" s="48" t="s">
        <v>225</v>
      </c>
      <c r="C3" s="48" t="s">
        <v>10</v>
      </c>
      <c r="D3" s="49" t="s">
        <v>111</v>
      </c>
      <c r="E3" s="48">
        <v>50</v>
      </c>
      <c r="F3" s="47">
        <v>22916</v>
      </c>
      <c r="G3" s="48" t="s">
        <v>87</v>
      </c>
      <c r="H3" s="48" t="s">
        <v>108</v>
      </c>
      <c r="I3" s="48">
        <v>1828985</v>
      </c>
      <c r="J3" s="48"/>
      <c r="K3" s="48"/>
      <c r="L3" s="48" t="s">
        <v>249</v>
      </c>
      <c r="M3" s="47">
        <v>41197</v>
      </c>
      <c r="N3" s="48">
        <v>-3.5</v>
      </c>
      <c r="O3" s="48">
        <v>2</v>
      </c>
      <c r="P3" s="48">
        <v>85</v>
      </c>
      <c r="Q3" s="48">
        <v>30</v>
      </c>
      <c r="R3" s="48">
        <v>10</v>
      </c>
      <c r="S3" s="48">
        <v>547</v>
      </c>
      <c r="T3" s="48">
        <v>24.57</v>
      </c>
      <c r="U3" s="48">
        <v>11.6</v>
      </c>
      <c r="V3" s="48">
        <v>4.46</v>
      </c>
      <c r="W3" s="48">
        <v>3.64</v>
      </c>
      <c r="X3" s="48">
        <v>42.4</v>
      </c>
      <c r="Y3" s="48">
        <v>155</v>
      </c>
      <c r="Z3" s="48">
        <v>44.88</v>
      </c>
      <c r="AA3" s="48">
        <v>65</v>
      </c>
      <c r="AB3" s="50" t="s">
        <v>277</v>
      </c>
      <c r="AC3" s="47">
        <v>41374</v>
      </c>
      <c r="AD3" s="57"/>
      <c r="AE3" s="48">
        <v>1.25</v>
      </c>
      <c r="AF3" s="48">
        <v>-1</v>
      </c>
      <c r="AG3" s="48">
        <v>133</v>
      </c>
      <c r="AH3" s="48">
        <v>25</v>
      </c>
      <c r="AI3" s="48">
        <v>9</v>
      </c>
      <c r="AJ3" s="48">
        <v>525</v>
      </c>
      <c r="AK3" s="48">
        <v>1692</v>
      </c>
      <c r="AL3" s="48"/>
      <c r="AM3" s="48"/>
      <c r="AN3" s="48"/>
      <c r="AO3" s="48"/>
      <c r="AP3" s="48"/>
      <c r="AQ3" s="48"/>
      <c r="AR3" s="48">
        <f>IF(ISNUMBER(AE3),AE3+0.5*AF3,"")</f>
        <v>0.75</v>
      </c>
      <c r="AS3" s="48" t="str">
        <f>IF(ISNUMBER(AR3),IF(ISNUMBER(K3),AR3-K3,"MISSING"),"")</f>
        <v>MISSING</v>
      </c>
      <c r="AT3" s="3">
        <v>41661</v>
      </c>
      <c r="AU3" s="56">
        <v>25</v>
      </c>
      <c r="AV3" s="67">
        <v>1</v>
      </c>
      <c r="AW3" s="67">
        <v>-0.75</v>
      </c>
      <c r="AX3" s="4">
        <v>150</v>
      </c>
      <c r="AY3" s="4">
        <v>25</v>
      </c>
      <c r="AZ3" s="4">
        <v>10</v>
      </c>
      <c r="BA3" s="4">
        <v>513</v>
      </c>
      <c r="BB3" s="48">
        <v>1695</v>
      </c>
      <c r="BC3" s="4">
        <v>24.71</v>
      </c>
      <c r="BD3" s="4">
        <v>2.4500000000000002</v>
      </c>
      <c r="BE3" s="4">
        <v>41.72</v>
      </c>
      <c r="BF3" s="4">
        <v>152</v>
      </c>
      <c r="BG3" s="4">
        <v>43.89</v>
      </c>
      <c r="BH3" s="4">
        <v>62</v>
      </c>
      <c r="BI3" s="48">
        <f>IF(ISNUMBER(AV3),AV3+0.5*AW3,"")</f>
        <v>0.625</v>
      </c>
      <c r="BJ3" s="48" t="str">
        <f>IF(ISNUMBER(BI3),IF(ISNUMBER($K3),BI3-$K3,"MISSING"),"")</f>
        <v>MISSING</v>
      </c>
      <c r="BK3" s="48">
        <f>IF(AND(ISBLANK($AE3),ISBLANK($AV3)),0,1)</f>
        <v>1</v>
      </c>
      <c r="BL3" s="53">
        <f>IF(ISNUMBER(AT3),AT3-A3,IF(ISNUMBER(AC3),AC3-A3,0))</f>
        <v>462</v>
      </c>
      <c r="BM3" s="55">
        <f>IF(BL3&gt;0,BL3/30,"")</f>
        <v>15.4</v>
      </c>
      <c r="BN3" s="4">
        <f>IF(AND(ISNUMBER(AR3),ISNUMBER(BI3)),ABS(BI3-AR3),"")</f>
        <v>0.125</v>
      </c>
      <c r="BO3" s="4" t="str">
        <f>IF(AND(ISNUMBER(AP3), ISNUMBER(X3)), AVERAGE(AP3,AN3)-AVERAGE(X3,Z3),"")</f>
        <v/>
      </c>
      <c r="BP3" s="4">
        <f>IF(AND(ISNUMBER(BE3), ISNUMBER(X3)), AVERAGE(BE3,BG3)-AVERAGE(X3,Z3),"")</f>
        <v>-0.83500000000000085</v>
      </c>
      <c r="BQ3" s="4">
        <f>IF(ISNUMBER(BI3),BI3,IF(ISNUMBER(AR3),AR3,""))</f>
        <v>0.625</v>
      </c>
    </row>
    <row r="4" spans="1:336" s="4" customFormat="1" ht="25.5" x14ac:dyDescent="0.2">
      <c r="A4" s="35">
        <v>41346</v>
      </c>
      <c r="B4" s="36" t="s">
        <v>188</v>
      </c>
      <c r="C4" s="36" t="s">
        <v>79</v>
      </c>
      <c r="D4" s="31" t="s">
        <v>111</v>
      </c>
      <c r="E4" s="4">
        <v>64</v>
      </c>
      <c r="F4" s="3">
        <v>17754</v>
      </c>
      <c r="G4" s="4" t="s">
        <v>87</v>
      </c>
      <c r="H4" s="4" t="s">
        <v>108</v>
      </c>
      <c r="I4" s="4">
        <v>1836327</v>
      </c>
      <c r="M4" s="3">
        <v>41323</v>
      </c>
      <c r="N4" s="4">
        <v>2.5</v>
      </c>
      <c r="O4" s="4">
        <v>-5.75</v>
      </c>
      <c r="P4" s="4">
        <v>20</v>
      </c>
      <c r="Q4" s="4">
        <v>70</v>
      </c>
      <c r="R4" s="4">
        <v>12</v>
      </c>
      <c r="S4" s="4">
        <v>645</v>
      </c>
      <c r="AB4" s="54" t="s">
        <v>293</v>
      </c>
      <c r="AC4" s="32">
        <v>41491</v>
      </c>
      <c r="AD4" s="60"/>
      <c r="AE4" s="4">
        <v>1.5</v>
      </c>
      <c r="AF4" s="4">
        <v>-0.5</v>
      </c>
      <c r="AG4" s="4">
        <v>120</v>
      </c>
      <c r="AH4" s="4">
        <v>30</v>
      </c>
      <c r="AI4" s="4">
        <v>14</v>
      </c>
      <c r="AJ4" s="4">
        <v>552</v>
      </c>
      <c r="AK4" s="4">
        <v>1835</v>
      </c>
      <c r="AR4" s="4">
        <f>IF(ISNUMBER(AE4),AE4+0.5*AF4,"")</f>
        <v>1.25</v>
      </c>
      <c r="AS4" s="4" t="str">
        <f>IF(ISNUMBER(AR4),IF(ISNUMBER(K4),AR4-K4,"MISSING"),"")</f>
        <v>MISSING</v>
      </c>
      <c r="AU4" s="56"/>
      <c r="BI4" s="4" t="str">
        <f>IF(ISNUMBER(AV4),AV4+0.5*AW4,"")</f>
        <v/>
      </c>
      <c r="BJ4" s="4" t="str">
        <f>IF(ISNUMBER(BI4),IF(ISNUMBER($K4),BI4-$K4,"MISSING"),"")</f>
        <v/>
      </c>
      <c r="BK4" s="4">
        <f>IF(AND(ISBLANK($AE4),ISBLANK($AV4)),0,1)</f>
        <v>1</v>
      </c>
      <c r="BL4" s="53">
        <f>IF(ISNUMBER(AT4),AT4-A4,IF(ISNUMBER(AC4),AC4-A4,0))</f>
        <v>145</v>
      </c>
      <c r="BM4" s="55">
        <f>IF(BL4&gt;0,BL4/30,"")</f>
        <v>4.833333333333333</v>
      </c>
      <c r="BN4" s="4" t="str">
        <f>IF(AND(ISNUMBER(AR4),ISNUMBER(BI4)),ABS(BI4-AR4),"")</f>
        <v/>
      </c>
      <c r="BO4" s="4" t="str">
        <f>IF(AND(ISNUMBER(AP4), ISNUMBER(X4)), AVERAGE(AP4,AN4)-AVERAGE(X4,Z4),"")</f>
        <v/>
      </c>
      <c r="BP4" s="4" t="str">
        <f>IF(AND(ISNUMBER(BE4), ISNUMBER(X4)), AVERAGE(BE4,BG4)-AVERAGE(X4,Z4),"")</f>
        <v/>
      </c>
      <c r="BQ4" s="4">
        <f>IF(ISNUMBER(BI4),BI4,IF(ISNUMBER(AR4),AR4,""))</f>
        <v>1.25</v>
      </c>
    </row>
    <row r="5" spans="1:336" s="4" customFormat="1" ht="25.5" x14ac:dyDescent="0.2">
      <c r="A5" s="35">
        <v>41339</v>
      </c>
      <c r="B5" s="36" t="s">
        <v>177</v>
      </c>
      <c r="C5" s="36" t="s">
        <v>41</v>
      </c>
      <c r="D5" s="31" t="s">
        <v>110</v>
      </c>
      <c r="E5" s="4">
        <v>58</v>
      </c>
      <c r="F5" s="3">
        <v>20151</v>
      </c>
      <c r="G5" s="4" t="s">
        <v>87</v>
      </c>
      <c r="H5" s="4" t="s">
        <v>108</v>
      </c>
      <c r="I5" s="4">
        <v>1835949</v>
      </c>
      <c r="M5" s="3">
        <v>41260</v>
      </c>
      <c r="N5" s="4">
        <v>-1</v>
      </c>
      <c r="O5" s="4">
        <v>0</v>
      </c>
      <c r="P5" s="4">
        <v>0</v>
      </c>
      <c r="Q5" s="4">
        <v>30</v>
      </c>
      <c r="R5" s="4">
        <v>15</v>
      </c>
      <c r="S5" s="4">
        <v>598</v>
      </c>
      <c r="AB5" s="43" t="s">
        <v>296</v>
      </c>
      <c r="AC5" s="4" t="s">
        <v>78</v>
      </c>
      <c r="AD5" s="56"/>
      <c r="AR5" s="4" t="str">
        <f>IF(ISNUMBER(AE5),AE5+0.5*AF5,"")</f>
        <v/>
      </c>
      <c r="AS5" s="4" t="str">
        <f>IF(ISNUMBER(AR5),IF(ISNUMBER(K5),AR5-K5,"MISSING"),"")</f>
        <v/>
      </c>
      <c r="AU5" s="56"/>
      <c r="BI5" s="4" t="str">
        <f>IF(ISNUMBER(AV5),AV5+0.5*AW5,"")</f>
        <v/>
      </c>
      <c r="BJ5" s="4" t="str">
        <f>IF(ISNUMBER(BI5),IF(ISNUMBER($K5),BI5-$K5,"MISSING"),"")</f>
        <v/>
      </c>
      <c r="BK5" s="4">
        <f>IF(AND(ISBLANK($AE5),ISBLANK($AV5)),0,1)</f>
        <v>0</v>
      </c>
      <c r="BL5" s="53">
        <f>IF(ISNUMBER(AT5),AT5-A5,IF(ISNUMBER(AC5),AC5-A5,0))</f>
        <v>0</v>
      </c>
      <c r="BM5" s="55" t="str">
        <f>IF(BL5&gt;0,BL5/30,"")</f>
        <v/>
      </c>
      <c r="BN5" s="4" t="str">
        <f>IF(AND(ISNUMBER(AR5),ISNUMBER(BI5)),ABS(BI5-AR5),"")</f>
        <v/>
      </c>
      <c r="BO5" s="4" t="str">
        <f>IF(AND(ISNUMBER(AP5), ISNUMBER(X5)), AVERAGE(AP5,AN5)-AVERAGE(X5,Z5),"")</f>
        <v/>
      </c>
      <c r="BP5" s="4" t="str">
        <f>IF(AND(ISNUMBER(BE5), ISNUMBER(X5)), AVERAGE(BE5,BG5)-AVERAGE(X5,Z5),"")</f>
        <v/>
      </c>
      <c r="BQ5" s="4" t="str">
        <f>IF(ISNUMBER(BI5),BI5,IF(ISNUMBER(AR5),AR5,""))</f>
        <v/>
      </c>
    </row>
    <row r="6" spans="1:336" s="4" customFormat="1" x14ac:dyDescent="0.2">
      <c r="A6" s="35">
        <v>41402</v>
      </c>
      <c r="B6" s="36" t="s">
        <v>200</v>
      </c>
      <c r="C6" s="36" t="s">
        <v>99</v>
      </c>
      <c r="D6" s="31" t="s">
        <v>110</v>
      </c>
      <c r="E6" s="4">
        <v>63</v>
      </c>
      <c r="F6" s="3">
        <v>18078</v>
      </c>
      <c r="G6" s="4" t="s">
        <v>87</v>
      </c>
      <c r="H6" s="4" t="s">
        <v>112</v>
      </c>
      <c r="I6" s="4">
        <v>1823117</v>
      </c>
      <c r="J6" s="33">
        <v>-0.5</v>
      </c>
      <c r="K6" s="33"/>
      <c r="L6" s="33"/>
      <c r="M6" s="3">
        <v>41400</v>
      </c>
      <c r="N6" s="67">
        <v>-1.5</v>
      </c>
      <c r="O6" s="67">
        <v>-1</v>
      </c>
      <c r="P6" s="4">
        <v>60</v>
      </c>
      <c r="Q6" s="4">
        <v>60</v>
      </c>
      <c r="R6" s="4">
        <v>19</v>
      </c>
      <c r="S6" s="4">
        <v>550</v>
      </c>
      <c r="AC6" s="43" t="s">
        <v>305</v>
      </c>
      <c r="AD6" s="4" t="s">
        <v>245</v>
      </c>
      <c r="AE6" s="56"/>
      <c r="AF6" s="67"/>
      <c r="AG6" s="67"/>
      <c r="AS6" s="4" t="str">
        <f>IF(ISNUMBER(AF6),AF6+0.5*AG6,"")</f>
        <v/>
      </c>
      <c r="AT6" s="4" t="str">
        <f>IF(ISNUMBER(AS6),IF(ISNUMBER(K6),AS6-K6,"MISSING"),"")</f>
        <v/>
      </c>
      <c r="AU6" s="4" t="str">
        <f>IF(AND(ISNUMBER(AK6),ISNUMBER(S6)),AK6-S6,IF(ISNUMBER(AK6),"MISSING",""))</f>
        <v/>
      </c>
      <c r="AW6" s="56"/>
      <c r="AX6" s="67"/>
      <c r="AY6" s="67"/>
      <c r="BK6" s="4" t="str">
        <f>IF(ISNUMBER(AX6),AX6+0.5*AY6,"")</f>
        <v/>
      </c>
      <c r="BL6" s="4" t="str">
        <f>IF(ISNUMBER(BK6),IF(ISNUMBER($K6),BK6-$K6,"MISSING"),"")</f>
        <v/>
      </c>
      <c r="BM6" s="4" t="str">
        <f>IF(AND(ISNUMBER(BC6),ISNUMBER($S6)),BC6-$S6,IF(ISNUMBER(BC6),"MISSING",""))</f>
        <v/>
      </c>
      <c r="BN6" s="4">
        <f>IF(AND(ISBLANK($AF6),ISBLANK($AX6)),0,1)</f>
        <v>0</v>
      </c>
      <c r="BO6" s="53">
        <f>IF(ISNUMBER(AV6),AV6-A6,IF(ISNUMBER(AD6),AD6-A6,0))</f>
        <v>0</v>
      </c>
      <c r="BP6" s="55" t="str">
        <f>IF(BO6&gt;0,BO6/30,"")</f>
        <v/>
      </c>
      <c r="BQ6" s="4" t="str">
        <f>IF(AND(ISNUMBER(AS6),ISNUMBER(BK6)),(BK6-AS6),"")</f>
        <v/>
      </c>
      <c r="BR6" s="4" t="str">
        <f>IF(AND(ISNUMBER(AQ6), ISNUMBER(X6)), AVERAGE(AQ6,AO6)-AVERAGE(X6,Z6),"")</f>
        <v/>
      </c>
      <c r="BS6" s="4" t="str">
        <f>IF(AND(ISNUMBER(BG6), ISNUMBER(X6)), AVERAGE(BG6,BI6)-AVERAGE(X6,Z6),"")</f>
        <v/>
      </c>
      <c r="BT6" s="4" t="str">
        <f>IF(ISNUMBER(BK6),BK6,IF(ISNUMBER(AS6),AS6,""))</f>
        <v/>
      </c>
      <c r="BU6" s="4" t="str">
        <f>IF(AND(ISNUMBER(BT6),ISNUMBER(K6)),K6-BT6,"")</f>
        <v/>
      </c>
    </row>
    <row r="7" spans="1:336" s="4" customFormat="1" ht="25.5" x14ac:dyDescent="0.2">
      <c r="A7" s="44">
        <v>41444</v>
      </c>
      <c r="B7" s="36" t="s">
        <v>265</v>
      </c>
      <c r="C7" s="36" t="s">
        <v>266</v>
      </c>
      <c r="D7" s="31" t="s">
        <v>110</v>
      </c>
      <c r="E7" s="4">
        <v>60</v>
      </c>
      <c r="F7" s="3">
        <v>19322</v>
      </c>
      <c r="G7" s="4" t="s">
        <v>87</v>
      </c>
      <c r="H7" s="4" t="s">
        <v>108</v>
      </c>
      <c r="I7" s="45">
        <v>1836853</v>
      </c>
      <c r="J7" s="33">
        <v>-0.5</v>
      </c>
      <c r="K7" s="33"/>
      <c r="M7" s="46"/>
      <c r="N7" s="67">
        <v>-0.5</v>
      </c>
      <c r="O7" s="67">
        <v>0</v>
      </c>
      <c r="P7" s="4">
        <v>0</v>
      </c>
      <c r="Q7" s="4">
        <v>200</v>
      </c>
      <c r="R7" s="4">
        <v>13</v>
      </c>
      <c r="S7" s="4">
        <v>535</v>
      </c>
      <c r="AC7" s="43" t="s">
        <v>314</v>
      </c>
      <c r="AD7" s="3">
        <v>41627</v>
      </c>
      <c r="AE7" s="56">
        <v>30</v>
      </c>
      <c r="AF7" s="67">
        <v>0.75</v>
      </c>
      <c r="AG7" s="67">
        <v>0.75</v>
      </c>
      <c r="AH7" s="4">
        <v>150</v>
      </c>
      <c r="AI7" s="4">
        <v>25</v>
      </c>
      <c r="AJ7" s="4">
        <v>13</v>
      </c>
      <c r="AK7" s="4">
        <v>431</v>
      </c>
      <c r="AL7" s="4">
        <v>1984</v>
      </c>
      <c r="AM7" s="4" t="s">
        <v>282</v>
      </c>
      <c r="AN7" s="4" t="s">
        <v>282</v>
      </c>
      <c r="AO7" s="4" t="s">
        <v>282</v>
      </c>
      <c r="AP7" s="4" t="s">
        <v>282</v>
      </c>
      <c r="AQ7" s="4" t="s">
        <v>282</v>
      </c>
      <c r="AR7" s="4" t="s">
        <v>282</v>
      </c>
      <c r="AS7" s="4">
        <f>IF(ISNUMBER(AF7),AF7+0.5*AG7,"")</f>
        <v>1.125</v>
      </c>
      <c r="AT7" s="4" t="str">
        <f>IF(ISNUMBER(AS7),IF(ISNUMBER(K7),AS7-K7,"MISSING"),"")</f>
        <v>MISSING</v>
      </c>
      <c r="AU7" s="4">
        <f>IF(AND(ISNUMBER(AK7),ISNUMBER(S7)),AK7-S7,IF(ISNUMBER(AK7),"MISSING",""))</f>
        <v>-104</v>
      </c>
      <c r="AW7" s="56"/>
      <c r="AX7" s="67"/>
      <c r="AY7" s="67"/>
      <c r="BL7" s="4" t="str">
        <f>IF(ISNUMBER(BK7),IF(ISNUMBER($K7),BK7-$K7,"MISSING"),"")</f>
        <v/>
      </c>
      <c r="BM7" s="4" t="str">
        <f>IF(AND(ISNUMBER(BC7),ISNUMBER($S7)),BC7-$S7,IF(ISNUMBER(BC7),"MISSING",""))</f>
        <v/>
      </c>
      <c r="BO7" s="53">
        <f>IF(ISNUMBER(AV7),AV7-A7,IF(ISNUMBER(AD7),AD7-A7,0))</f>
        <v>183</v>
      </c>
      <c r="BP7" s="55">
        <f>IF(BO7&gt;0,BO7/30,"")</f>
        <v>6.1</v>
      </c>
      <c r="BQ7" s="4" t="str">
        <f>IF(AND(ISNUMBER(AS7),ISNUMBER(BK7)),(BK7-AS7),"")</f>
        <v/>
      </c>
      <c r="BR7" s="4" t="str">
        <f>IF(AND(ISNUMBER(AQ7), ISNUMBER(X7)), AVERAGE(AQ7,AO7)-AVERAGE(X7,Z7),"")</f>
        <v/>
      </c>
      <c r="BS7" s="4" t="str">
        <f>IF(AND(ISNUMBER(BG7), ISNUMBER(X7)), AVERAGE(BG7,BI7)-AVERAGE(X7,Z7),"")</f>
        <v/>
      </c>
      <c r="BT7" s="4">
        <f>IF(ISNUMBER(BK7),BK7,IF(ISNUMBER(AS7),AS7,""))</f>
        <v>1.125</v>
      </c>
      <c r="BU7" s="4" t="str">
        <f>IF(AND(ISNUMBER(BT7),ISNUMBER(K7)),BT7-K7,"")</f>
        <v/>
      </c>
    </row>
    <row r="8" spans="1:336" s="4" customFormat="1" ht="26.25" customHeight="1" x14ac:dyDescent="0.2">
      <c r="A8" s="35">
        <v>41185</v>
      </c>
      <c r="B8" s="36" t="s">
        <v>178</v>
      </c>
      <c r="C8" s="36" t="s">
        <v>179</v>
      </c>
      <c r="D8" s="31" t="s">
        <v>110</v>
      </c>
      <c r="E8" s="4">
        <v>46</v>
      </c>
      <c r="F8" s="3">
        <v>24356</v>
      </c>
      <c r="G8" s="4" t="s">
        <v>87</v>
      </c>
      <c r="H8" s="4" t="s">
        <v>112</v>
      </c>
      <c r="I8" s="4">
        <v>1835332</v>
      </c>
      <c r="J8" s="4">
        <v>-0.5</v>
      </c>
      <c r="K8" s="4">
        <v>-0.57999999999999996</v>
      </c>
      <c r="L8" s="4" t="s">
        <v>249</v>
      </c>
      <c r="M8" s="136">
        <v>41109</v>
      </c>
      <c r="N8" s="67"/>
      <c r="O8" s="67"/>
      <c r="R8" s="4">
        <v>16</v>
      </c>
      <c r="S8" s="4">
        <v>854</v>
      </c>
      <c r="T8" s="4">
        <v>27.79</v>
      </c>
      <c r="U8" s="4">
        <v>12.4</v>
      </c>
      <c r="V8" s="4">
        <v>4.28</v>
      </c>
      <c r="W8" s="4">
        <v>3.95</v>
      </c>
      <c r="X8" s="4">
        <v>44.18</v>
      </c>
      <c r="Y8" s="4">
        <v>29</v>
      </c>
      <c r="Z8" s="4">
        <v>44.53</v>
      </c>
      <c r="AA8" s="4">
        <v>119</v>
      </c>
      <c r="AB8" s="43" t="s">
        <v>497</v>
      </c>
      <c r="AC8" s="32">
        <v>41375</v>
      </c>
      <c r="AD8" s="60">
        <v>30</v>
      </c>
      <c r="AE8" s="67">
        <v>0</v>
      </c>
      <c r="AF8" s="67">
        <v>0</v>
      </c>
      <c r="AG8" s="4">
        <v>0</v>
      </c>
      <c r="AH8" s="4">
        <v>30</v>
      </c>
      <c r="AI8" s="4">
        <v>25</v>
      </c>
      <c r="AJ8" s="4">
        <v>553</v>
      </c>
      <c r="AK8" s="4">
        <v>1600</v>
      </c>
      <c r="AR8" s="4">
        <f>IF(ISNUMBER(AE8),AE8+0.5*AF8,"")</f>
        <v>0</v>
      </c>
      <c r="AS8" s="4">
        <f>IF(ISNUMBER(AR8),IF(ISNUMBER(K8),AR8-K8,"MISSING"),"")</f>
        <v>0.57999999999999996</v>
      </c>
      <c r="AT8" s="4">
        <f>IF(AND(ISNUMBER(AJ8),ISNUMBER(S8)),AJ8-S8,IF(ISNUMBER(AJ8),"MISSING",""))</f>
        <v>-301</v>
      </c>
      <c r="AU8" s="3">
        <v>41638</v>
      </c>
      <c r="AV8" s="56">
        <v>30</v>
      </c>
      <c r="AW8" s="67">
        <v>-1.5</v>
      </c>
      <c r="AX8" s="67">
        <v>0.5</v>
      </c>
      <c r="AY8" s="4">
        <v>70</v>
      </c>
      <c r="AZ8" s="4">
        <v>20</v>
      </c>
      <c r="BA8" s="4">
        <v>24</v>
      </c>
      <c r="BB8" s="4">
        <v>548</v>
      </c>
      <c r="BC8" s="4">
        <v>1402</v>
      </c>
      <c r="BJ8" s="4">
        <f>IF(ISNUMBER(AW8),AW8+0.5*AX8,"")</f>
        <v>-1.25</v>
      </c>
      <c r="BK8" s="4">
        <f>IF(ISNUMBER(BJ8),IF(ISNUMBER($K8),BJ8-$K8,"MISSING"),"")</f>
        <v>-0.67</v>
      </c>
      <c r="BL8" s="4">
        <f>IF(AND(ISNUMBER(BB8),ISNUMBER($S8)),BB8-$S8,IF(ISNUMBER(BB8),"MISSING",""))</f>
        <v>-306</v>
      </c>
      <c r="BM8" s="4">
        <f>IF(AND(ISBLANK($AE8),ISBLANK($AW8)),0,1)</f>
        <v>1</v>
      </c>
      <c r="BN8" s="4">
        <f>IF(AND(ISNUMBER($AE8),ISNUMBER($AW8)),1,0)</f>
        <v>1</v>
      </c>
      <c r="BO8" s="4" t="str">
        <f>IF(BN8,SE_PREOP,"")</f>
        <v/>
      </c>
      <c r="BP8" s="4" t="str">
        <f>IF(FU_6_AND_12,SE_6,"")</f>
        <v/>
      </c>
      <c r="BQ8" s="4" t="str">
        <f>IF(FU_6_AND_12,SE_12,"")</f>
        <v/>
      </c>
      <c r="BR8" s="53">
        <f>IF(AND(ISNUMBER(AU8),ISNUMBER(AW8)),AU8-A8,IF(ISNUMBER(AC8),AC8-A8,0))</f>
        <v>453</v>
      </c>
      <c r="BS8" s="55">
        <f>IF(BR8&gt;0,BR8/30,"")</f>
        <v>15.1</v>
      </c>
      <c r="BT8" s="4">
        <f>IF(AND(ISNUMBER(AR8),ISNUMBER(BJ8)),(BJ8-AR8),"")</f>
        <v>-1.25</v>
      </c>
      <c r="BU8" s="4" t="str">
        <f>IF(AND(ISNUMBER(AP8), ISNUMBER(X8)), AVERAGE(AP8,AN8)-AVERAGE(X8,Z8),"")</f>
        <v/>
      </c>
      <c r="BV8" s="4" t="str">
        <f>IF(AND(ISNUMBER(BF8), ISNUMBER(X8)), AVERAGE(BF8,BH8)-AVERAGE(X8,Z8),"")</f>
        <v/>
      </c>
      <c r="BW8" s="4" t="str">
        <f>IF(ISNUMBER(BV8),BV8,IF(ISNUMBER(BU8),BU8,""))</f>
        <v/>
      </c>
      <c r="BX8" s="4" t="str">
        <f>IF(AND(ISNUMBER(SPH_PREOP),ISNUMBER(SE_LAST_)),SPH_PREOP+CYL_PREOP/2,"")</f>
        <v/>
      </c>
      <c r="BY8" s="4" t="str">
        <f>IF(ISNUMBER(SE_12),SE_12,IF(ISNUMBER(SE_6),SE_6,""))</f>
        <v/>
      </c>
      <c r="BZ8" s="104" t="str">
        <f>IF(AND(ISNUMBER(SE_LAST_),ISNUMBER(REF_TARGET)),SE_LAST_-REF_TARGET,"")</f>
        <v/>
      </c>
      <c r="CA8" s="94">
        <f>IF(ISNUMBER(S8),IF(ISNUMBER(BB8),BB8-S8,IF(ISNUMBER(AJ8),AJ8-S8,"")),"")</f>
        <v>-306</v>
      </c>
      <c r="CB8" s="4" t="str">
        <f>IF(ISNUMBER(T8),IF(ISNUMBER(AL8),AL8-T8,IF(ISNUMBER(BD8),BD8-T8,"")),"")</f>
        <v/>
      </c>
      <c r="CC8" s="107" t="str">
        <f>IF(AND(OR(ISNUMBER(AZ8),ISNUMBER(AH8)),ISNUMBER(Q8)),-LOG(20/Q8)--LOG(20/IF(ISNUMBER(AZ8),AZ8,AH8)),"")</f>
        <v/>
      </c>
      <c r="CD8" s="139">
        <f>IF(ISNUMBER(AX8),AX8,IF(ISNUMBER(AF8),AF8,""))</f>
        <v>0.5</v>
      </c>
      <c r="CE8" s="139" t="str">
        <f>IF(AND(ISNUMBER(CD8),ISNUMBER(O8)),CD8-O8,"")</f>
        <v/>
      </c>
      <c r="CF8" s="148" t="str">
        <f>IF(AND(REF_TARGET&lt;=0,REF_TARGET&gt;-1),IF(ISNUMBER(UDVA_12),UDVA_12,IF(ISNUMBER(UDVA_6),UDVA_6,"")),"")</f>
        <v/>
      </c>
      <c r="CG8" s="107">
        <f>IF(ISNUMBER($CJ8),IF(ISNUMBER($AE8),IF(ISNUMBER($EF8),0,1),""),"")</f>
        <v>1</v>
      </c>
      <c r="CH8" s="107">
        <f>IF(ISNUMBER($CJ8),IF(ISNUMBER($AW8),IF(ISNUMBER($GB8),0,1),""),"")</f>
        <v>0</v>
      </c>
      <c r="CI8">
        <v>7.44</v>
      </c>
      <c r="CJ8" s="4">
        <v>7.71</v>
      </c>
      <c r="CK8" s="4">
        <v>62.4</v>
      </c>
      <c r="CL8" s="4">
        <v>1.6</v>
      </c>
      <c r="CM8" s="4">
        <v>0.88</v>
      </c>
      <c r="CN8" s="4">
        <v>0.83</v>
      </c>
      <c r="CO8" s="4">
        <v>2.97</v>
      </c>
      <c r="CP8" s="4">
        <v>3.82</v>
      </c>
      <c r="CQ8" s="4">
        <v>844</v>
      </c>
      <c r="CR8" s="4">
        <v>875</v>
      </c>
      <c r="CS8" s="4">
        <v>823</v>
      </c>
      <c r="CT8" s="4">
        <v>886</v>
      </c>
      <c r="CU8" s="4">
        <v>687</v>
      </c>
      <c r="CV8" s="4">
        <v>1022</v>
      </c>
      <c r="CW8" s="4">
        <v>668</v>
      </c>
      <c r="CX8" s="4">
        <v>-3.04</v>
      </c>
      <c r="CY8" s="4">
        <v>-1.49</v>
      </c>
      <c r="CZ8" s="4">
        <v>7.42</v>
      </c>
      <c r="DA8" s="4">
        <v>7.72</v>
      </c>
      <c r="DB8" s="4">
        <v>7.95</v>
      </c>
      <c r="DC8" s="4">
        <v>8.16</v>
      </c>
      <c r="DD8" s="4">
        <v>8.6300000000000008</v>
      </c>
      <c r="DE8" s="4">
        <v>8.94</v>
      </c>
      <c r="DF8" s="4">
        <v>0</v>
      </c>
      <c r="DG8" s="4">
        <v>0.5</v>
      </c>
      <c r="DH8" s="4">
        <v>7.54</v>
      </c>
      <c r="DI8" s="4">
        <v>7.1</v>
      </c>
      <c r="DJ8" s="4">
        <v>6.56</v>
      </c>
      <c r="DK8" s="4">
        <v>6.43</v>
      </c>
      <c r="DL8" s="4">
        <v>6.87</v>
      </c>
      <c r="DM8" s="4">
        <v>7.18</v>
      </c>
      <c r="DN8" s="4">
        <v>0</v>
      </c>
      <c r="DO8" s="100">
        <v>0.5</v>
      </c>
      <c r="DP8" s="122">
        <v>43.7</v>
      </c>
      <c r="DQ8" s="122">
        <v>45.3</v>
      </c>
      <c r="DR8" s="122">
        <v>44.5</v>
      </c>
      <c r="DS8" s="122">
        <v>62.4</v>
      </c>
      <c r="DT8" s="122">
        <v>1.6</v>
      </c>
      <c r="DU8" s="122">
        <v>-4.9000000000000004</v>
      </c>
      <c r="DV8" s="122">
        <v>-5.8</v>
      </c>
      <c r="DW8" s="122">
        <v>-5.3</v>
      </c>
      <c r="DX8" s="122">
        <v>43.1</v>
      </c>
      <c r="DY8" s="122">
        <v>0.9</v>
      </c>
      <c r="EA8" s="122">
        <v>5.9</v>
      </c>
      <c r="EB8" s="122">
        <v>16.7</v>
      </c>
      <c r="EC8" s="122">
        <v>34.4</v>
      </c>
      <c r="ED8" s="122">
        <v>81.5</v>
      </c>
      <c r="EE8" s="126">
        <v>50</v>
      </c>
      <c r="EF8" s="94"/>
      <c r="FL8" s="97"/>
      <c r="FM8" s="122"/>
      <c r="FN8" s="122"/>
      <c r="FO8" s="122"/>
      <c r="FP8" s="122"/>
      <c r="FQ8" s="122"/>
      <c r="FR8" s="122"/>
      <c r="FS8" s="122"/>
      <c r="FT8" s="122"/>
      <c r="FU8" s="122"/>
      <c r="FV8" s="122"/>
      <c r="FW8" s="122"/>
      <c r="FX8" s="122"/>
      <c r="FY8" s="122"/>
      <c r="FZ8" s="122"/>
      <c r="GA8" s="131"/>
      <c r="GB8" s="94">
        <v>8.1199999999999992</v>
      </c>
      <c r="GC8" s="4">
        <v>7.64</v>
      </c>
      <c r="GD8" s="4">
        <v>158.69999999999999</v>
      </c>
      <c r="GE8" s="4">
        <v>-2.6</v>
      </c>
      <c r="GF8" s="4">
        <v>0.15</v>
      </c>
      <c r="GG8" s="4">
        <v>0.18</v>
      </c>
      <c r="GH8" s="4">
        <v>-0.59</v>
      </c>
      <c r="GI8" s="4">
        <v>-0.08</v>
      </c>
      <c r="GJ8" s="4">
        <v>513</v>
      </c>
      <c r="GK8" s="4">
        <v>516</v>
      </c>
      <c r="GL8" s="4">
        <v>565</v>
      </c>
      <c r="GM8" s="4">
        <v>598</v>
      </c>
      <c r="GN8" s="4">
        <v>637</v>
      </c>
      <c r="GO8" s="4">
        <v>552</v>
      </c>
      <c r="GP8" s="4">
        <v>500</v>
      </c>
      <c r="GQ8" s="4">
        <v>1.23</v>
      </c>
      <c r="GR8" s="4">
        <v>1.04</v>
      </c>
      <c r="GS8" s="4">
        <v>7.85</v>
      </c>
      <c r="GT8" s="4">
        <v>7.87</v>
      </c>
      <c r="GU8" s="4">
        <v>7.91</v>
      </c>
      <c r="GV8" s="4">
        <v>7.91</v>
      </c>
      <c r="GW8" s="4">
        <v>8.02</v>
      </c>
      <c r="GX8" s="4">
        <v>8.3000000000000007</v>
      </c>
      <c r="GY8" s="4">
        <v>0</v>
      </c>
      <c r="GZ8" s="4">
        <v>1.2</v>
      </c>
      <c r="HA8" s="4">
        <v>6.52</v>
      </c>
      <c r="HB8" s="4">
        <v>6.38</v>
      </c>
      <c r="HC8" s="4">
        <v>6.32</v>
      </c>
      <c r="HD8" s="4">
        <v>6.46</v>
      </c>
      <c r="HE8" s="4">
        <v>6.84</v>
      </c>
      <c r="HF8" s="4">
        <v>0</v>
      </c>
      <c r="HG8" s="4">
        <v>0</v>
      </c>
      <c r="HH8" s="104">
        <v>1.2</v>
      </c>
      <c r="HI8" s="122"/>
      <c r="HJ8" s="122"/>
      <c r="HK8" s="122"/>
      <c r="HL8" s="122"/>
      <c r="HM8" s="122"/>
      <c r="HN8" s="122"/>
      <c r="HO8" s="122"/>
      <c r="HP8" s="122"/>
      <c r="HQ8" s="122"/>
      <c r="HR8" s="122"/>
      <c r="HS8" s="122"/>
      <c r="HT8" s="122"/>
      <c r="HU8" s="122"/>
      <c r="HV8" s="122"/>
      <c r="HW8" s="133"/>
      <c r="HX8" s="94">
        <f t="shared" ref="HX8:JS8" si="0">IF(ISNUMBER(GB8),GB8,IF(ISNUMBER(EF8),EF8,""))</f>
        <v>8.1199999999999992</v>
      </c>
      <c r="HY8" s="4">
        <f t="shared" si="0"/>
        <v>7.64</v>
      </c>
      <c r="HZ8" s="4">
        <f t="shared" si="0"/>
        <v>158.69999999999999</v>
      </c>
      <c r="IA8" s="4">
        <f t="shared" si="0"/>
        <v>-2.6</v>
      </c>
      <c r="IB8" s="4">
        <f t="shared" si="0"/>
        <v>0.15</v>
      </c>
      <c r="IC8" s="4">
        <f t="shared" si="0"/>
        <v>0.18</v>
      </c>
      <c r="ID8" s="4">
        <f t="shared" si="0"/>
        <v>-0.59</v>
      </c>
      <c r="IE8" s="4">
        <f t="shared" si="0"/>
        <v>-0.08</v>
      </c>
      <c r="IF8" s="4">
        <f t="shared" si="0"/>
        <v>513</v>
      </c>
      <c r="IG8" s="4">
        <f t="shared" si="0"/>
        <v>516</v>
      </c>
      <c r="IH8" s="4">
        <f t="shared" si="0"/>
        <v>565</v>
      </c>
      <c r="II8" s="4">
        <f t="shared" si="0"/>
        <v>598</v>
      </c>
      <c r="IJ8" s="4">
        <f t="shared" si="0"/>
        <v>637</v>
      </c>
      <c r="IK8" s="4">
        <f t="shared" si="0"/>
        <v>552</v>
      </c>
      <c r="IL8" s="4">
        <f t="shared" si="0"/>
        <v>500</v>
      </c>
      <c r="IM8" s="4">
        <f t="shared" si="0"/>
        <v>1.23</v>
      </c>
      <c r="IN8" s="4">
        <f t="shared" si="0"/>
        <v>1.04</v>
      </c>
      <c r="IO8" s="4">
        <f t="shared" si="0"/>
        <v>7.85</v>
      </c>
      <c r="IP8" s="4">
        <f t="shared" si="0"/>
        <v>7.87</v>
      </c>
      <c r="IQ8" s="4">
        <f t="shared" si="0"/>
        <v>7.91</v>
      </c>
      <c r="IR8" s="4">
        <f t="shared" si="0"/>
        <v>7.91</v>
      </c>
      <c r="IS8" s="4">
        <f t="shared" si="0"/>
        <v>8.02</v>
      </c>
      <c r="IT8" s="4">
        <f t="shared" si="0"/>
        <v>8.3000000000000007</v>
      </c>
      <c r="IU8" s="4">
        <f t="shared" si="0"/>
        <v>0</v>
      </c>
      <c r="IV8" s="4">
        <f t="shared" si="0"/>
        <v>1.2</v>
      </c>
      <c r="IW8" s="4">
        <f t="shared" si="0"/>
        <v>6.52</v>
      </c>
      <c r="IX8" s="4">
        <f t="shared" si="0"/>
        <v>6.38</v>
      </c>
      <c r="IY8" s="4">
        <f t="shared" si="0"/>
        <v>6.32</v>
      </c>
      <c r="IZ8" s="4">
        <f t="shared" si="0"/>
        <v>6.46</v>
      </c>
      <c r="JA8" s="4">
        <f t="shared" si="0"/>
        <v>6.84</v>
      </c>
      <c r="JB8" s="4">
        <f t="shared" si="0"/>
        <v>0</v>
      </c>
      <c r="JC8" s="129">
        <f t="shared" si="0"/>
        <v>0</v>
      </c>
      <c r="JD8" s="122">
        <f t="shared" si="0"/>
        <v>1.2</v>
      </c>
      <c r="JE8" s="122" t="str">
        <f t="shared" si="0"/>
        <v/>
      </c>
      <c r="JF8" s="122" t="str">
        <f t="shared" si="0"/>
        <v/>
      </c>
      <c r="JG8" s="122" t="str">
        <f t="shared" si="0"/>
        <v/>
      </c>
      <c r="JH8" s="122" t="str">
        <f t="shared" si="0"/>
        <v/>
      </c>
      <c r="JI8" s="122" t="str">
        <f t="shared" si="0"/>
        <v/>
      </c>
      <c r="JJ8" s="122" t="str">
        <f t="shared" si="0"/>
        <v/>
      </c>
      <c r="JK8" s="122" t="str">
        <f t="shared" si="0"/>
        <v/>
      </c>
      <c r="JL8" s="122" t="str">
        <f t="shared" si="0"/>
        <v/>
      </c>
      <c r="JM8" s="122" t="str">
        <f t="shared" si="0"/>
        <v/>
      </c>
      <c r="JN8" s="122" t="str">
        <f t="shared" si="0"/>
        <v/>
      </c>
      <c r="JO8" s="122" t="str">
        <f t="shared" si="0"/>
        <v/>
      </c>
      <c r="JP8" s="122" t="str">
        <f t="shared" si="0"/>
        <v/>
      </c>
      <c r="JQ8" s="122" t="str">
        <f t="shared" si="0"/>
        <v/>
      </c>
      <c r="JR8" s="122" t="str">
        <f t="shared" si="0"/>
        <v/>
      </c>
      <c r="JS8" s="133" t="str">
        <f t="shared" si="0"/>
        <v/>
      </c>
      <c r="JT8" s="94">
        <f t="shared" ref="JT8:LJ8" si="1">IF(AND(ISNUMBER(HX8),ISNUMBER(CI8)),HX8-CI8,"")</f>
        <v>0.67999999999999883</v>
      </c>
      <c r="JU8" s="4">
        <f t="shared" si="1"/>
        <v>-7.0000000000000284E-2</v>
      </c>
      <c r="JV8" s="4">
        <f t="shared" si="1"/>
        <v>96.299999999999983</v>
      </c>
      <c r="JW8" s="4">
        <f t="shared" si="1"/>
        <v>-4.2</v>
      </c>
      <c r="JX8" s="4">
        <f t="shared" si="1"/>
        <v>-0.73</v>
      </c>
      <c r="JY8" s="4">
        <f t="shared" si="1"/>
        <v>-0.64999999999999991</v>
      </c>
      <c r="JZ8" s="4">
        <f t="shared" si="1"/>
        <v>-3.56</v>
      </c>
      <c r="KA8" s="4">
        <f t="shared" si="1"/>
        <v>-3.9</v>
      </c>
      <c r="KB8" s="4">
        <f t="shared" si="1"/>
        <v>-331</v>
      </c>
      <c r="KC8" s="4">
        <f t="shared" si="1"/>
        <v>-359</v>
      </c>
      <c r="KD8" s="4">
        <f t="shared" si="1"/>
        <v>-258</v>
      </c>
      <c r="KE8" s="4">
        <f t="shared" si="1"/>
        <v>-288</v>
      </c>
      <c r="KF8" s="4">
        <f t="shared" si="1"/>
        <v>-50</v>
      </c>
      <c r="KG8" s="4">
        <f t="shared" si="1"/>
        <v>-470</v>
      </c>
      <c r="KH8" s="4">
        <f t="shared" si="1"/>
        <v>-168</v>
      </c>
      <c r="KI8" s="4">
        <f t="shared" si="1"/>
        <v>4.2699999999999996</v>
      </c>
      <c r="KJ8" s="4">
        <f t="shared" si="1"/>
        <v>2.5300000000000002</v>
      </c>
      <c r="KK8" s="4">
        <f t="shared" si="1"/>
        <v>0.42999999999999972</v>
      </c>
      <c r="KL8" s="4">
        <f t="shared" si="1"/>
        <v>0.15000000000000036</v>
      </c>
      <c r="KM8" s="4">
        <f t="shared" si="1"/>
        <v>-4.0000000000000036E-2</v>
      </c>
      <c r="KN8" s="4">
        <f t="shared" si="1"/>
        <v>-0.25</v>
      </c>
      <c r="KO8" s="4">
        <f t="shared" si="1"/>
        <v>-0.61000000000000121</v>
      </c>
      <c r="KP8" s="4">
        <f t="shared" si="1"/>
        <v>-0.63999999999999879</v>
      </c>
      <c r="KQ8" s="4">
        <f t="shared" si="1"/>
        <v>0</v>
      </c>
      <c r="KR8" s="4">
        <f t="shared" si="1"/>
        <v>0.7</v>
      </c>
      <c r="KS8" s="4">
        <f t="shared" si="1"/>
        <v>-1.0200000000000005</v>
      </c>
      <c r="KT8" s="4">
        <f t="shared" si="1"/>
        <v>-0.71999999999999975</v>
      </c>
      <c r="KU8" s="4">
        <f t="shared" si="1"/>
        <v>-0.23999999999999932</v>
      </c>
      <c r="KV8" s="4">
        <f t="shared" si="1"/>
        <v>3.0000000000000249E-2</v>
      </c>
      <c r="KW8" s="4">
        <f t="shared" si="1"/>
        <v>-3.0000000000000249E-2</v>
      </c>
      <c r="KX8" s="4">
        <f t="shared" si="1"/>
        <v>-7.18</v>
      </c>
      <c r="KY8" s="4">
        <f t="shared" si="1"/>
        <v>0</v>
      </c>
      <c r="KZ8" s="4">
        <f t="shared" si="1"/>
        <v>0.7</v>
      </c>
      <c r="LA8" s="4" t="str">
        <f t="shared" si="1"/>
        <v/>
      </c>
      <c r="LB8" s="4" t="str">
        <f t="shared" si="1"/>
        <v/>
      </c>
      <c r="LC8" s="4" t="str">
        <f t="shared" si="1"/>
        <v/>
      </c>
      <c r="LD8" s="4" t="str">
        <f t="shared" si="1"/>
        <v/>
      </c>
      <c r="LE8" s="4" t="str">
        <f t="shared" si="1"/>
        <v/>
      </c>
      <c r="LF8" s="4" t="str">
        <f t="shared" si="1"/>
        <v/>
      </c>
      <c r="LG8" s="4" t="str">
        <f t="shared" si="1"/>
        <v/>
      </c>
      <c r="LH8" s="4" t="str">
        <f t="shared" si="1"/>
        <v/>
      </c>
      <c r="LI8" s="4" t="str">
        <f t="shared" si="1"/>
        <v/>
      </c>
      <c r="LJ8" s="4" t="str">
        <f t="shared" si="1"/>
        <v/>
      </c>
      <c r="LK8" s="4" t="str">
        <f>IF(AND(ISNUMBER(JO8),ISNUMBER(EA8)),JO8-EA8,"")</f>
        <v/>
      </c>
      <c r="LL8" s="4" t="str">
        <f>IF(AND(ISNUMBER(JP8),ISNUMBER(EB8)),JP8-EB8,"")</f>
        <v/>
      </c>
      <c r="LM8" s="4" t="str">
        <f>IF(AND(ISNUMBER(JQ8),ISNUMBER(EC8)),JQ8-EC8,"")</f>
        <v/>
      </c>
      <c r="LN8" s="4" t="str">
        <f>IF(AND(ISNUMBER(JR8),ISNUMBER(ED8)),JR8-ED8,"")</f>
        <v/>
      </c>
      <c r="LO8" s="4" t="str">
        <f>IF(AND(ISNUMBER(JS8),ISNUMBER(EE8)),JS8-EE8,"")</f>
        <v/>
      </c>
      <c r="LP8" s="4" t="str">
        <f>IF(AND(ISNUMBER(HI8),ISNUMBER(FM8)),HI8-FM8,"")</f>
        <v/>
      </c>
      <c r="LQ8" s="4" t="str">
        <f>IF(AND(ISNUMBER(HJ8),ISNUMBER(FN8)),HJ8-FN8,"")</f>
        <v/>
      </c>
      <c r="LR8" s="4" t="str">
        <f>IF(AND(ISNUMBER(HN8),ISNUMBER(FR8)),HN8-FR8,"")</f>
        <v/>
      </c>
      <c r="LS8" s="4">
        <f>HO8-FS8</f>
        <v>0</v>
      </c>
    </row>
    <row r="9" spans="1:336" s="4" customFormat="1" ht="26.25" customHeight="1" x14ac:dyDescent="0.2">
      <c r="A9" s="35">
        <v>41178</v>
      </c>
      <c r="B9" s="36" t="s">
        <v>196</v>
      </c>
      <c r="C9" s="36" t="s">
        <v>90</v>
      </c>
      <c r="D9" s="31" t="s">
        <v>110</v>
      </c>
      <c r="E9" s="4">
        <v>62</v>
      </c>
      <c r="F9" s="3">
        <v>18491</v>
      </c>
      <c r="G9" s="4" t="s">
        <v>87</v>
      </c>
      <c r="H9" s="4" t="s">
        <v>112</v>
      </c>
      <c r="I9" s="4">
        <v>1829809</v>
      </c>
      <c r="J9" s="33">
        <v>-0.5</v>
      </c>
      <c r="K9" s="33">
        <v>-0.63</v>
      </c>
      <c r="L9" s="4" t="s">
        <v>249</v>
      </c>
      <c r="M9" s="136">
        <v>41176</v>
      </c>
      <c r="N9" s="67">
        <v>-1.25</v>
      </c>
      <c r="O9" s="67">
        <v>0.25</v>
      </c>
      <c r="P9" s="4">
        <v>145</v>
      </c>
      <c r="Q9" s="4">
        <v>20</v>
      </c>
      <c r="R9" s="4">
        <v>11</v>
      </c>
      <c r="S9" s="4">
        <v>564</v>
      </c>
      <c r="T9" s="4">
        <v>26.78</v>
      </c>
      <c r="W9" s="4">
        <v>3.82</v>
      </c>
      <c r="X9" s="4">
        <v>40.04</v>
      </c>
      <c r="Y9" s="4">
        <v>39</v>
      </c>
      <c r="Z9" s="4">
        <v>40.369999999999997</v>
      </c>
      <c r="AA9" s="4">
        <v>129</v>
      </c>
      <c r="AC9" s="43"/>
      <c r="AD9" s="32">
        <v>41374</v>
      </c>
      <c r="AE9" s="60"/>
      <c r="AF9" s="67">
        <v>-0.5</v>
      </c>
      <c r="AG9" s="67">
        <v>1</v>
      </c>
      <c r="AH9" s="4">
        <v>104</v>
      </c>
      <c r="AI9" s="4">
        <v>15</v>
      </c>
      <c r="AJ9" s="4">
        <v>10</v>
      </c>
      <c r="AK9" s="4">
        <v>454</v>
      </c>
      <c r="AL9" s="4">
        <v>2336</v>
      </c>
      <c r="AS9" s="4">
        <f t="shared" ref="AS9:AS10" si="2">IF(ISNUMBER(AF9),AF9+0.5*AG9,"")</f>
        <v>0</v>
      </c>
      <c r="AT9" s="4">
        <f t="shared" ref="AT9:AT10" si="3">IF(ISNUMBER(AS9),IF(ISNUMBER(K9),AS9-K9,"MISSING"),"")</f>
        <v>0.63</v>
      </c>
      <c r="AU9" s="4">
        <f t="shared" ref="AU9:AU10" si="4">IF(AND(ISNUMBER(AK9),ISNUMBER(S9)),AK9-S9,IF(ISNUMBER(AK9),"MISSING",""))</f>
        <v>-110</v>
      </c>
      <c r="AV9" s="3">
        <v>41561</v>
      </c>
      <c r="AW9" s="56"/>
      <c r="AX9" s="67">
        <v>-0.5</v>
      </c>
      <c r="AY9" s="67">
        <v>1.25</v>
      </c>
      <c r="AZ9" s="4">
        <v>74</v>
      </c>
      <c r="BA9" s="4">
        <v>25</v>
      </c>
      <c r="BB9" s="4">
        <v>11</v>
      </c>
      <c r="BC9" s="4">
        <v>569</v>
      </c>
      <c r="BD9" s="4">
        <v>1724</v>
      </c>
      <c r="BE9" s="4">
        <v>26.8</v>
      </c>
      <c r="BF9" s="4" t="s">
        <v>282</v>
      </c>
      <c r="BG9" s="4">
        <v>38.14</v>
      </c>
      <c r="BH9" s="4">
        <v>5</v>
      </c>
      <c r="BI9" s="4">
        <v>38.31</v>
      </c>
      <c r="BJ9" s="4">
        <v>95</v>
      </c>
      <c r="BK9" s="4">
        <f t="shared" ref="BK9:BK10" si="5">IF(ISNUMBER(AX9),AX9+0.5*AY9,"")</f>
        <v>0.125</v>
      </c>
      <c r="BL9" s="4">
        <f>IF(ISNUMBER(BK9),IF(ISNUMBER($K9),BK9-$K9,"MISSING"),"")</f>
        <v>0.755</v>
      </c>
      <c r="BM9" s="4">
        <f>IF(AND(ISNUMBER(BC9),ISNUMBER($S9)),BC9-$S9,IF(ISNUMBER(BC9),"MISSING",""))</f>
        <v>5</v>
      </c>
      <c r="BN9" s="4">
        <f>IF(AND(ISBLANK($AF9),ISBLANK($AX9)),0,1)</f>
        <v>1</v>
      </c>
      <c r="BO9" s="4">
        <f>IF(AND(ISNUMBER($AF9),ISNUMBER($AX9)),1,0)</f>
        <v>1</v>
      </c>
      <c r="BP9" s="4" t="str">
        <f t="shared" ref="BP9:BP10" si="6">IF(BO9,SE_PREOP,"")</f>
        <v/>
      </c>
      <c r="BQ9" s="4" t="str">
        <f t="shared" ref="BQ9:BQ10" si="7">IF(FU_6_AND_12,SE_6,"")</f>
        <v/>
      </c>
      <c r="BR9" s="4" t="str">
        <f t="shared" ref="BR9:BR10" si="8">IF(FU_6_AND_12,SE_12,"")</f>
        <v/>
      </c>
      <c r="BS9" s="53">
        <f>IF(AND(ISNUMBER(AV9),ISNUMBER(AX9)),AV9-A9,IF(ISNUMBER(AD9),AD9-A9,0))</f>
        <v>383</v>
      </c>
      <c r="BT9" s="55">
        <f t="shared" ref="BT9:BT10" si="9">IF(BS9&gt;0,BS9/30,"")</f>
        <v>12.766666666666667</v>
      </c>
      <c r="BU9" s="4">
        <f t="shared" ref="BU9:BU10" si="10">IF(AND(ISNUMBER(AS9),ISNUMBER(BK9)),(BK9-AS9),"")</f>
        <v>0.125</v>
      </c>
      <c r="BV9" s="4" t="str">
        <f t="shared" ref="BV9:BV10" si="11">IF(AND(ISNUMBER(AQ9), ISNUMBER(X9)), AVERAGE(AQ9,AO9)-AVERAGE(X9,Z9),"")</f>
        <v/>
      </c>
      <c r="BW9" s="4">
        <f t="shared" ref="BW9:BW10" si="12">IF(AND(ISNUMBER(BG9), ISNUMBER(X9)), AVERAGE(BG9,BI9)-AVERAGE(X9,Z9),"")</f>
        <v>-1.9799999999999969</v>
      </c>
      <c r="BX9" s="4">
        <f t="shared" ref="BX9:BX10" si="13">IF(ISNUMBER(BW9),BW9,IF(ISNUMBER(BV9),BV9,""))</f>
        <v>-1.9799999999999969</v>
      </c>
      <c r="BY9" s="4" t="str">
        <f t="shared" ref="BY9:BY10" si="14">IF(AND(ISNUMBER(SPH_PREOP),ISNUMBER(SE_LAST_)),SPH_PREOP+CYL_PREOP/2,"")</f>
        <v/>
      </c>
      <c r="BZ9" s="4" t="str">
        <f t="shared" ref="BZ9:BZ10" si="15">IF(ISNUMBER(SE_12),SE_12,IF(ISNUMBER(SE_6),SE_6,""))</f>
        <v/>
      </c>
      <c r="CA9" s="104" t="str">
        <f t="shared" ref="CA9:CA10" si="16">IF(AND(ISNUMBER(SE_LAST_),ISNUMBER(REF_TARGET)),SE_LAST_-REF_TARGET,"")</f>
        <v/>
      </c>
      <c r="CB9" s="94">
        <f t="shared" ref="CB9:CB10" si="17">IF(ISNUMBER(S9),IF(ISNUMBER(BC9),BC9-S9,IF(ISNUMBER(AK9),AK9-S9,"")),"")</f>
        <v>5</v>
      </c>
      <c r="CC9" s="4">
        <f t="shared" ref="CC9:CC10" si="18">IF(ISNUMBER(T9),IF(ISNUMBER(AM9),AM9-T9,IF(ISNUMBER(BE9),BE9-T9,"")),"")</f>
        <v>1.9999999999999574E-2</v>
      </c>
      <c r="CD9" s="107" t="str">
        <f t="shared" ref="CD9:CD10" si="19">IF(ISNUMBER(LAST_SE_ERROR),REF_TARGET,"")</f>
        <v/>
      </c>
      <c r="CE9" s="107">
        <f>IF(AND(OR(ISNUMBER(BA9),ISNUMBER(AI9)),ISNUMBER(Q9)),-LOG(20/Q9)--LOG(20/IF(ISNUMBER(BA9),BA9,AI9)),"")</f>
        <v>-9.6910013008056392E-2</v>
      </c>
      <c r="CF9" s="139">
        <f t="shared" ref="CF9:CF10" si="20">IF(ISNUMBER(AY9),AY9,IF(ISNUMBER(AG9),AG9,""))</f>
        <v>1.25</v>
      </c>
      <c r="CG9" s="139">
        <f t="shared" ref="CG9:CG10" si="21">IF(AND(ISNUMBER(CF9),ISNUMBER(O9)),CF9-O9,"")</f>
        <v>1</v>
      </c>
      <c r="CH9" s="149" t="str">
        <f t="shared" ref="CH9:CH10" si="22">IF(ISNUMBER(BCVA_12),BCVA_12,IF(ISNUMBER(BCVA_6),BCVA_6,""))</f>
        <v/>
      </c>
      <c r="CI9" s="148" t="str">
        <f t="shared" ref="CI9:CI10" si="23">IF(AND(REF_TARGET&lt;=0,REF_TARGET&gt;-1),IF(ISNUMBER(UDVA_12),UDVA_12,IF(ISNUMBER(UDVA_6),UDVA_6,"")),"")</f>
        <v/>
      </c>
      <c r="CJ9" s="107">
        <f>IF(ISNUMBER($CM9),IF(ISNUMBER($AF9),IF(ISNUMBER($EH9),0,1),""),"")</f>
        <v>0</v>
      </c>
      <c r="CK9" s="107">
        <f>IF(ISNUMBER($CM9),IF(ISNUMBER($AX9),IF(ISNUMBER($GD9),0,1),""),"")</f>
        <v>0</v>
      </c>
      <c r="CL9">
        <v>9.02</v>
      </c>
      <c r="CM9" s="4">
        <v>8.65</v>
      </c>
      <c r="CN9" s="4">
        <v>3.5</v>
      </c>
      <c r="CO9" s="4">
        <v>-1.6</v>
      </c>
      <c r="CP9" s="4">
        <v>-0.94</v>
      </c>
      <c r="CQ9" s="4">
        <v>-0.81</v>
      </c>
      <c r="CR9" s="4">
        <v>3.19</v>
      </c>
      <c r="CS9" s="4">
        <v>3.76</v>
      </c>
      <c r="CT9" s="4">
        <v>568</v>
      </c>
      <c r="CU9" s="4">
        <v>565</v>
      </c>
      <c r="CV9" s="4">
        <v>623</v>
      </c>
      <c r="CW9" s="4">
        <v>647</v>
      </c>
      <c r="CX9" s="4">
        <v>641</v>
      </c>
      <c r="CY9" s="4">
        <v>636</v>
      </c>
      <c r="CZ9" s="4">
        <v>555</v>
      </c>
      <c r="DA9" s="4">
        <v>7.0000000000000007E-2</v>
      </c>
      <c r="DB9" s="4">
        <v>0.97</v>
      </c>
      <c r="DC9" s="4">
        <v>8.92</v>
      </c>
      <c r="DD9" s="4">
        <v>8.66</v>
      </c>
      <c r="DE9" s="4">
        <v>8.34</v>
      </c>
      <c r="DF9" s="4">
        <v>8.14</v>
      </c>
      <c r="DG9" s="4">
        <v>8.2799999999999994</v>
      </c>
      <c r="DH9" s="4">
        <v>8.57</v>
      </c>
      <c r="DI9" s="4">
        <v>0</v>
      </c>
      <c r="DJ9" s="4">
        <v>1.2</v>
      </c>
      <c r="DK9" s="4">
        <v>7.28</v>
      </c>
      <c r="DL9" s="4">
        <v>7.21</v>
      </c>
      <c r="DM9" s="4">
        <v>7.09</v>
      </c>
      <c r="DN9" s="4">
        <v>7</v>
      </c>
      <c r="DO9" s="4">
        <v>7.21</v>
      </c>
      <c r="DP9" s="4">
        <v>7.55</v>
      </c>
      <c r="DQ9" s="4">
        <v>0</v>
      </c>
      <c r="DR9" s="100">
        <v>1.2</v>
      </c>
      <c r="DS9" s="122">
        <v>37.4</v>
      </c>
      <c r="DT9" s="122">
        <v>39</v>
      </c>
      <c r="DU9" s="122">
        <v>38.200000000000003</v>
      </c>
      <c r="DV9" s="122">
        <v>3.5</v>
      </c>
      <c r="DW9" s="122">
        <v>1.6</v>
      </c>
      <c r="DX9" s="122">
        <v>-5.5</v>
      </c>
      <c r="DY9" s="122">
        <v>-5.5</v>
      </c>
      <c r="DZ9" s="122">
        <v>-5.5</v>
      </c>
      <c r="EA9" s="122">
        <v>165.8</v>
      </c>
      <c r="EB9" s="122">
        <v>0</v>
      </c>
      <c r="EC9" s="122">
        <v>4.0999999999999996</v>
      </c>
      <c r="ED9" s="122">
        <v>11.9</v>
      </c>
      <c r="EE9" s="122">
        <v>25</v>
      </c>
      <c r="EF9" s="122">
        <v>58.6</v>
      </c>
      <c r="EG9" s="126">
        <v>38</v>
      </c>
      <c r="EH9" s="94">
        <v>9</v>
      </c>
      <c r="EI9" s="4">
        <v>8.85</v>
      </c>
      <c r="EJ9" s="4">
        <v>160.4</v>
      </c>
      <c r="EK9" s="4">
        <v>-0.6</v>
      </c>
      <c r="EL9" s="4">
        <v>-0.85</v>
      </c>
      <c r="EM9" s="4">
        <v>-0.86</v>
      </c>
      <c r="EN9" s="4">
        <v>5.94</v>
      </c>
      <c r="EO9" s="4">
        <v>6.39</v>
      </c>
      <c r="EP9" s="4">
        <v>452</v>
      </c>
      <c r="EQ9" s="4">
        <v>453</v>
      </c>
      <c r="ER9" s="4">
        <v>638</v>
      </c>
      <c r="ES9" s="4">
        <v>537</v>
      </c>
      <c r="ET9" s="4">
        <v>605</v>
      </c>
      <c r="EU9" s="4">
        <v>527</v>
      </c>
      <c r="EV9" s="4">
        <v>439</v>
      </c>
      <c r="EW9" s="4">
        <v>0.79</v>
      </c>
      <c r="EX9" s="4">
        <v>-0.59</v>
      </c>
      <c r="EY9" s="4">
        <v>8.94</v>
      </c>
      <c r="EZ9" s="4">
        <v>8.86</v>
      </c>
      <c r="FA9" s="4">
        <v>8.59</v>
      </c>
      <c r="FB9" s="4">
        <v>8.26</v>
      </c>
      <c r="FC9" s="4">
        <v>8.23</v>
      </c>
      <c r="FD9" s="4">
        <v>8.3699999999999992</v>
      </c>
      <c r="FE9" s="4">
        <v>0</v>
      </c>
      <c r="FF9" s="4">
        <v>1.3</v>
      </c>
      <c r="FG9" s="4">
        <v>6.99</v>
      </c>
      <c r="FH9" s="4">
        <v>6.73</v>
      </c>
      <c r="FI9" s="4">
        <v>6.67</v>
      </c>
      <c r="FJ9" s="4">
        <v>6.77</v>
      </c>
      <c r="FK9" s="4">
        <v>6.96</v>
      </c>
      <c r="FL9" s="4">
        <v>0</v>
      </c>
      <c r="FM9" s="4">
        <v>0</v>
      </c>
      <c r="FN9" s="97">
        <v>1.3</v>
      </c>
      <c r="FO9" s="122">
        <v>37.5</v>
      </c>
      <c r="FP9" s="122">
        <v>38.1</v>
      </c>
      <c r="FQ9" s="122">
        <v>37.799999999999997</v>
      </c>
      <c r="FR9" s="122">
        <v>160.4</v>
      </c>
      <c r="FS9" s="122">
        <v>0.6</v>
      </c>
      <c r="FT9" s="122">
        <v>-5.5</v>
      </c>
      <c r="FU9" s="122">
        <v>-6</v>
      </c>
      <c r="FV9" s="122">
        <v>-5.8</v>
      </c>
      <c r="FW9" s="122">
        <v>168.6</v>
      </c>
      <c r="FX9" s="122">
        <v>0.5</v>
      </c>
      <c r="FY9" s="122">
        <v>3.3</v>
      </c>
      <c r="FZ9" s="122">
        <v>9.9</v>
      </c>
      <c r="GA9" s="122">
        <v>21.9</v>
      </c>
      <c r="GB9" s="122">
        <v>55.6</v>
      </c>
      <c r="GC9" s="131">
        <v>35</v>
      </c>
      <c r="GD9" s="94">
        <v>8.91</v>
      </c>
      <c r="GE9" s="4">
        <v>8.83</v>
      </c>
      <c r="GF9" s="4">
        <v>141.19999999999999</v>
      </c>
      <c r="GG9" s="4">
        <v>-0.3</v>
      </c>
      <c r="GH9" s="4">
        <v>-0.76</v>
      </c>
      <c r="GI9" s="4">
        <v>-0.78</v>
      </c>
      <c r="GJ9" s="4">
        <v>4.99</v>
      </c>
      <c r="GK9" s="4">
        <v>5.45</v>
      </c>
      <c r="GL9" s="4">
        <v>457</v>
      </c>
      <c r="GM9" s="4">
        <v>458</v>
      </c>
      <c r="GN9" s="4">
        <v>604</v>
      </c>
      <c r="GO9" s="4">
        <v>550</v>
      </c>
      <c r="GP9" s="4">
        <v>569</v>
      </c>
      <c r="GQ9" s="4">
        <v>560</v>
      </c>
      <c r="GR9" s="4">
        <v>453</v>
      </c>
      <c r="GS9" s="4">
        <v>0.26</v>
      </c>
      <c r="GT9" s="4">
        <v>-0.52</v>
      </c>
      <c r="GU9" s="4">
        <v>8.9</v>
      </c>
      <c r="GV9" s="4">
        <v>8.7899999999999991</v>
      </c>
      <c r="GW9" s="4">
        <v>8.57</v>
      </c>
      <c r="GX9" s="4">
        <v>8.31</v>
      </c>
      <c r="GY9" s="4">
        <v>8.34</v>
      </c>
      <c r="GZ9" s="4">
        <v>8.4700000000000006</v>
      </c>
      <c r="HA9" s="4">
        <v>0</v>
      </c>
      <c r="HB9" s="4">
        <v>1.3</v>
      </c>
      <c r="HC9" s="4">
        <v>7.01</v>
      </c>
      <c r="HD9" s="4">
        <v>6.84</v>
      </c>
      <c r="HE9" s="4">
        <v>6.78</v>
      </c>
      <c r="HF9" s="4">
        <v>6.77</v>
      </c>
      <c r="HG9" s="4">
        <v>6.94</v>
      </c>
      <c r="HH9" s="4">
        <v>0</v>
      </c>
      <c r="HI9" s="4">
        <v>0</v>
      </c>
      <c r="HJ9" s="104">
        <v>1.3</v>
      </c>
      <c r="HK9" s="122">
        <v>37.9</v>
      </c>
      <c r="HL9" s="122">
        <v>38.200000000000003</v>
      </c>
      <c r="HM9" s="122">
        <v>38</v>
      </c>
      <c r="HN9" s="122">
        <v>141.19999999999999</v>
      </c>
      <c r="HO9" s="122">
        <v>0.3</v>
      </c>
      <c r="HP9" s="122">
        <v>-5.7</v>
      </c>
      <c r="HQ9" s="122">
        <v>-5.8</v>
      </c>
      <c r="HR9" s="122">
        <v>-5.8</v>
      </c>
      <c r="HS9" s="122">
        <v>155.69999999999999</v>
      </c>
      <c r="HT9" s="122">
        <v>0.2</v>
      </c>
      <c r="HU9" s="122">
        <v>3.3</v>
      </c>
      <c r="HV9" s="122">
        <v>9.9</v>
      </c>
      <c r="HW9" s="122">
        <v>21.7</v>
      </c>
      <c r="HX9" s="122">
        <v>55</v>
      </c>
      <c r="HY9" s="133">
        <v>28</v>
      </c>
      <c r="HZ9" s="94">
        <f t="shared" ref="HZ9:II10" si="24">IF(ISNUMBER(GD9),GD9,IF(ISNUMBER(EH9),EH9,""))</f>
        <v>8.91</v>
      </c>
      <c r="IA9" s="4">
        <f t="shared" si="24"/>
        <v>8.83</v>
      </c>
      <c r="IB9" s="4">
        <f t="shared" si="24"/>
        <v>141.19999999999999</v>
      </c>
      <c r="IC9" s="4">
        <f t="shared" si="24"/>
        <v>-0.3</v>
      </c>
      <c r="ID9" s="4">
        <f t="shared" si="24"/>
        <v>-0.76</v>
      </c>
      <c r="IE9" s="4">
        <f t="shared" si="24"/>
        <v>-0.78</v>
      </c>
      <c r="IF9" s="4">
        <f t="shared" si="24"/>
        <v>4.99</v>
      </c>
      <c r="IG9" s="4">
        <f t="shared" si="24"/>
        <v>5.45</v>
      </c>
      <c r="IH9" s="4">
        <f t="shared" si="24"/>
        <v>457</v>
      </c>
      <c r="II9" s="4">
        <f t="shared" si="24"/>
        <v>458</v>
      </c>
      <c r="IJ9" s="4">
        <f t="shared" ref="IJ9:IS10" si="25">IF(ISNUMBER(GN9),GN9,IF(ISNUMBER(ER9),ER9,""))</f>
        <v>604</v>
      </c>
      <c r="IK9" s="4">
        <f t="shared" si="25"/>
        <v>550</v>
      </c>
      <c r="IL9" s="4">
        <f t="shared" si="25"/>
        <v>569</v>
      </c>
      <c r="IM9" s="4">
        <f t="shared" si="25"/>
        <v>560</v>
      </c>
      <c r="IN9" s="4">
        <f t="shared" si="25"/>
        <v>453</v>
      </c>
      <c r="IO9" s="4">
        <f t="shared" si="25"/>
        <v>0.26</v>
      </c>
      <c r="IP9" s="4">
        <f t="shared" si="25"/>
        <v>-0.52</v>
      </c>
      <c r="IQ9" s="4">
        <f t="shared" si="25"/>
        <v>8.9</v>
      </c>
      <c r="IR9" s="4">
        <f t="shared" si="25"/>
        <v>8.7899999999999991</v>
      </c>
      <c r="IS9" s="4">
        <f t="shared" si="25"/>
        <v>8.57</v>
      </c>
      <c r="IT9" s="4">
        <f t="shared" ref="IT9:JC10" si="26">IF(ISNUMBER(GX9),GX9,IF(ISNUMBER(FB9),FB9,""))</f>
        <v>8.31</v>
      </c>
      <c r="IU9" s="4">
        <f t="shared" si="26"/>
        <v>8.34</v>
      </c>
      <c r="IV9" s="4">
        <f t="shared" si="26"/>
        <v>8.4700000000000006</v>
      </c>
      <c r="IW9" s="4">
        <f t="shared" si="26"/>
        <v>0</v>
      </c>
      <c r="IX9" s="4">
        <f t="shared" si="26"/>
        <v>1.3</v>
      </c>
      <c r="IY9" s="4">
        <f t="shared" si="26"/>
        <v>7.01</v>
      </c>
      <c r="IZ9" s="4">
        <f t="shared" si="26"/>
        <v>6.84</v>
      </c>
      <c r="JA9" s="4">
        <f t="shared" si="26"/>
        <v>6.78</v>
      </c>
      <c r="JB9" s="4">
        <f t="shared" si="26"/>
        <v>6.77</v>
      </c>
      <c r="JC9" s="4">
        <f t="shared" si="26"/>
        <v>6.94</v>
      </c>
      <c r="JD9" s="4">
        <f t="shared" ref="JD9:JM10" si="27">IF(ISNUMBER(HH9),HH9,IF(ISNUMBER(FL9),FL9,""))</f>
        <v>0</v>
      </c>
      <c r="JE9" s="129">
        <f t="shared" si="27"/>
        <v>0</v>
      </c>
      <c r="JF9" s="122">
        <f t="shared" si="27"/>
        <v>1.3</v>
      </c>
      <c r="JG9" s="122">
        <f t="shared" si="27"/>
        <v>37.9</v>
      </c>
      <c r="JH9" s="122">
        <f t="shared" si="27"/>
        <v>38.200000000000003</v>
      </c>
      <c r="JI9" s="122">
        <f t="shared" si="27"/>
        <v>38</v>
      </c>
      <c r="JJ9" s="122">
        <f t="shared" si="27"/>
        <v>141.19999999999999</v>
      </c>
      <c r="JK9" s="122">
        <f t="shared" si="27"/>
        <v>0.3</v>
      </c>
      <c r="JL9" s="122">
        <f t="shared" si="27"/>
        <v>-5.7</v>
      </c>
      <c r="JM9" s="122">
        <f t="shared" si="27"/>
        <v>-5.8</v>
      </c>
      <c r="JN9" s="122">
        <f t="shared" ref="JN9:JU10" si="28">IF(ISNUMBER(HR9),HR9,IF(ISNUMBER(FV9),FV9,""))</f>
        <v>-5.8</v>
      </c>
      <c r="JO9" s="122">
        <f t="shared" si="28"/>
        <v>155.69999999999999</v>
      </c>
      <c r="JP9" s="122">
        <f t="shared" si="28"/>
        <v>0.2</v>
      </c>
      <c r="JQ9" s="122">
        <f t="shared" si="28"/>
        <v>3.3</v>
      </c>
      <c r="JR9" s="122">
        <f t="shared" si="28"/>
        <v>9.9</v>
      </c>
      <c r="JS9" s="122">
        <f t="shared" si="28"/>
        <v>21.7</v>
      </c>
      <c r="JT9" s="122">
        <f t="shared" si="28"/>
        <v>55</v>
      </c>
      <c r="JU9" s="133">
        <f t="shared" si="28"/>
        <v>28</v>
      </c>
      <c r="JV9" s="94">
        <f t="shared" ref="JV9:LQ10" si="29">IF(AND(ISNUMBER(HZ9),ISNUMBER(CL9)),HZ9-CL9,"")</f>
        <v>-0.10999999999999943</v>
      </c>
      <c r="JW9" s="4">
        <f t="shared" si="29"/>
        <v>0.17999999999999972</v>
      </c>
      <c r="JX9" s="4">
        <f t="shared" si="29"/>
        <v>137.69999999999999</v>
      </c>
      <c r="JY9" s="4">
        <f t="shared" si="29"/>
        <v>1.3</v>
      </c>
      <c r="JZ9" s="4">
        <f t="shared" si="29"/>
        <v>0.17999999999999994</v>
      </c>
      <c r="KA9" s="4">
        <f t="shared" si="29"/>
        <v>3.0000000000000027E-2</v>
      </c>
      <c r="KB9" s="4">
        <f t="shared" si="29"/>
        <v>1.8000000000000003</v>
      </c>
      <c r="KC9" s="4">
        <f t="shared" si="29"/>
        <v>1.6900000000000004</v>
      </c>
      <c r="KD9" s="4">
        <f t="shared" si="29"/>
        <v>-111</v>
      </c>
      <c r="KE9" s="4">
        <f t="shared" si="29"/>
        <v>-107</v>
      </c>
      <c r="KF9" s="4">
        <f t="shared" si="29"/>
        <v>-19</v>
      </c>
      <c r="KG9" s="4">
        <f t="shared" si="29"/>
        <v>-97</v>
      </c>
      <c r="KH9" s="4">
        <f t="shared" si="29"/>
        <v>-72</v>
      </c>
      <c r="KI9" s="4">
        <f t="shared" si="29"/>
        <v>-76</v>
      </c>
      <c r="KJ9" s="4">
        <f t="shared" si="29"/>
        <v>-102</v>
      </c>
      <c r="KK9" s="4">
        <f t="shared" si="29"/>
        <v>0.19</v>
      </c>
      <c r="KL9" s="4">
        <f t="shared" si="29"/>
        <v>-1.49</v>
      </c>
      <c r="KM9" s="4">
        <f t="shared" si="29"/>
        <v>-1.9999999999999574E-2</v>
      </c>
      <c r="KN9" s="4">
        <f t="shared" si="29"/>
        <v>0.12999999999999901</v>
      </c>
      <c r="KO9" s="4">
        <f t="shared" si="29"/>
        <v>0.23000000000000043</v>
      </c>
      <c r="KP9" s="4">
        <f t="shared" si="29"/>
        <v>0.16999999999999993</v>
      </c>
      <c r="KQ9" s="4">
        <f t="shared" si="29"/>
        <v>6.0000000000000497E-2</v>
      </c>
      <c r="KR9" s="4">
        <f t="shared" si="29"/>
        <v>-9.9999999999999645E-2</v>
      </c>
      <c r="KS9" s="4">
        <f t="shared" si="29"/>
        <v>0</v>
      </c>
      <c r="KT9" s="4">
        <f t="shared" si="29"/>
        <v>0.10000000000000009</v>
      </c>
      <c r="KU9" s="4">
        <f t="shared" si="29"/>
        <v>-0.27000000000000046</v>
      </c>
      <c r="KV9" s="4">
        <f t="shared" si="29"/>
        <v>-0.37000000000000011</v>
      </c>
      <c r="KW9" s="4">
        <f t="shared" si="29"/>
        <v>-0.30999999999999961</v>
      </c>
      <c r="KX9" s="4">
        <f t="shared" si="29"/>
        <v>-0.23000000000000043</v>
      </c>
      <c r="KY9" s="4">
        <f t="shared" si="29"/>
        <v>-0.26999999999999957</v>
      </c>
      <c r="KZ9" s="4">
        <f t="shared" si="29"/>
        <v>-7.55</v>
      </c>
      <c r="LA9" s="4">
        <f t="shared" si="29"/>
        <v>0</v>
      </c>
      <c r="LB9" s="4">
        <f t="shared" si="29"/>
        <v>0.10000000000000009</v>
      </c>
      <c r="LC9" s="4">
        <f t="shared" si="29"/>
        <v>0.5</v>
      </c>
      <c r="LD9" s="4">
        <f t="shared" si="29"/>
        <v>-0.79999999999999716</v>
      </c>
      <c r="LE9" s="4">
        <f t="shared" si="29"/>
        <v>-0.20000000000000284</v>
      </c>
      <c r="LF9" s="4">
        <f t="shared" si="29"/>
        <v>137.69999999999999</v>
      </c>
      <c r="LG9" s="4">
        <f t="shared" si="29"/>
        <v>-1.3</v>
      </c>
      <c r="LH9" s="4">
        <f t="shared" si="29"/>
        <v>-0.20000000000000018</v>
      </c>
      <c r="LI9" s="4">
        <f t="shared" si="29"/>
        <v>-0.29999999999999982</v>
      </c>
      <c r="LJ9" s="4">
        <f t="shared" si="29"/>
        <v>-0.29999999999999982</v>
      </c>
      <c r="LK9" s="4">
        <f t="shared" si="29"/>
        <v>-10.100000000000023</v>
      </c>
      <c r="LL9" s="4">
        <f t="shared" si="29"/>
        <v>0.2</v>
      </c>
      <c r="LM9" s="4">
        <f t="shared" si="29"/>
        <v>-0.79999999999999982</v>
      </c>
      <c r="LN9" s="4">
        <f t="shared" si="29"/>
        <v>-2</v>
      </c>
      <c r="LO9" s="4">
        <f t="shared" si="29"/>
        <v>-3.3000000000000007</v>
      </c>
      <c r="LP9" s="4">
        <f t="shared" si="29"/>
        <v>-3.6000000000000014</v>
      </c>
      <c r="LQ9" s="4">
        <f t="shared" si="29"/>
        <v>-10</v>
      </c>
      <c r="LR9" s="4">
        <f t="shared" ref="LR9:LS10" si="30">IF(AND(ISNUMBER(HK9),ISNUMBER(FO9)),HK9-FO9,"")</f>
        <v>0.39999999999999858</v>
      </c>
      <c r="LS9" s="4">
        <f t="shared" si="30"/>
        <v>0.10000000000000142</v>
      </c>
      <c r="LT9" s="4">
        <f t="shared" ref="LT9:LT10" si="31">IF(AND(ISNUMBER(HP9),ISNUMBER(FT9)),HP9-FT9,"")</f>
        <v>-0.20000000000000018</v>
      </c>
      <c r="LU9" s="4">
        <f t="shared" ref="LU9:LU10" si="32">HQ9-FU9</f>
        <v>0.20000000000000018</v>
      </c>
    </row>
    <row r="10" spans="1:336" s="4" customFormat="1" ht="26.25" customHeight="1" x14ac:dyDescent="0.2">
      <c r="A10" s="35">
        <v>41374</v>
      </c>
      <c r="B10" s="36" t="s">
        <v>155</v>
      </c>
      <c r="C10" s="36" t="s">
        <v>41</v>
      </c>
      <c r="D10" s="31" t="s">
        <v>111</v>
      </c>
      <c r="E10" s="4">
        <v>58</v>
      </c>
      <c r="F10" s="3">
        <v>20151</v>
      </c>
      <c r="G10" s="4" t="s">
        <v>87</v>
      </c>
      <c r="H10" s="4" t="s">
        <v>108</v>
      </c>
      <c r="I10" s="4">
        <v>1835949</v>
      </c>
      <c r="J10" s="33">
        <v>-0.5</v>
      </c>
      <c r="K10" s="33">
        <v>-0.54</v>
      </c>
      <c r="L10" s="33"/>
      <c r="M10" s="136">
        <v>41372</v>
      </c>
      <c r="N10" s="67" t="s">
        <v>91</v>
      </c>
      <c r="O10" s="67"/>
      <c r="R10" s="4">
        <v>12</v>
      </c>
      <c r="AC10" s="54" t="s">
        <v>301</v>
      </c>
      <c r="AD10" s="40">
        <v>41619</v>
      </c>
      <c r="AE10" s="58"/>
      <c r="AF10" s="67"/>
      <c r="AG10" s="67"/>
      <c r="AS10" s="4" t="str">
        <f t="shared" si="2"/>
        <v/>
      </c>
      <c r="AT10" s="4" t="str">
        <f t="shared" si="3"/>
        <v/>
      </c>
      <c r="AU10" s="4" t="str">
        <f t="shared" si="4"/>
        <v/>
      </c>
      <c r="AW10" s="56"/>
      <c r="AX10" s="67"/>
      <c r="AY10" s="67"/>
      <c r="BK10" s="4" t="str">
        <f t="shared" si="5"/>
        <v/>
      </c>
      <c r="BL10" s="4" t="str">
        <f>IF(ISNUMBER(BK10),IF(ISNUMBER($K10),BK10-$K10,"MISSING"),"")</f>
        <v/>
      </c>
      <c r="BM10" s="4" t="str">
        <f>IF(AND(ISNUMBER(BC10),ISNUMBER($S10)),BC10-$S10,IF(ISNUMBER(BC10),"MISSING",""))</f>
        <v/>
      </c>
      <c r="BN10" s="4">
        <f>IF(AND(ISBLANK($AF10),ISBLANK($AX10)),0,1)</f>
        <v>0</v>
      </c>
      <c r="BO10" s="4">
        <f>IF(AND(ISNUMBER($AF10),ISNUMBER($AX10)),1,0)</f>
        <v>0</v>
      </c>
      <c r="BP10" s="4" t="str">
        <f t="shared" si="6"/>
        <v/>
      </c>
      <c r="BQ10" s="4" t="str">
        <f t="shared" si="7"/>
        <v/>
      </c>
      <c r="BR10" s="4" t="str">
        <f t="shared" si="8"/>
        <v/>
      </c>
      <c r="BS10" s="53">
        <f>IF(AND(ISNUMBER(AV10),ISNUMBER(AX10)),AV10-A10,IF(ISNUMBER(AD10),AD10-A10,0))</f>
        <v>245</v>
      </c>
      <c r="BT10" s="55">
        <f t="shared" si="9"/>
        <v>8.1666666666666661</v>
      </c>
      <c r="BU10" s="4" t="str">
        <f t="shared" si="10"/>
        <v/>
      </c>
      <c r="BV10" s="4" t="str">
        <f t="shared" si="11"/>
        <v/>
      </c>
      <c r="BW10" s="4" t="str">
        <f t="shared" si="12"/>
        <v/>
      </c>
      <c r="BX10" s="4" t="str">
        <f t="shared" si="13"/>
        <v/>
      </c>
      <c r="BY10" s="4" t="str">
        <f t="shared" si="14"/>
        <v/>
      </c>
      <c r="BZ10" s="4" t="str">
        <f t="shared" si="15"/>
        <v/>
      </c>
      <c r="CA10" s="104" t="str">
        <f t="shared" si="16"/>
        <v/>
      </c>
      <c r="CB10" s="94" t="str">
        <f t="shared" si="17"/>
        <v/>
      </c>
      <c r="CC10" s="4" t="str">
        <f t="shared" si="18"/>
        <v/>
      </c>
      <c r="CD10" s="107" t="str">
        <f t="shared" si="19"/>
        <v/>
      </c>
      <c r="CE10" s="107" t="str">
        <f t="shared" ref="CE10" si="33">IF(AND(OR(ISNUMBER(BA10),ISNUMBER(AI10)),ISNUMBER(Q10)),-LOG(20/Q10)--LOG(20/IF(ISNUMBER(BA10),BA10,AI10)),"")</f>
        <v/>
      </c>
      <c r="CF10" s="139" t="str">
        <f t="shared" si="20"/>
        <v/>
      </c>
      <c r="CG10" s="139" t="str">
        <f t="shared" si="21"/>
        <v/>
      </c>
      <c r="CH10" s="149" t="str">
        <f t="shared" si="22"/>
        <v/>
      </c>
      <c r="CI10" s="148" t="str">
        <f t="shared" si="23"/>
        <v/>
      </c>
      <c r="CJ10" s="107" t="str">
        <f>IF(ISNUMBER($CM10),IF(ISNUMBER($AF10),IF(ISNUMBER($EH10),0,1),""),"")</f>
        <v/>
      </c>
      <c r="CK10" s="107" t="str">
        <f>IF(ISNUMBER($CM10),IF(ISNUMBER($AX10),IF(ISNUMBER($GD10),0,1),""),"")</f>
        <v/>
      </c>
      <c r="CL10">
        <v>7.92</v>
      </c>
      <c r="CM10" s="4">
        <v>7.69</v>
      </c>
      <c r="CN10" s="4">
        <v>17</v>
      </c>
      <c r="CO10" s="4">
        <v>-1.3</v>
      </c>
      <c r="CP10" s="4">
        <v>0.8</v>
      </c>
      <c r="CQ10" s="4">
        <v>0.77</v>
      </c>
      <c r="CR10" s="4">
        <v>4.7300000000000004</v>
      </c>
      <c r="CS10" s="4">
        <v>5.27</v>
      </c>
      <c r="CT10" s="4">
        <v>537</v>
      </c>
      <c r="CU10" s="4">
        <v>536</v>
      </c>
      <c r="CV10" s="4">
        <v>633</v>
      </c>
      <c r="CW10" s="4">
        <v>615</v>
      </c>
      <c r="CX10" s="4">
        <v>642</v>
      </c>
      <c r="CY10" s="4">
        <v>579</v>
      </c>
      <c r="CZ10" s="4">
        <v>524</v>
      </c>
      <c r="DA10" s="4">
        <v>1.28</v>
      </c>
      <c r="DB10" s="4">
        <v>-0.06</v>
      </c>
      <c r="DC10" s="4">
        <v>7.86</v>
      </c>
      <c r="DD10" s="4">
        <v>7.77</v>
      </c>
      <c r="DE10" s="4">
        <v>7.97</v>
      </c>
      <c r="DF10" s="4">
        <v>8.2899999999999991</v>
      </c>
      <c r="DG10" s="4">
        <v>8.51</v>
      </c>
      <c r="DH10" s="4">
        <v>8.27</v>
      </c>
      <c r="DI10" s="4">
        <v>0</v>
      </c>
      <c r="DJ10" s="4">
        <v>1</v>
      </c>
      <c r="DK10" s="4">
        <v>6.68</v>
      </c>
      <c r="DL10" s="4">
        <v>6.47</v>
      </c>
      <c r="DM10" s="4">
        <v>6.47</v>
      </c>
      <c r="DN10" s="4">
        <v>6.7</v>
      </c>
      <c r="DO10" s="4">
        <v>6.7</v>
      </c>
      <c r="DP10" s="4">
        <v>0</v>
      </c>
      <c r="DQ10" s="4">
        <v>0</v>
      </c>
      <c r="DR10" s="100">
        <v>1</v>
      </c>
      <c r="DS10" s="122">
        <v>42.1</v>
      </c>
      <c r="DT10" s="122">
        <v>42.2</v>
      </c>
      <c r="DU10" s="122">
        <v>42.2</v>
      </c>
      <c r="DV10" s="122">
        <v>41.6</v>
      </c>
      <c r="DW10" s="122">
        <v>0</v>
      </c>
      <c r="DX10" s="122">
        <v>-5.7</v>
      </c>
      <c r="DY10" s="122">
        <v>-5.8</v>
      </c>
      <c r="DZ10" s="122">
        <v>-5.7</v>
      </c>
      <c r="EA10" s="122">
        <v>38.4</v>
      </c>
      <c r="EB10" s="122">
        <v>0.1</v>
      </c>
      <c r="EC10" s="122">
        <v>4.0999999999999996</v>
      </c>
      <c r="ED10" s="122">
        <v>11.8</v>
      </c>
      <c r="EE10" s="122">
        <v>25.1</v>
      </c>
      <c r="EF10" s="122">
        <v>60.7</v>
      </c>
      <c r="EG10" s="126">
        <v>9</v>
      </c>
      <c r="EH10" s="94"/>
      <c r="FN10" s="97"/>
      <c r="FO10" s="122"/>
      <c r="FP10" s="122"/>
      <c r="FQ10" s="122"/>
      <c r="FR10" s="122"/>
      <c r="FS10" s="122"/>
      <c r="FT10" s="122"/>
      <c r="FU10" s="122"/>
      <c r="FV10" s="122"/>
      <c r="FW10" s="122"/>
      <c r="FX10" s="122"/>
      <c r="FY10" s="122"/>
      <c r="FZ10" s="122"/>
      <c r="GA10" s="122"/>
      <c r="GB10" s="122"/>
      <c r="GC10" s="131"/>
      <c r="GD10" s="94"/>
      <c r="HJ10" s="104"/>
      <c r="HK10" s="122"/>
      <c r="HL10" s="122"/>
      <c r="HM10" s="122"/>
      <c r="HN10" s="122"/>
      <c r="HO10" s="122"/>
      <c r="HP10" s="122"/>
      <c r="HQ10" s="122"/>
      <c r="HR10" s="122"/>
      <c r="HS10" s="122"/>
      <c r="HT10" s="122"/>
      <c r="HU10" s="122"/>
      <c r="HV10" s="122"/>
      <c r="HW10" s="122"/>
      <c r="HX10" s="122"/>
      <c r="HY10" s="133"/>
      <c r="HZ10" s="94" t="str">
        <f t="shared" si="24"/>
        <v/>
      </c>
      <c r="IA10" s="4" t="str">
        <f t="shared" si="24"/>
        <v/>
      </c>
      <c r="IB10" s="4" t="str">
        <f t="shared" si="24"/>
        <v/>
      </c>
      <c r="IC10" s="4" t="str">
        <f t="shared" si="24"/>
        <v/>
      </c>
      <c r="ID10" s="4" t="str">
        <f t="shared" si="24"/>
        <v/>
      </c>
      <c r="IE10" s="4" t="str">
        <f t="shared" si="24"/>
        <v/>
      </c>
      <c r="IF10" s="4" t="str">
        <f t="shared" si="24"/>
        <v/>
      </c>
      <c r="IG10" s="4" t="str">
        <f t="shared" si="24"/>
        <v/>
      </c>
      <c r="IH10" s="4" t="str">
        <f t="shared" si="24"/>
        <v/>
      </c>
      <c r="II10" s="4" t="str">
        <f t="shared" si="24"/>
        <v/>
      </c>
      <c r="IJ10" s="4" t="str">
        <f t="shared" si="25"/>
        <v/>
      </c>
      <c r="IK10" s="4" t="str">
        <f t="shared" si="25"/>
        <v/>
      </c>
      <c r="IL10" s="4" t="str">
        <f t="shared" si="25"/>
        <v/>
      </c>
      <c r="IM10" s="4" t="str">
        <f t="shared" si="25"/>
        <v/>
      </c>
      <c r="IN10" s="4" t="str">
        <f t="shared" si="25"/>
        <v/>
      </c>
      <c r="IO10" s="4" t="str">
        <f t="shared" si="25"/>
        <v/>
      </c>
      <c r="IP10" s="4" t="str">
        <f t="shared" si="25"/>
        <v/>
      </c>
      <c r="IQ10" s="4" t="str">
        <f t="shared" si="25"/>
        <v/>
      </c>
      <c r="IR10" s="4" t="str">
        <f t="shared" si="25"/>
        <v/>
      </c>
      <c r="IS10" s="4" t="str">
        <f t="shared" si="25"/>
        <v/>
      </c>
      <c r="IT10" s="4" t="str">
        <f t="shared" si="26"/>
        <v/>
      </c>
      <c r="IU10" s="4" t="str">
        <f t="shared" si="26"/>
        <v/>
      </c>
      <c r="IV10" s="4" t="str">
        <f t="shared" si="26"/>
        <v/>
      </c>
      <c r="IW10" s="4" t="str">
        <f t="shared" si="26"/>
        <v/>
      </c>
      <c r="IX10" s="4" t="str">
        <f t="shared" si="26"/>
        <v/>
      </c>
      <c r="IY10" s="4" t="str">
        <f t="shared" si="26"/>
        <v/>
      </c>
      <c r="IZ10" s="4" t="str">
        <f t="shared" si="26"/>
        <v/>
      </c>
      <c r="JA10" s="4" t="str">
        <f t="shared" si="26"/>
        <v/>
      </c>
      <c r="JB10" s="4" t="str">
        <f t="shared" si="26"/>
        <v/>
      </c>
      <c r="JC10" s="4" t="str">
        <f t="shared" si="26"/>
        <v/>
      </c>
      <c r="JD10" s="4" t="str">
        <f t="shared" si="27"/>
        <v/>
      </c>
      <c r="JE10" s="129" t="str">
        <f t="shared" si="27"/>
        <v/>
      </c>
      <c r="JF10" s="122" t="str">
        <f t="shared" si="27"/>
        <v/>
      </c>
      <c r="JG10" s="122" t="str">
        <f t="shared" si="27"/>
        <v/>
      </c>
      <c r="JH10" s="122" t="str">
        <f t="shared" si="27"/>
        <v/>
      </c>
      <c r="JI10" s="122" t="str">
        <f t="shared" si="27"/>
        <v/>
      </c>
      <c r="JJ10" s="122" t="str">
        <f t="shared" si="27"/>
        <v/>
      </c>
      <c r="JK10" s="122" t="str">
        <f t="shared" si="27"/>
        <v/>
      </c>
      <c r="JL10" s="122" t="str">
        <f t="shared" si="27"/>
        <v/>
      </c>
      <c r="JM10" s="122" t="str">
        <f t="shared" si="27"/>
        <v/>
      </c>
      <c r="JN10" s="122" t="str">
        <f t="shared" si="28"/>
        <v/>
      </c>
      <c r="JO10" s="122" t="str">
        <f t="shared" si="28"/>
        <v/>
      </c>
      <c r="JP10" s="122" t="str">
        <f t="shared" si="28"/>
        <v/>
      </c>
      <c r="JQ10" s="122" t="str">
        <f t="shared" si="28"/>
        <v/>
      </c>
      <c r="JR10" s="122" t="str">
        <f t="shared" si="28"/>
        <v/>
      </c>
      <c r="JS10" s="122" t="str">
        <f t="shared" si="28"/>
        <v/>
      </c>
      <c r="JT10" s="122" t="str">
        <f t="shared" si="28"/>
        <v/>
      </c>
      <c r="JU10" s="133" t="str">
        <f t="shared" si="28"/>
        <v/>
      </c>
      <c r="JV10" s="94" t="str">
        <f t="shared" si="29"/>
        <v/>
      </c>
      <c r="JW10" s="4" t="str">
        <f t="shared" si="29"/>
        <v/>
      </c>
      <c r="JX10" s="4" t="str">
        <f t="shared" si="29"/>
        <v/>
      </c>
      <c r="JY10" s="4" t="str">
        <f t="shared" si="29"/>
        <v/>
      </c>
      <c r="JZ10" s="4" t="str">
        <f t="shared" si="29"/>
        <v/>
      </c>
      <c r="KA10" s="4" t="str">
        <f t="shared" si="29"/>
        <v/>
      </c>
      <c r="KB10" s="4" t="str">
        <f t="shared" si="29"/>
        <v/>
      </c>
      <c r="KC10" s="4" t="str">
        <f t="shared" si="29"/>
        <v/>
      </c>
      <c r="KD10" s="4" t="str">
        <f t="shared" si="29"/>
        <v/>
      </c>
      <c r="KE10" s="4" t="str">
        <f t="shared" si="29"/>
        <v/>
      </c>
      <c r="KF10" s="4" t="str">
        <f t="shared" si="29"/>
        <v/>
      </c>
      <c r="KG10" s="4" t="str">
        <f t="shared" si="29"/>
        <v/>
      </c>
      <c r="KH10" s="4" t="str">
        <f t="shared" si="29"/>
        <v/>
      </c>
      <c r="KI10" s="4" t="str">
        <f t="shared" si="29"/>
        <v/>
      </c>
      <c r="KJ10" s="4" t="str">
        <f t="shared" si="29"/>
        <v/>
      </c>
      <c r="KK10" s="4" t="str">
        <f t="shared" si="29"/>
        <v/>
      </c>
      <c r="KL10" s="4" t="str">
        <f t="shared" si="29"/>
        <v/>
      </c>
      <c r="KM10" s="4" t="str">
        <f t="shared" si="29"/>
        <v/>
      </c>
      <c r="KN10" s="4" t="str">
        <f t="shared" si="29"/>
        <v/>
      </c>
      <c r="KO10" s="4" t="str">
        <f t="shared" si="29"/>
        <v/>
      </c>
      <c r="KP10" s="4" t="str">
        <f t="shared" si="29"/>
        <v/>
      </c>
      <c r="KQ10" s="4" t="str">
        <f t="shared" si="29"/>
        <v/>
      </c>
      <c r="KR10" s="4" t="str">
        <f t="shared" si="29"/>
        <v/>
      </c>
      <c r="KS10" s="4" t="str">
        <f t="shared" si="29"/>
        <v/>
      </c>
      <c r="KT10" s="4" t="str">
        <f t="shared" si="29"/>
        <v/>
      </c>
      <c r="KU10" s="4" t="str">
        <f t="shared" si="29"/>
        <v/>
      </c>
      <c r="KV10" s="4" t="str">
        <f t="shared" si="29"/>
        <v/>
      </c>
      <c r="KW10" s="4" t="str">
        <f t="shared" si="29"/>
        <v/>
      </c>
      <c r="KX10" s="4" t="str">
        <f t="shared" si="29"/>
        <v/>
      </c>
      <c r="KY10" s="4" t="str">
        <f t="shared" si="29"/>
        <v/>
      </c>
      <c r="KZ10" s="4" t="str">
        <f t="shared" si="29"/>
        <v/>
      </c>
      <c r="LA10" s="4" t="str">
        <f t="shared" si="29"/>
        <v/>
      </c>
      <c r="LB10" s="4" t="str">
        <f t="shared" si="29"/>
        <v/>
      </c>
      <c r="LC10" s="4" t="str">
        <f t="shared" si="29"/>
        <v/>
      </c>
      <c r="LD10" s="4" t="str">
        <f t="shared" si="29"/>
        <v/>
      </c>
      <c r="LE10" s="4" t="str">
        <f t="shared" si="29"/>
        <v/>
      </c>
      <c r="LF10" s="4" t="str">
        <f t="shared" si="29"/>
        <v/>
      </c>
      <c r="LG10" s="4" t="str">
        <f t="shared" si="29"/>
        <v/>
      </c>
      <c r="LH10" s="4" t="str">
        <f t="shared" si="29"/>
        <v/>
      </c>
      <c r="LI10" s="4" t="str">
        <f t="shared" si="29"/>
        <v/>
      </c>
      <c r="LJ10" s="4" t="str">
        <f t="shared" si="29"/>
        <v/>
      </c>
      <c r="LK10" s="4" t="str">
        <f t="shared" si="29"/>
        <v/>
      </c>
      <c r="LL10" s="4" t="str">
        <f t="shared" si="29"/>
        <v/>
      </c>
      <c r="LM10" s="4" t="str">
        <f t="shared" si="29"/>
        <v/>
      </c>
      <c r="LN10" s="4" t="str">
        <f t="shared" si="29"/>
        <v/>
      </c>
      <c r="LO10" s="4" t="str">
        <f t="shared" si="29"/>
        <v/>
      </c>
      <c r="LP10" s="4" t="str">
        <f t="shared" si="29"/>
        <v/>
      </c>
      <c r="LQ10" s="4" t="str">
        <f t="shared" si="29"/>
        <v/>
      </c>
      <c r="LR10" s="4" t="str">
        <f t="shared" si="30"/>
        <v/>
      </c>
      <c r="LS10" s="4" t="str">
        <f t="shared" si="30"/>
        <v/>
      </c>
      <c r="LT10" s="4" t="str">
        <f t="shared" si="31"/>
        <v/>
      </c>
      <c r="LU10" s="4">
        <f t="shared" si="32"/>
        <v>0</v>
      </c>
    </row>
    <row r="11" spans="1:336" s="48" customFormat="1" ht="26.25" customHeight="1" x14ac:dyDescent="0.2">
      <c r="A11" s="35">
        <v>41374</v>
      </c>
      <c r="B11" s="36" t="s">
        <v>150</v>
      </c>
      <c r="C11" s="36" t="s">
        <v>48</v>
      </c>
      <c r="D11" s="31" t="s">
        <v>111</v>
      </c>
      <c r="E11" s="4">
        <v>22</v>
      </c>
      <c r="F11" s="3">
        <v>33227</v>
      </c>
      <c r="G11" s="4" t="s">
        <v>87</v>
      </c>
      <c r="H11" s="4" t="s">
        <v>108</v>
      </c>
      <c r="I11" s="4">
        <v>1836229</v>
      </c>
      <c r="J11" s="33">
        <v>-0.5</v>
      </c>
      <c r="K11" s="33">
        <v>-0.46</v>
      </c>
      <c r="L11" s="33"/>
      <c r="M11" s="136">
        <v>41361</v>
      </c>
      <c r="N11" s="67" t="s">
        <v>91</v>
      </c>
      <c r="O11" s="67"/>
      <c r="P11" s="4"/>
      <c r="Q11" s="4"/>
      <c r="R11" s="4">
        <v>11</v>
      </c>
      <c r="S11" s="4">
        <v>543</v>
      </c>
      <c r="T11" s="4"/>
      <c r="U11" s="4"/>
      <c r="V11" s="4"/>
      <c r="W11" s="4"/>
      <c r="X11" s="4"/>
      <c r="Y11" s="4"/>
      <c r="Z11" s="4"/>
      <c r="AA11" s="4"/>
      <c r="AB11" s="4">
        <v>1</v>
      </c>
      <c r="AC11" s="4" t="b">
        <f>IF(AND(ISNUMBER(SK),SK&gt;0),TRUE,FALSE)</f>
        <v>0</v>
      </c>
      <c r="AD11" s="54" t="s">
        <v>299</v>
      </c>
      <c r="AE11" s="32">
        <v>41526</v>
      </c>
      <c r="AF11" s="60"/>
      <c r="AG11" s="67">
        <v>-0.75</v>
      </c>
      <c r="AH11" s="67">
        <v>1</v>
      </c>
      <c r="AI11" s="4">
        <v>95</v>
      </c>
      <c r="AJ11" s="4">
        <v>25</v>
      </c>
      <c r="AK11" s="4">
        <v>15</v>
      </c>
      <c r="AL11" s="4">
        <v>504</v>
      </c>
      <c r="AM11" s="4">
        <v>1618</v>
      </c>
      <c r="AN11" s="4"/>
      <c r="AO11" s="4"/>
      <c r="AP11" s="4"/>
      <c r="AQ11" s="4"/>
      <c r="AR11" s="4"/>
      <c r="AS11" s="4"/>
      <c r="AT11" s="4">
        <f>IF(ISNUMBER(AG11),AG11+0.5*AH11,"")</f>
        <v>-0.25</v>
      </c>
      <c r="AU11" s="4">
        <f>IF(ISNUMBER(AT11),IF(ISNUMBER(K11),AT11-K11,"MISSING"),"")</f>
        <v>0.21000000000000002</v>
      </c>
      <c r="AV11" s="4">
        <f>IF(AND(ISNUMBER(AL11),ISNUMBER(S11)),AL11-S11,IF(ISNUMBER(AL11),"MISSING",""))</f>
        <v>-39</v>
      </c>
      <c r="AW11" s="51" t="s">
        <v>505</v>
      </c>
      <c r="AX11" s="56"/>
      <c r="AY11" s="67"/>
      <c r="AZ11" s="67"/>
      <c r="BA11" s="4"/>
      <c r="BB11" s="4"/>
      <c r="BC11" s="4"/>
      <c r="BD11" s="4"/>
      <c r="BE11" s="4"/>
      <c r="BF11" s="4"/>
      <c r="BG11" s="4"/>
      <c r="BH11" s="4"/>
      <c r="BI11" s="4"/>
      <c r="BJ11" s="4"/>
      <c r="BK11" s="4"/>
      <c r="BL11" s="4" t="str">
        <f>IF(ISNUMBER(AY11),AY11+0.5*AZ11,"")</f>
        <v/>
      </c>
      <c r="BM11" s="4" t="str">
        <f>IF(ISNUMBER(BL11),IF(ISNUMBER($K11),BL11-$K11,"MISSING"),"")</f>
        <v/>
      </c>
      <c r="BN11" s="4" t="str">
        <f>IF(AND(ISNUMBER(BD11),ISNUMBER($S11)),BD11-$S11,IF(ISNUMBER(BD11),"MISSING",""))</f>
        <v/>
      </c>
      <c r="BO11" s="4">
        <f>IF(AND(ISBLANK($AG11),ISBLANK($AY11)),0,1)</f>
        <v>1</v>
      </c>
      <c r="BP11" s="4">
        <f>IF(AND(ISNUMBER($AG11),ISNUMBER($AY11)),1,0)</f>
        <v>0</v>
      </c>
      <c r="BQ11" s="4" t="str">
        <f>IF(BP11,SE_PREOP,"")</f>
        <v/>
      </c>
      <c r="BR11" s="4" t="str">
        <f>IF(FU_6_AND_12,SE_6,"")</f>
        <v/>
      </c>
      <c r="BS11" s="4" t="str">
        <f>IF(FU_6_AND_12,SE_12,"")</f>
        <v/>
      </c>
      <c r="BT11" s="53">
        <f>IF(AND(ISNUMBER(AW11),ISNUMBER(AY11)),AW11-A11,IF(ISNUMBER(AE11),AE11-A11,0))</f>
        <v>152</v>
      </c>
      <c r="BU11" s="55">
        <f>IF(BT11&gt;0,BT11/30,"")</f>
        <v>5.0666666666666664</v>
      </c>
      <c r="BV11" s="4" t="str">
        <f>IF(AND(ISNUMBER(AT11),ISNUMBER(BL11)),(BL11-AT11),"")</f>
        <v/>
      </c>
      <c r="BW11" s="4" t="str">
        <f>IF(AND(ISNUMBER(AR11), ISNUMBER(X11)), AVERAGE(AR11,AP11)-AVERAGE(X11,Z11),"")</f>
        <v/>
      </c>
      <c r="BX11" s="4" t="str">
        <f>IF(AND(ISNUMBER(BH11), ISNUMBER(X11)), AVERAGE(BH11,BJ11)-AVERAGE(X11,Z11),"")</f>
        <v/>
      </c>
      <c r="BY11" s="4" t="str">
        <f>IF(ISNUMBER(BX11),BX11,IF(ISNUMBER(BW11),BW11,""))</f>
        <v/>
      </c>
      <c r="BZ11" s="4" t="str">
        <f>IF(AND(ISNUMBER(SPH_PREOP),ISNUMBER(SE_LAST_)),SPH_PREOP+CYL_PREOP/2,"")</f>
        <v/>
      </c>
      <c r="CA11" s="4" t="str">
        <f>IF(ISNUMBER(SE_12),SE_12,IF(ISNUMBER(SE_6),SE_6,""))</f>
        <v/>
      </c>
      <c r="CB11" s="104" t="str">
        <f>IF(AND(ISNUMBER(SE_LAST_),ISNUMBER(REF_TARGET)),SE_LAST_-REF_TARGET,"")</f>
        <v/>
      </c>
      <c r="CC11" s="94">
        <f>IF(ISNUMBER(S11),IF(ISNUMBER(BD11),BD11-S11,IF(ISNUMBER(AL11),AL11-S11,"")),"")</f>
        <v>-39</v>
      </c>
      <c r="CD11" s="4" t="str">
        <f>IF(ISNUMBER(T11),IF(ISNUMBER(AN11),AN11-T11,IF(ISNUMBER(BF11),BF11-T11,"")),"")</f>
        <v/>
      </c>
      <c r="CE11" s="107" t="str">
        <f>IF(ISNUMBER(LAST_SE_ERROR),REF_TARGET,"")</f>
        <v/>
      </c>
      <c r="CF11" s="107" t="str">
        <f>IF(AND(OR(ISNUMBER(BB11),ISNUMBER(AJ11)),ISNUMBER(Q11)),-LOG(20/Q11)--LOG(20/IF(ISNUMBER(BB11),BB11,AJ11)),"")</f>
        <v/>
      </c>
      <c r="CG11" s="139">
        <f>IF(ISNUMBER(AZ11),AZ11,IF(ISNUMBER(AH11),AH11,""))</f>
        <v>1</v>
      </c>
      <c r="CH11" s="139" t="str">
        <f>IF(AND(ISNUMBER(CG11),ISNUMBER(O11)),CG11-O11,"")</f>
        <v/>
      </c>
      <c r="CI11" s="149" t="str">
        <f>IF(ISNUMBER(BCVA_12),BCVA_12,IF(ISNUMBER(BCVA_6),BCVA_6,""))</f>
        <v/>
      </c>
      <c r="CJ11" s="149" t="str">
        <f>IF(ISNUMBER(CI11),PREOP_BCVA,"")</f>
        <v/>
      </c>
      <c r="CK11" s="148" t="str">
        <f>IF(AND(REF_TARGET&lt;=0,REF_TARGET&gt;-1),IF(ISNUMBER(UDVA_12),UDVA_12,IF(ISNUMBER(UDVA_6),UDVA_6,"")),"")</f>
        <v/>
      </c>
      <c r="CL11" s="107">
        <f>IF(ISNUMBER($CP11),IF(ISNUMBER($AG11),IF(ISNUMBER($EK11),0,1),""),"")</f>
        <v>1</v>
      </c>
      <c r="CM11" s="107" t="str">
        <f>IF(ISNUMBER($CP11),IF(ISNUMBER($AY11),IF(ISNUMBER($GG11),0,1),""),"")</f>
        <v/>
      </c>
      <c r="CN11" s="107" t="str">
        <f>IF(OR(ISNUMBER(MISSING_PENT_6),ISNUMBER(MISSING_PENT_12)),AND(MISSING_PENT_6,MISSING_PENT_12),"")</f>
        <v/>
      </c>
      <c r="CO11" s="142">
        <v>7.85</v>
      </c>
      <c r="CP11" s="4">
        <v>7.54</v>
      </c>
      <c r="CQ11" s="4">
        <v>3.6</v>
      </c>
      <c r="CR11" s="4">
        <v>-1.7</v>
      </c>
      <c r="CS11" s="4">
        <v>0.69</v>
      </c>
      <c r="CT11" s="4">
        <v>0.78</v>
      </c>
      <c r="CU11" s="4">
        <v>2.71</v>
      </c>
      <c r="CV11" s="4">
        <v>3.27</v>
      </c>
      <c r="CW11" s="4">
        <v>561</v>
      </c>
      <c r="CX11" s="4">
        <v>560</v>
      </c>
      <c r="CY11" s="4">
        <v>657</v>
      </c>
      <c r="CZ11" s="4">
        <v>605</v>
      </c>
      <c r="DA11" s="4">
        <v>633</v>
      </c>
      <c r="DB11" s="4">
        <v>578</v>
      </c>
      <c r="DC11" s="4">
        <v>559</v>
      </c>
      <c r="DD11" s="4">
        <v>-0.22</v>
      </c>
      <c r="DE11" s="4">
        <v>0.57999999999999996</v>
      </c>
      <c r="DF11" s="4">
        <v>7.69</v>
      </c>
      <c r="DG11" s="4">
        <v>7.72</v>
      </c>
      <c r="DH11" s="4">
        <v>7.86</v>
      </c>
      <c r="DI11" s="4">
        <v>8.17</v>
      </c>
      <c r="DJ11" s="4">
        <v>8.6</v>
      </c>
      <c r="DK11" s="4">
        <v>9.15</v>
      </c>
      <c r="DL11" s="4">
        <v>9.5500000000000007</v>
      </c>
      <c r="DM11" s="4">
        <v>0.8</v>
      </c>
      <c r="DN11" s="4">
        <v>6.81</v>
      </c>
      <c r="DO11" s="4">
        <v>6.61</v>
      </c>
      <c r="DP11" s="4">
        <v>6.58</v>
      </c>
      <c r="DQ11" s="4">
        <v>6.94</v>
      </c>
      <c r="DR11" s="4">
        <v>7.57</v>
      </c>
      <c r="DS11" s="4">
        <v>8.19</v>
      </c>
      <c r="DT11" s="4">
        <v>0</v>
      </c>
      <c r="DU11" s="100">
        <v>0.8</v>
      </c>
      <c r="DV11" s="122"/>
      <c r="DW11" s="122"/>
      <c r="DX11" s="122"/>
      <c r="DY11" s="122"/>
      <c r="DZ11" s="122"/>
      <c r="EA11" s="122"/>
      <c r="EB11" s="122"/>
      <c r="EC11" s="122"/>
      <c r="ED11" s="122"/>
      <c r="EE11" s="122"/>
      <c r="EF11" s="122"/>
      <c r="EG11" s="122"/>
      <c r="EH11" s="122"/>
      <c r="EI11" s="122"/>
      <c r="EJ11" s="126"/>
      <c r="EK11" s="9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97"/>
      <c r="FR11" s="122"/>
      <c r="FS11" s="122"/>
      <c r="FT11" s="122"/>
      <c r="FU11" s="122"/>
      <c r="FV11" s="122"/>
      <c r="FW11" s="122"/>
      <c r="FX11" s="122"/>
      <c r="FY11" s="122"/>
      <c r="FZ11" s="122"/>
      <c r="GA11" s="122"/>
      <c r="GB11" s="122"/>
      <c r="GC11" s="122"/>
      <c r="GD11" s="122"/>
      <c r="GE11" s="122"/>
      <c r="GF11" s="131"/>
      <c r="GG11" s="9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104"/>
      <c r="HN11" s="122"/>
      <c r="HO11" s="122"/>
      <c r="HP11" s="122"/>
      <c r="HQ11" s="122"/>
      <c r="HR11" s="122"/>
      <c r="HS11" s="122"/>
      <c r="HT11" s="122"/>
      <c r="HU11" s="122"/>
      <c r="HV11" s="122"/>
      <c r="HW11" s="122"/>
      <c r="HX11" s="122"/>
      <c r="HY11" s="122"/>
      <c r="HZ11" s="122"/>
      <c r="IA11" s="122"/>
      <c r="IB11" s="133"/>
      <c r="IC11" s="94" t="str">
        <f t="shared" ref="IC11:JX11" si="34">IF(ISNUMBER(GG11),GG11,IF(ISNUMBER(EK11),EK11,""))</f>
        <v/>
      </c>
      <c r="ID11" s="4" t="str">
        <f t="shared" si="34"/>
        <v/>
      </c>
      <c r="IE11" s="4" t="str">
        <f t="shared" si="34"/>
        <v/>
      </c>
      <c r="IF11" s="4" t="str">
        <f t="shared" si="34"/>
        <v/>
      </c>
      <c r="IG11" s="4" t="str">
        <f t="shared" si="34"/>
        <v/>
      </c>
      <c r="IH11" s="4" t="str">
        <f t="shared" si="34"/>
        <v/>
      </c>
      <c r="II11" s="4" t="str">
        <f t="shared" si="34"/>
        <v/>
      </c>
      <c r="IJ11" s="4" t="str">
        <f t="shared" si="34"/>
        <v/>
      </c>
      <c r="IK11" s="4" t="str">
        <f t="shared" si="34"/>
        <v/>
      </c>
      <c r="IL11" s="4" t="str">
        <f t="shared" si="34"/>
        <v/>
      </c>
      <c r="IM11" s="4" t="str">
        <f t="shared" si="34"/>
        <v/>
      </c>
      <c r="IN11" s="4" t="str">
        <f t="shared" si="34"/>
        <v/>
      </c>
      <c r="IO11" s="4" t="str">
        <f t="shared" si="34"/>
        <v/>
      </c>
      <c r="IP11" s="4" t="str">
        <f t="shared" si="34"/>
        <v/>
      </c>
      <c r="IQ11" s="4" t="str">
        <f t="shared" si="34"/>
        <v/>
      </c>
      <c r="IR11" s="4" t="str">
        <f t="shared" si="34"/>
        <v/>
      </c>
      <c r="IS11" s="4" t="str">
        <f t="shared" si="34"/>
        <v/>
      </c>
      <c r="IT11" s="4" t="str">
        <f t="shared" si="34"/>
        <v/>
      </c>
      <c r="IU11" s="4" t="str">
        <f t="shared" si="34"/>
        <v/>
      </c>
      <c r="IV11" s="4" t="str">
        <f t="shared" si="34"/>
        <v/>
      </c>
      <c r="IW11" s="4" t="str">
        <f t="shared" si="34"/>
        <v/>
      </c>
      <c r="IX11" s="4" t="str">
        <f t="shared" si="34"/>
        <v/>
      </c>
      <c r="IY11" s="4" t="str">
        <f t="shared" si="34"/>
        <v/>
      </c>
      <c r="IZ11" s="4" t="str">
        <f t="shared" si="34"/>
        <v/>
      </c>
      <c r="JA11" s="4" t="str">
        <f t="shared" si="34"/>
        <v/>
      </c>
      <c r="JB11" s="4" t="str">
        <f t="shared" si="34"/>
        <v/>
      </c>
      <c r="JC11" s="4" t="str">
        <f t="shared" si="34"/>
        <v/>
      </c>
      <c r="JD11" s="4" t="str">
        <f t="shared" si="34"/>
        <v/>
      </c>
      <c r="JE11" s="4" t="str">
        <f t="shared" si="34"/>
        <v/>
      </c>
      <c r="JF11" s="4" t="str">
        <f t="shared" si="34"/>
        <v/>
      </c>
      <c r="JG11" s="4" t="str">
        <f t="shared" si="34"/>
        <v/>
      </c>
      <c r="JH11" s="129" t="str">
        <f t="shared" si="34"/>
        <v/>
      </c>
      <c r="JI11" s="122" t="str">
        <f t="shared" si="34"/>
        <v/>
      </c>
      <c r="JJ11" s="122" t="str">
        <f t="shared" si="34"/>
        <v/>
      </c>
      <c r="JK11" s="122" t="str">
        <f t="shared" si="34"/>
        <v/>
      </c>
      <c r="JL11" s="122" t="str">
        <f t="shared" si="34"/>
        <v/>
      </c>
      <c r="JM11" s="122" t="str">
        <f t="shared" si="34"/>
        <v/>
      </c>
      <c r="JN11" s="122" t="str">
        <f t="shared" si="34"/>
        <v/>
      </c>
      <c r="JO11" s="122" t="str">
        <f t="shared" si="34"/>
        <v/>
      </c>
      <c r="JP11" s="122" t="str">
        <f t="shared" si="34"/>
        <v/>
      </c>
      <c r="JQ11" s="122" t="str">
        <f t="shared" si="34"/>
        <v/>
      </c>
      <c r="JR11" s="122" t="str">
        <f t="shared" si="34"/>
        <v/>
      </c>
      <c r="JS11" s="122" t="str">
        <f t="shared" si="34"/>
        <v/>
      </c>
      <c r="JT11" s="122" t="str">
        <f t="shared" si="34"/>
        <v/>
      </c>
      <c r="JU11" s="122" t="str">
        <f t="shared" si="34"/>
        <v/>
      </c>
      <c r="JV11" s="122" t="str">
        <f t="shared" si="34"/>
        <v/>
      </c>
      <c r="JW11" s="122" t="str">
        <f t="shared" si="34"/>
        <v/>
      </c>
      <c r="JX11" s="133" t="str">
        <f t="shared" si="34"/>
        <v/>
      </c>
      <c r="JY11" s="94" t="str">
        <f t="shared" ref="JY11:LT11" si="35">IF(AND(ISNUMBER(IC11),ISNUMBER(CO11)),IC11-CO11,"")</f>
        <v/>
      </c>
      <c r="JZ11" s="4" t="str">
        <f t="shared" si="35"/>
        <v/>
      </c>
      <c r="KA11" s="4" t="str">
        <f t="shared" si="35"/>
        <v/>
      </c>
      <c r="KB11" s="4" t="str">
        <f t="shared" si="35"/>
        <v/>
      </c>
      <c r="KC11" s="4" t="str">
        <f t="shared" si="35"/>
        <v/>
      </c>
      <c r="KD11" s="4" t="str">
        <f t="shared" si="35"/>
        <v/>
      </c>
      <c r="KE11" s="4" t="str">
        <f t="shared" si="35"/>
        <v/>
      </c>
      <c r="KF11" s="4" t="str">
        <f t="shared" si="35"/>
        <v/>
      </c>
      <c r="KG11" s="4" t="str">
        <f t="shared" si="35"/>
        <v/>
      </c>
      <c r="KH11" s="4" t="str">
        <f t="shared" si="35"/>
        <v/>
      </c>
      <c r="KI11" s="4" t="str">
        <f t="shared" si="35"/>
        <v/>
      </c>
      <c r="KJ11" s="4" t="str">
        <f t="shared" si="35"/>
        <v/>
      </c>
      <c r="KK11" s="4" t="str">
        <f t="shared" si="35"/>
        <v/>
      </c>
      <c r="KL11" s="4" t="str">
        <f t="shared" si="35"/>
        <v/>
      </c>
      <c r="KM11" s="4" t="str">
        <f t="shared" si="35"/>
        <v/>
      </c>
      <c r="KN11" s="4" t="str">
        <f t="shared" si="35"/>
        <v/>
      </c>
      <c r="KO11" s="4" t="str">
        <f t="shared" si="35"/>
        <v/>
      </c>
      <c r="KP11" s="4" t="str">
        <f t="shared" si="35"/>
        <v/>
      </c>
      <c r="KQ11" s="4" t="str">
        <f t="shared" si="35"/>
        <v/>
      </c>
      <c r="KR11" s="4" t="str">
        <f t="shared" si="35"/>
        <v/>
      </c>
      <c r="KS11" s="4" t="str">
        <f t="shared" si="35"/>
        <v/>
      </c>
      <c r="KT11" s="4" t="str">
        <f t="shared" si="35"/>
        <v/>
      </c>
      <c r="KU11" s="4" t="str">
        <f t="shared" si="35"/>
        <v/>
      </c>
      <c r="KV11" s="4" t="str">
        <f t="shared" si="35"/>
        <v/>
      </c>
      <c r="KW11" s="4" t="str">
        <f t="shared" si="35"/>
        <v/>
      </c>
      <c r="KX11" s="4" t="str">
        <f t="shared" si="35"/>
        <v/>
      </c>
      <c r="KY11" s="4" t="str">
        <f t="shared" si="35"/>
        <v/>
      </c>
      <c r="KZ11" s="4" t="str">
        <f t="shared" si="35"/>
        <v/>
      </c>
      <c r="LA11" s="4" t="str">
        <f t="shared" si="35"/>
        <v/>
      </c>
      <c r="LB11" s="4" t="str">
        <f t="shared" si="35"/>
        <v/>
      </c>
      <c r="LC11" s="4" t="str">
        <f t="shared" si="35"/>
        <v/>
      </c>
      <c r="LD11" s="4" t="str">
        <f t="shared" si="35"/>
        <v/>
      </c>
      <c r="LE11" s="4" t="str">
        <f t="shared" si="35"/>
        <v/>
      </c>
      <c r="LF11" s="4" t="str">
        <f t="shared" si="35"/>
        <v/>
      </c>
      <c r="LG11" s="4" t="str">
        <f t="shared" si="35"/>
        <v/>
      </c>
      <c r="LH11" s="4" t="str">
        <f t="shared" si="35"/>
        <v/>
      </c>
      <c r="LI11" s="4" t="str">
        <f t="shared" si="35"/>
        <v/>
      </c>
      <c r="LJ11" s="4" t="str">
        <f t="shared" si="35"/>
        <v/>
      </c>
      <c r="LK11" s="4" t="str">
        <f t="shared" si="35"/>
        <v/>
      </c>
      <c r="LL11" s="4" t="str">
        <f t="shared" si="35"/>
        <v/>
      </c>
      <c r="LM11" s="4" t="str">
        <f t="shared" si="35"/>
        <v/>
      </c>
      <c r="LN11" s="4" t="str">
        <f t="shared" si="35"/>
        <v/>
      </c>
      <c r="LO11" s="4" t="str">
        <f t="shared" si="35"/>
        <v/>
      </c>
      <c r="LP11" s="4" t="str">
        <f t="shared" si="35"/>
        <v/>
      </c>
      <c r="LQ11" s="4" t="str">
        <f t="shared" si="35"/>
        <v/>
      </c>
      <c r="LR11" s="4" t="str">
        <f t="shared" si="35"/>
        <v/>
      </c>
      <c r="LS11" s="4" t="str">
        <f t="shared" si="35"/>
        <v/>
      </c>
      <c r="LT11" s="4" t="str">
        <f t="shared" si="35"/>
        <v/>
      </c>
      <c r="LU11" s="4" t="str">
        <f>IF(AND(ISNUMBER(HN11),ISNUMBER(FR11)),HN11-FR11,"")</f>
        <v/>
      </c>
      <c r="LV11" s="4" t="str">
        <f>IF(AND(ISNUMBER(HO11),ISNUMBER(FS11)),HO11-FS11,"")</f>
        <v/>
      </c>
      <c r="LW11" s="4" t="str">
        <f>IF(AND(ISNUMBER(HS11),ISNUMBER(FW11)),HS11-FW11,"")</f>
        <v/>
      </c>
      <c r="LX11" s="4">
        <f>HT11-FX11</f>
        <v>0</v>
      </c>
    </row>
  </sheetData>
  <customSheetViews>
    <customSheetView guid="{9D4EC4DC-E305-42C0-86D3-802895C39393}" topLeftCell="I1">
      <selection activeCell="M7" sqref="M7"/>
      <pageMargins left="0.7" right="0.7" top="0.75" bottom="0.75" header="0.3" footer="0.3"/>
    </customSheetView>
    <customSheetView guid="{54C114DD-C157-4E30-91DC-9B94C55E8054}">
      <selection activeCell="J7" sqref="J7:MD7"/>
      <pageMargins left="0.7" right="0.7" top="0.75" bottom="0.75" header="0.3" footer="0.3"/>
    </customSheetView>
  </customSheetViews>
  <phoneticPr fontId="29" type="noConversion"/>
  <conditionalFormatting sqref="AS1">
    <cfRule type="cellIs" dxfId="31" priority="27" stopIfTrue="1" operator="equal">
      <formula>"MISSING"</formula>
    </cfRule>
  </conditionalFormatting>
  <conditionalFormatting sqref="AS2">
    <cfRule type="cellIs" dxfId="30" priority="26" stopIfTrue="1" operator="equal">
      <formula>"MISSING"</formula>
    </cfRule>
  </conditionalFormatting>
  <conditionalFormatting sqref="BJ2">
    <cfRule type="cellIs" dxfId="29" priority="25" stopIfTrue="1" operator="equal">
      <formula>"MISSING"</formula>
    </cfRule>
  </conditionalFormatting>
  <conditionalFormatting sqref="AS3">
    <cfRule type="cellIs" dxfId="28" priority="24" stopIfTrue="1" operator="equal">
      <formula>"MISSING"</formula>
    </cfRule>
  </conditionalFormatting>
  <conditionalFormatting sqref="BJ3">
    <cfRule type="cellIs" dxfId="27" priority="23" stopIfTrue="1" operator="equal">
      <formula>"MISSING"</formula>
    </cfRule>
  </conditionalFormatting>
  <conditionalFormatting sqref="AS4">
    <cfRule type="cellIs" dxfId="26" priority="22" stopIfTrue="1" operator="equal">
      <formula>"MISSING"</formula>
    </cfRule>
  </conditionalFormatting>
  <conditionalFormatting sqref="BJ4">
    <cfRule type="cellIs" dxfId="25" priority="21" stopIfTrue="1" operator="equal">
      <formula>"MISSING"</formula>
    </cfRule>
  </conditionalFormatting>
  <conditionalFormatting sqref="AC5">
    <cfRule type="expression" dxfId="24" priority="17">
      <formula>(TODAY()-$A5)&gt;6*30</formula>
    </cfRule>
  </conditionalFormatting>
  <conditionalFormatting sqref="AS5">
    <cfRule type="cellIs" dxfId="23" priority="20" stopIfTrue="1" operator="equal">
      <formula>"MISSING"</formula>
    </cfRule>
  </conditionalFormatting>
  <conditionalFormatting sqref="BJ5">
    <cfRule type="cellIs" dxfId="22" priority="19" stopIfTrue="1" operator="equal">
      <formula>"MISSING"</formula>
    </cfRule>
  </conditionalFormatting>
  <conditionalFormatting sqref="AT5">
    <cfRule type="expression" dxfId="21" priority="18">
      <formula>(TODAY()-$A5)&gt;9*30</formula>
    </cfRule>
  </conditionalFormatting>
  <conditionalFormatting sqref="BM6">
    <cfRule type="cellIs" dxfId="20" priority="8" stopIfTrue="1" operator="equal">
      <formula>"MISSING"</formula>
    </cfRule>
  </conditionalFormatting>
  <conditionalFormatting sqref="AT6:AU6">
    <cfRule type="cellIs" dxfId="19" priority="16" stopIfTrue="1" operator="equal">
      <formula>"MISSING"</formula>
    </cfRule>
  </conditionalFormatting>
  <conditionalFormatting sqref="BL6">
    <cfRule type="cellIs" dxfId="18" priority="15" stopIfTrue="1" operator="equal">
      <formula>"MISSING"</formula>
    </cfRule>
  </conditionalFormatting>
  <conditionalFormatting sqref="AV6">
    <cfRule type="expression" dxfId="17" priority="14">
      <formula>(TODAY()-$A6)&gt;9*30</formula>
    </cfRule>
  </conditionalFormatting>
  <conditionalFormatting sqref="AD6">
    <cfRule type="expression" dxfId="16" priority="13">
      <formula>AND((TODAY()-$A6)&gt;6*30,(TODAY()-$A6)&lt;9*30)</formula>
    </cfRule>
  </conditionalFormatting>
  <conditionalFormatting sqref="AV6">
    <cfRule type="expression" dxfId="15" priority="11" stopIfTrue="1">
      <formula>(TODAY()-AV6)&lt;1</formula>
    </cfRule>
    <cfRule type="expression" dxfId="14" priority="12" stopIfTrue="1">
      <formula>AND((AV6&gt;1),(TODAY()-AV6)&gt;1)</formula>
    </cfRule>
  </conditionalFormatting>
  <conditionalFormatting sqref="I6">
    <cfRule type="duplicateValues" dxfId="13" priority="10"/>
  </conditionalFormatting>
  <conditionalFormatting sqref="K6:AB6">
    <cfRule type="containsBlanks" dxfId="12" priority="9">
      <formula>LEN(TRIM(K6))=0</formula>
    </cfRule>
  </conditionalFormatting>
  <conditionalFormatting sqref="AT7:AU7">
    <cfRule type="cellIs" dxfId="11" priority="7" stopIfTrue="1" operator="equal">
      <formula>"MISSING"</formula>
    </cfRule>
  </conditionalFormatting>
  <conditionalFormatting sqref="AD7">
    <cfRule type="expression" dxfId="10" priority="6">
      <formula>AND((TODAY()-$A7)&gt;6*30,(TODAY()-$A7)&lt;9*30)</formula>
    </cfRule>
  </conditionalFormatting>
  <conditionalFormatting sqref="AV7">
    <cfRule type="expression" dxfId="9" priority="4" stopIfTrue="1">
      <formula>(TODAY()-AV7)&lt;1</formula>
    </cfRule>
    <cfRule type="expression" dxfId="8" priority="5" stopIfTrue="1">
      <formula>AND((AV7&gt;1),(TODAY()-AV7)&gt;1)</formula>
    </cfRule>
  </conditionalFormatting>
  <conditionalFormatting sqref="I7">
    <cfRule type="duplicateValues" dxfId="7" priority="3"/>
  </conditionalFormatting>
  <conditionalFormatting sqref="K7:AB7">
    <cfRule type="containsBlanks" dxfId="6" priority="2">
      <formula>LEN(TRIM(K7))=0</formula>
    </cfRule>
  </conditionalFormatting>
  <conditionalFormatting sqref="BM7">
    <cfRule type="cellIs" dxfId="5" priority="1" stopIfTrue="1" operator="equal">
      <formula>"MISSING"</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31"/>
  <sheetViews>
    <sheetView workbookViewId="0">
      <selection activeCell="Q27" sqref="Q27"/>
    </sheetView>
  </sheetViews>
  <sheetFormatPr defaultRowHeight="12.75" x14ac:dyDescent="0.2"/>
  <cols>
    <col min="1" max="1" width="9.140625" style="4"/>
    <col min="2" max="2" width="15.5703125" style="4" customWidth="1"/>
    <col min="3" max="4" width="9.140625" style="4"/>
  </cols>
  <sheetData>
    <row r="1" spans="1:4" ht="51" x14ac:dyDescent="0.2">
      <c r="A1" s="6" t="s">
        <v>68</v>
      </c>
      <c r="B1" s="72" t="s">
        <v>298</v>
      </c>
      <c r="C1" s="13" t="s">
        <v>65</v>
      </c>
      <c r="D1" s="14" t="s">
        <v>58</v>
      </c>
    </row>
    <row r="2" spans="1:4" x14ac:dyDescent="0.2">
      <c r="A2" s="4">
        <v>1835988</v>
      </c>
      <c r="B2" s="4">
        <v>-2.2050000000000001</v>
      </c>
      <c r="C2" s="4">
        <v>656</v>
      </c>
      <c r="D2" s="4">
        <v>24.48</v>
      </c>
    </row>
    <row r="3" spans="1:4" x14ac:dyDescent="0.2">
      <c r="A3" s="4">
        <v>1828136</v>
      </c>
      <c r="B3" s="4">
        <v>-2.1800000000000002</v>
      </c>
      <c r="C3" s="4">
        <v>684</v>
      </c>
      <c r="D3" s="4">
        <v>23.02</v>
      </c>
    </row>
    <row r="4" spans="1:4" x14ac:dyDescent="0.2">
      <c r="A4" s="4">
        <v>1835988</v>
      </c>
      <c r="B4" s="4">
        <v>-2.0499999999999998</v>
      </c>
      <c r="C4" s="4">
        <v>681</v>
      </c>
      <c r="D4" s="4">
        <v>24.34</v>
      </c>
    </row>
    <row r="5" spans="1:4" x14ac:dyDescent="0.2">
      <c r="A5" s="4">
        <v>1835069</v>
      </c>
      <c r="B5" s="4">
        <v>-1.69</v>
      </c>
      <c r="C5" s="4">
        <v>566</v>
      </c>
      <c r="D5" s="4">
        <v>22.5</v>
      </c>
    </row>
    <row r="6" spans="1:4" x14ac:dyDescent="0.2">
      <c r="A6" s="4">
        <v>1827528</v>
      </c>
      <c r="B6" s="4">
        <v>-1.4849999999999999</v>
      </c>
      <c r="C6" s="4">
        <v>516</v>
      </c>
      <c r="D6" s="4">
        <v>22.7</v>
      </c>
    </row>
    <row r="7" spans="1:4" x14ac:dyDescent="0.2">
      <c r="A7" s="4">
        <v>1835069</v>
      </c>
      <c r="B7" s="4">
        <v>-1.1400000000000001</v>
      </c>
      <c r="C7" s="4">
        <v>582</v>
      </c>
      <c r="D7" s="4">
        <v>22.45</v>
      </c>
    </row>
    <row r="8" spans="1:4" x14ac:dyDescent="0.2">
      <c r="A8" s="4">
        <v>1834781</v>
      </c>
      <c r="B8" s="4">
        <v>-1.075</v>
      </c>
      <c r="C8" s="4">
        <v>613</v>
      </c>
      <c r="D8" s="4">
        <v>24.13</v>
      </c>
    </row>
    <row r="9" spans="1:4" x14ac:dyDescent="0.2">
      <c r="A9" s="4">
        <v>1836425</v>
      </c>
      <c r="B9" s="4">
        <v>-1.05</v>
      </c>
    </row>
    <row r="10" spans="1:4" x14ac:dyDescent="0.2">
      <c r="A10" s="36">
        <v>1836165</v>
      </c>
      <c r="B10" s="4">
        <v>-0.88500000000000001</v>
      </c>
      <c r="C10" s="36">
        <v>517</v>
      </c>
      <c r="D10" s="4">
        <v>23.37</v>
      </c>
    </row>
    <row r="11" spans="1:4" x14ac:dyDescent="0.2">
      <c r="A11" s="4">
        <v>1835205</v>
      </c>
      <c r="B11" s="4">
        <v>-0.73</v>
      </c>
      <c r="C11" s="4">
        <v>600</v>
      </c>
      <c r="D11" s="4">
        <v>26.59</v>
      </c>
    </row>
    <row r="12" spans="1:4" x14ac:dyDescent="0.2">
      <c r="A12" s="4">
        <v>1836026</v>
      </c>
      <c r="B12" s="4">
        <v>-0.7200000000000002</v>
      </c>
      <c r="D12" s="4">
        <v>22.25</v>
      </c>
    </row>
    <row r="13" spans="1:4" x14ac:dyDescent="0.2">
      <c r="A13" s="4">
        <v>1835691</v>
      </c>
      <c r="B13" s="4">
        <v>-0.72</v>
      </c>
      <c r="C13" s="4">
        <v>819</v>
      </c>
      <c r="D13" s="4">
        <v>21.48</v>
      </c>
    </row>
    <row r="14" spans="1:4" x14ac:dyDescent="0.2">
      <c r="A14" s="4">
        <v>1836425</v>
      </c>
      <c r="B14" s="4">
        <v>-0.39</v>
      </c>
      <c r="C14" s="4">
        <v>680</v>
      </c>
    </row>
    <row r="15" spans="1:4" x14ac:dyDescent="0.2">
      <c r="A15" s="4">
        <v>1835205</v>
      </c>
      <c r="B15" s="4">
        <v>-0.36500000000000021</v>
      </c>
      <c r="C15" s="4">
        <v>599</v>
      </c>
      <c r="D15" s="4">
        <v>26.53</v>
      </c>
    </row>
    <row r="16" spans="1:4" x14ac:dyDescent="0.2">
      <c r="A16" s="4">
        <v>1835663</v>
      </c>
      <c r="B16" s="4">
        <v>-0.36</v>
      </c>
      <c r="C16" s="4">
        <v>697</v>
      </c>
      <c r="D16" s="4">
        <v>23.83</v>
      </c>
    </row>
    <row r="17" spans="1:4" x14ac:dyDescent="0.2">
      <c r="A17" s="36">
        <v>1834386</v>
      </c>
      <c r="B17" s="4">
        <v>-0.34499999999999997</v>
      </c>
      <c r="C17" s="4">
        <v>569</v>
      </c>
      <c r="D17" s="4">
        <v>24.64</v>
      </c>
    </row>
    <row r="18" spans="1:4" x14ac:dyDescent="0.2">
      <c r="A18" s="4">
        <v>1833733</v>
      </c>
      <c r="B18" s="4">
        <v>-0.28999999999999998</v>
      </c>
    </row>
    <row r="19" spans="1:4" x14ac:dyDescent="0.2">
      <c r="A19" s="4">
        <v>1835959</v>
      </c>
      <c r="B19" s="4">
        <v>-0.22999999999999998</v>
      </c>
      <c r="C19" s="4">
        <v>646</v>
      </c>
      <c r="D19" s="4">
        <v>43.55</v>
      </c>
    </row>
    <row r="20" spans="1:4" x14ac:dyDescent="0.2">
      <c r="A20" s="4">
        <v>1836533</v>
      </c>
      <c r="B20" s="4">
        <v>-0.22999999999999998</v>
      </c>
      <c r="C20" s="4">
        <v>631</v>
      </c>
      <c r="D20" s="4">
        <v>23.74</v>
      </c>
    </row>
    <row r="21" spans="1:4" x14ac:dyDescent="0.2">
      <c r="A21" s="4">
        <v>1835772</v>
      </c>
      <c r="B21" s="4">
        <v>-0.21999999999999997</v>
      </c>
      <c r="D21" s="4">
        <v>25.33</v>
      </c>
    </row>
    <row r="22" spans="1:4" x14ac:dyDescent="0.2">
      <c r="A22" s="4">
        <v>1828136</v>
      </c>
      <c r="B22" s="4">
        <v>-0.20999999999999996</v>
      </c>
      <c r="C22" s="4">
        <v>647</v>
      </c>
      <c r="D22" s="4">
        <v>22.95</v>
      </c>
    </row>
    <row r="23" spans="1:4" x14ac:dyDescent="0.2">
      <c r="A23" s="4">
        <v>1835804</v>
      </c>
      <c r="B23" s="4">
        <v>-0.18000000000000005</v>
      </c>
      <c r="C23" s="4">
        <v>659</v>
      </c>
      <c r="D23" s="4">
        <v>22.64</v>
      </c>
    </row>
    <row r="24" spans="1:4" x14ac:dyDescent="0.2">
      <c r="A24" s="4">
        <v>1836300</v>
      </c>
      <c r="B24" s="4">
        <v>-0.17000000000000004</v>
      </c>
      <c r="C24" s="4">
        <v>594</v>
      </c>
      <c r="D24" s="4">
        <v>24.91</v>
      </c>
    </row>
    <row r="25" spans="1:4" x14ac:dyDescent="0.2">
      <c r="A25" s="4">
        <v>1836315</v>
      </c>
      <c r="B25" s="4">
        <v>-0.1549999999999998</v>
      </c>
      <c r="C25" s="4">
        <v>599</v>
      </c>
      <c r="D25" s="4">
        <v>24.55</v>
      </c>
    </row>
    <row r="26" spans="1:4" x14ac:dyDescent="0.2">
      <c r="A26" s="4">
        <v>1835272</v>
      </c>
      <c r="B26" s="4">
        <v>-0.14500000000000002</v>
      </c>
      <c r="C26" s="4">
        <v>566</v>
      </c>
      <c r="D26" s="4">
        <v>23.34</v>
      </c>
    </row>
    <row r="27" spans="1:4" x14ac:dyDescent="0.2">
      <c r="A27" s="4">
        <v>1831350</v>
      </c>
      <c r="B27" s="4">
        <v>-0.10499999999999998</v>
      </c>
      <c r="C27" s="4">
        <v>644</v>
      </c>
      <c r="D27" s="4">
        <v>23.13</v>
      </c>
    </row>
    <row r="28" spans="1:4" x14ac:dyDescent="0.2">
      <c r="A28" s="4">
        <v>1834124</v>
      </c>
      <c r="B28" s="4">
        <v>-0.10499999999999998</v>
      </c>
      <c r="C28" s="4">
        <v>601</v>
      </c>
    </row>
    <row r="29" spans="1:4" x14ac:dyDescent="0.2">
      <c r="A29" s="4">
        <v>1832258</v>
      </c>
      <c r="B29" s="4">
        <v>-5.0000000000000044E-3</v>
      </c>
      <c r="C29" s="4">
        <v>593</v>
      </c>
      <c r="D29" s="4">
        <v>23.41</v>
      </c>
    </row>
    <row r="30" spans="1:4" x14ac:dyDescent="0.2">
      <c r="A30" s="4">
        <v>1834364</v>
      </c>
      <c r="B30" s="4">
        <v>2.0000000000000018E-2</v>
      </c>
      <c r="C30" s="4">
        <v>589</v>
      </c>
      <c r="D30" s="4">
        <v>25.59</v>
      </c>
    </row>
    <row r="31" spans="1:4" x14ac:dyDescent="0.2">
      <c r="A31" s="4">
        <v>1805730</v>
      </c>
      <c r="B31" s="4">
        <v>5.0000000000000044E-2</v>
      </c>
      <c r="C31" s="4">
        <v>599</v>
      </c>
      <c r="D31" s="4">
        <v>25.07</v>
      </c>
    </row>
    <row r="32" spans="1:4" x14ac:dyDescent="0.2">
      <c r="A32" s="4">
        <v>1835815</v>
      </c>
      <c r="B32" s="4">
        <v>5.0000000000000044E-2</v>
      </c>
      <c r="C32" s="4">
        <v>610</v>
      </c>
      <c r="D32" s="4">
        <v>24.04</v>
      </c>
    </row>
    <row r="33" spans="1:4" x14ac:dyDescent="0.2">
      <c r="A33" s="4">
        <v>1831717</v>
      </c>
      <c r="B33" s="4">
        <v>7.999999999999996E-2</v>
      </c>
      <c r="C33" s="4">
        <v>613</v>
      </c>
      <c r="D33" s="4">
        <v>24.03</v>
      </c>
    </row>
    <row r="34" spans="1:4" x14ac:dyDescent="0.2">
      <c r="A34" s="4">
        <v>1836088</v>
      </c>
      <c r="B34" s="4">
        <v>0.125</v>
      </c>
      <c r="C34" s="4">
        <v>602</v>
      </c>
      <c r="D34" s="4">
        <v>22.38</v>
      </c>
    </row>
    <row r="35" spans="1:4" x14ac:dyDescent="0.2">
      <c r="A35" s="4">
        <v>1836549</v>
      </c>
      <c r="B35" s="4">
        <v>0.15500000000000003</v>
      </c>
      <c r="C35" s="4">
        <v>619</v>
      </c>
      <c r="D35" s="4">
        <v>26.17</v>
      </c>
    </row>
    <row r="36" spans="1:4" x14ac:dyDescent="0.2">
      <c r="A36" s="4">
        <v>1835157</v>
      </c>
      <c r="B36" s="4">
        <v>0.19999999999999996</v>
      </c>
      <c r="C36" s="4">
        <v>684</v>
      </c>
      <c r="D36" s="4">
        <v>24.86</v>
      </c>
    </row>
    <row r="37" spans="1:4" x14ac:dyDescent="0.2">
      <c r="A37" s="4">
        <v>1836229</v>
      </c>
      <c r="B37" s="4">
        <v>0.21000000000000002</v>
      </c>
    </row>
    <row r="38" spans="1:4" x14ac:dyDescent="0.2">
      <c r="A38" s="4">
        <v>1829809</v>
      </c>
      <c r="B38" s="4">
        <v>0.255</v>
      </c>
      <c r="C38" s="4">
        <v>564</v>
      </c>
      <c r="D38" s="4">
        <v>26.78</v>
      </c>
    </row>
    <row r="39" spans="1:4" x14ac:dyDescent="0.2">
      <c r="A39" s="4">
        <v>1824933</v>
      </c>
      <c r="B39" s="4">
        <v>0.33500000000000002</v>
      </c>
      <c r="C39" s="4">
        <v>615</v>
      </c>
      <c r="D39" s="4">
        <v>24.04</v>
      </c>
    </row>
    <row r="40" spans="1:4" x14ac:dyDescent="0.2">
      <c r="A40" s="4">
        <v>1835115</v>
      </c>
      <c r="B40" s="4">
        <v>0.4</v>
      </c>
      <c r="D40" s="4">
        <v>24.64</v>
      </c>
    </row>
    <row r="41" spans="1:4" x14ac:dyDescent="0.2">
      <c r="A41" s="4">
        <v>1828940</v>
      </c>
      <c r="B41" s="4">
        <v>0.42</v>
      </c>
      <c r="C41" s="4">
        <v>553</v>
      </c>
      <c r="D41" s="4">
        <v>23.91</v>
      </c>
    </row>
    <row r="42" spans="1:4" x14ac:dyDescent="0.2">
      <c r="A42" s="4">
        <v>1835985</v>
      </c>
      <c r="B42" s="4">
        <v>0.44</v>
      </c>
      <c r="C42" s="4">
        <v>624</v>
      </c>
      <c r="D42" s="4">
        <v>25.29</v>
      </c>
    </row>
    <row r="43" spans="1:4" x14ac:dyDescent="0.2">
      <c r="A43" s="4">
        <v>1835985</v>
      </c>
      <c r="B43" s="4">
        <v>0.46</v>
      </c>
      <c r="C43" s="4">
        <v>656</v>
      </c>
      <c r="D43" s="4">
        <v>24.97</v>
      </c>
    </row>
    <row r="44" spans="1:4" x14ac:dyDescent="0.2">
      <c r="A44" s="4">
        <v>1836414</v>
      </c>
      <c r="B44" s="4">
        <v>0.48499999999999999</v>
      </c>
      <c r="C44" s="4">
        <v>564</v>
      </c>
      <c r="D44" s="4">
        <v>22.83</v>
      </c>
    </row>
    <row r="45" spans="1:4" x14ac:dyDescent="0.2">
      <c r="A45" s="36">
        <v>1835596</v>
      </c>
      <c r="B45" s="4">
        <v>0.59499999999999997</v>
      </c>
      <c r="C45" s="36">
        <v>606</v>
      </c>
      <c r="D45" s="4">
        <v>24.02</v>
      </c>
    </row>
    <row r="46" spans="1:4" x14ac:dyDescent="0.2">
      <c r="A46" s="4">
        <v>1835250</v>
      </c>
      <c r="B46" s="4">
        <v>0.65500000000000003</v>
      </c>
      <c r="C46" s="4">
        <v>580</v>
      </c>
      <c r="D46" s="4">
        <v>22.51</v>
      </c>
    </row>
    <row r="47" spans="1:4" x14ac:dyDescent="0.2">
      <c r="A47" s="4">
        <v>1834076</v>
      </c>
      <c r="B47" s="4">
        <v>0.69499999999999995</v>
      </c>
      <c r="C47" s="4">
        <v>528</v>
      </c>
      <c r="D47" s="4">
        <v>23.65</v>
      </c>
    </row>
    <row r="48" spans="1:4" x14ac:dyDescent="0.2">
      <c r="A48" s="4">
        <v>1836378</v>
      </c>
      <c r="B48" s="73">
        <v>0.71</v>
      </c>
      <c r="C48" s="4">
        <v>589</v>
      </c>
      <c r="D48" s="4">
        <v>23.01</v>
      </c>
    </row>
    <row r="49" spans="1:4" x14ac:dyDescent="0.2">
      <c r="A49" s="4">
        <v>1834099</v>
      </c>
      <c r="B49" s="73">
        <v>0.73</v>
      </c>
      <c r="C49" s="4">
        <v>552</v>
      </c>
      <c r="D49" s="4">
        <v>23.62</v>
      </c>
    </row>
    <row r="50" spans="1:4" x14ac:dyDescent="0.2">
      <c r="A50" s="4">
        <v>1834566</v>
      </c>
      <c r="B50" s="73">
        <v>0.75</v>
      </c>
      <c r="C50" s="4">
        <v>696</v>
      </c>
      <c r="D50" s="4">
        <v>23.04</v>
      </c>
    </row>
    <row r="51" spans="1:4" x14ac:dyDescent="0.2">
      <c r="A51" s="4">
        <v>1835684</v>
      </c>
      <c r="B51" s="4">
        <v>0.76</v>
      </c>
      <c r="C51" s="4">
        <v>522</v>
      </c>
      <c r="D51" s="4">
        <v>25.73</v>
      </c>
    </row>
    <row r="52" spans="1:4" x14ac:dyDescent="0.2">
      <c r="A52" s="4">
        <v>1836088</v>
      </c>
      <c r="B52" s="4">
        <v>0.76</v>
      </c>
      <c r="C52" s="4">
        <v>598</v>
      </c>
      <c r="D52" s="4">
        <v>22.56</v>
      </c>
    </row>
    <row r="53" spans="1:4" x14ac:dyDescent="0.2">
      <c r="A53" s="4">
        <v>1834654</v>
      </c>
      <c r="B53" s="73">
        <v>0.77500000000000002</v>
      </c>
      <c r="C53" s="4">
        <v>637</v>
      </c>
      <c r="D53" s="4">
        <v>26.41</v>
      </c>
    </row>
    <row r="54" spans="1:4" x14ac:dyDescent="0.2">
      <c r="A54" s="4">
        <v>1824311</v>
      </c>
      <c r="B54" s="73">
        <v>0.79500000000000004</v>
      </c>
      <c r="C54" s="4">
        <v>605</v>
      </c>
      <c r="D54" s="4">
        <v>25.32</v>
      </c>
    </row>
    <row r="55" spans="1:4" x14ac:dyDescent="0.2">
      <c r="A55" s="4">
        <v>1832657</v>
      </c>
      <c r="B55" s="4">
        <v>0.81</v>
      </c>
      <c r="C55" s="4">
        <v>564</v>
      </c>
      <c r="D55" s="4">
        <v>22.56</v>
      </c>
    </row>
    <row r="56" spans="1:4" x14ac:dyDescent="0.2">
      <c r="A56" s="4">
        <v>1835958</v>
      </c>
      <c r="B56" s="73">
        <v>0.96499999999999997</v>
      </c>
      <c r="C56" s="4">
        <v>664</v>
      </c>
      <c r="D56" s="4">
        <v>23.46</v>
      </c>
    </row>
    <row r="57" spans="1:4" x14ac:dyDescent="0.2">
      <c r="A57" s="4">
        <v>1827255</v>
      </c>
      <c r="B57" s="4">
        <v>1.01</v>
      </c>
      <c r="C57" s="4">
        <v>664</v>
      </c>
      <c r="D57" s="4">
        <v>23.22</v>
      </c>
    </row>
    <row r="58" spans="1:4" x14ac:dyDescent="0.2">
      <c r="A58" s="4">
        <v>1836590</v>
      </c>
      <c r="B58" s="4">
        <v>1.05</v>
      </c>
      <c r="C58" s="4">
        <v>762</v>
      </c>
      <c r="D58" s="4">
        <v>23.97</v>
      </c>
    </row>
    <row r="59" spans="1:4" x14ac:dyDescent="0.2">
      <c r="A59" s="4">
        <v>1829576</v>
      </c>
      <c r="B59" s="73">
        <v>1.06</v>
      </c>
      <c r="D59" s="4">
        <v>26.19</v>
      </c>
    </row>
    <row r="60" spans="1:4" x14ac:dyDescent="0.2">
      <c r="A60" s="4">
        <v>1836345</v>
      </c>
      <c r="B60" s="4">
        <v>1.08</v>
      </c>
      <c r="C60" s="4">
        <v>645</v>
      </c>
      <c r="D60" s="4">
        <v>25.34</v>
      </c>
    </row>
    <row r="61" spans="1:4" x14ac:dyDescent="0.2">
      <c r="A61" s="4">
        <v>1837142</v>
      </c>
      <c r="B61" s="4">
        <v>1.08</v>
      </c>
      <c r="C61" s="4">
        <v>543</v>
      </c>
      <c r="D61" s="4">
        <v>22.91</v>
      </c>
    </row>
    <row r="62" spans="1:4" x14ac:dyDescent="0.2">
      <c r="A62" s="4">
        <v>1836414</v>
      </c>
      <c r="B62" s="4">
        <v>1.165</v>
      </c>
      <c r="C62" s="4">
        <v>583</v>
      </c>
      <c r="D62" s="4">
        <v>22.9</v>
      </c>
    </row>
    <row r="63" spans="1:4" x14ac:dyDescent="0.2">
      <c r="A63" s="4">
        <v>1836239</v>
      </c>
      <c r="B63" s="4">
        <v>1.1850000000000001</v>
      </c>
      <c r="C63" s="4">
        <v>625</v>
      </c>
      <c r="D63" s="4">
        <v>22.3</v>
      </c>
    </row>
    <row r="64" spans="1:4" x14ac:dyDescent="0.2">
      <c r="A64" s="4">
        <v>1834781</v>
      </c>
      <c r="B64" s="4">
        <v>1.2050000000000001</v>
      </c>
      <c r="C64" s="4">
        <v>646</v>
      </c>
      <c r="D64" s="4">
        <v>24.21</v>
      </c>
    </row>
    <row r="65" spans="1:4" x14ac:dyDescent="0.2">
      <c r="A65" s="4">
        <v>1834776</v>
      </c>
      <c r="B65" s="4">
        <v>1.28</v>
      </c>
      <c r="C65" s="4">
        <v>623</v>
      </c>
      <c r="D65" s="4">
        <v>23.48</v>
      </c>
    </row>
    <row r="66" spans="1:4" x14ac:dyDescent="0.2">
      <c r="A66" s="4">
        <v>1835804</v>
      </c>
      <c r="B66" s="4">
        <v>1.2949999999999999</v>
      </c>
      <c r="C66" s="4">
        <v>649</v>
      </c>
      <c r="D66" s="4">
        <v>22.64</v>
      </c>
    </row>
    <row r="67" spans="1:4" x14ac:dyDescent="0.2">
      <c r="A67" s="4">
        <v>1836453</v>
      </c>
      <c r="B67" s="4">
        <v>1.31</v>
      </c>
      <c r="C67" s="4">
        <v>592</v>
      </c>
      <c r="D67" s="4">
        <v>26.11</v>
      </c>
    </row>
    <row r="68" spans="1:4" x14ac:dyDescent="0.2">
      <c r="A68" s="36">
        <v>1831459</v>
      </c>
      <c r="B68" s="4">
        <v>1.35</v>
      </c>
      <c r="C68" s="4">
        <v>586</v>
      </c>
      <c r="D68" s="4">
        <v>25.84</v>
      </c>
    </row>
    <row r="69" spans="1:4" x14ac:dyDescent="0.2">
      <c r="A69" s="4">
        <v>1833803</v>
      </c>
      <c r="B69" s="4">
        <v>1.355</v>
      </c>
      <c r="C69" s="4">
        <v>659</v>
      </c>
      <c r="D69" s="4">
        <v>22.07</v>
      </c>
    </row>
    <row r="70" spans="1:4" x14ac:dyDescent="0.2">
      <c r="A70" s="4">
        <v>1836234</v>
      </c>
      <c r="B70" s="4">
        <v>1.4649999999999999</v>
      </c>
      <c r="C70" s="4">
        <v>696</v>
      </c>
      <c r="D70" s="4">
        <v>24.2</v>
      </c>
    </row>
    <row r="71" spans="1:4" x14ac:dyDescent="0.2">
      <c r="A71" s="4">
        <v>1832657</v>
      </c>
      <c r="B71" s="4">
        <v>1.4649999999999999</v>
      </c>
      <c r="C71" s="4">
        <v>565</v>
      </c>
      <c r="D71" s="4">
        <v>22.53</v>
      </c>
    </row>
    <row r="72" spans="1:4" x14ac:dyDescent="0.2">
      <c r="A72" s="4">
        <v>1832606</v>
      </c>
      <c r="B72" s="4">
        <v>1.7</v>
      </c>
      <c r="C72" s="4">
        <v>679</v>
      </c>
      <c r="D72" s="4">
        <v>25.58</v>
      </c>
    </row>
    <row r="73" spans="1:4" x14ac:dyDescent="0.2">
      <c r="A73" s="4">
        <v>1835204</v>
      </c>
      <c r="B73" s="4">
        <v>1.74</v>
      </c>
      <c r="C73" s="4">
        <v>650</v>
      </c>
      <c r="D73" s="4">
        <v>26.97</v>
      </c>
    </row>
    <row r="74" spans="1:4" x14ac:dyDescent="0.2">
      <c r="A74" s="4">
        <v>1835189</v>
      </c>
      <c r="B74" s="4">
        <v>1.925</v>
      </c>
      <c r="C74" s="4">
        <v>639</v>
      </c>
      <c r="D74" s="4">
        <v>23.38</v>
      </c>
    </row>
    <row r="75" spans="1:4" x14ac:dyDescent="0.2">
      <c r="A75" s="4">
        <v>1834859</v>
      </c>
      <c r="B75" s="4">
        <v>1.9449999999999998</v>
      </c>
      <c r="C75" s="4">
        <v>771</v>
      </c>
      <c r="D75" s="4">
        <v>20.239999999999998</v>
      </c>
    </row>
    <row r="76" spans="1:4" x14ac:dyDescent="0.2">
      <c r="A76" s="4">
        <v>1835204</v>
      </c>
      <c r="B76" s="4">
        <v>2.0049999999999999</v>
      </c>
      <c r="C76" s="4">
        <v>624</v>
      </c>
      <c r="D76" s="4">
        <v>27.66</v>
      </c>
    </row>
    <row r="77" spans="1:4" x14ac:dyDescent="0.2">
      <c r="A77" s="4">
        <v>1823726</v>
      </c>
      <c r="B77" s="4" t="s">
        <v>294</v>
      </c>
      <c r="C77" s="4">
        <v>630</v>
      </c>
    </row>
    <row r="78" spans="1:4" x14ac:dyDescent="0.2">
      <c r="A78" s="4">
        <v>1830080</v>
      </c>
      <c r="B78" s="4" t="s">
        <v>294</v>
      </c>
      <c r="C78" s="4">
        <v>617</v>
      </c>
    </row>
    <row r="79" spans="1:4" x14ac:dyDescent="0.2">
      <c r="A79" s="4">
        <v>1833735</v>
      </c>
      <c r="B79" s="4" t="s">
        <v>294</v>
      </c>
      <c r="C79" s="4">
        <v>586</v>
      </c>
    </row>
    <row r="80" spans="1:4" x14ac:dyDescent="0.2">
      <c r="A80" s="4">
        <v>1834930</v>
      </c>
      <c r="B80" s="4" t="s">
        <v>294</v>
      </c>
      <c r="C80" s="4">
        <v>603</v>
      </c>
    </row>
    <row r="81" spans="1:4" x14ac:dyDescent="0.2">
      <c r="A81" s="4">
        <v>1834953</v>
      </c>
      <c r="B81" s="4" t="s">
        <v>294</v>
      </c>
      <c r="C81" s="4">
        <v>587</v>
      </c>
    </row>
    <row r="82" spans="1:4" x14ac:dyDescent="0.2">
      <c r="A82" s="4">
        <v>1835010</v>
      </c>
      <c r="B82" s="4" t="s">
        <v>294</v>
      </c>
      <c r="C82" s="4">
        <v>615</v>
      </c>
      <c r="D82" s="4">
        <v>23.6</v>
      </c>
    </row>
    <row r="83" spans="1:4" x14ac:dyDescent="0.2">
      <c r="A83" s="45">
        <v>1835182</v>
      </c>
      <c r="B83" s="4" t="s">
        <v>294</v>
      </c>
      <c r="C83" s="4">
        <v>594</v>
      </c>
    </row>
    <row r="84" spans="1:4" x14ac:dyDescent="0.2">
      <c r="A84" s="4">
        <v>1835423</v>
      </c>
      <c r="B84" s="4" t="s">
        <v>294</v>
      </c>
      <c r="C84" s="4">
        <v>617</v>
      </c>
    </row>
    <row r="85" spans="1:4" x14ac:dyDescent="0.2">
      <c r="A85" s="4">
        <v>1835472</v>
      </c>
      <c r="B85" s="4" t="s">
        <v>294</v>
      </c>
      <c r="C85" s="4">
        <v>741</v>
      </c>
    </row>
    <row r="86" spans="1:4" x14ac:dyDescent="0.2">
      <c r="A86" s="45">
        <v>1835573</v>
      </c>
      <c r="B86" s="4" t="s">
        <v>294</v>
      </c>
      <c r="C86" s="4">
        <v>506</v>
      </c>
    </row>
    <row r="87" spans="1:4" x14ac:dyDescent="0.2">
      <c r="A87" s="4">
        <v>1835596</v>
      </c>
      <c r="B87" s="4" t="s">
        <v>294</v>
      </c>
      <c r="C87" s="4">
        <v>600</v>
      </c>
    </row>
    <row r="88" spans="1:4" x14ac:dyDescent="0.2">
      <c r="A88" s="45">
        <v>1835693</v>
      </c>
      <c r="B88" s="4" t="s">
        <v>294</v>
      </c>
      <c r="C88" s="4">
        <v>530</v>
      </c>
    </row>
    <row r="89" spans="1:4" x14ac:dyDescent="0.2">
      <c r="A89" s="4">
        <v>1835813</v>
      </c>
      <c r="B89" s="4" t="s">
        <v>294</v>
      </c>
      <c r="C89" s="4">
        <v>590</v>
      </c>
    </row>
    <row r="90" spans="1:4" x14ac:dyDescent="0.2">
      <c r="A90" s="4">
        <v>1835949</v>
      </c>
      <c r="B90" s="4" t="s">
        <v>294</v>
      </c>
    </row>
    <row r="91" spans="1:4" x14ac:dyDescent="0.2">
      <c r="A91" s="4">
        <v>1836293</v>
      </c>
      <c r="B91" s="4" t="s">
        <v>294</v>
      </c>
      <c r="C91" s="4">
        <v>810</v>
      </c>
    </row>
    <row r="92" spans="1:4" x14ac:dyDescent="0.2">
      <c r="A92" s="4">
        <v>1836310</v>
      </c>
      <c r="B92" s="4" t="s">
        <v>294</v>
      </c>
      <c r="C92" s="4">
        <v>681</v>
      </c>
    </row>
    <row r="93" spans="1:4" x14ac:dyDescent="0.2">
      <c r="A93" s="4">
        <v>1836345</v>
      </c>
      <c r="B93" s="4" t="s">
        <v>294</v>
      </c>
      <c r="C93" s="4">
        <v>657</v>
      </c>
    </row>
    <row r="94" spans="1:4" x14ac:dyDescent="0.2">
      <c r="A94" s="4">
        <v>1836353</v>
      </c>
      <c r="B94" s="4" t="s">
        <v>294</v>
      </c>
      <c r="C94" s="4">
        <v>595</v>
      </c>
    </row>
    <row r="95" spans="1:4" x14ac:dyDescent="0.2">
      <c r="A95" s="4">
        <v>1836477</v>
      </c>
      <c r="B95" s="4" t="s">
        <v>294</v>
      </c>
    </row>
    <row r="96" spans="1:4" x14ac:dyDescent="0.2">
      <c r="A96" s="4">
        <v>1836535</v>
      </c>
      <c r="B96" s="4" t="s">
        <v>294</v>
      </c>
      <c r="C96" s="4">
        <v>663</v>
      </c>
      <c r="D96" s="4">
        <v>24.65</v>
      </c>
    </row>
    <row r="97" spans="1:3" x14ac:dyDescent="0.2">
      <c r="A97" s="4">
        <v>1836540</v>
      </c>
      <c r="B97" s="4" t="s">
        <v>294</v>
      </c>
      <c r="C97" s="4">
        <v>554</v>
      </c>
    </row>
    <row r="98" spans="1:3" x14ac:dyDescent="0.2">
      <c r="A98" s="4">
        <v>1836623</v>
      </c>
      <c r="B98" s="4" t="s">
        <v>294</v>
      </c>
      <c r="C98" s="4">
        <v>607</v>
      </c>
    </row>
    <row r="99" spans="1:3" x14ac:dyDescent="0.2">
      <c r="A99" s="45">
        <v>1836709</v>
      </c>
      <c r="B99" s="4" t="s">
        <v>294</v>
      </c>
      <c r="C99" s="4">
        <v>651</v>
      </c>
    </row>
    <row r="100" spans="1:3" x14ac:dyDescent="0.2">
      <c r="A100" s="4">
        <v>1836712</v>
      </c>
      <c r="B100" s="4" t="s">
        <v>294</v>
      </c>
      <c r="C100" s="4">
        <v>606</v>
      </c>
    </row>
    <row r="101" spans="1:3" x14ac:dyDescent="0.2">
      <c r="A101" s="4">
        <v>1836787</v>
      </c>
      <c r="B101" s="4" t="s">
        <v>294</v>
      </c>
      <c r="C101" s="4">
        <v>731</v>
      </c>
    </row>
    <row r="102" spans="1:3" x14ac:dyDescent="0.2">
      <c r="A102" s="45">
        <v>1836794</v>
      </c>
      <c r="B102" s="4" t="s">
        <v>294</v>
      </c>
      <c r="C102" s="4">
        <v>604</v>
      </c>
    </row>
    <row r="103" spans="1:3" x14ac:dyDescent="0.2">
      <c r="A103" s="4">
        <v>1836935</v>
      </c>
      <c r="B103" s="4" t="s">
        <v>294</v>
      </c>
    </row>
    <row r="104" spans="1:3" x14ac:dyDescent="0.2">
      <c r="A104" s="45">
        <v>1836982</v>
      </c>
      <c r="B104" s="4" t="s">
        <v>294</v>
      </c>
      <c r="C104" s="4">
        <v>648</v>
      </c>
    </row>
    <row r="105" spans="1:3" x14ac:dyDescent="0.2">
      <c r="A105" s="4">
        <v>1823117</v>
      </c>
      <c r="B105" s="4" t="s">
        <v>294</v>
      </c>
      <c r="C105" s="4">
        <v>550</v>
      </c>
    </row>
    <row r="106" spans="1:3" x14ac:dyDescent="0.2">
      <c r="A106" s="4">
        <v>1824933</v>
      </c>
      <c r="B106" s="4" t="s">
        <v>294</v>
      </c>
      <c r="C106" s="4">
        <v>618</v>
      </c>
    </row>
    <row r="107" spans="1:3" x14ac:dyDescent="0.2">
      <c r="A107" s="4">
        <v>1827255</v>
      </c>
      <c r="B107" s="4" t="s">
        <v>294</v>
      </c>
      <c r="C107" s="4">
        <v>661</v>
      </c>
    </row>
    <row r="108" spans="1:3" x14ac:dyDescent="0.2">
      <c r="A108" s="4">
        <v>1834065</v>
      </c>
      <c r="B108" s="4" t="s">
        <v>294</v>
      </c>
    </row>
    <row r="109" spans="1:3" x14ac:dyDescent="0.2">
      <c r="A109" s="4">
        <v>1835332</v>
      </c>
      <c r="B109" s="4" t="s">
        <v>294</v>
      </c>
      <c r="C109" s="4">
        <v>854</v>
      </c>
    </row>
    <row r="110" spans="1:3" x14ac:dyDescent="0.2">
      <c r="A110" s="4">
        <v>1835477</v>
      </c>
      <c r="B110" s="4" t="s">
        <v>294</v>
      </c>
      <c r="C110" s="4">
        <v>569</v>
      </c>
    </row>
    <row r="111" spans="1:3" x14ac:dyDescent="0.2">
      <c r="A111" s="4">
        <v>1835496</v>
      </c>
      <c r="B111" s="4" t="s">
        <v>294</v>
      </c>
      <c r="C111" s="4">
        <v>557</v>
      </c>
    </row>
    <row r="112" spans="1:3" x14ac:dyDescent="0.2">
      <c r="A112" s="4">
        <v>1835552</v>
      </c>
      <c r="B112" s="4" t="s">
        <v>294</v>
      </c>
      <c r="C112" s="4">
        <v>564</v>
      </c>
    </row>
    <row r="113" spans="1:4" x14ac:dyDescent="0.2">
      <c r="A113" s="4">
        <v>1835684</v>
      </c>
      <c r="B113" s="4" t="s">
        <v>294</v>
      </c>
      <c r="C113" s="4">
        <v>516</v>
      </c>
    </row>
    <row r="114" spans="1:4" x14ac:dyDescent="0.2">
      <c r="A114" s="4">
        <v>1835693</v>
      </c>
      <c r="B114" s="4" t="s">
        <v>294</v>
      </c>
      <c r="C114" s="4">
        <v>535</v>
      </c>
      <c r="D114" s="4">
        <v>23.15</v>
      </c>
    </row>
    <row r="115" spans="1:4" x14ac:dyDescent="0.2">
      <c r="A115" s="4">
        <v>1835717</v>
      </c>
      <c r="B115" s="4" t="s">
        <v>294</v>
      </c>
      <c r="C115" s="4">
        <v>600</v>
      </c>
    </row>
    <row r="116" spans="1:4" x14ac:dyDescent="0.2">
      <c r="A116" s="4">
        <v>1835813</v>
      </c>
      <c r="B116" s="4" t="s">
        <v>294</v>
      </c>
      <c r="C116" s="4">
        <v>599</v>
      </c>
    </row>
    <row r="117" spans="1:4" x14ac:dyDescent="0.2">
      <c r="A117" s="4">
        <v>1835821</v>
      </c>
      <c r="B117" s="4" t="s">
        <v>294</v>
      </c>
      <c r="C117" s="4">
        <v>679</v>
      </c>
    </row>
    <row r="118" spans="1:4" x14ac:dyDescent="0.2">
      <c r="A118" s="4">
        <v>1835845</v>
      </c>
      <c r="B118" s="4" t="s">
        <v>294</v>
      </c>
      <c r="C118" s="4">
        <v>598</v>
      </c>
    </row>
    <row r="119" spans="1:4" x14ac:dyDescent="0.2">
      <c r="A119" s="4">
        <v>1835859</v>
      </c>
      <c r="B119" s="4" t="s">
        <v>294</v>
      </c>
      <c r="C119" s="4">
        <v>612</v>
      </c>
    </row>
    <row r="120" spans="1:4" x14ac:dyDescent="0.2">
      <c r="A120" s="4">
        <v>1835885</v>
      </c>
      <c r="B120" s="4" t="s">
        <v>294</v>
      </c>
      <c r="C120" s="4">
        <v>636</v>
      </c>
    </row>
    <row r="121" spans="1:4" x14ac:dyDescent="0.2">
      <c r="A121" s="4">
        <v>1836019</v>
      </c>
      <c r="B121" s="4" t="s">
        <v>294</v>
      </c>
      <c r="C121" s="4">
        <v>568</v>
      </c>
    </row>
    <row r="122" spans="1:4" x14ac:dyDescent="0.2">
      <c r="A122" s="4">
        <v>1836066</v>
      </c>
      <c r="B122" s="4" t="s">
        <v>294</v>
      </c>
    </row>
    <row r="123" spans="1:4" x14ac:dyDescent="0.2">
      <c r="A123" s="4">
        <v>1836270</v>
      </c>
      <c r="B123" s="4" t="s">
        <v>294</v>
      </c>
      <c r="C123" s="4">
        <v>616</v>
      </c>
    </row>
    <row r="124" spans="1:4" x14ac:dyDescent="0.2">
      <c r="A124" s="4">
        <v>1836293</v>
      </c>
      <c r="B124" s="4" t="s">
        <v>294</v>
      </c>
      <c r="C124" s="4">
        <v>504</v>
      </c>
    </row>
    <row r="125" spans="1:4" x14ac:dyDescent="0.2">
      <c r="A125" s="4">
        <v>1836353</v>
      </c>
      <c r="B125" s="4" t="s">
        <v>294</v>
      </c>
      <c r="C125" s="4">
        <v>573</v>
      </c>
    </row>
    <row r="126" spans="1:4" x14ac:dyDescent="0.2">
      <c r="A126" s="4">
        <v>1836436</v>
      </c>
      <c r="B126" s="4" t="s">
        <v>294</v>
      </c>
      <c r="C126" s="4">
        <v>656</v>
      </c>
    </row>
    <row r="127" spans="1:4" x14ac:dyDescent="0.2">
      <c r="A127" s="4">
        <v>1836477</v>
      </c>
      <c r="B127" s="4" t="s">
        <v>294</v>
      </c>
      <c r="C127" s="4">
        <v>583</v>
      </c>
    </row>
    <row r="128" spans="1:4" x14ac:dyDescent="0.2">
      <c r="A128" s="45">
        <v>1836592</v>
      </c>
      <c r="B128" s="4" t="s">
        <v>294</v>
      </c>
      <c r="C128" s="4">
        <v>629</v>
      </c>
    </row>
    <row r="129" spans="1:3" x14ac:dyDescent="0.2">
      <c r="A129" s="45">
        <v>1836853</v>
      </c>
      <c r="B129" s="4" t="s">
        <v>294</v>
      </c>
      <c r="C129" s="4">
        <v>535</v>
      </c>
    </row>
    <row r="130" spans="1:3" x14ac:dyDescent="0.2">
      <c r="A130" s="45">
        <v>1836983</v>
      </c>
      <c r="B130" s="4" t="s">
        <v>294</v>
      </c>
      <c r="C130" s="4">
        <v>582</v>
      </c>
    </row>
    <row r="131" spans="1:3" x14ac:dyDescent="0.2">
      <c r="A131" s="4">
        <v>1822626</v>
      </c>
      <c r="C131" s="4">
        <v>614</v>
      </c>
    </row>
  </sheetData>
  <customSheetViews>
    <customSheetView guid="{9D4EC4DC-E305-42C0-86D3-802895C39393}">
      <selection activeCell="Q27" sqref="Q27"/>
      <pageMargins left="0.7" right="0.7" top="0.75" bottom="0.75" header="0.3" footer="0.3"/>
    </customSheetView>
    <customSheetView guid="{54C114DD-C157-4E30-91DC-9B94C55E8054}">
      <selection activeCell="Q27" sqref="Q27"/>
      <pageMargins left="0.7" right="0.7" top="0.75" bottom="0.75" header="0.3" footer="0.3"/>
    </customSheetView>
  </customSheetViews>
  <phoneticPr fontId="29" type="noConversion"/>
  <conditionalFormatting sqref="B2:B17 B19:B122">
    <cfRule type="expression" dxfId="4" priority="4">
      <formula>(TODAY()-$A2)&gt;9*30</formula>
    </cfRule>
  </conditionalFormatting>
  <conditionalFormatting sqref="B1:B1048576">
    <cfRule type="expression" dxfId="3" priority="2" stopIfTrue="1">
      <formula>(TODAY()-B1)&lt;1</formula>
    </cfRule>
    <cfRule type="expression" dxfId="2" priority="3" stopIfTrue="1">
      <formula>AND((B1&gt;1),(TODAY()-B1)&gt;1)</formula>
    </cfRule>
  </conditionalFormatting>
  <conditionalFormatting sqref="A1:A1048576">
    <cfRule type="duplicateValues" dxfId="1" priority="1"/>
  </conditionalFormatting>
  <hyperlinks>
    <hyperlink ref="A64815" r:id="rId1" display="Cf@4ft"/>
    <hyperlink ref="A64813" r:id="rId2" display="Cf@4ft"/>
    <hyperlink ref="A64894" r:id="rId3" display="HM@6in"/>
    <hyperlink ref="A65250" r:id="rId4" display="HM@6in"/>
    <hyperlink ref="A65271" r:id="rId5" display="HM@6in"/>
    <hyperlink ref="A64915" r:id="rId6" display="HM@6in"/>
    <hyperlink ref="A64909" r:id="rId7" display="HM@6in"/>
    <hyperlink ref="A65265" r:id="rId8" display="HM@6in"/>
    <hyperlink ref="A64908" r:id="rId9" display="HM@6in"/>
    <hyperlink ref="A65264" r:id="rId10" display="HM@6in"/>
    <hyperlink ref="A64901" r:id="rId11" display="HM@6in"/>
    <hyperlink ref="A65257" r:id="rId12" display="HM@6in"/>
    <hyperlink ref="C64745" r:id="rId13" display="HM@6in"/>
    <hyperlink ref="C65103" r:id="rId14" display="HM@6in"/>
    <hyperlink ref="C64743" r:id="rId15" display="HM@6in"/>
    <hyperlink ref="C65101" r:id="rId16" display="HM@6in"/>
    <hyperlink ref="C348" r:id="rId17" display="CF@2ft"/>
    <hyperlink ref="C368" r:id="rId18" display="CF@6in"/>
    <hyperlink ref="C713" r:id="rId19" display="CF@2ft"/>
    <hyperlink ref="D64805" r:id="rId20" display="CF@6in"/>
    <hyperlink ref="D64877" r:id="rId21" display="CF@3ft"/>
    <hyperlink ref="D64924" r:id="rId22" display="CF@3ft"/>
    <hyperlink ref="D65141" r:id="rId23" display="CF@2ft"/>
    <hyperlink ref="D65161" r:id="rId24" display="CF@6in"/>
    <hyperlink ref="D65506" r:id="rId25" display="CF@2ft"/>
    <hyperlink ref="D64746" r:id="rId26" display="CF@6in"/>
    <hyperlink ref="D64818" r:id="rId27" display="CF@ 2 ft"/>
    <hyperlink ref="D64865" r:id="rId28" display="CF@3ft"/>
    <hyperlink ref="D65082" r:id="rId29" display="CF@2ft"/>
    <hyperlink ref="D65102" r:id="rId30" display="CF@6in"/>
    <hyperlink ref="D65447" r:id="rId31" display="CF@2ft"/>
    <hyperlink ref="D64782" r:id="rId32" display="CF@6in"/>
    <hyperlink ref="D64854" r:id="rId33" display="CF@ 2 ft"/>
    <hyperlink ref="D64901" r:id="rId34" display="CF@3ft"/>
    <hyperlink ref="D65118" r:id="rId35" display="CF@2ft"/>
    <hyperlink ref="D65138" r:id="rId36" display="CF@6in"/>
    <hyperlink ref="D65483" r:id="rId37" display="CF@2ft"/>
    <hyperlink ref="D64758" r:id="rId38" display="CF@6in"/>
    <hyperlink ref="D64830" r:id="rId39" display="CF@ 2 ft"/>
    <hyperlink ref="D65094" r:id="rId40" display="CF@2ft"/>
    <hyperlink ref="D65114" r:id="rId41" display="CF@6in"/>
    <hyperlink ref="D65459" r:id="rId42" display="CF@2ft"/>
    <hyperlink ref="D64867" r:id="rId43" display="CF@6in"/>
    <hyperlink ref="D64939" r:id="rId44" display="CF@ 2 ft"/>
    <hyperlink ref="D64986" r:id="rId45" display="CF@3ft"/>
    <hyperlink ref="D65203" r:id="rId46" display="CF@2ft"/>
    <hyperlink ref="D65223" r:id="rId47" display="CF@6in"/>
    <hyperlink ref="D64888" r:id="rId48" display="CF@6in"/>
    <hyperlink ref="D64960" r:id="rId49" display="CF@ 2 ft"/>
    <hyperlink ref="D65007" r:id="rId50" display="CF@3ft"/>
    <hyperlink ref="D65224" r:id="rId51" display="CF@2ft"/>
    <hyperlink ref="D65244" r:id="rId52" display="CF@6in"/>
    <hyperlink ref="D116" r:id="rId53" display="CF@2ft"/>
    <hyperlink ref="D64882" r:id="rId54" display="CF@6in"/>
    <hyperlink ref="D64954" r:id="rId55" display="CF@ 2 ft"/>
    <hyperlink ref="D65001" r:id="rId56" display="CF@3ft"/>
    <hyperlink ref="D65218" r:id="rId57" display="CF@2ft"/>
    <hyperlink ref="D65238" r:id="rId58" display="CF@6in"/>
    <hyperlink ref="D26" r:id="rId59" display="CF@2ft"/>
    <hyperlink ref="D64881" r:id="rId60" display="CF@6in"/>
    <hyperlink ref="D64953" r:id="rId61" display="CF@ 2 ft"/>
    <hyperlink ref="D65000" r:id="rId62" display="CF@3ft"/>
    <hyperlink ref="D65217" r:id="rId63" display="CF@2ft"/>
    <hyperlink ref="D65237" r:id="rId64" display="CF@6in"/>
    <hyperlink ref="D71" r:id="rId65" display="CF@2ft"/>
    <hyperlink ref="D64874" r:id="rId66" display="CF@6in"/>
    <hyperlink ref="D64946" r:id="rId67" display="CF@ 2 ft"/>
    <hyperlink ref="D64993" r:id="rId68" display="CF@3ft"/>
    <hyperlink ref="D65210" r:id="rId69" display="CF@2ft"/>
    <hyperlink ref="D65230" r:id="rId70" display="CF@6in"/>
    <hyperlink ref="D106" r:id="rId71" display="CF@2ft"/>
  </hyperlinks>
  <pageMargins left="0.7" right="0.7" top="0.75" bottom="0.75" header="0.3" footer="0.3"/>
  <drawing r:id="rId7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2"/>
  <sheetViews>
    <sheetView workbookViewId="0">
      <selection activeCell="B12" sqref="B12"/>
    </sheetView>
  </sheetViews>
  <sheetFormatPr defaultRowHeight="12.75" x14ac:dyDescent="0.2"/>
  <cols>
    <col min="1" max="1" width="38.7109375" bestFit="1" customWidth="1"/>
  </cols>
  <sheetData>
    <row r="1" spans="1:2" x14ac:dyDescent="0.2">
      <c r="A1" s="63" t="s">
        <v>286</v>
      </c>
    </row>
    <row r="2" spans="1:2" x14ac:dyDescent="0.2">
      <c r="A2" s="63" t="s">
        <v>287</v>
      </c>
    </row>
    <row r="3" spans="1:2" x14ac:dyDescent="0.2">
      <c r="A3" s="63" t="s">
        <v>288</v>
      </c>
    </row>
    <row r="4" spans="1:2" x14ac:dyDescent="0.2">
      <c r="A4" s="63" t="s">
        <v>289</v>
      </c>
    </row>
    <row r="6" spans="1:2" x14ac:dyDescent="0.2">
      <c r="A6" s="63" t="s">
        <v>424</v>
      </c>
    </row>
    <row r="8" spans="1:2" x14ac:dyDescent="0.2">
      <c r="A8" s="63" t="s">
        <v>436</v>
      </c>
      <c r="B8" s="63" t="s">
        <v>435</v>
      </c>
    </row>
    <row r="9" spans="1:2" x14ac:dyDescent="0.2">
      <c r="A9" s="63" t="s">
        <v>437</v>
      </c>
      <c r="B9" s="63" t="s">
        <v>438</v>
      </c>
    </row>
    <row r="10" spans="1:2" x14ac:dyDescent="0.2">
      <c r="A10" s="63" t="s">
        <v>439</v>
      </c>
      <c r="B10" s="63" t="s">
        <v>440</v>
      </c>
    </row>
    <row r="12" spans="1:2" x14ac:dyDescent="0.2">
      <c r="A12" s="63" t="s">
        <v>442</v>
      </c>
      <c r="B12" s="63" t="s">
        <v>443</v>
      </c>
    </row>
  </sheetData>
  <customSheetViews>
    <customSheetView guid="{9D4EC4DC-E305-42C0-86D3-802895C39393}">
      <selection activeCell="B12" sqref="B12"/>
      <pageMargins left="0.75" right="0.75" top="1" bottom="1" header="0.5" footer="0.5"/>
      <headerFooter alignWithMargins="0"/>
    </customSheetView>
    <customSheetView guid="{54C114DD-C157-4E30-91DC-9B94C55E8054}">
      <selection activeCell="B12" sqref="B12"/>
      <pageMargins left="0.75" right="0.75" top="1" bottom="1" header="0.5" footer="0.5"/>
      <headerFooter alignWithMargins="0"/>
    </customSheetView>
  </customSheetViews>
  <phoneticPr fontId="23"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86"/>
  <sheetViews>
    <sheetView workbookViewId="0">
      <selection activeCell="A2" sqref="A2"/>
    </sheetView>
  </sheetViews>
  <sheetFormatPr defaultRowHeight="12.75" x14ac:dyDescent="0.2"/>
  <cols>
    <col min="2" max="2" width="14.5703125" customWidth="1"/>
    <col min="6" max="6" width="16.85546875" customWidth="1"/>
  </cols>
  <sheetData>
    <row r="1" spans="1:8" ht="39" thickBot="1" x14ac:dyDescent="0.25">
      <c r="A1" s="109" t="s">
        <v>68</v>
      </c>
      <c r="B1" s="110" t="s">
        <v>247</v>
      </c>
      <c r="C1" s="110" t="s">
        <v>109</v>
      </c>
      <c r="D1" s="110" t="s">
        <v>425</v>
      </c>
      <c r="E1" s="109" t="s">
        <v>68</v>
      </c>
      <c r="F1" s="110" t="s">
        <v>297</v>
      </c>
      <c r="G1" s="110" t="s">
        <v>109</v>
      </c>
      <c r="H1" s="110" t="s">
        <v>425</v>
      </c>
    </row>
    <row r="2" spans="1:8" ht="13.5" thickBot="1" x14ac:dyDescent="0.25">
      <c r="A2" s="111">
        <v>1805730</v>
      </c>
      <c r="B2" s="112">
        <v>41526</v>
      </c>
      <c r="C2" s="113" t="s">
        <v>110</v>
      </c>
      <c r="D2" s="114"/>
      <c r="E2" s="115">
        <v>1805730</v>
      </c>
      <c r="F2" s="116">
        <v>41722</v>
      </c>
      <c r="G2" s="110" t="s">
        <v>110</v>
      </c>
      <c r="H2" s="117"/>
    </row>
    <row r="3" spans="1:8" ht="13.5" thickBot="1" x14ac:dyDescent="0.25">
      <c r="A3" s="111">
        <v>1822626</v>
      </c>
      <c r="B3" s="112">
        <v>41631</v>
      </c>
      <c r="C3" s="113" t="s">
        <v>110</v>
      </c>
      <c r="D3" s="113">
        <v>25</v>
      </c>
    </row>
    <row r="4" spans="1:8" ht="13.5" thickBot="1" x14ac:dyDescent="0.25">
      <c r="A4" s="111">
        <v>1824311</v>
      </c>
      <c r="B4" s="112">
        <v>41334</v>
      </c>
      <c r="C4" s="113" t="s">
        <v>110</v>
      </c>
      <c r="D4" s="113">
        <v>40</v>
      </c>
      <c r="E4" s="111">
        <v>1824311</v>
      </c>
      <c r="F4" s="112">
        <v>41561</v>
      </c>
      <c r="G4" s="113" t="s">
        <v>110</v>
      </c>
      <c r="H4" s="113">
        <v>25</v>
      </c>
    </row>
    <row r="5" spans="1:8" ht="13.5" thickBot="1" x14ac:dyDescent="0.25">
      <c r="A5" s="111">
        <v>1824933</v>
      </c>
      <c r="B5" s="112">
        <v>41360</v>
      </c>
      <c r="C5" s="113" t="s">
        <v>111</v>
      </c>
      <c r="D5" s="113">
        <v>30</v>
      </c>
      <c r="E5" s="111">
        <v>1824933</v>
      </c>
      <c r="F5" s="112">
        <v>41549</v>
      </c>
      <c r="G5" s="113" t="s">
        <v>111</v>
      </c>
      <c r="H5" s="113" t="s">
        <v>426</v>
      </c>
    </row>
    <row r="6" spans="1:8" ht="13.5" thickBot="1" x14ac:dyDescent="0.25">
      <c r="A6" s="111">
        <v>1827255</v>
      </c>
      <c r="B6" s="112">
        <v>41318</v>
      </c>
      <c r="C6" s="113" t="s">
        <v>110</v>
      </c>
      <c r="D6" s="113">
        <v>40</v>
      </c>
      <c r="E6" s="111">
        <v>1824933</v>
      </c>
      <c r="F6" s="112">
        <v>41549</v>
      </c>
      <c r="G6" s="113" t="s">
        <v>110</v>
      </c>
      <c r="H6" s="113" t="s">
        <v>428</v>
      </c>
    </row>
    <row r="7" spans="1:8" ht="13.5" thickBot="1" x14ac:dyDescent="0.25">
      <c r="A7" s="111">
        <v>1827255</v>
      </c>
      <c r="B7" s="112">
        <v>41381</v>
      </c>
      <c r="C7" s="113" t="s">
        <v>111</v>
      </c>
      <c r="D7" s="113">
        <v>25</v>
      </c>
      <c r="E7" s="111">
        <v>1827255</v>
      </c>
      <c r="F7" s="112">
        <v>41562</v>
      </c>
      <c r="G7" s="113" t="s">
        <v>111</v>
      </c>
      <c r="H7" s="114"/>
    </row>
    <row r="8" spans="1:8" ht="13.5" thickBot="1" x14ac:dyDescent="0.25">
      <c r="A8" s="111">
        <v>1827528</v>
      </c>
      <c r="B8" s="112">
        <v>41409</v>
      </c>
      <c r="C8" s="113" t="s">
        <v>111</v>
      </c>
      <c r="D8" s="113">
        <v>200</v>
      </c>
      <c r="E8" s="111">
        <v>1827255</v>
      </c>
      <c r="F8" s="112">
        <v>41562</v>
      </c>
      <c r="G8" s="113" t="s">
        <v>110</v>
      </c>
      <c r="H8" s="114"/>
    </row>
    <row r="9" spans="1:8" ht="13.5" thickBot="1" x14ac:dyDescent="0.25">
      <c r="A9" s="111">
        <v>1828136</v>
      </c>
      <c r="B9" s="112">
        <v>41365</v>
      </c>
      <c r="C9" s="113" t="s">
        <v>110</v>
      </c>
      <c r="D9" s="113">
        <v>40</v>
      </c>
      <c r="E9" s="111">
        <v>1827528</v>
      </c>
      <c r="F9" s="112">
        <v>41563</v>
      </c>
      <c r="G9" s="113" t="s">
        <v>111</v>
      </c>
      <c r="H9" s="113">
        <v>100</v>
      </c>
    </row>
    <row r="10" spans="1:8" ht="13.5" thickBot="1" x14ac:dyDescent="0.25">
      <c r="A10" s="111">
        <v>1828136</v>
      </c>
      <c r="B10" s="112">
        <v>41562</v>
      </c>
      <c r="C10" s="113" t="s">
        <v>111</v>
      </c>
      <c r="D10" s="114"/>
      <c r="E10" s="111">
        <v>1828136</v>
      </c>
      <c r="F10" s="112">
        <v>41562</v>
      </c>
      <c r="G10" s="113" t="s">
        <v>110</v>
      </c>
      <c r="H10" s="114"/>
    </row>
    <row r="11" spans="1:8" ht="13.5" thickBot="1" x14ac:dyDescent="0.25">
      <c r="A11" s="111">
        <v>1828940</v>
      </c>
      <c r="B11" s="112">
        <v>41561</v>
      </c>
      <c r="C11" s="113" t="s">
        <v>110</v>
      </c>
      <c r="D11" s="113">
        <v>30</v>
      </c>
      <c r="E11" s="111">
        <v>1828136</v>
      </c>
      <c r="F11" s="112">
        <v>41758</v>
      </c>
      <c r="G11" s="113" t="s">
        <v>111</v>
      </c>
      <c r="H11" s="114"/>
    </row>
    <row r="12" spans="1:8" ht="13.5" thickBot="1" x14ac:dyDescent="0.25">
      <c r="A12" s="111">
        <v>1829576</v>
      </c>
      <c r="B12" s="112">
        <v>41380</v>
      </c>
      <c r="C12" s="113" t="s">
        <v>111</v>
      </c>
      <c r="D12" s="113">
        <v>30</v>
      </c>
      <c r="E12" s="111">
        <v>1828940</v>
      </c>
      <c r="F12" s="112">
        <v>41743</v>
      </c>
      <c r="G12" s="113" t="s">
        <v>110</v>
      </c>
      <c r="H12" s="114"/>
    </row>
    <row r="13" spans="1:8" ht="13.5" thickBot="1" x14ac:dyDescent="0.25">
      <c r="A13" s="111">
        <v>1829809</v>
      </c>
      <c r="B13" s="112">
        <v>41374</v>
      </c>
      <c r="C13" s="113" t="s">
        <v>110</v>
      </c>
      <c r="D13" s="114"/>
      <c r="E13" s="111">
        <v>1829576</v>
      </c>
      <c r="F13" s="112">
        <v>41562</v>
      </c>
      <c r="G13" s="113" t="s">
        <v>111</v>
      </c>
      <c r="H13" s="113">
        <v>20</v>
      </c>
    </row>
    <row r="14" spans="1:8" ht="13.5" thickBot="1" x14ac:dyDescent="0.25">
      <c r="A14" s="111">
        <v>1831350</v>
      </c>
      <c r="B14" s="112">
        <v>41324</v>
      </c>
      <c r="C14" s="113" t="s">
        <v>111</v>
      </c>
      <c r="D14" s="113">
        <v>25</v>
      </c>
      <c r="E14" s="111">
        <v>1829809</v>
      </c>
      <c r="F14" s="112">
        <v>41561</v>
      </c>
      <c r="G14" s="113" t="s">
        <v>110</v>
      </c>
      <c r="H14" s="114"/>
    </row>
    <row r="15" spans="1:8" ht="13.5" thickBot="1" x14ac:dyDescent="0.25">
      <c r="A15" s="111">
        <v>1831459</v>
      </c>
      <c r="B15" s="112">
        <v>41366</v>
      </c>
      <c r="C15" s="113" t="s">
        <v>111</v>
      </c>
      <c r="D15" s="114"/>
      <c r="E15" s="111">
        <v>1831350</v>
      </c>
      <c r="F15" s="112">
        <v>41542</v>
      </c>
      <c r="G15" s="113" t="s">
        <v>111</v>
      </c>
      <c r="H15" s="113" t="s">
        <v>427</v>
      </c>
    </row>
    <row r="16" spans="1:8" ht="13.5" thickBot="1" x14ac:dyDescent="0.25">
      <c r="A16" s="111">
        <v>1831717</v>
      </c>
      <c r="B16" s="112">
        <v>41373</v>
      </c>
      <c r="C16" s="113" t="s">
        <v>111</v>
      </c>
      <c r="D16" s="114"/>
      <c r="E16" s="111">
        <v>1831459</v>
      </c>
      <c r="F16" s="112">
        <v>41551</v>
      </c>
      <c r="G16" s="113" t="s">
        <v>111</v>
      </c>
      <c r="H16" s="113" t="s">
        <v>429</v>
      </c>
    </row>
    <row r="17" spans="1:8" ht="13.5" thickBot="1" x14ac:dyDescent="0.25">
      <c r="A17" s="111">
        <v>1832258</v>
      </c>
      <c r="B17" s="112">
        <v>41541</v>
      </c>
      <c r="C17" s="113" t="s">
        <v>110</v>
      </c>
      <c r="D17" s="113">
        <v>25</v>
      </c>
      <c r="E17" s="111">
        <v>1831717</v>
      </c>
      <c r="F17" s="112">
        <v>41562</v>
      </c>
      <c r="G17" s="113" t="s">
        <v>111</v>
      </c>
      <c r="H17" s="114"/>
    </row>
    <row r="18" spans="1:8" ht="13.5" thickBot="1" x14ac:dyDescent="0.25">
      <c r="A18" s="111">
        <v>1832606</v>
      </c>
      <c r="B18" s="112">
        <v>41534</v>
      </c>
      <c r="C18" s="113" t="s">
        <v>111</v>
      </c>
      <c r="D18" s="114"/>
      <c r="E18" s="111">
        <v>1832258</v>
      </c>
      <c r="F18" s="112">
        <v>41773</v>
      </c>
      <c r="G18" s="113" t="s">
        <v>110</v>
      </c>
      <c r="H18" s="114"/>
    </row>
    <row r="19" spans="1:8" ht="13.5" thickBot="1" x14ac:dyDescent="0.25">
      <c r="A19" s="111">
        <v>1832657</v>
      </c>
      <c r="B19" s="112">
        <v>41477</v>
      </c>
      <c r="C19" s="113" t="s">
        <v>111</v>
      </c>
      <c r="D19" s="113">
        <v>25</v>
      </c>
      <c r="E19" s="111">
        <v>1832606</v>
      </c>
      <c r="F19" s="112">
        <v>41704</v>
      </c>
      <c r="G19" s="113" t="s">
        <v>111</v>
      </c>
      <c r="H19" s="114"/>
    </row>
    <row r="20" spans="1:8" ht="13.5" thickBot="1" x14ac:dyDescent="0.25">
      <c r="A20" s="111">
        <v>1832657</v>
      </c>
      <c r="B20" s="112">
        <v>41477</v>
      </c>
      <c r="C20" s="113" t="s">
        <v>110</v>
      </c>
      <c r="D20" s="113">
        <v>25</v>
      </c>
      <c r="E20" s="111">
        <v>1832657</v>
      </c>
      <c r="F20" s="112">
        <v>41579</v>
      </c>
      <c r="G20" s="113" t="s">
        <v>111</v>
      </c>
      <c r="H20" s="113" t="s">
        <v>427</v>
      </c>
    </row>
    <row r="21" spans="1:8" ht="13.5" thickBot="1" x14ac:dyDescent="0.25">
      <c r="A21" s="111">
        <v>1833733</v>
      </c>
      <c r="B21" s="112">
        <v>41550</v>
      </c>
      <c r="C21" s="113" t="s">
        <v>111</v>
      </c>
      <c r="D21" s="114"/>
      <c r="E21" s="111">
        <v>1832657</v>
      </c>
      <c r="F21" s="112">
        <v>41579</v>
      </c>
      <c r="G21" s="113" t="s">
        <v>110</v>
      </c>
      <c r="H21" s="113">
        <v>25</v>
      </c>
    </row>
    <row r="22" spans="1:8" ht="13.5" thickBot="1" x14ac:dyDescent="0.25">
      <c r="A22" s="111">
        <v>1833803</v>
      </c>
      <c r="B22" s="112">
        <v>41415</v>
      </c>
      <c r="C22" s="113" t="s">
        <v>110</v>
      </c>
      <c r="D22" s="114"/>
      <c r="E22" s="111">
        <v>1834076</v>
      </c>
      <c r="F22" s="112">
        <v>41676</v>
      </c>
      <c r="G22" s="113" t="s">
        <v>111</v>
      </c>
      <c r="H22" s="114"/>
    </row>
    <row r="23" spans="1:8" ht="13.5" thickBot="1" x14ac:dyDescent="0.25">
      <c r="A23" s="111">
        <v>1834076</v>
      </c>
      <c r="B23" s="112">
        <v>41514</v>
      </c>
      <c r="C23" s="113" t="s">
        <v>111</v>
      </c>
      <c r="D23" s="114"/>
      <c r="E23" s="111">
        <v>1834124</v>
      </c>
      <c r="F23" s="112">
        <v>41565</v>
      </c>
      <c r="G23" s="113" t="s">
        <v>110</v>
      </c>
      <c r="H23" s="113">
        <v>30</v>
      </c>
    </row>
    <row r="24" spans="1:8" ht="13.5" thickBot="1" x14ac:dyDescent="0.25">
      <c r="A24" s="111">
        <v>1834099</v>
      </c>
      <c r="B24" s="112">
        <v>41576</v>
      </c>
      <c r="C24" s="113" t="s">
        <v>110</v>
      </c>
      <c r="D24" s="114"/>
      <c r="E24" s="111">
        <v>1834364</v>
      </c>
      <c r="F24" s="112">
        <v>41544</v>
      </c>
      <c r="G24" s="113" t="s">
        <v>111</v>
      </c>
      <c r="H24" s="114"/>
    </row>
    <row r="25" spans="1:8" ht="13.5" thickBot="1" x14ac:dyDescent="0.25">
      <c r="A25" s="111">
        <v>1834124</v>
      </c>
      <c r="B25" s="112">
        <v>41425</v>
      </c>
      <c r="C25" s="113" t="s">
        <v>110</v>
      </c>
      <c r="D25" s="113">
        <v>30</v>
      </c>
      <c r="E25" s="111">
        <v>1834386</v>
      </c>
      <c r="F25" s="112">
        <v>41578</v>
      </c>
      <c r="G25" s="113" t="s">
        <v>111</v>
      </c>
      <c r="H25" s="114"/>
    </row>
    <row r="26" spans="1:8" ht="13.5" thickBot="1" x14ac:dyDescent="0.25">
      <c r="A26" s="111">
        <v>1834364</v>
      </c>
      <c r="B26" s="112">
        <v>41383</v>
      </c>
      <c r="C26" s="113" t="s">
        <v>111</v>
      </c>
      <c r="D26" s="113">
        <v>50</v>
      </c>
      <c r="E26" s="111">
        <v>1834566</v>
      </c>
      <c r="F26" s="112">
        <v>41698</v>
      </c>
      <c r="G26" s="113" t="s">
        <v>110</v>
      </c>
      <c r="H26" s="114"/>
    </row>
    <row r="27" spans="1:8" ht="13.5" thickBot="1" x14ac:dyDescent="0.25">
      <c r="A27" s="111">
        <v>1834386</v>
      </c>
      <c r="B27" s="112">
        <v>41415</v>
      </c>
      <c r="C27" s="113" t="s">
        <v>111</v>
      </c>
      <c r="D27" s="113">
        <v>50</v>
      </c>
      <c r="E27" s="111">
        <v>1834776</v>
      </c>
      <c r="F27" s="112">
        <v>41753</v>
      </c>
      <c r="G27" s="113" t="s">
        <v>111</v>
      </c>
      <c r="H27" s="114"/>
    </row>
    <row r="28" spans="1:8" ht="13.5" thickBot="1" x14ac:dyDescent="0.25">
      <c r="A28" s="111">
        <v>1834566</v>
      </c>
      <c r="B28" s="112">
        <v>41512</v>
      </c>
      <c r="C28" s="113" t="s">
        <v>110</v>
      </c>
      <c r="D28" s="114"/>
      <c r="E28" s="111">
        <v>1834781</v>
      </c>
      <c r="F28" s="112">
        <v>41674</v>
      </c>
      <c r="G28" s="113" t="s">
        <v>111</v>
      </c>
      <c r="H28" s="114"/>
    </row>
    <row r="29" spans="1:8" ht="13.5" thickBot="1" x14ac:dyDescent="0.25">
      <c r="A29" s="111">
        <v>1834654</v>
      </c>
      <c r="B29" s="112">
        <v>41593</v>
      </c>
      <c r="C29" s="113" t="s">
        <v>110</v>
      </c>
      <c r="D29" s="113">
        <v>20</v>
      </c>
      <c r="E29" s="111">
        <v>1834781</v>
      </c>
      <c r="F29" s="112">
        <v>41674</v>
      </c>
      <c r="G29" s="113" t="s">
        <v>110</v>
      </c>
      <c r="H29" s="114"/>
    </row>
    <row r="30" spans="1:8" ht="13.5" thickBot="1" x14ac:dyDescent="0.25">
      <c r="A30" s="111">
        <v>1834776</v>
      </c>
      <c r="B30" s="112">
        <v>41554</v>
      </c>
      <c r="C30" s="113" t="s">
        <v>111</v>
      </c>
      <c r="D30" s="113">
        <v>30</v>
      </c>
      <c r="E30" s="111">
        <v>1834859</v>
      </c>
      <c r="F30" s="112">
        <v>41577</v>
      </c>
      <c r="G30" s="113" t="s">
        <v>111</v>
      </c>
      <c r="H30" s="113" t="s">
        <v>431</v>
      </c>
    </row>
    <row r="31" spans="1:8" ht="13.5" thickBot="1" x14ac:dyDescent="0.25">
      <c r="A31" s="111">
        <v>1834781</v>
      </c>
      <c r="B31" s="112">
        <v>41407</v>
      </c>
      <c r="C31" s="113" t="s">
        <v>111</v>
      </c>
      <c r="D31" s="113">
        <v>40</v>
      </c>
      <c r="E31" s="111">
        <v>1835069</v>
      </c>
      <c r="F31" s="112">
        <v>41501</v>
      </c>
      <c r="G31" s="113" t="s">
        <v>111</v>
      </c>
      <c r="H31" s="114"/>
    </row>
    <row r="32" spans="1:8" ht="13.5" thickBot="1" x14ac:dyDescent="0.25">
      <c r="A32" s="111">
        <v>1834781</v>
      </c>
      <c r="B32" s="112">
        <v>41492</v>
      </c>
      <c r="C32" s="113" t="s">
        <v>110</v>
      </c>
      <c r="D32" s="114"/>
      <c r="E32" s="111">
        <v>1835069</v>
      </c>
      <c r="F32" s="112">
        <v>41668</v>
      </c>
      <c r="G32" s="113" t="s">
        <v>110</v>
      </c>
      <c r="H32" s="114"/>
    </row>
    <row r="33" spans="1:8" ht="13.5" thickBot="1" x14ac:dyDescent="0.25">
      <c r="A33" s="111">
        <v>1834859</v>
      </c>
      <c r="B33" s="112">
        <v>41408</v>
      </c>
      <c r="C33" s="113" t="s">
        <v>111</v>
      </c>
      <c r="D33" s="113">
        <v>40</v>
      </c>
      <c r="E33" s="111">
        <v>1835115</v>
      </c>
      <c r="F33" s="112">
        <v>41603</v>
      </c>
      <c r="G33" s="113" t="s">
        <v>110</v>
      </c>
      <c r="H33" s="113">
        <v>25</v>
      </c>
    </row>
    <row r="34" spans="1:8" ht="13.5" thickBot="1" x14ac:dyDescent="0.25">
      <c r="A34" s="111">
        <v>1835069</v>
      </c>
      <c r="B34" s="112">
        <v>41319</v>
      </c>
      <c r="C34" s="113" t="s">
        <v>111</v>
      </c>
      <c r="D34" s="113">
        <v>70</v>
      </c>
      <c r="E34" s="111">
        <v>1835157</v>
      </c>
      <c r="F34" s="112">
        <v>41554</v>
      </c>
      <c r="G34" s="113" t="s">
        <v>110</v>
      </c>
      <c r="H34" s="113">
        <v>40</v>
      </c>
    </row>
    <row r="35" spans="1:8" ht="13.5" thickBot="1" x14ac:dyDescent="0.25">
      <c r="A35" s="111">
        <v>1835069</v>
      </c>
      <c r="B35" s="112">
        <v>41319</v>
      </c>
      <c r="C35" s="113" t="s">
        <v>110</v>
      </c>
      <c r="D35" s="113">
        <v>70</v>
      </c>
      <c r="E35" s="111">
        <v>1835189</v>
      </c>
      <c r="F35" s="112">
        <v>41575</v>
      </c>
      <c r="G35" s="113" t="s">
        <v>111</v>
      </c>
      <c r="H35" s="114"/>
    </row>
    <row r="36" spans="1:8" ht="13.5" thickBot="1" x14ac:dyDescent="0.25">
      <c r="A36" s="111">
        <v>1835115</v>
      </c>
      <c r="B36" s="112">
        <v>41416</v>
      </c>
      <c r="C36" s="113" t="s">
        <v>110</v>
      </c>
      <c r="D36" s="113">
        <v>25</v>
      </c>
      <c r="E36" s="111">
        <v>1835204</v>
      </c>
      <c r="F36" s="112">
        <v>41590</v>
      </c>
      <c r="G36" s="113" t="s">
        <v>111</v>
      </c>
      <c r="H36" s="114"/>
    </row>
    <row r="37" spans="1:8" ht="13.5" thickBot="1" x14ac:dyDescent="0.25">
      <c r="A37" s="111">
        <v>1835157</v>
      </c>
      <c r="B37" s="112">
        <v>41400</v>
      </c>
      <c r="C37" s="113" t="s">
        <v>110</v>
      </c>
      <c r="D37" s="113">
        <v>40</v>
      </c>
      <c r="E37" s="111">
        <v>1835204</v>
      </c>
      <c r="F37" s="112">
        <v>41590</v>
      </c>
      <c r="G37" s="113" t="s">
        <v>110</v>
      </c>
      <c r="H37" s="114"/>
    </row>
    <row r="38" spans="1:8" ht="13.5" thickBot="1" x14ac:dyDescent="0.25">
      <c r="A38" s="111">
        <v>1835189</v>
      </c>
      <c r="B38" s="112">
        <v>41302</v>
      </c>
      <c r="C38" s="113" t="s">
        <v>111</v>
      </c>
      <c r="D38" s="113">
        <v>30</v>
      </c>
      <c r="E38" s="111">
        <v>1835205</v>
      </c>
      <c r="F38" s="112">
        <v>41570</v>
      </c>
      <c r="G38" s="113" t="s">
        <v>111</v>
      </c>
      <c r="H38" s="113">
        <v>100</v>
      </c>
    </row>
    <row r="39" spans="1:8" ht="13.5" thickBot="1" x14ac:dyDescent="0.25">
      <c r="A39" s="111">
        <v>1835204</v>
      </c>
      <c r="B39" s="112">
        <v>41374</v>
      </c>
      <c r="C39" s="113" t="s">
        <v>111</v>
      </c>
      <c r="D39" s="113">
        <v>60</v>
      </c>
      <c r="E39" s="111">
        <v>1835205</v>
      </c>
      <c r="F39" s="112">
        <v>41570</v>
      </c>
      <c r="G39" s="113" t="s">
        <v>110</v>
      </c>
      <c r="H39" s="113" t="s">
        <v>430</v>
      </c>
    </row>
    <row r="40" spans="1:8" ht="13.5" thickBot="1" x14ac:dyDescent="0.25">
      <c r="A40" s="111">
        <v>1835204</v>
      </c>
      <c r="B40" s="112">
        <v>41464</v>
      </c>
      <c r="C40" s="113" t="s">
        <v>110</v>
      </c>
      <c r="D40" s="113">
        <v>30</v>
      </c>
      <c r="E40" s="111">
        <v>1835272</v>
      </c>
      <c r="F40" s="112">
        <v>41604</v>
      </c>
      <c r="G40" s="113" t="s">
        <v>111</v>
      </c>
      <c r="H40" s="114"/>
    </row>
    <row r="41" spans="1:8" ht="13.5" thickBot="1" x14ac:dyDescent="0.25">
      <c r="A41" s="111">
        <v>1835205</v>
      </c>
      <c r="B41" s="112">
        <v>41361</v>
      </c>
      <c r="C41" s="113" t="s">
        <v>111</v>
      </c>
      <c r="D41" s="114"/>
      <c r="E41" s="111">
        <v>1835332</v>
      </c>
      <c r="F41" s="112">
        <v>41638</v>
      </c>
      <c r="G41" s="113" t="s">
        <v>110</v>
      </c>
      <c r="H41" s="113" t="s">
        <v>434</v>
      </c>
    </row>
    <row r="42" spans="1:8" ht="13.5" thickBot="1" x14ac:dyDescent="0.25">
      <c r="A42" s="111">
        <v>1835205</v>
      </c>
      <c r="B42" s="112">
        <v>41361</v>
      </c>
      <c r="C42" s="113" t="s">
        <v>110</v>
      </c>
      <c r="D42" s="114"/>
      <c r="E42" s="111">
        <v>1835691</v>
      </c>
      <c r="F42" s="112">
        <v>41599</v>
      </c>
      <c r="G42" s="113" t="s">
        <v>111</v>
      </c>
      <c r="H42" s="114"/>
    </row>
    <row r="43" spans="1:8" ht="13.5" thickBot="1" x14ac:dyDescent="0.25">
      <c r="A43" s="111">
        <v>1835250</v>
      </c>
      <c r="B43" s="112">
        <v>41478</v>
      </c>
      <c r="C43" s="113" t="s">
        <v>111</v>
      </c>
      <c r="D43" s="113">
        <v>50</v>
      </c>
      <c r="E43" s="111">
        <v>1835693</v>
      </c>
      <c r="F43" s="112">
        <v>41647</v>
      </c>
      <c r="G43" s="113" t="s">
        <v>110</v>
      </c>
      <c r="H43" s="114"/>
    </row>
    <row r="44" spans="1:8" ht="13.5" thickBot="1" x14ac:dyDescent="0.25">
      <c r="A44" s="111">
        <v>1835272</v>
      </c>
      <c r="B44" s="112">
        <v>41417</v>
      </c>
      <c r="C44" s="113" t="s">
        <v>111</v>
      </c>
      <c r="D44" s="113">
        <v>100</v>
      </c>
      <c r="E44" s="111">
        <v>1835772</v>
      </c>
      <c r="F44" s="112">
        <v>41656</v>
      </c>
      <c r="G44" s="113" t="s">
        <v>110</v>
      </c>
      <c r="H44" s="114"/>
    </row>
    <row r="45" spans="1:8" ht="13.5" thickBot="1" x14ac:dyDescent="0.25">
      <c r="A45" s="111">
        <v>1835332</v>
      </c>
      <c r="B45" s="112">
        <v>41375</v>
      </c>
      <c r="C45" s="113" t="s">
        <v>110</v>
      </c>
      <c r="D45" s="113">
        <v>30</v>
      </c>
      <c r="E45" s="111">
        <v>1835804</v>
      </c>
      <c r="F45" s="112">
        <v>41604</v>
      </c>
      <c r="G45" s="113" t="s">
        <v>110</v>
      </c>
      <c r="H45" s="113">
        <v>30</v>
      </c>
    </row>
    <row r="46" spans="1:8" ht="13.5" thickBot="1" x14ac:dyDescent="0.25">
      <c r="A46" s="111">
        <v>1835477</v>
      </c>
      <c r="B46" s="112">
        <v>41317</v>
      </c>
      <c r="C46" s="113" t="s">
        <v>110</v>
      </c>
      <c r="D46" s="114"/>
      <c r="E46" s="111">
        <v>1835815</v>
      </c>
      <c r="F46" s="112">
        <v>41603</v>
      </c>
      <c r="G46" s="113" t="s">
        <v>110</v>
      </c>
      <c r="H46" s="113" t="s">
        <v>432</v>
      </c>
    </row>
    <row r="47" spans="1:8" ht="13.5" thickBot="1" x14ac:dyDescent="0.25">
      <c r="A47" s="111">
        <v>1835552</v>
      </c>
      <c r="B47" s="112">
        <v>41390</v>
      </c>
      <c r="C47" s="113" t="s">
        <v>110</v>
      </c>
      <c r="D47" s="114"/>
      <c r="E47" s="111">
        <v>1835958</v>
      </c>
      <c r="F47" s="112">
        <v>41682</v>
      </c>
      <c r="G47" s="113" t="s">
        <v>110</v>
      </c>
      <c r="H47" s="114"/>
    </row>
    <row r="48" spans="1:8" ht="13.5" thickBot="1" x14ac:dyDescent="0.25">
      <c r="A48" s="111">
        <v>1835663</v>
      </c>
      <c r="B48" s="112">
        <v>41340</v>
      </c>
      <c r="C48" s="113" t="s">
        <v>110</v>
      </c>
      <c r="D48" s="113">
        <v>40</v>
      </c>
      <c r="E48" s="111">
        <v>1835959</v>
      </c>
      <c r="F48" s="112">
        <v>41610</v>
      </c>
      <c r="G48" s="113" t="s">
        <v>111</v>
      </c>
      <c r="H48" s="114"/>
    </row>
    <row r="49" spans="1:8" ht="13.5" thickBot="1" x14ac:dyDescent="0.25">
      <c r="A49" s="111">
        <v>1835691</v>
      </c>
      <c r="B49" s="112">
        <v>41417</v>
      </c>
      <c r="C49" s="113" t="s">
        <v>111</v>
      </c>
      <c r="D49" s="113">
        <v>40</v>
      </c>
      <c r="E49" s="111">
        <v>1835985</v>
      </c>
      <c r="F49" s="112">
        <v>41674</v>
      </c>
      <c r="G49" s="113" t="s">
        <v>111</v>
      </c>
      <c r="H49" s="114"/>
    </row>
    <row r="50" spans="1:8" ht="13.5" thickBot="1" x14ac:dyDescent="0.25">
      <c r="A50" s="111">
        <v>1835693</v>
      </c>
      <c r="B50" s="112">
        <v>41389</v>
      </c>
      <c r="C50" s="113" t="s">
        <v>110</v>
      </c>
      <c r="D50" s="113">
        <v>60</v>
      </c>
      <c r="E50" s="111">
        <v>1835985</v>
      </c>
      <c r="F50" s="112">
        <v>41674</v>
      </c>
      <c r="G50" s="113" t="s">
        <v>110</v>
      </c>
      <c r="H50" s="114"/>
    </row>
    <row r="51" spans="1:8" ht="13.5" thickBot="1" x14ac:dyDescent="0.25">
      <c r="A51" s="111">
        <v>1835772</v>
      </c>
      <c r="B51" s="112">
        <v>41435</v>
      </c>
      <c r="C51" s="113" t="s">
        <v>110</v>
      </c>
      <c r="D51" s="113">
        <v>25</v>
      </c>
      <c r="E51" s="111">
        <v>1835988</v>
      </c>
      <c r="F51" s="112">
        <v>41760</v>
      </c>
      <c r="G51" s="113" t="s">
        <v>111</v>
      </c>
      <c r="H51" s="114"/>
    </row>
    <row r="52" spans="1:8" ht="13.5" thickBot="1" x14ac:dyDescent="0.25">
      <c r="A52" s="111">
        <v>1835804</v>
      </c>
      <c r="B52" s="112">
        <v>41407</v>
      </c>
      <c r="C52" s="113" t="s">
        <v>110</v>
      </c>
      <c r="D52" s="113">
        <v>20</v>
      </c>
      <c r="E52" s="111">
        <v>1836088</v>
      </c>
      <c r="F52" s="112">
        <v>41717</v>
      </c>
      <c r="G52" s="113" t="s">
        <v>111</v>
      </c>
      <c r="H52" s="114"/>
    </row>
    <row r="53" spans="1:8" ht="13.5" thickBot="1" x14ac:dyDescent="0.25">
      <c r="A53" s="111">
        <v>1835804</v>
      </c>
      <c r="B53" s="112">
        <v>41604</v>
      </c>
      <c r="C53" s="113" t="s">
        <v>111</v>
      </c>
      <c r="D53" s="113">
        <v>30</v>
      </c>
      <c r="E53" s="111">
        <v>1836088</v>
      </c>
      <c r="F53" s="112">
        <v>41717</v>
      </c>
      <c r="G53" s="113" t="s">
        <v>110</v>
      </c>
      <c r="H53" s="114"/>
    </row>
    <row r="54" spans="1:8" ht="13.5" thickBot="1" x14ac:dyDescent="0.25">
      <c r="A54" s="111">
        <v>1835815</v>
      </c>
      <c r="B54" s="112">
        <v>41428</v>
      </c>
      <c r="C54" s="113" t="s">
        <v>110</v>
      </c>
      <c r="D54" s="114"/>
      <c r="E54" s="111">
        <v>1836234</v>
      </c>
      <c r="F54" s="112">
        <v>41696</v>
      </c>
      <c r="G54" s="113" t="s">
        <v>111</v>
      </c>
      <c r="H54" s="114"/>
    </row>
    <row r="55" spans="1:8" ht="13.5" thickBot="1" x14ac:dyDescent="0.25">
      <c r="A55" s="111">
        <v>1835949</v>
      </c>
      <c r="B55" s="112">
        <v>41619</v>
      </c>
      <c r="C55" s="113" t="s">
        <v>111</v>
      </c>
      <c r="D55" s="114"/>
      <c r="E55" s="111">
        <v>1836239</v>
      </c>
      <c r="F55" s="112">
        <v>41611</v>
      </c>
      <c r="G55" s="113" t="s">
        <v>110</v>
      </c>
      <c r="H55" s="113" t="s">
        <v>433</v>
      </c>
    </row>
    <row r="56" spans="1:8" ht="13.5" thickBot="1" x14ac:dyDescent="0.25">
      <c r="A56" s="111">
        <v>1835958</v>
      </c>
      <c r="B56" s="112">
        <v>41444</v>
      </c>
      <c r="C56" s="113" t="s">
        <v>110</v>
      </c>
      <c r="D56" s="113">
        <v>50</v>
      </c>
      <c r="E56" s="111">
        <v>1836300</v>
      </c>
      <c r="F56" s="112">
        <v>41717</v>
      </c>
      <c r="G56" s="113" t="s">
        <v>111</v>
      </c>
      <c r="H56" s="114"/>
    </row>
    <row r="57" spans="1:8" ht="13.5" thickBot="1" x14ac:dyDescent="0.25">
      <c r="A57" s="111">
        <v>1835959</v>
      </c>
      <c r="B57" s="112">
        <v>41438</v>
      </c>
      <c r="C57" s="113" t="s">
        <v>111</v>
      </c>
      <c r="D57" s="113">
        <v>200</v>
      </c>
      <c r="E57" s="111">
        <v>1836378</v>
      </c>
      <c r="F57" s="112">
        <v>41761</v>
      </c>
      <c r="G57" s="113" t="s">
        <v>111</v>
      </c>
      <c r="H57" s="114"/>
    </row>
    <row r="58" spans="1:8" ht="13.5" thickBot="1" x14ac:dyDescent="0.25">
      <c r="A58" s="111">
        <v>1835985</v>
      </c>
      <c r="B58" s="112">
        <v>41485</v>
      </c>
      <c r="C58" s="113" t="s">
        <v>111</v>
      </c>
      <c r="D58" s="114"/>
      <c r="E58" s="111">
        <v>1836414</v>
      </c>
      <c r="F58" s="112">
        <v>41717</v>
      </c>
      <c r="G58" s="113" t="s">
        <v>111</v>
      </c>
      <c r="H58" s="114"/>
    </row>
    <row r="59" spans="1:8" ht="13.5" thickBot="1" x14ac:dyDescent="0.25">
      <c r="A59" s="111">
        <v>1835985</v>
      </c>
      <c r="B59" s="112">
        <v>41485</v>
      </c>
      <c r="C59" s="113" t="s">
        <v>110</v>
      </c>
      <c r="D59" s="114"/>
      <c r="E59" s="111">
        <v>1836425</v>
      </c>
      <c r="F59" s="112">
        <v>41716</v>
      </c>
      <c r="G59" s="113" t="s">
        <v>110</v>
      </c>
      <c r="H59" s="114"/>
    </row>
    <row r="60" spans="1:8" ht="13.5" thickBot="1" x14ac:dyDescent="0.25">
      <c r="A60" s="111">
        <v>1835988</v>
      </c>
      <c r="B60" s="112">
        <v>41429</v>
      </c>
      <c r="C60" s="113" t="s">
        <v>111</v>
      </c>
      <c r="D60" s="113">
        <v>200</v>
      </c>
      <c r="E60" s="111">
        <v>1836535</v>
      </c>
      <c r="F60" s="112">
        <v>41752</v>
      </c>
      <c r="G60" s="113" t="s">
        <v>111</v>
      </c>
      <c r="H60" s="114"/>
    </row>
    <row r="61" spans="1:8" ht="13.5" thickBot="1" x14ac:dyDescent="0.25">
      <c r="A61" s="111">
        <v>1835988</v>
      </c>
      <c r="B61" s="112">
        <v>41597</v>
      </c>
      <c r="C61" s="113" t="s">
        <v>110</v>
      </c>
      <c r="D61" s="113">
        <v>40</v>
      </c>
    </row>
    <row r="62" spans="1:8" ht="13.5" thickBot="1" x14ac:dyDescent="0.25">
      <c r="A62" s="111">
        <v>1836026</v>
      </c>
      <c r="B62" s="112">
        <v>41407</v>
      </c>
      <c r="C62" s="113" t="s">
        <v>110</v>
      </c>
      <c r="D62" s="113">
        <v>200</v>
      </c>
    </row>
    <row r="63" spans="1:8" ht="13.5" thickBot="1" x14ac:dyDescent="0.25">
      <c r="A63" s="111">
        <v>1836088</v>
      </c>
      <c r="B63" s="112">
        <v>41569</v>
      </c>
      <c r="C63" s="113" t="s">
        <v>110</v>
      </c>
      <c r="D63" s="113">
        <v>30</v>
      </c>
    </row>
    <row r="64" spans="1:8" ht="13.5" thickBot="1" x14ac:dyDescent="0.25">
      <c r="A64" s="111">
        <v>1836088</v>
      </c>
      <c r="B64" s="112">
        <v>41570</v>
      </c>
      <c r="C64" s="113" t="s">
        <v>111</v>
      </c>
      <c r="D64" s="114"/>
    </row>
    <row r="65" spans="1:4" ht="13.5" thickBot="1" x14ac:dyDescent="0.25">
      <c r="A65" s="111">
        <v>1836165</v>
      </c>
      <c r="B65" s="112">
        <v>41591</v>
      </c>
      <c r="C65" s="113" t="s">
        <v>111</v>
      </c>
      <c r="D65" s="114"/>
    </row>
    <row r="66" spans="1:4" ht="13.5" thickBot="1" x14ac:dyDescent="0.25">
      <c r="A66" s="111">
        <v>1836229</v>
      </c>
      <c r="B66" s="112">
        <v>41526</v>
      </c>
      <c r="C66" s="113" t="s">
        <v>111</v>
      </c>
      <c r="D66" s="114"/>
    </row>
    <row r="67" spans="1:4" ht="13.5" thickBot="1" x14ac:dyDescent="0.25">
      <c r="A67" s="111">
        <v>1836234</v>
      </c>
      <c r="B67" s="112">
        <v>41541</v>
      </c>
      <c r="C67" s="113" t="s">
        <v>111</v>
      </c>
      <c r="D67" s="113">
        <v>40</v>
      </c>
    </row>
    <row r="68" spans="1:4" ht="13.5" thickBot="1" x14ac:dyDescent="0.25">
      <c r="A68" s="111">
        <v>1836239</v>
      </c>
      <c r="B68" s="112">
        <v>41501</v>
      </c>
      <c r="C68" s="113" t="s">
        <v>110</v>
      </c>
      <c r="D68" s="114"/>
    </row>
    <row r="69" spans="1:4" ht="13.5" thickBot="1" x14ac:dyDescent="0.25">
      <c r="A69" s="111">
        <v>1836300</v>
      </c>
      <c r="B69" s="112">
        <v>41570</v>
      </c>
      <c r="C69" s="113" t="s">
        <v>111</v>
      </c>
      <c r="D69" s="114"/>
    </row>
    <row r="70" spans="1:4" ht="13.5" thickBot="1" x14ac:dyDescent="0.25">
      <c r="A70" s="111">
        <v>1836315</v>
      </c>
      <c r="B70" s="112">
        <v>41470</v>
      </c>
      <c r="C70" s="113" t="s">
        <v>111</v>
      </c>
      <c r="D70" s="113">
        <v>40</v>
      </c>
    </row>
    <row r="71" spans="1:4" ht="13.5" thickBot="1" x14ac:dyDescent="0.25">
      <c r="A71" s="111">
        <v>1836345</v>
      </c>
      <c r="B71" s="112">
        <v>41556</v>
      </c>
      <c r="C71" s="113" t="s">
        <v>111</v>
      </c>
      <c r="D71" s="114"/>
    </row>
    <row r="72" spans="1:4" ht="13.5" thickBot="1" x14ac:dyDescent="0.25">
      <c r="A72" s="111">
        <v>1836345</v>
      </c>
      <c r="B72" s="112">
        <v>41556</v>
      </c>
      <c r="C72" s="113" t="s">
        <v>110</v>
      </c>
      <c r="D72" s="114"/>
    </row>
    <row r="73" spans="1:4" ht="13.5" thickBot="1" x14ac:dyDescent="0.25">
      <c r="A73" s="111">
        <v>1836353</v>
      </c>
      <c r="B73" s="112">
        <v>41487</v>
      </c>
      <c r="C73" s="113" t="s">
        <v>110</v>
      </c>
      <c r="D73" s="114"/>
    </row>
    <row r="74" spans="1:4" ht="13.5" thickBot="1" x14ac:dyDescent="0.25">
      <c r="A74" s="111">
        <v>1836378</v>
      </c>
      <c r="B74" s="112">
        <v>41550</v>
      </c>
      <c r="C74" s="113" t="s">
        <v>111</v>
      </c>
      <c r="D74" s="113">
        <v>30</v>
      </c>
    </row>
    <row r="75" spans="1:4" ht="13.5" thickBot="1" x14ac:dyDescent="0.25">
      <c r="A75" s="111">
        <v>1836414</v>
      </c>
      <c r="B75" s="112">
        <v>41507</v>
      </c>
      <c r="C75" s="113" t="s">
        <v>111</v>
      </c>
      <c r="D75" s="113">
        <v>40</v>
      </c>
    </row>
    <row r="76" spans="1:4" ht="13.5" thickBot="1" x14ac:dyDescent="0.25">
      <c r="A76" s="111">
        <v>1836414</v>
      </c>
      <c r="B76" s="112">
        <v>41605</v>
      </c>
      <c r="C76" s="113" t="s">
        <v>110</v>
      </c>
      <c r="D76" s="113">
        <v>40</v>
      </c>
    </row>
    <row r="77" spans="1:4" ht="13.5" thickBot="1" x14ac:dyDescent="0.25">
      <c r="A77" s="111">
        <v>1836425</v>
      </c>
      <c r="B77" s="112">
        <v>41534</v>
      </c>
      <c r="C77" s="113" t="s">
        <v>111</v>
      </c>
      <c r="D77" s="113">
        <v>30</v>
      </c>
    </row>
    <row r="78" spans="1:4" ht="13.5" thickBot="1" x14ac:dyDescent="0.25">
      <c r="A78" s="111">
        <v>1836425</v>
      </c>
      <c r="B78" s="112">
        <v>41534</v>
      </c>
      <c r="C78" s="113" t="s">
        <v>110</v>
      </c>
      <c r="D78" s="113">
        <v>60</v>
      </c>
    </row>
    <row r="79" spans="1:4" ht="13.5" thickBot="1" x14ac:dyDescent="0.25">
      <c r="A79" s="111">
        <v>1836453</v>
      </c>
      <c r="B79" s="112">
        <v>41563</v>
      </c>
      <c r="C79" s="113" t="s">
        <v>110</v>
      </c>
      <c r="D79" s="114"/>
    </row>
    <row r="80" spans="1:4" ht="13.5" thickBot="1" x14ac:dyDescent="0.25">
      <c r="A80" s="111">
        <v>1836533</v>
      </c>
      <c r="B80" s="112">
        <v>41403</v>
      </c>
      <c r="C80" s="113" t="s">
        <v>111</v>
      </c>
      <c r="D80" s="114"/>
    </row>
    <row r="81" spans="1:4" ht="13.5" thickBot="1" x14ac:dyDescent="0.25">
      <c r="A81" s="111">
        <v>1836535</v>
      </c>
      <c r="B81" s="112">
        <v>41555</v>
      </c>
      <c r="C81" s="113" t="s">
        <v>111</v>
      </c>
      <c r="D81" s="114"/>
    </row>
    <row r="82" spans="1:4" ht="13.5" thickBot="1" x14ac:dyDescent="0.25">
      <c r="A82" s="111">
        <v>1836540</v>
      </c>
      <c r="B82" s="112">
        <v>41569</v>
      </c>
      <c r="C82" s="113" t="s">
        <v>111</v>
      </c>
      <c r="D82" s="114"/>
    </row>
    <row r="83" spans="1:4" ht="13.5" thickBot="1" x14ac:dyDescent="0.25">
      <c r="A83" s="111">
        <v>1836549</v>
      </c>
      <c r="B83" s="112">
        <v>41562</v>
      </c>
      <c r="C83" s="113" t="s">
        <v>110</v>
      </c>
      <c r="D83" s="114"/>
    </row>
    <row r="84" spans="1:4" ht="13.5" thickBot="1" x14ac:dyDescent="0.25">
      <c r="A84" s="111">
        <v>1836590</v>
      </c>
      <c r="B84" s="112">
        <v>41589</v>
      </c>
      <c r="C84" s="113" t="s">
        <v>111</v>
      </c>
      <c r="D84" s="114"/>
    </row>
    <row r="85" spans="1:4" ht="13.5" thickBot="1" x14ac:dyDescent="0.25">
      <c r="A85" s="111">
        <v>1836623</v>
      </c>
      <c r="B85" s="112">
        <v>41586</v>
      </c>
      <c r="C85" s="113" t="s">
        <v>111</v>
      </c>
      <c r="D85" s="113">
        <v>40</v>
      </c>
    </row>
    <row r="86" spans="1:4" ht="13.5" thickBot="1" x14ac:dyDescent="0.25">
      <c r="A86" s="111">
        <v>1837142</v>
      </c>
      <c r="B86" s="112">
        <v>41611</v>
      </c>
      <c r="C86" s="113" t="s">
        <v>110</v>
      </c>
      <c r="D86" s="113">
        <v>30</v>
      </c>
    </row>
  </sheetData>
  <sortState ref="A2:D86">
    <sortCondition ref="A2:A86"/>
  </sortState>
  <customSheetViews>
    <customSheetView guid="{9D4EC4DC-E305-42C0-86D3-802895C39393}">
      <selection activeCell="A2" sqref="A2"/>
      <pageMargins left="0.7" right="0.7" top="0.75" bottom="0.75" header="0.3" footer="0.3"/>
      <pageSetup orientation="portrait" r:id="rId1"/>
    </customSheetView>
    <customSheetView guid="{54C114DD-C157-4E30-91DC-9B94C55E8054}">
      <selection activeCell="A2" sqref="A2"/>
      <pageMargins left="0.7" right="0.7" top="0.75" bottom="0.75" header="0.3" footer="0.3"/>
      <pageSetup orientation="portrait" r:id="rId2"/>
    </customSheetView>
  </customSheetViews>
  <conditionalFormatting sqref="E1:E100">
    <cfRule type="expression" dxfId="0" priority="29">
      <formula>IF($A1=$E1,1,0)</formula>
    </cfRule>
  </conditionalFormatting>
  <pageMargins left="0.7" right="0.7" top="0.75" bottom="0.75" header="0.3" footer="0.3"/>
  <pageSetup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59"/>
  <sheetViews>
    <sheetView topLeftCell="A46" workbookViewId="0">
      <selection sqref="A1:D59"/>
    </sheetView>
  </sheetViews>
  <sheetFormatPr defaultRowHeight="12.75" x14ac:dyDescent="0.2"/>
  <cols>
    <col min="2" max="2" width="12.5703125" customWidth="1"/>
  </cols>
  <sheetData>
    <row r="1" spans="1:4" ht="39" thickBot="1" x14ac:dyDescent="0.25">
      <c r="A1" s="109" t="s">
        <v>68</v>
      </c>
      <c r="B1" s="110" t="s">
        <v>297</v>
      </c>
      <c r="C1" s="110" t="s">
        <v>109</v>
      </c>
      <c r="D1" s="110" t="s">
        <v>425</v>
      </c>
    </row>
    <row r="2" spans="1:4" ht="13.5" thickBot="1" x14ac:dyDescent="0.25">
      <c r="A2" s="115">
        <v>1805730</v>
      </c>
      <c r="B2" s="116">
        <v>41722</v>
      </c>
      <c r="C2" s="110" t="s">
        <v>110</v>
      </c>
      <c r="D2" s="117"/>
    </row>
    <row r="3" spans="1:4" ht="13.5" thickBot="1" x14ac:dyDescent="0.25">
      <c r="A3" s="111">
        <v>1824311</v>
      </c>
      <c r="B3" s="112">
        <v>41561</v>
      </c>
      <c r="C3" s="113" t="s">
        <v>110</v>
      </c>
      <c r="D3" s="113">
        <v>25</v>
      </c>
    </row>
    <row r="4" spans="1:4" ht="13.5" thickBot="1" x14ac:dyDescent="0.25">
      <c r="A4" s="111">
        <v>1824933</v>
      </c>
      <c r="B4" s="112">
        <v>41549</v>
      </c>
      <c r="C4" s="113" t="s">
        <v>111</v>
      </c>
      <c r="D4" s="113" t="s">
        <v>426</v>
      </c>
    </row>
    <row r="5" spans="1:4" ht="13.5" thickBot="1" x14ac:dyDescent="0.25">
      <c r="A5" s="111">
        <v>1824933</v>
      </c>
      <c r="B5" s="112">
        <v>41549</v>
      </c>
      <c r="C5" s="113" t="s">
        <v>110</v>
      </c>
      <c r="D5" s="113" t="s">
        <v>428</v>
      </c>
    </row>
    <row r="6" spans="1:4" ht="13.5" thickBot="1" x14ac:dyDescent="0.25">
      <c r="A6" s="111">
        <v>1827255</v>
      </c>
      <c r="B6" s="112">
        <v>41562</v>
      </c>
      <c r="C6" s="113" t="s">
        <v>111</v>
      </c>
      <c r="D6" s="114"/>
    </row>
    <row r="7" spans="1:4" ht="13.5" thickBot="1" x14ac:dyDescent="0.25">
      <c r="A7" s="111">
        <v>1827255</v>
      </c>
      <c r="B7" s="112">
        <v>41562</v>
      </c>
      <c r="C7" s="113" t="s">
        <v>110</v>
      </c>
      <c r="D7" s="114"/>
    </row>
    <row r="8" spans="1:4" ht="13.5" thickBot="1" x14ac:dyDescent="0.25">
      <c r="A8" s="111">
        <v>1827528</v>
      </c>
      <c r="B8" s="112">
        <v>41563</v>
      </c>
      <c r="C8" s="113" t="s">
        <v>111</v>
      </c>
      <c r="D8" s="113">
        <v>100</v>
      </c>
    </row>
    <row r="9" spans="1:4" ht="13.5" thickBot="1" x14ac:dyDescent="0.25">
      <c r="A9" s="111">
        <v>1828136</v>
      </c>
      <c r="B9" s="112">
        <v>41562</v>
      </c>
      <c r="C9" s="113" t="s">
        <v>110</v>
      </c>
      <c r="D9" s="114"/>
    </row>
    <row r="10" spans="1:4" ht="13.5" thickBot="1" x14ac:dyDescent="0.25">
      <c r="A10" s="111">
        <v>1828136</v>
      </c>
      <c r="B10" s="112">
        <v>41758</v>
      </c>
      <c r="C10" s="113" t="s">
        <v>111</v>
      </c>
      <c r="D10" s="114"/>
    </row>
    <row r="11" spans="1:4" ht="13.5" thickBot="1" x14ac:dyDescent="0.25">
      <c r="A11" s="111">
        <v>1828940</v>
      </c>
      <c r="B11" s="112">
        <v>41743</v>
      </c>
      <c r="C11" s="113" t="s">
        <v>110</v>
      </c>
      <c r="D11" s="114"/>
    </row>
    <row r="12" spans="1:4" ht="13.5" thickBot="1" x14ac:dyDescent="0.25">
      <c r="A12" s="111">
        <v>1829576</v>
      </c>
      <c r="B12" s="112">
        <v>41562</v>
      </c>
      <c r="C12" s="113" t="s">
        <v>111</v>
      </c>
      <c r="D12" s="113">
        <v>20</v>
      </c>
    </row>
    <row r="13" spans="1:4" ht="13.5" thickBot="1" x14ac:dyDescent="0.25">
      <c r="A13" s="111">
        <v>1829809</v>
      </c>
      <c r="B13" s="112">
        <v>41561</v>
      </c>
      <c r="C13" s="113" t="s">
        <v>110</v>
      </c>
      <c r="D13" s="114"/>
    </row>
    <row r="14" spans="1:4" ht="13.5" thickBot="1" x14ac:dyDescent="0.25">
      <c r="A14" s="111">
        <v>1831350</v>
      </c>
      <c r="B14" s="112">
        <v>41542</v>
      </c>
      <c r="C14" s="113" t="s">
        <v>111</v>
      </c>
      <c r="D14" s="113" t="s">
        <v>427</v>
      </c>
    </row>
    <row r="15" spans="1:4" ht="13.5" thickBot="1" x14ac:dyDescent="0.25">
      <c r="A15" s="111">
        <v>1831459</v>
      </c>
      <c r="B15" s="112">
        <v>41551</v>
      </c>
      <c r="C15" s="113" t="s">
        <v>111</v>
      </c>
      <c r="D15" s="113" t="s">
        <v>429</v>
      </c>
    </row>
    <row r="16" spans="1:4" ht="13.5" thickBot="1" x14ac:dyDescent="0.25">
      <c r="A16" s="111">
        <v>1831717</v>
      </c>
      <c r="B16" s="112">
        <v>41562</v>
      </c>
      <c r="C16" s="113" t="s">
        <v>111</v>
      </c>
      <c r="D16" s="114"/>
    </row>
    <row r="17" spans="1:4" ht="13.5" thickBot="1" x14ac:dyDescent="0.25">
      <c r="A17" s="111">
        <v>1832258</v>
      </c>
      <c r="B17" s="112">
        <v>41773</v>
      </c>
      <c r="C17" s="113" t="s">
        <v>110</v>
      </c>
      <c r="D17" s="114"/>
    </row>
    <row r="18" spans="1:4" ht="13.5" thickBot="1" x14ac:dyDescent="0.25">
      <c r="A18" s="111">
        <v>1832606</v>
      </c>
      <c r="B18" s="112">
        <v>41704</v>
      </c>
      <c r="C18" s="113" t="s">
        <v>111</v>
      </c>
      <c r="D18" s="114"/>
    </row>
    <row r="19" spans="1:4" ht="13.5" thickBot="1" x14ac:dyDescent="0.25">
      <c r="A19" s="111">
        <v>1832657</v>
      </c>
      <c r="B19" s="112">
        <v>41579</v>
      </c>
      <c r="C19" s="113" t="s">
        <v>111</v>
      </c>
      <c r="D19" s="113" t="s">
        <v>427</v>
      </c>
    </row>
    <row r="20" spans="1:4" ht="13.5" thickBot="1" x14ac:dyDescent="0.25">
      <c r="A20" s="111">
        <v>1832657</v>
      </c>
      <c r="B20" s="112">
        <v>41579</v>
      </c>
      <c r="C20" s="113" t="s">
        <v>110</v>
      </c>
      <c r="D20" s="113">
        <v>25</v>
      </c>
    </row>
    <row r="21" spans="1:4" ht="13.5" thickBot="1" x14ac:dyDescent="0.25">
      <c r="A21" s="111">
        <v>1834076</v>
      </c>
      <c r="B21" s="112">
        <v>41676</v>
      </c>
      <c r="C21" s="113" t="s">
        <v>111</v>
      </c>
      <c r="D21" s="114"/>
    </row>
    <row r="22" spans="1:4" ht="13.5" thickBot="1" x14ac:dyDescent="0.25">
      <c r="A22" s="111">
        <v>1834124</v>
      </c>
      <c r="B22" s="112">
        <v>41565</v>
      </c>
      <c r="C22" s="113" t="s">
        <v>110</v>
      </c>
      <c r="D22" s="113">
        <v>30</v>
      </c>
    </row>
    <row r="23" spans="1:4" ht="13.5" thickBot="1" x14ac:dyDescent="0.25">
      <c r="A23" s="111">
        <v>1834364</v>
      </c>
      <c r="B23" s="112">
        <v>41544</v>
      </c>
      <c r="C23" s="113" t="s">
        <v>111</v>
      </c>
      <c r="D23" s="114"/>
    </row>
    <row r="24" spans="1:4" ht="13.5" thickBot="1" x14ac:dyDescent="0.25">
      <c r="A24" s="111">
        <v>1834386</v>
      </c>
      <c r="B24" s="112">
        <v>41578</v>
      </c>
      <c r="C24" s="113" t="s">
        <v>111</v>
      </c>
      <c r="D24" s="114"/>
    </row>
    <row r="25" spans="1:4" ht="13.5" thickBot="1" x14ac:dyDescent="0.25">
      <c r="A25" s="111">
        <v>1834566</v>
      </c>
      <c r="B25" s="112">
        <v>41698</v>
      </c>
      <c r="C25" s="113" t="s">
        <v>110</v>
      </c>
      <c r="D25" s="114"/>
    </row>
    <row r="26" spans="1:4" ht="13.5" thickBot="1" x14ac:dyDescent="0.25">
      <c r="A26" s="111">
        <v>1834776</v>
      </c>
      <c r="B26" s="112">
        <v>41753</v>
      </c>
      <c r="C26" s="113" t="s">
        <v>111</v>
      </c>
      <c r="D26" s="114"/>
    </row>
    <row r="27" spans="1:4" ht="13.5" thickBot="1" x14ac:dyDescent="0.25">
      <c r="A27" s="111">
        <v>1834781</v>
      </c>
      <c r="B27" s="112">
        <v>41674</v>
      </c>
      <c r="C27" s="113" t="s">
        <v>111</v>
      </c>
      <c r="D27" s="114"/>
    </row>
    <row r="28" spans="1:4" ht="13.5" thickBot="1" x14ac:dyDescent="0.25">
      <c r="A28" s="111">
        <v>1834781</v>
      </c>
      <c r="B28" s="112">
        <v>41674</v>
      </c>
      <c r="C28" s="113" t="s">
        <v>110</v>
      </c>
      <c r="D28" s="114"/>
    </row>
    <row r="29" spans="1:4" ht="13.5" thickBot="1" x14ac:dyDescent="0.25">
      <c r="A29" s="111">
        <v>1834859</v>
      </c>
      <c r="B29" s="112">
        <v>41577</v>
      </c>
      <c r="C29" s="113" t="s">
        <v>111</v>
      </c>
      <c r="D29" s="113" t="s">
        <v>431</v>
      </c>
    </row>
    <row r="30" spans="1:4" ht="13.5" thickBot="1" x14ac:dyDescent="0.25">
      <c r="A30" s="111">
        <v>1835069</v>
      </c>
      <c r="B30" s="112">
        <v>41501</v>
      </c>
      <c r="C30" s="113" t="s">
        <v>111</v>
      </c>
      <c r="D30" s="114"/>
    </row>
    <row r="31" spans="1:4" ht="13.5" thickBot="1" x14ac:dyDescent="0.25">
      <c r="A31" s="111">
        <v>1835069</v>
      </c>
      <c r="B31" s="112">
        <v>41668</v>
      </c>
      <c r="C31" s="113" t="s">
        <v>110</v>
      </c>
      <c r="D31" s="114"/>
    </row>
    <row r="32" spans="1:4" ht="13.5" thickBot="1" x14ac:dyDescent="0.25">
      <c r="A32" s="111">
        <v>1835115</v>
      </c>
      <c r="B32" s="112">
        <v>41603</v>
      </c>
      <c r="C32" s="113" t="s">
        <v>110</v>
      </c>
      <c r="D32" s="113">
        <v>25</v>
      </c>
    </row>
    <row r="33" spans="1:4" ht="13.5" thickBot="1" x14ac:dyDescent="0.25">
      <c r="A33" s="111">
        <v>1835157</v>
      </c>
      <c r="B33" s="112">
        <v>41554</v>
      </c>
      <c r="C33" s="113" t="s">
        <v>110</v>
      </c>
      <c r="D33" s="113">
        <v>40</v>
      </c>
    </row>
    <row r="34" spans="1:4" ht="13.5" thickBot="1" x14ac:dyDescent="0.25">
      <c r="A34" s="111">
        <v>1835189</v>
      </c>
      <c r="B34" s="112">
        <v>41575</v>
      </c>
      <c r="C34" s="113" t="s">
        <v>111</v>
      </c>
      <c r="D34" s="114"/>
    </row>
    <row r="35" spans="1:4" ht="13.5" thickBot="1" x14ac:dyDescent="0.25">
      <c r="A35" s="111">
        <v>1835204</v>
      </c>
      <c r="B35" s="112">
        <v>41590</v>
      </c>
      <c r="C35" s="113" t="s">
        <v>111</v>
      </c>
      <c r="D35" s="114"/>
    </row>
    <row r="36" spans="1:4" ht="13.5" thickBot="1" x14ac:dyDescent="0.25">
      <c r="A36" s="111">
        <v>1835204</v>
      </c>
      <c r="B36" s="112">
        <v>41590</v>
      </c>
      <c r="C36" s="113" t="s">
        <v>110</v>
      </c>
      <c r="D36" s="114"/>
    </row>
    <row r="37" spans="1:4" ht="13.5" thickBot="1" x14ac:dyDescent="0.25">
      <c r="A37" s="111">
        <v>1835205</v>
      </c>
      <c r="B37" s="112">
        <v>41570</v>
      </c>
      <c r="C37" s="113" t="s">
        <v>111</v>
      </c>
      <c r="D37" s="113">
        <v>100</v>
      </c>
    </row>
    <row r="38" spans="1:4" ht="13.5" thickBot="1" x14ac:dyDescent="0.25">
      <c r="A38" s="111">
        <v>1835205</v>
      </c>
      <c r="B38" s="112">
        <v>41570</v>
      </c>
      <c r="C38" s="113" t="s">
        <v>110</v>
      </c>
      <c r="D38" s="113" t="s">
        <v>430</v>
      </c>
    </row>
    <row r="39" spans="1:4" ht="13.5" thickBot="1" x14ac:dyDescent="0.25">
      <c r="A39" s="111">
        <v>1835272</v>
      </c>
      <c r="B39" s="112">
        <v>41604</v>
      </c>
      <c r="C39" s="113" t="s">
        <v>111</v>
      </c>
      <c r="D39" s="114"/>
    </row>
    <row r="40" spans="1:4" ht="13.5" thickBot="1" x14ac:dyDescent="0.25">
      <c r="A40" s="111">
        <v>1835332</v>
      </c>
      <c r="B40" s="112">
        <v>41638</v>
      </c>
      <c r="C40" s="113" t="s">
        <v>110</v>
      </c>
      <c r="D40" s="113" t="s">
        <v>434</v>
      </c>
    </row>
    <row r="41" spans="1:4" ht="13.5" thickBot="1" x14ac:dyDescent="0.25">
      <c r="A41" s="111">
        <v>1835691</v>
      </c>
      <c r="B41" s="112">
        <v>41599</v>
      </c>
      <c r="C41" s="113" t="s">
        <v>111</v>
      </c>
      <c r="D41" s="114"/>
    </row>
    <row r="42" spans="1:4" ht="13.5" thickBot="1" x14ac:dyDescent="0.25">
      <c r="A42" s="111">
        <v>1835693</v>
      </c>
      <c r="B42" s="112">
        <v>41647</v>
      </c>
      <c r="C42" s="113" t="s">
        <v>110</v>
      </c>
      <c r="D42" s="114"/>
    </row>
    <row r="43" spans="1:4" ht="13.5" thickBot="1" x14ac:dyDescent="0.25">
      <c r="A43" s="111">
        <v>1835772</v>
      </c>
      <c r="B43" s="112">
        <v>41656</v>
      </c>
      <c r="C43" s="113" t="s">
        <v>110</v>
      </c>
      <c r="D43" s="114"/>
    </row>
    <row r="44" spans="1:4" ht="13.5" thickBot="1" x14ac:dyDescent="0.25">
      <c r="A44" s="111">
        <v>1835804</v>
      </c>
      <c r="B44" s="112">
        <v>41604</v>
      </c>
      <c r="C44" s="113" t="s">
        <v>110</v>
      </c>
      <c r="D44" s="113">
        <v>30</v>
      </c>
    </row>
    <row r="45" spans="1:4" ht="13.5" thickBot="1" x14ac:dyDescent="0.25">
      <c r="A45" s="111">
        <v>1835815</v>
      </c>
      <c r="B45" s="112">
        <v>41603</v>
      </c>
      <c r="C45" s="113" t="s">
        <v>110</v>
      </c>
      <c r="D45" s="113" t="s">
        <v>432</v>
      </c>
    </row>
    <row r="46" spans="1:4" ht="13.5" thickBot="1" x14ac:dyDescent="0.25">
      <c r="A46" s="111">
        <v>1835958</v>
      </c>
      <c r="B46" s="112">
        <v>41682</v>
      </c>
      <c r="C46" s="113" t="s">
        <v>110</v>
      </c>
      <c r="D46" s="114"/>
    </row>
    <row r="47" spans="1:4" ht="13.5" thickBot="1" x14ac:dyDescent="0.25">
      <c r="A47" s="111">
        <v>1835959</v>
      </c>
      <c r="B47" s="112">
        <v>41610</v>
      </c>
      <c r="C47" s="113" t="s">
        <v>111</v>
      </c>
      <c r="D47" s="114"/>
    </row>
    <row r="48" spans="1:4" ht="13.5" thickBot="1" x14ac:dyDescent="0.25">
      <c r="A48" s="111">
        <v>1835985</v>
      </c>
      <c r="B48" s="112">
        <v>41674</v>
      </c>
      <c r="C48" s="113" t="s">
        <v>111</v>
      </c>
      <c r="D48" s="114"/>
    </row>
    <row r="49" spans="1:4" ht="13.5" thickBot="1" x14ac:dyDescent="0.25">
      <c r="A49" s="111">
        <v>1835985</v>
      </c>
      <c r="B49" s="112">
        <v>41674</v>
      </c>
      <c r="C49" s="113" t="s">
        <v>110</v>
      </c>
      <c r="D49" s="114"/>
    </row>
    <row r="50" spans="1:4" ht="13.5" thickBot="1" x14ac:dyDescent="0.25">
      <c r="A50" s="111">
        <v>1835988</v>
      </c>
      <c r="B50" s="112">
        <v>41760</v>
      </c>
      <c r="C50" s="113" t="s">
        <v>111</v>
      </c>
      <c r="D50" s="114"/>
    </row>
    <row r="51" spans="1:4" ht="13.5" thickBot="1" x14ac:dyDescent="0.25">
      <c r="A51" s="111">
        <v>1836088</v>
      </c>
      <c r="B51" s="112">
        <v>41717</v>
      </c>
      <c r="C51" s="113" t="s">
        <v>111</v>
      </c>
      <c r="D51" s="114"/>
    </row>
    <row r="52" spans="1:4" ht="13.5" thickBot="1" x14ac:dyDescent="0.25">
      <c r="A52" s="111">
        <v>1836088</v>
      </c>
      <c r="B52" s="112">
        <v>41717</v>
      </c>
      <c r="C52" s="113" t="s">
        <v>110</v>
      </c>
      <c r="D52" s="114"/>
    </row>
    <row r="53" spans="1:4" ht="13.5" thickBot="1" x14ac:dyDescent="0.25">
      <c r="A53" s="111">
        <v>1836234</v>
      </c>
      <c r="B53" s="112">
        <v>41696</v>
      </c>
      <c r="C53" s="113" t="s">
        <v>111</v>
      </c>
      <c r="D53" s="114"/>
    </row>
    <row r="54" spans="1:4" ht="13.5" thickBot="1" x14ac:dyDescent="0.25">
      <c r="A54" s="111">
        <v>1836239</v>
      </c>
      <c r="B54" s="112">
        <v>41611</v>
      </c>
      <c r="C54" s="113" t="s">
        <v>110</v>
      </c>
      <c r="D54" s="113" t="s">
        <v>433</v>
      </c>
    </row>
    <row r="55" spans="1:4" ht="13.5" thickBot="1" x14ac:dyDescent="0.25">
      <c r="A55" s="111">
        <v>1836300</v>
      </c>
      <c r="B55" s="112">
        <v>41717</v>
      </c>
      <c r="C55" s="113" t="s">
        <v>111</v>
      </c>
      <c r="D55" s="114"/>
    </row>
    <row r="56" spans="1:4" ht="13.5" thickBot="1" x14ac:dyDescent="0.25">
      <c r="A56" s="111">
        <v>1836378</v>
      </c>
      <c r="B56" s="112">
        <v>41761</v>
      </c>
      <c r="C56" s="113" t="s">
        <v>111</v>
      </c>
      <c r="D56" s="114"/>
    </row>
    <row r="57" spans="1:4" ht="13.5" thickBot="1" x14ac:dyDescent="0.25">
      <c r="A57" s="111">
        <v>1836414</v>
      </c>
      <c r="B57" s="112">
        <v>41717</v>
      </c>
      <c r="C57" s="113" t="s">
        <v>111</v>
      </c>
      <c r="D57" s="114"/>
    </row>
    <row r="58" spans="1:4" ht="13.5" thickBot="1" x14ac:dyDescent="0.25">
      <c r="A58" s="111">
        <v>1836425</v>
      </c>
      <c r="B58" s="112">
        <v>41716</v>
      </c>
      <c r="C58" s="113" t="s">
        <v>110</v>
      </c>
      <c r="D58" s="114"/>
    </row>
    <row r="59" spans="1:4" ht="13.5" thickBot="1" x14ac:dyDescent="0.25">
      <c r="A59" s="111">
        <v>1836535</v>
      </c>
      <c r="B59" s="112">
        <v>41752</v>
      </c>
      <c r="C59" s="113" t="s">
        <v>111</v>
      </c>
      <c r="D59" s="114"/>
    </row>
  </sheetData>
  <sortState ref="A2:D59">
    <sortCondition ref="A2:A59"/>
  </sortState>
  <customSheetViews>
    <customSheetView guid="{9D4EC4DC-E305-42C0-86D3-802895C39393}" topLeftCell="A46">
      <selection sqref="A1:D59"/>
      <pageMargins left="0.7" right="0.7" top="0.75" bottom="0.75" header="0.3" footer="0.3"/>
    </customSheetView>
    <customSheetView guid="{54C114DD-C157-4E30-91DC-9B94C55E8054}">
      <selection sqref="A1:D59"/>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2:XFD127" count="125">
    <row newVal="1" oldVal="82"/>
    <row newVal="2" oldVal="83"/>
    <row newVal="3" oldVal="84"/>
    <row newVal="4" oldVal="85"/>
    <row newVal="5" oldVal="86"/>
    <row newVal="6" oldVal="87"/>
    <row newVal="7" oldVal="88"/>
    <row newVal="8" oldVal="90"/>
    <row newVal="9" oldVal="91"/>
    <row newVal="10" oldVal="92"/>
    <row newVal="11" oldVal="93"/>
    <row newVal="12" oldVal="94"/>
    <row newVal="13" oldVal="96"/>
    <row newVal="14" oldVal="97"/>
    <row newVal="15" oldVal="98"/>
    <row newVal="16" oldVal="99"/>
    <row newVal="17" oldVal="100"/>
    <row newVal="18" oldVal="101"/>
    <row newVal="19" oldVal="102"/>
    <row newVal="20" oldVal="103"/>
    <row newVal="21" oldVal="104"/>
    <row newVal="22" oldVal="105"/>
    <row newVal="23" oldVal="107"/>
    <row newVal="24" oldVal="108"/>
    <row newVal="25" oldVal="109"/>
    <row newVal="26" oldVal="110"/>
    <row newVal="27" oldVal="111"/>
    <row newVal="28" oldVal="112"/>
    <row newVal="29" oldVal="114"/>
    <row newVal="30" oldVal="115"/>
    <row newVal="31" oldVal="117"/>
    <row newVal="32" oldVal="120"/>
    <row newVal="33" oldVal="121"/>
    <row newVal="34" oldVal="123"/>
    <row newVal="35" oldVal="76"/>
    <row newVal="36" oldVal="3"/>
    <row newVal="37" oldVal="17"/>
    <row newVal="38" oldVal="37"/>
    <row newVal="39" oldVal="23"/>
    <row newVal="40" oldVal="18"/>
    <row newVal="41" oldVal="59"/>
    <row newVal="42" oldVal="60"/>
    <row newVal="43" oldVal="21"/>
    <row newVal="44" oldVal="38"/>
    <row newVal="45" oldVal="29"/>
    <row newVal="46" oldVal="26"/>
    <row newVal="47" oldVal="2"/>
    <row newVal="48" oldVal="15"/>
    <row newVal="49" oldVal="48"/>
    <row newVal="50" oldVal="55"/>
    <row newVal="51" oldVal="22"/>
    <row newVal="52" oldVal="10"/>
    <row newVal="53" oldVal="47"/>
    <row newVal="54" oldVal="67"/>
    <row newVal="55" oldVal="42"/>
    <row newVal="56" oldVal="68"/>
    <row newVal="57" oldVal="28"/>
    <row newVal="58" oldVal="12"/>
    <row newVal="59" oldVal="6"/>
    <row newVal="60" oldVal="51"/>
    <row newVal="61" oldVal="70"/>
    <row newVal="62" oldVal="61"/>
    <row newVal="63" oldVal="34"/>
    <row newVal="64" oldVal="39"/>
    <row newVal="65" oldVal="1"/>
    <row newVal="66" oldVal="31"/>
    <row newVal="67" oldVal="7"/>
    <row newVal="68" oldVal="11"/>
    <row newVal="69" oldVal="9"/>
    <row newVal="70" oldVal="19"/>
    <row newVal="71" oldVal="20"/>
    <row newVal="72" oldVal="25"/>
    <row newVal="73" oldVal="40"/>
    <row newVal="74" oldVal="33"/>
    <row newVal="75" oldVal="65"/>
    <row newVal="76" oldVal="8"/>
    <row newVal="77" oldVal="35"/>
    <row newVal="78" oldVal="75"/>
    <row newVal="79" oldVal="78"/>
    <row newVal="80" oldVal="27"/>
    <row newVal="81" oldVal="24"/>
    <row newVal="82" oldVal="4"/>
    <row newVal="83" oldVal="5"/>
    <row newVal="84" oldVal="52"/>
    <row newVal="85" oldVal="13"/>
    <row newVal="86" oldVal="54"/>
    <row newVal="87" oldVal="14"/>
    <row newVal="88" oldVal="71"/>
    <row newVal="89" oldVal="49"/>
    <row newVal="90" oldVal="46"/>
    <row newVal="91" oldVal="45"/>
    <row newVal="92" oldVal="79"/>
    <row newVal="93" oldVal="80"/>
    <row newVal="94" oldVal="32"/>
    <row newVal="95" oldVal="36"/>
    <row newVal="96" oldVal="43"/>
    <row newVal="97" oldVal="57"/>
    <row newVal="98" oldVal="16"/>
    <row newVal="99" oldVal="41"/>
    <row newVal="100" oldVal="44"/>
    <row newVal="101" oldVal="69"/>
    <row newVal="102" oldVal="56"/>
    <row newVal="103" oldVal="72"/>
    <row newVal="104" oldVal="62"/>
    <row newVal="105" oldVal="73"/>
    <row newVal="106" oldVal="64"/>
    <row newVal="107" oldVal="74"/>
    <row newVal="108" oldVal="77"/>
    <row newVal="109" oldVal="113"/>
    <row newVal="110" oldVal="116"/>
    <row newVal="111" oldVal="50"/>
    <row newVal="112" oldVal="58"/>
    <row newVal="113" oldVal="30"/>
    <row newVal="114" oldVal="81"/>
    <row newVal="115" oldVal="63"/>
    <row newVal="116" oldVal="118"/>
    <row newVal="117" oldVal="53"/>
    <row newVal="118" oldVal="89"/>
    <row newVal="119" oldVal="95"/>
    <row newVal="120" oldVal="66"/>
    <row newVal="121" oldVal="119"/>
    <row newVal="123" oldVal="124"/>
    <row newVal="124" oldVal="125"/>
    <row newVal="125" oldVal="126"/>
    <row newVal="126" oldVal="106"/>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34</vt:i4>
      </vt:variant>
    </vt:vector>
  </HeadingPairs>
  <TitlesOfParts>
    <vt:vector size="40" baseType="lpstr">
      <vt:lpstr>Data</vt:lpstr>
      <vt:lpstr>Excluded Data</vt:lpstr>
      <vt:lpstr>scratch space</vt:lpstr>
      <vt:lpstr>unknowns</vt:lpstr>
      <vt:lpstr>UCVA #1</vt:lpstr>
      <vt:lpstr>Sheet2</vt:lpstr>
      <vt:lpstr>BCVA_12</vt:lpstr>
      <vt:lpstr>BCVA_6</vt:lpstr>
      <vt:lpstr>BCVA_PREOP</vt:lpstr>
      <vt:lpstr>CYL_LAST</vt:lpstr>
      <vt:lpstr>CYL_PREOP</vt:lpstr>
      <vt:lpstr>FOLLOWUP_MONTHS</vt:lpstr>
      <vt:lpstr>FU_6_AND_12</vt:lpstr>
      <vt:lpstr>K1_12</vt:lpstr>
      <vt:lpstr>LAST_CDVA</vt:lpstr>
      <vt:lpstr>LAST_CHANGE_CDVA</vt:lpstr>
      <vt:lpstr>LAST_SE_ERROR</vt:lpstr>
      <vt:lpstr>LAST_UDVA_DIST</vt:lpstr>
      <vt:lpstr>MISSING_PENT_12</vt:lpstr>
      <vt:lpstr>MISSING_PENT_6</vt:lpstr>
      <vt:lpstr>PREOP</vt:lpstr>
      <vt:lpstr>PREOP_BCVA</vt:lpstr>
      <vt:lpstr>PREOP_CDVA_IF_LAST_KNOWN</vt:lpstr>
      <vt:lpstr>PREOP_PENTACAM_RV</vt:lpstr>
      <vt:lpstr>REF_TARGET</vt:lpstr>
      <vt:lpstr>REF_TARGET_IF_SE_KNOWN</vt:lpstr>
      <vt:lpstr>SE_12</vt:lpstr>
      <vt:lpstr>SE_12_IF_6_12</vt:lpstr>
      <vt:lpstr>SE_6</vt:lpstr>
      <vt:lpstr>SE_6_IF_6_12</vt:lpstr>
      <vt:lpstr>SE_ERROR_12</vt:lpstr>
      <vt:lpstr>SE_LAST_</vt:lpstr>
      <vt:lpstr>SE_PREOP</vt:lpstr>
      <vt:lpstr>SE_preop_IF_6_12</vt:lpstr>
      <vt:lpstr>SK</vt:lpstr>
      <vt:lpstr>SPH_12</vt:lpstr>
      <vt:lpstr>SPH_6</vt:lpstr>
      <vt:lpstr>SPH_PREOP</vt:lpstr>
      <vt:lpstr>UDVA_12</vt:lpstr>
      <vt:lpstr>UDVA_6</vt:lpstr>
    </vt:vector>
  </TitlesOfParts>
  <Company>Corneal Consultants of Indiana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jaleemiller</dc:creator>
  <cp:lastModifiedBy>Jalee Miller</cp:lastModifiedBy>
  <dcterms:created xsi:type="dcterms:W3CDTF">2013-10-10T13:32:27Z</dcterms:created>
  <dcterms:modified xsi:type="dcterms:W3CDTF">2014-02-25T18:20:53Z</dcterms:modified>
</cp:coreProperties>
</file>